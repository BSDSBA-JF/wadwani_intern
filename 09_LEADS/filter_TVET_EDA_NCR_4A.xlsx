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jfv/Desktop/wadhwani/09_LEADS/"/>
    </mc:Choice>
  </mc:AlternateContent>
  <xr:revisionPtr revIDLastSave="0" documentId="13_ncr:1_{92F5800C-EFBD-0841-8CBF-06EDCFCE9003}" xr6:coauthVersionLast="47" xr6:coauthVersionMax="47" xr10:uidLastSave="{00000000-0000-0000-0000-000000000000}"/>
  <bookViews>
    <workbookView xWindow="0" yWindow="0" windowWidth="28800" windowHeight="18000" tabRatio="500" firstSheet="1" activeTab="2" xr2:uid="{00000000-000D-0000-FFFF-FFFF00000000}"/>
  </bookViews>
  <sheets>
    <sheet name="Read Me" sheetId="1" r:id="rId1"/>
    <sheet name="Top Centers - NCR" sheetId="2" r:id="rId2"/>
    <sheet name="Top Centers - 4A" sheetId="3" r:id="rId3"/>
    <sheet name="Leads for NCR and 4A" sheetId="8" r:id="rId4"/>
    <sheet name="NC Combinations" sheetId="10" r:id="rId5"/>
    <sheet name="Sectors" sheetId="11" r:id="rId6"/>
    <sheet name="Construction - Overview" sheetId="4" r:id="rId7"/>
    <sheet name="Construction - Top Centres" sheetId="5" r:id="rId8"/>
    <sheet name="Ms. Coloma's List" sheetId="9" r:id="rId9"/>
    <sheet name="Clean Data" sheetId="6" r:id="rId10"/>
  </sheets>
  <definedNames>
    <definedName name="_xlnm._FilterDatabase" localSheetId="9" hidden="1">'Clean Data'!$A$1:$O$3328</definedName>
    <definedName name="_xlnm._FilterDatabase" localSheetId="2" hidden="1">'Top Centers - 4A'!$A$5:$J$552</definedName>
    <definedName name="_xlnm._FilterDatabase" localSheetId="1" hidden="1">'Top Centers - NCR'!$A$4:$P$550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2" i="11" l="1"/>
  <c r="I552" i="3"/>
  <c r="J552" i="3"/>
  <c r="I551" i="3"/>
  <c r="J551" i="3"/>
  <c r="J551" i="2"/>
  <c r="J553" i="3"/>
  <c r="I550" i="3"/>
  <c r="J550" i="3"/>
  <c r="I549" i="3"/>
  <c r="J549" i="3"/>
  <c r="R554" i="2"/>
  <c r="R553" i="2"/>
  <c r="E7" i="11" a="1"/>
  <c r="E7" i="11" s="1"/>
  <c r="E8" i="11" a="1"/>
  <c r="E8" i="11" s="1"/>
  <c r="E9" i="11" a="1"/>
  <c r="E9" i="11" s="1"/>
  <c r="E10" i="11" a="1"/>
  <c r="E10" i="11" s="1"/>
  <c r="E11" i="11" a="1"/>
  <c r="E11" i="11" s="1"/>
  <c r="E12" i="11" a="1"/>
  <c r="E12" i="11" s="1"/>
  <c r="E13" i="11" a="1"/>
  <c r="E13" i="11" s="1"/>
  <c r="E14" i="11" a="1"/>
  <c r="E14" i="11" s="1"/>
  <c r="E15" i="11" a="1"/>
  <c r="E15" i="11" s="1"/>
  <c r="E16" i="11" a="1"/>
  <c r="E16" i="11" s="1"/>
  <c r="E17" i="11" a="1"/>
  <c r="E17" i="11" s="1"/>
  <c r="E18" i="11" a="1"/>
  <c r="E18" i="11" s="1"/>
  <c r="E19" i="11" a="1"/>
  <c r="E19" i="11" s="1"/>
  <c r="E20" i="11" a="1"/>
  <c r="E20" i="11" s="1"/>
  <c r="E21" i="11" a="1"/>
  <c r="E21" i="11" s="1"/>
  <c r="E22" i="11" a="1"/>
  <c r="E22" i="11" s="1"/>
  <c r="E23" i="11" a="1"/>
  <c r="E23" i="11" s="1"/>
  <c r="E24" i="11" a="1"/>
  <c r="E24" i="11" s="1"/>
  <c r="E25" i="11" a="1"/>
  <c r="E25" i="11" s="1"/>
  <c r="E26" i="11" a="1"/>
  <c r="E26" i="11" s="1"/>
  <c r="E27" i="11" a="1"/>
  <c r="E27" i="11" s="1"/>
  <c r="E28" i="11" a="1"/>
  <c r="E28" i="11" s="1"/>
  <c r="E29" i="11" a="1"/>
  <c r="E29" i="11" s="1"/>
  <c r="E6" i="11" a="1"/>
  <c r="E6" i="11" s="1"/>
  <c r="I20" i="9"/>
  <c r="H20" i="9"/>
  <c r="G20" i="9"/>
  <c r="F20" i="9"/>
  <c r="E20" i="9"/>
  <c r="AC161" i="3" a="1"/>
  <c r="AC161" i="3" s="1"/>
  <c r="AC155" i="3" a="1"/>
  <c r="AC155" i="3" s="1"/>
  <c r="AC147" i="3" a="1"/>
  <c r="AC147" i="3" s="1"/>
  <c r="AC158" i="3" a="1"/>
  <c r="AC158" i="3" s="1"/>
  <c r="AC163" i="3" a="1"/>
  <c r="AC163" i="3" s="1"/>
  <c r="AC115" i="3" a="1"/>
  <c r="AC115" i="3" s="1"/>
  <c r="AC130" i="3" a="1"/>
  <c r="AC130" i="3" s="1"/>
  <c r="AC103" i="3" a="1"/>
  <c r="AC103" i="3" s="1"/>
  <c r="AC73" i="3" a="1"/>
  <c r="AC73" i="3" s="1"/>
  <c r="AC72" i="3" a="1"/>
  <c r="AC72" i="3" s="1"/>
  <c r="AC105" i="3" a="1"/>
  <c r="AC105" i="3" s="1"/>
  <c r="AC108" i="3" a="1"/>
  <c r="AC108" i="3" s="1"/>
  <c r="AC112" i="3" a="1"/>
  <c r="AC112" i="3" s="1"/>
  <c r="AC106" i="3" a="1"/>
  <c r="AC106" i="3" s="1"/>
  <c r="AC52" i="3" a="1"/>
  <c r="AC52" i="3" s="1"/>
  <c r="AC114" i="3" a="1"/>
  <c r="AC114" i="3" s="1"/>
  <c r="AC111" i="3" a="1"/>
  <c r="AC111" i="3" s="1"/>
  <c r="AC76" i="3" a="1"/>
  <c r="AC76" i="3" s="1"/>
  <c r="AC118" i="3" a="1"/>
  <c r="AC118" i="3" s="1"/>
  <c r="AC82" i="3" a="1"/>
  <c r="AC82" i="3" s="1"/>
  <c r="AC37" i="3" a="1"/>
  <c r="AC37" i="3" s="1"/>
  <c r="AC159" i="3" a="1"/>
  <c r="AC159" i="3" s="1"/>
  <c r="AC42" i="3" a="1"/>
  <c r="AC42" i="3" s="1"/>
  <c r="AC157" i="3" a="1"/>
  <c r="AC157" i="3" s="1"/>
  <c r="AC149" i="3" a="1"/>
  <c r="AC149" i="3" s="1"/>
  <c r="AC116" i="3" a="1"/>
  <c r="AC116" i="3" s="1"/>
  <c r="AC49" i="3" a="1"/>
  <c r="AC49" i="3" s="1"/>
  <c r="AC117" i="3" a="1"/>
  <c r="AC117" i="3" s="1"/>
  <c r="AC120" i="3" a="1"/>
  <c r="AC120" i="3" s="1"/>
  <c r="AC53" i="3" a="1"/>
  <c r="AC53" i="3" s="1"/>
  <c r="AC151" i="3" a="1"/>
  <c r="AC151" i="3" s="1"/>
  <c r="AC84" i="3" a="1"/>
  <c r="AC84" i="3" s="1"/>
  <c r="AC55" i="3" a="1"/>
  <c r="AC55" i="3" s="1"/>
  <c r="AC156" i="3" a="1"/>
  <c r="AC156" i="3" s="1"/>
  <c r="AC79" i="3" a="1"/>
  <c r="AC79" i="3" s="1"/>
  <c r="AC152" i="3" a="1"/>
  <c r="AC152" i="3" s="1"/>
  <c r="AC110" i="3" a="1"/>
  <c r="AC110" i="3" s="1"/>
  <c r="AC86" i="3" a="1"/>
  <c r="AC86" i="3" s="1"/>
  <c r="AC54" i="3" a="1"/>
  <c r="AC54" i="3" s="1"/>
  <c r="AC78" i="3" a="1"/>
  <c r="AC78" i="3" s="1"/>
  <c r="AC29" i="3" a="1"/>
  <c r="AC29" i="3" s="1"/>
  <c r="AC109" i="3" a="1"/>
  <c r="AC109" i="3" s="1"/>
  <c r="AC81" i="3" a="1"/>
  <c r="AC81" i="3" s="1"/>
  <c r="AC153" i="3" a="1"/>
  <c r="AC153" i="3" s="1"/>
  <c r="AC80" i="3" a="1"/>
  <c r="AC80" i="3" s="1"/>
  <c r="AC162" i="3" a="1"/>
  <c r="AC162" i="3" s="1"/>
  <c r="AC74" i="3" a="1"/>
  <c r="AC74" i="3" s="1"/>
  <c r="AC119" i="3" a="1"/>
  <c r="AC119" i="3" s="1"/>
  <c r="AC148" i="3" a="1"/>
  <c r="AC148" i="3" s="1"/>
  <c r="AC107" i="3" a="1"/>
  <c r="AC107" i="3" s="1"/>
  <c r="AC87" i="3" a="1"/>
  <c r="AC87" i="3" s="1"/>
  <c r="AC16" i="3" a="1"/>
  <c r="AC16" i="3" s="1"/>
  <c r="AC85" i="3" a="1"/>
  <c r="AC85" i="3" s="1"/>
  <c r="AC75" i="3" a="1"/>
  <c r="AC75" i="3" s="1"/>
  <c r="AC104" i="3" a="1"/>
  <c r="AC104" i="3" s="1"/>
  <c r="AC35" i="3" a="1"/>
  <c r="AC35" i="3" s="1"/>
  <c r="AC46" i="3" a="1"/>
  <c r="AC46" i="3" s="1"/>
  <c r="AC41" i="3" a="1"/>
  <c r="AC41" i="3" s="1"/>
  <c r="AC11" i="3" a="1"/>
  <c r="AC11" i="3" s="1"/>
  <c r="AC50" i="3" a="1"/>
  <c r="AC50" i="3" s="1"/>
  <c r="AC83" i="3" a="1"/>
  <c r="AC83" i="3" s="1"/>
  <c r="AC36" i="3" a="1"/>
  <c r="AC36" i="3" s="1"/>
  <c r="AC31" i="3" a="1"/>
  <c r="AC31" i="3" s="1"/>
  <c r="AC17" i="3" a="1"/>
  <c r="AC17" i="3" s="1"/>
  <c r="AC30" i="3" a="1"/>
  <c r="AC30" i="3" s="1"/>
  <c r="AC77" i="3" a="1"/>
  <c r="AC77" i="3" s="1"/>
  <c r="AC45" i="3" a="1"/>
  <c r="AC45" i="3" s="1"/>
  <c r="AC43" i="3" a="1"/>
  <c r="AC43" i="3" s="1"/>
  <c r="AC10" i="3" a="1"/>
  <c r="AC10" i="3" s="1"/>
  <c r="AC44" i="3" a="1"/>
  <c r="AC44" i="3" s="1"/>
  <c r="AC27" i="3" a="1"/>
  <c r="AC27" i="3" s="1"/>
  <c r="AC14" i="3" a="1"/>
  <c r="AC14" i="3" s="1"/>
  <c r="AC26" i="3" a="1"/>
  <c r="AC26" i="3" s="1"/>
  <c r="AC28" i="3" a="1"/>
  <c r="AC28" i="3" s="1"/>
  <c r="AC19" i="3" a="1"/>
  <c r="AC19" i="3" s="1"/>
  <c r="AC9" i="3" a="1"/>
  <c r="AC9" i="3" s="1"/>
  <c r="AC51" i="3" a="1"/>
  <c r="AC51" i="3" s="1"/>
  <c r="AG86" i="2" a="1"/>
  <c r="AG86" i="2" s="1"/>
  <c r="AG87" i="2" a="1"/>
  <c r="AG87" i="2" s="1"/>
  <c r="AG85" i="2" a="1"/>
  <c r="AG85" i="2" s="1"/>
  <c r="AG82" i="2" a="1"/>
  <c r="AG82" i="2" s="1"/>
  <c r="AG77" i="2" a="1"/>
  <c r="AG77" i="2" s="1"/>
  <c r="AG79" i="2" a="1"/>
  <c r="AG79" i="2" s="1"/>
  <c r="AG81" i="2" a="1"/>
  <c r="AG81" i="2" s="1"/>
  <c r="AG73" i="2" a="1"/>
  <c r="AG73" i="2" s="1"/>
  <c r="AG84" i="2" a="1"/>
  <c r="AG84" i="2" s="1"/>
  <c r="AG67" i="2" a="1"/>
  <c r="AG67" i="2" s="1"/>
  <c r="AG58" i="2" a="1"/>
  <c r="AG58" i="2" s="1"/>
  <c r="AG69" i="2" a="1"/>
  <c r="AG69" i="2" s="1"/>
  <c r="AG59" i="2" a="1"/>
  <c r="AG59" i="2" s="1"/>
  <c r="AG65" i="2" a="1"/>
  <c r="AG65" i="2" s="1"/>
  <c r="AG46" i="2" a="1"/>
  <c r="AG46" i="2" s="1"/>
  <c r="AG36" i="2" a="1"/>
  <c r="AG36" i="2" s="1"/>
  <c r="AG88" i="2" a="1"/>
  <c r="AG88" i="2" s="1"/>
  <c r="AG75" i="2" a="1"/>
  <c r="AG75" i="2" s="1"/>
  <c r="AG80" i="2" a="1"/>
  <c r="AG80" i="2" s="1"/>
  <c r="AG78" i="2" a="1"/>
  <c r="AG78" i="2" s="1"/>
  <c r="AG68" i="2" a="1"/>
  <c r="AG68" i="2" s="1"/>
  <c r="AG19" i="2" a="1"/>
  <c r="AG19" i="2" s="1"/>
  <c r="AG72" i="2" a="1"/>
  <c r="AG72" i="2" s="1"/>
  <c r="AG76" i="2" a="1"/>
  <c r="AG76" i="2" s="1"/>
  <c r="AG52" i="2" a="1"/>
  <c r="AG52" i="2" s="1"/>
  <c r="AG63" i="2" a="1"/>
  <c r="AG63" i="2" s="1"/>
  <c r="AG51" i="2" a="1"/>
  <c r="AG51" i="2" s="1"/>
  <c r="AG57" i="2" a="1"/>
  <c r="AG57" i="2" s="1"/>
  <c r="AG39" i="2" a="1"/>
  <c r="AG39" i="2" s="1"/>
  <c r="AG29" i="2" a="1"/>
  <c r="AG29" i="2" s="1"/>
  <c r="AG38" i="2" a="1"/>
  <c r="AG38" i="2" s="1"/>
  <c r="AG28" i="2" a="1"/>
  <c r="AG28" i="2" s="1"/>
  <c r="AG15" i="2" a="1"/>
  <c r="AG15" i="2" s="1"/>
  <c r="AG62" i="2" a="1"/>
  <c r="AG62" i="2" s="1"/>
  <c r="AG61" i="2" a="1"/>
  <c r="AG61" i="2" s="1"/>
  <c r="AG64" i="2" a="1"/>
  <c r="AG64" i="2" s="1"/>
  <c r="AG74" i="2" a="1"/>
  <c r="AG74" i="2" s="1"/>
  <c r="AG50" i="2" a="1"/>
  <c r="AG50" i="2" s="1"/>
  <c r="AG56" i="2" a="1"/>
  <c r="AG56" i="2" s="1"/>
  <c r="AG41" i="2" a="1"/>
  <c r="AG41" i="2" s="1"/>
  <c r="AG60" i="2" a="1"/>
  <c r="AG60" i="2" s="1"/>
  <c r="AG26" i="2" a="1"/>
  <c r="AG26" i="2" s="1"/>
  <c r="AG31" i="2" a="1"/>
  <c r="AG31" i="2" s="1"/>
  <c r="AG66" i="2" a="1"/>
  <c r="AG66" i="2" s="1"/>
  <c r="AG54" i="2" a="1"/>
  <c r="AG54" i="2" s="1"/>
  <c r="AG42" i="2" a="1"/>
  <c r="AG42" i="2" s="1"/>
  <c r="AG49" i="2" a="1"/>
  <c r="AG49" i="2" s="1"/>
  <c r="AG33" i="2" a="1"/>
  <c r="AG33" i="2" s="1"/>
  <c r="AG32" i="2" a="1"/>
  <c r="AG32" i="2" s="1"/>
  <c r="AG70" i="2" a="1"/>
  <c r="AG70" i="2" s="1"/>
  <c r="AG83" i="2" a="1"/>
  <c r="AG83" i="2" s="1"/>
  <c r="AG40" i="2" a="1"/>
  <c r="AG40" i="2" s="1"/>
  <c r="AG48" i="2" a="1"/>
  <c r="AG48" i="2" s="1"/>
  <c r="AG37" i="2" a="1"/>
  <c r="AG37" i="2" s="1"/>
  <c r="AG20" i="2" a="1"/>
  <c r="AG20" i="2" s="1"/>
  <c r="AG10" i="2" a="1"/>
  <c r="AG10" i="2" s="1"/>
  <c r="AG55" i="2" a="1"/>
  <c r="AG55" i="2" s="1"/>
  <c r="AG30" i="2" a="1"/>
  <c r="AG30" i="2" s="1"/>
  <c r="AG27" i="2" a="1"/>
  <c r="AG27" i="2" s="1"/>
  <c r="AG35" i="2" a="1"/>
  <c r="AG35" i="2" s="1"/>
  <c r="AG34" i="2" a="1"/>
  <c r="AG34" i="2" s="1"/>
  <c r="AG47" i="2" a="1"/>
  <c r="AG47" i="2" s="1"/>
  <c r="AG43" i="2" a="1"/>
  <c r="AG43" i="2" s="1"/>
  <c r="AG23" i="2" a="1"/>
  <c r="AG23" i="2" s="1"/>
  <c r="AG24" i="2" a="1"/>
  <c r="AG24" i="2" s="1"/>
  <c r="AG25" i="2" a="1"/>
  <c r="AG25" i="2" s="1"/>
  <c r="AG17" i="2" a="1"/>
  <c r="AG17" i="2" s="1"/>
  <c r="AG71" i="2" a="1"/>
  <c r="AG71" i="2" s="1"/>
  <c r="AG53" i="2" a="1"/>
  <c r="AG53" i="2" s="1"/>
  <c r="AG45" i="2" a="1"/>
  <c r="AG45" i="2" s="1"/>
  <c r="AG16" i="2" a="1"/>
  <c r="AG16" i="2" s="1"/>
  <c r="AG22" i="2" a="1"/>
  <c r="AG22" i="2" s="1"/>
  <c r="AG9" i="2" a="1"/>
  <c r="AG9" i="2" s="1"/>
  <c r="AG44" i="2" a="1"/>
  <c r="AG44" i="2" s="1"/>
  <c r="AG18" i="2" a="1"/>
  <c r="AG18" i="2" s="1"/>
  <c r="AG21" i="2" a="1"/>
  <c r="AG21" i="2" s="1"/>
  <c r="AG14" i="2" a="1"/>
  <c r="AG14" i="2" s="1"/>
  <c r="AG7" i="2" a="1"/>
  <c r="AG7" i="2" s="1"/>
  <c r="AG13" i="2" a="1"/>
  <c r="AG13" i="2" s="1"/>
  <c r="AG8" i="2" a="1"/>
  <c r="AG8" i="2" s="1"/>
  <c r="AG12" i="2" a="1"/>
  <c r="AG12" i="2" s="1"/>
  <c r="AG5" i="2" a="1"/>
  <c r="AG5" i="2" s="1"/>
  <c r="AG6" i="2" a="1"/>
  <c r="AG6" i="2" s="1"/>
  <c r="AG11" i="2" a="1"/>
  <c r="AG11" i="2" s="1"/>
  <c r="AG7" i="3"/>
  <c r="G3328" i="6"/>
  <c r="G3327" i="6"/>
  <c r="G3326" i="6"/>
  <c r="G3325" i="6"/>
  <c r="G3324" i="6"/>
  <c r="G3323" i="6"/>
  <c r="G3322" i="6"/>
  <c r="G3321" i="6"/>
  <c r="G3320" i="6"/>
  <c r="G3319" i="6"/>
  <c r="G3318" i="6"/>
  <c r="G3317" i="6"/>
  <c r="G3316" i="6"/>
  <c r="G3315" i="6"/>
  <c r="G3314" i="6"/>
  <c r="G3313" i="6"/>
  <c r="G3312" i="6"/>
  <c r="G3311" i="6"/>
  <c r="G3310" i="6"/>
  <c r="G3309" i="6"/>
  <c r="G3308" i="6"/>
  <c r="G3307" i="6"/>
  <c r="G3306" i="6"/>
  <c r="G3305" i="6"/>
  <c r="G3304" i="6"/>
  <c r="G3303" i="6"/>
  <c r="G3302" i="6"/>
  <c r="G3301" i="6"/>
  <c r="G3300" i="6"/>
  <c r="G3299" i="6"/>
  <c r="G3298" i="6"/>
  <c r="G3297" i="6"/>
  <c r="G3296" i="6"/>
  <c r="G3295" i="6"/>
  <c r="G3294" i="6"/>
  <c r="G3293" i="6"/>
  <c r="G3292" i="6"/>
  <c r="G3291" i="6"/>
  <c r="G3290" i="6"/>
  <c r="G3289" i="6"/>
  <c r="G3288" i="6"/>
  <c r="G3287" i="6"/>
  <c r="G3286" i="6"/>
  <c r="G3285" i="6"/>
  <c r="G3284" i="6"/>
  <c r="G3283" i="6"/>
  <c r="G3282" i="6"/>
  <c r="G3281" i="6"/>
  <c r="G3280" i="6"/>
  <c r="G3279" i="6"/>
  <c r="G3278" i="6"/>
  <c r="G3277" i="6"/>
  <c r="G3276" i="6"/>
  <c r="G3275" i="6"/>
  <c r="G3274" i="6"/>
  <c r="G3273" i="6"/>
  <c r="G3272" i="6"/>
  <c r="G3271" i="6"/>
  <c r="G3270" i="6"/>
  <c r="G3269" i="6"/>
  <c r="G3268" i="6"/>
  <c r="G3267" i="6"/>
  <c r="G3266" i="6"/>
  <c r="G3265" i="6"/>
  <c r="G3264" i="6"/>
  <c r="G3263" i="6"/>
  <c r="G3262" i="6"/>
  <c r="G3261" i="6"/>
  <c r="G3260" i="6"/>
  <c r="G3259" i="6"/>
  <c r="G3258" i="6"/>
  <c r="G3257" i="6"/>
  <c r="G3256" i="6"/>
  <c r="G3255" i="6"/>
  <c r="G3254" i="6"/>
  <c r="G3253" i="6"/>
  <c r="G3252" i="6"/>
  <c r="G3251" i="6"/>
  <c r="G3250" i="6"/>
  <c r="G3249" i="6"/>
  <c r="G3248" i="6"/>
  <c r="G3247" i="6"/>
  <c r="G3246" i="6"/>
  <c r="G3245" i="6"/>
  <c r="G3244" i="6"/>
  <c r="G3243" i="6"/>
  <c r="G3242" i="6"/>
  <c r="G3241" i="6"/>
  <c r="G3240" i="6"/>
  <c r="G3239" i="6"/>
  <c r="G3238" i="6"/>
  <c r="G3237" i="6"/>
  <c r="G3236" i="6"/>
  <c r="G3235" i="6"/>
  <c r="G3234" i="6"/>
  <c r="G3233" i="6"/>
  <c r="G3232" i="6"/>
  <c r="G3231" i="6"/>
  <c r="G3230" i="6"/>
  <c r="G3229" i="6"/>
  <c r="G3228" i="6"/>
  <c r="G3227" i="6"/>
  <c r="G3226" i="6"/>
  <c r="G3225" i="6"/>
  <c r="G3224" i="6"/>
  <c r="G3223" i="6"/>
  <c r="G3222" i="6"/>
  <c r="G3221" i="6"/>
  <c r="G3220" i="6"/>
  <c r="G3219" i="6"/>
  <c r="G3218" i="6"/>
  <c r="G3217" i="6"/>
  <c r="G3216" i="6"/>
  <c r="G3215" i="6"/>
  <c r="G3214" i="6"/>
  <c r="G3213" i="6"/>
  <c r="G3212" i="6"/>
  <c r="G3211" i="6"/>
  <c r="G3210" i="6"/>
  <c r="G3209" i="6"/>
  <c r="G3208" i="6"/>
  <c r="G3207" i="6"/>
  <c r="G3206" i="6"/>
  <c r="G3205" i="6"/>
  <c r="G3204" i="6"/>
  <c r="G3203" i="6"/>
  <c r="G3202" i="6"/>
  <c r="G3201" i="6"/>
  <c r="G3200" i="6"/>
  <c r="G3199" i="6"/>
  <c r="G3198" i="6"/>
  <c r="G3197" i="6"/>
  <c r="G3196" i="6"/>
  <c r="G3195" i="6"/>
  <c r="G3194" i="6"/>
  <c r="G3193" i="6"/>
  <c r="G3192" i="6"/>
  <c r="G3191" i="6"/>
  <c r="G3190" i="6"/>
  <c r="G3189" i="6"/>
  <c r="G3188" i="6"/>
  <c r="G3187" i="6"/>
  <c r="G3186" i="6"/>
  <c r="G3185" i="6"/>
  <c r="G3184" i="6"/>
  <c r="G3183" i="6"/>
  <c r="G3182" i="6"/>
  <c r="G3181" i="6"/>
  <c r="G3180" i="6"/>
  <c r="G3179" i="6"/>
  <c r="G3178" i="6"/>
  <c r="G3177" i="6"/>
  <c r="G3176" i="6"/>
  <c r="G3175" i="6"/>
  <c r="G3174" i="6"/>
  <c r="G3173" i="6"/>
  <c r="G3172" i="6"/>
  <c r="G3171" i="6"/>
  <c r="G3170" i="6"/>
  <c r="G3169" i="6"/>
  <c r="G3168" i="6"/>
  <c r="G3167" i="6"/>
  <c r="G3166" i="6"/>
  <c r="G3165" i="6"/>
  <c r="G3164" i="6"/>
  <c r="G3163" i="6"/>
  <c r="G3162" i="6"/>
  <c r="G3161" i="6"/>
  <c r="G3160" i="6"/>
  <c r="G3159" i="6"/>
  <c r="G3158" i="6"/>
  <c r="G3157" i="6"/>
  <c r="G3156" i="6"/>
  <c r="G3155" i="6"/>
  <c r="G3154" i="6"/>
  <c r="G3153" i="6"/>
  <c r="G3152" i="6"/>
  <c r="G3151" i="6"/>
  <c r="G3150" i="6"/>
  <c r="G3149" i="6"/>
  <c r="G3148" i="6"/>
  <c r="G3147" i="6"/>
  <c r="G3146" i="6"/>
  <c r="G3145" i="6"/>
  <c r="G3144" i="6"/>
  <c r="G3143" i="6"/>
  <c r="G3142" i="6"/>
  <c r="G3141" i="6"/>
  <c r="G3140" i="6"/>
  <c r="G3139" i="6"/>
  <c r="G3138" i="6"/>
  <c r="G3137" i="6"/>
  <c r="G3136" i="6"/>
  <c r="G3135" i="6"/>
  <c r="G3134" i="6"/>
  <c r="G3133" i="6"/>
  <c r="G3132" i="6"/>
  <c r="G3131" i="6"/>
  <c r="G3130" i="6"/>
  <c r="G3129" i="6"/>
  <c r="G3128" i="6"/>
  <c r="G3127" i="6"/>
  <c r="G3126" i="6"/>
  <c r="G3125" i="6"/>
  <c r="G3124" i="6"/>
  <c r="G3123" i="6"/>
  <c r="G3122" i="6"/>
  <c r="G3121" i="6"/>
  <c r="G3120" i="6"/>
  <c r="G3119" i="6"/>
  <c r="G3118" i="6"/>
  <c r="G3117" i="6"/>
  <c r="G3116" i="6"/>
  <c r="G3115" i="6"/>
  <c r="G3114" i="6"/>
  <c r="G3113" i="6"/>
  <c r="G3112" i="6"/>
  <c r="G3111" i="6"/>
  <c r="G3110" i="6"/>
  <c r="G3109" i="6"/>
  <c r="G3108" i="6"/>
  <c r="G3107" i="6"/>
  <c r="G3106" i="6"/>
  <c r="G3105" i="6"/>
  <c r="G3104" i="6"/>
  <c r="G3103" i="6"/>
  <c r="G3102" i="6"/>
  <c r="G3101" i="6"/>
  <c r="G3100" i="6"/>
  <c r="G3099" i="6"/>
  <c r="G3098" i="6"/>
  <c r="G3097" i="6"/>
  <c r="G3096" i="6"/>
  <c r="G3095" i="6"/>
  <c r="G3094" i="6"/>
  <c r="G3093" i="6"/>
  <c r="G3092" i="6"/>
  <c r="G3091" i="6"/>
  <c r="G3090" i="6"/>
  <c r="G3089" i="6"/>
  <c r="G3088" i="6"/>
  <c r="G3087" i="6"/>
  <c r="G3086" i="6"/>
  <c r="G3085" i="6"/>
  <c r="G3084" i="6"/>
  <c r="G3083" i="6"/>
  <c r="G3082" i="6"/>
  <c r="G3081" i="6"/>
  <c r="G3080" i="6"/>
  <c r="G3079" i="6"/>
  <c r="G3078" i="6"/>
  <c r="G3077" i="6"/>
  <c r="G3076" i="6"/>
  <c r="G3075" i="6"/>
  <c r="G3074" i="6"/>
  <c r="G3073" i="6"/>
  <c r="G3072" i="6"/>
  <c r="G3071" i="6"/>
  <c r="G3070" i="6"/>
  <c r="G3069" i="6"/>
  <c r="G3068" i="6"/>
  <c r="G3067" i="6"/>
  <c r="G3066" i="6"/>
  <c r="G3065" i="6"/>
  <c r="G3064" i="6"/>
  <c r="G3063" i="6"/>
  <c r="G3062" i="6"/>
  <c r="G3061" i="6"/>
  <c r="G3060" i="6"/>
  <c r="G3059" i="6"/>
  <c r="G3058" i="6"/>
  <c r="G3057" i="6"/>
  <c r="G3056" i="6"/>
  <c r="G3055" i="6"/>
  <c r="G3054" i="6"/>
  <c r="G3053" i="6"/>
  <c r="G3052" i="6"/>
  <c r="G3051" i="6"/>
  <c r="G3050" i="6"/>
  <c r="G3049" i="6"/>
  <c r="G3048" i="6"/>
  <c r="G3047" i="6"/>
  <c r="G3046" i="6"/>
  <c r="G3045" i="6"/>
  <c r="G3044" i="6"/>
  <c r="G3043" i="6"/>
  <c r="G3042" i="6"/>
  <c r="G3041" i="6"/>
  <c r="G3040" i="6"/>
  <c r="G3039" i="6"/>
  <c r="G3038" i="6"/>
  <c r="G3037" i="6"/>
  <c r="G3036" i="6"/>
  <c r="G3035" i="6"/>
  <c r="G3034" i="6"/>
  <c r="G3033" i="6"/>
  <c r="G3032" i="6"/>
  <c r="G3031" i="6"/>
  <c r="G3030" i="6"/>
  <c r="G3029" i="6"/>
  <c r="G3028" i="6"/>
  <c r="G3027" i="6"/>
  <c r="G3026" i="6"/>
  <c r="G3025" i="6"/>
  <c r="G3024" i="6"/>
  <c r="G3023" i="6"/>
  <c r="G3022" i="6"/>
  <c r="G3021" i="6"/>
  <c r="G3020" i="6"/>
  <c r="G3019" i="6"/>
  <c r="G3018" i="6"/>
  <c r="G3017" i="6"/>
  <c r="G3016" i="6"/>
  <c r="G3015" i="6"/>
  <c r="G3014" i="6"/>
  <c r="G3013" i="6"/>
  <c r="G3012" i="6"/>
  <c r="G3011" i="6"/>
  <c r="G3010" i="6"/>
  <c r="G3009" i="6"/>
  <c r="G3008" i="6"/>
  <c r="G3007" i="6"/>
  <c r="G3006" i="6"/>
  <c r="G3005" i="6"/>
  <c r="G3004" i="6"/>
  <c r="G3003" i="6"/>
  <c r="G3002" i="6"/>
  <c r="G3001" i="6"/>
  <c r="G3000" i="6"/>
  <c r="G2999" i="6"/>
  <c r="G2998" i="6"/>
  <c r="G2997" i="6"/>
  <c r="G2996" i="6"/>
  <c r="G2995" i="6"/>
  <c r="G2994" i="6"/>
  <c r="G2993" i="6"/>
  <c r="G2992" i="6"/>
  <c r="G2991" i="6"/>
  <c r="G2990" i="6"/>
  <c r="G2989" i="6"/>
  <c r="G2988" i="6"/>
  <c r="G2987" i="6"/>
  <c r="G2986" i="6"/>
  <c r="G2985" i="6"/>
  <c r="G2984" i="6"/>
  <c r="G2983" i="6"/>
  <c r="G2982" i="6"/>
  <c r="G2981" i="6"/>
  <c r="G2980" i="6"/>
  <c r="G2979" i="6"/>
  <c r="G2978" i="6"/>
  <c r="G2977" i="6"/>
  <c r="G2976" i="6"/>
  <c r="G2975" i="6"/>
  <c r="G2974" i="6"/>
  <c r="G2973" i="6"/>
  <c r="G2972" i="6"/>
  <c r="G2971" i="6"/>
  <c r="G2970" i="6"/>
  <c r="G2969" i="6"/>
  <c r="G2968" i="6"/>
  <c r="G2967" i="6"/>
  <c r="G2966" i="6"/>
  <c r="G2965" i="6"/>
  <c r="G2964" i="6"/>
  <c r="G2963" i="6"/>
  <c r="G2962" i="6"/>
  <c r="G2961" i="6"/>
  <c r="G2960" i="6"/>
  <c r="G2959" i="6"/>
  <c r="G2958" i="6"/>
  <c r="G2957" i="6"/>
  <c r="G2956" i="6"/>
  <c r="G2955" i="6"/>
  <c r="G2954" i="6"/>
  <c r="G2953" i="6"/>
  <c r="G2952" i="6"/>
  <c r="G2951" i="6"/>
  <c r="G2950" i="6"/>
  <c r="G2949" i="6"/>
  <c r="G2948" i="6"/>
  <c r="G2947" i="6"/>
  <c r="G2946" i="6"/>
  <c r="G2945" i="6"/>
  <c r="G2944" i="6"/>
  <c r="G2943" i="6"/>
  <c r="G2942" i="6"/>
  <c r="G2941" i="6"/>
  <c r="G2940" i="6"/>
  <c r="G2939" i="6"/>
  <c r="G2938" i="6"/>
  <c r="G2937" i="6"/>
  <c r="G2936" i="6"/>
  <c r="G2935" i="6"/>
  <c r="G2934" i="6"/>
  <c r="G2933" i="6"/>
  <c r="G2932" i="6"/>
  <c r="G2931" i="6"/>
  <c r="G2930" i="6"/>
  <c r="G2929" i="6"/>
  <c r="G2928" i="6"/>
  <c r="G2927" i="6"/>
  <c r="G2926" i="6"/>
  <c r="G2925" i="6"/>
  <c r="G2924" i="6"/>
  <c r="G2923" i="6"/>
  <c r="G2922" i="6"/>
  <c r="G2921" i="6"/>
  <c r="G2920" i="6"/>
  <c r="G2919" i="6"/>
  <c r="G2918" i="6"/>
  <c r="G2917" i="6"/>
  <c r="G2916" i="6"/>
  <c r="G2915" i="6"/>
  <c r="G2914" i="6"/>
  <c r="G2913" i="6"/>
  <c r="G2912" i="6"/>
  <c r="G2911" i="6"/>
  <c r="G2910" i="6"/>
  <c r="G2909" i="6"/>
  <c r="G2908" i="6"/>
  <c r="G2907" i="6"/>
  <c r="G2906" i="6"/>
  <c r="G2905" i="6"/>
  <c r="G2904" i="6"/>
  <c r="G2903" i="6"/>
  <c r="G2902" i="6"/>
  <c r="G2901" i="6"/>
  <c r="G2900" i="6"/>
  <c r="G2899" i="6"/>
  <c r="G2898" i="6"/>
  <c r="G2897" i="6"/>
  <c r="G2896" i="6"/>
  <c r="G2895" i="6"/>
  <c r="G2894" i="6"/>
  <c r="G2893" i="6"/>
  <c r="G2892" i="6"/>
  <c r="G2891" i="6"/>
  <c r="G2890" i="6"/>
  <c r="G2889" i="6"/>
  <c r="G2888" i="6"/>
  <c r="G2887" i="6"/>
  <c r="G2886" i="6"/>
  <c r="G2885" i="6"/>
  <c r="G2884" i="6"/>
  <c r="G2883" i="6"/>
  <c r="G2882" i="6"/>
  <c r="G2881" i="6"/>
  <c r="G2880" i="6"/>
  <c r="G2879" i="6"/>
  <c r="G2878" i="6"/>
  <c r="G2877" i="6"/>
  <c r="G2876" i="6"/>
  <c r="G2875" i="6"/>
  <c r="G2874" i="6"/>
  <c r="G2873" i="6"/>
  <c r="G2872" i="6"/>
  <c r="G2871" i="6"/>
  <c r="G2870" i="6"/>
  <c r="G2869" i="6"/>
  <c r="G2868" i="6"/>
  <c r="G2867" i="6"/>
  <c r="G2866" i="6"/>
  <c r="G2865" i="6"/>
  <c r="G2864" i="6"/>
  <c r="G2863" i="6"/>
  <c r="G2862" i="6"/>
  <c r="G2861" i="6"/>
  <c r="G2860" i="6"/>
  <c r="G2859" i="6"/>
  <c r="G2858" i="6"/>
  <c r="G2857" i="6"/>
  <c r="G2856" i="6"/>
  <c r="G2855" i="6"/>
  <c r="G2854" i="6"/>
  <c r="G2853" i="6"/>
  <c r="G2852" i="6"/>
  <c r="G2851" i="6"/>
  <c r="G2850" i="6"/>
  <c r="G2849" i="6"/>
  <c r="G2848" i="6"/>
  <c r="G2847" i="6"/>
  <c r="G2846" i="6"/>
  <c r="G2845" i="6"/>
  <c r="G2844" i="6"/>
  <c r="G2843" i="6"/>
  <c r="G2842" i="6"/>
  <c r="G2841" i="6"/>
  <c r="G2840" i="6"/>
  <c r="G2839" i="6"/>
  <c r="G2838" i="6"/>
  <c r="G2837" i="6"/>
  <c r="G2836" i="6"/>
  <c r="G2835" i="6"/>
  <c r="G2834" i="6"/>
  <c r="G2833" i="6"/>
  <c r="G2832" i="6"/>
  <c r="G2831" i="6"/>
  <c r="G2830" i="6"/>
  <c r="G2829" i="6"/>
  <c r="G2828" i="6"/>
  <c r="G2827" i="6"/>
  <c r="G2826" i="6"/>
  <c r="G2825" i="6"/>
  <c r="G2824" i="6"/>
  <c r="G2823" i="6"/>
  <c r="G2822" i="6"/>
  <c r="G2821" i="6"/>
  <c r="G2820" i="6"/>
  <c r="G2819" i="6"/>
  <c r="G2818" i="6"/>
  <c r="G2817" i="6"/>
  <c r="G2816" i="6"/>
  <c r="G2815" i="6"/>
  <c r="G2814" i="6"/>
  <c r="G2813" i="6"/>
  <c r="G2812" i="6"/>
  <c r="G2811" i="6"/>
  <c r="G2810" i="6"/>
  <c r="G2809" i="6"/>
  <c r="G2808" i="6"/>
  <c r="G2807" i="6"/>
  <c r="G2806" i="6"/>
  <c r="G2805" i="6"/>
  <c r="G2804" i="6"/>
  <c r="G2803" i="6"/>
  <c r="G2802" i="6"/>
  <c r="G2801" i="6"/>
  <c r="G2800" i="6"/>
  <c r="G2799" i="6"/>
  <c r="G2798" i="6"/>
  <c r="G2797" i="6"/>
  <c r="G2796" i="6"/>
  <c r="G2795" i="6"/>
  <c r="G2794" i="6"/>
  <c r="G2793" i="6"/>
  <c r="G2792" i="6"/>
  <c r="G2791" i="6"/>
  <c r="G2790" i="6"/>
  <c r="G2789" i="6"/>
  <c r="G2788" i="6"/>
  <c r="G2787" i="6"/>
  <c r="G2786" i="6"/>
  <c r="G2785" i="6"/>
  <c r="G2784" i="6"/>
  <c r="G2783" i="6"/>
  <c r="G2782" i="6"/>
  <c r="G2781" i="6"/>
  <c r="G2780" i="6"/>
  <c r="G2779" i="6"/>
  <c r="G2778" i="6"/>
  <c r="G2777" i="6"/>
  <c r="G2776" i="6"/>
  <c r="G2775" i="6"/>
  <c r="G2774" i="6"/>
  <c r="G2773" i="6"/>
  <c r="G2772" i="6"/>
  <c r="G2771" i="6"/>
  <c r="G2770" i="6"/>
  <c r="G2769" i="6"/>
  <c r="G2768" i="6"/>
  <c r="G2767" i="6"/>
  <c r="G2766" i="6"/>
  <c r="G2765" i="6"/>
  <c r="G2764" i="6"/>
  <c r="G2763" i="6"/>
  <c r="G2762" i="6"/>
  <c r="G2761" i="6"/>
  <c r="G2760" i="6"/>
  <c r="G2759" i="6"/>
  <c r="G2758" i="6"/>
  <c r="G2757" i="6"/>
  <c r="G2756" i="6"/>
  <c r="G2755" i="6"/>
  <c r="G2754" i="6"/>
  <c r="G2753" i="6"/>
  <c r="G2752" i="6"/>
  <c r="G2751" i="6"/>
  <c r="G2750" i="6"/>
  <c r="G2749" i="6"/>
  <c r="G2748" i="6"/>
  <c r="G2747" i="6"/>
  <c r="G2746" i="6"/>
  <c r="G2745" i="6"/>
  <c r="G2744" i="6"/>
  <c r="G2743" i="6"/>
  <c r="G2742" i="6"/>
  <c r="G2741" i="6"/>
  <c r="G2740" i="6"/>
  <c r="G2739" i="6"/>
  <c r="G2738" i="6"/>
  <c r="G2737" i="6"/>
  <c r="G2736" i="6"/>
  <c r="G2735" i="6"/>
  <c r="G2734" i="6"/>
  <c r="G2733" i="6"/>
  <c r="G2732" i="6"/>
  <c r="G2731" i="6"/>
  <c r="G2730" i="6"/>
  <c r="G2729" i="6"/>
  <c r="G2728" i="6"/>
  <c r="G2727" i="6"/>
  <c r="G2726" i="6"/>
  <c r="G2725" i="6"/>
  <c r="G2724" i="6"/>
  <c r="G2723" i="6"/>
  <c r="G2722" i="6"/>
  <c r="G2721" i="6"/>
  <c r="G2720" i="6"/>
  <c r="G2719" i="6"/>
  <c r="G2718" i="6"/>
  <c r="G2717" i="6"/>
  <c r="G2716" i="6"/>
  <c r="G2715" i="6"/>
  <c r="G2714" i="6"/>
  <c r="G2713" i="6"/>
  <c r="G2712" i="6"/>
  <c r="G2711" i="6"/>
  <c r="G2710" i="6"/>
  <c r="G2709" i="6"/>
  <c r="G2708" i="6"/>
  <c r="G2707" i="6"/>
  <c r="G2706" i="6"/>
  <c r="G2705" i="6"/>
  <c r="G2704" i="6"/>
  <c r="G2703" i="6"/>
  <c r="G2702" i="6"/>
  <c r="G2701" i="6"/>
  <c r="G2700" i="6"/>
  <c r="G2699" i="6"/>
  <c r="G2698" i="6"/>
  <c r="G2697" i="6"/>
  <c r="G2696" i="6"/>
  <c r="G2695" i="6"/>
  <c r="G2694" i="6"/>
  <c r="G2693" i="6"/>
  <c r="G2692" i="6"/>
  <c r="G2691" i="6"/>
  <c r="G2690" i="6"/>
  <c r="G2689" i="6"/>
  <c r="G2688" i="6"/>
  <c r="G2687" i="6"/>
  <c r="G2686" i="6"/>
  <c r="G2685" i="6"/>
  <c r="G2684" i="6"/>
  <c r="G2683" i="6"/>
  <c r="G2682" i="6"/>
  <c r="G2681" i="6"/>
  <c r="G2680" i="6"/>
  <c r="G2679" i="6"/>
  <c r="G2678" i="6"/>
  <c r="G2677" i="6"/>
  <c r="G2676" i="6"/>
  <c r="G2675" i="6"/>
  <c r="G2674" i="6"/>
  <c r="G2673" i="6"/>
  <c r="G2672" i="6"/>
  <c r="G2671" i="6"/>
  <c r="G2670" i="6"/>
  <c r="G2669" i="6"/>
  <c r="G2668" i="6"/>
  <c r="G2667" i="6"/>
  <c r="G2666" i="6"/>
  <c r="G2665" i="6"/>
  <c r="G2664" i="6"/>
  <c r="G2663" i="6"/>
  <c r="G2662" i="6"/>
  <c r="G2661" i="6"/>
  <c r="G2660" i="6"/>
  <c r="G2659" i="6"/>
  <c r="G2658" i="6"/>
  <c r="G2657" i="6"/>
  <c r="G2656" i="6"/>
  <c r="G2655" i="6"/>
  <c r="G2654" i="6"/>
  <c r="G2653" i="6"/>
  <c r="G2652" i="6"/>
  <c r="G2651" i="6"/>
  <c r="G2650" i="6"/>
  <c r="G2649" i="6"/>
  <c r="G2648" i="6"/>
  <c r="G2647" i="6"/>
  <c r="G2646" i="6"/>
  <c r="G2645" i="6"/>
  <c r="G2644" i="6"/>
  <c r="G2643" i="6"/>
  <c r="G2642" i="6"/>
  <c r="G2641" i="6"/>
  <c r="G2640" i="6"/>
  <c r="G2639" i="6"/>
  <c r="G2638" i="6"/>
  <c r="G2637" i="6"/>
  <c r="G2636" i="6"/>
  <c r="G2635" i="6"/>
  <c r="G2634" i="6"/>
  <c r="G2633" i="6"/>
  <c r="G2632" i="6"/>
  <c r="G2631" i="6"/>
  <c r="G2630" i="6"/>
  <c r="G2629" i="6"/>
  <c r="G2628" i="6"/>
  <c r="G2627" i="6"/>
  <c r="G2626" i="6"/>
  <c r="G2625" i="6"/>
  <c r="G2624" i="6"/>
  <c r="G2623" i="6"/>
  <c r="G2622" i="6"/>
  <c r="G2621" i="6"/>
  <c r="G2620" i="6"/>
  <c r="G2619" i="6"/>
  <c r="G2618" i="6"/>
  <c r="G2617" i="6"/>
  <c r="G2616" i="6"/>
  <c r="G2615" i="6"/>
  <c r="G2614" i="6"/>
  <c r="G2613" i="6"/>
  <c r="G2612" i="6"/>
  <c r="G2611" i="6"/>
  <c r="G2610" i="6"/>
  <c r="G2609" i="6"/>
  <c r="G2608" i="6"/>
  <c r="G2607" i="6"/>
  <c r="G2606" i="6"/>
  <c r="G2605" i="6"/>
  <c r="G2604" i="6"/>
  <c r="G2603" i="6"/>
  <c r="G2602" i="6"/>
  <c r="G2601" i="6"/>
  <c r="G2600" i="6"/>
  <c r="G2599" i="6"/>
  <c r="G2598" i="6"/>
  <c r="G2597" i="6"/>
  <c r="G2596" i="6"/>
  <c r="G2595" i="6"/>
  <c r="G2594" i="6"/>
  <c r="G2593" i="6"/>
  <c r="G2592" i="6"/>
  <c r="G2591" i="6"/>
  <c r="G2590" i="6"/>
  <c r="G2589" i="6"/>
  <c r="G2588" i="6"/>
  <c r="G2587" i="6"/>
  <c r="G2586" i="6"/>
  <c r="G2585" i="6"/>
  <c r="G2584" i="6"/>
  <c r="G2583" i="6"/>
  <c r="G2582" i="6"/>
  <c r="G2581" i="6"/>
  <c r="G2580" i="6"/>
  <c r="G2579" i="6"/>
  <c r="G2578" i="6"/>
  <c r="G2577" i="6"/>
  <c r="G2576" i="6"/>
  <c r="G2575" i="6"/>
  <c r="G2574" i="6"/>
  <c r="G2573" i="6"/>
  <c r="G2572" i="6"/>
  <c r="G2571" i="6"/>
  <c r="G2570" i="6"/>
  <c r="G2569" i="6"/>
  <c r="G2568" i="6"/>
  <c r="G2567" i="6"/>
  <c r="G2566" i="6"/>
  <c r="G2565" i="6"/>
  <c r="G2564" i="6"/>
  <c r="G2563" i="6"/>
  <c r="G2562" i="6"/>
  <c r="G2561" i="6"/>
  <c r="G2560" i="6"/>
  <c r="G2559" i="6"/>
  <c r="G2558" i="6"/>
  <c r="G2557" i="6"/>
  <c r="G2556" i="6"/>
  <c r="G2555" i="6"/>
  <c r="G2554" i="6"/>
  <c r="G2553" i="6"/>
  <c r="G2552" i="6"/>
  <c r="G2551" i="6"/>
  <c r="G2550" i="6"/>
  <c r="G2549" i="6"/>
  <c r="G2548" i="6"/>
  <c r="G2547" i="6"/>
  <c r="G2546" i="6"/>
  <c r="G2545" i="6"/>
  <c r="G2544" i="6"/>
  <c r="G2543" i="6"/>
  <c r="G2542" i="6"/>
  <c r="G2541" i="6"/>
  <c r="G2540" i="6"/>
  <c r="G2539" i="6"/>
  <c r="G2538" i="6"/>
  <c r="G2537" i="6"/>
  <c r="G2536" i="6"/>
  <c r="G2535" i="6"/>
  <c r="G2534" i="6"/>
  <c r="G2533" i="6"/>
  <c r="G2532" i="6"/>
  <c r="G2531" i="6"/>
  <c r="G2530" i="6"/>
  <c r="G2529" i="6"/>
  <c r="G2528" i="6"/>
  <c r="G2527" i="6"/>
  <c r="G2526" i="6"/>
  <c r="G2525" i="6"/>
  <c r="G2524" i="6"/>
  <c r="G2523" i="6"/>
  <c r="G2522" i="6"/>
  <c r="G2521" i="6"/>
  <c r="G2520" i="6"/>
  <c r="G2519" i="6"/>
  <c r="G2518" i="6"/>
  <c r="G2517" i="6"/>
  <c r="G2516" i="6"/>
  <c r="G2515" i="6"/>
  <c r="G2514" i="6"/>
  <c r="G2513" i="6"/>
  <c r="G2512" i="6"/>
  <c r="G2511" i="6"/>
  <c r="G2510" i="6"/>
  <c r="G2509" i="6"/>
  <c r="G2508" i="6"/>
  <c r="G2507" i="6"/>
  <c r="G2506" i="6"/>
  <c r="G2505" i="6"/>
  <c r="G2504" i="6"/>
  <c r="G2503" i="6"/>
  <c r="G2502" i="6"/>
  <c r="G2501" i="6"/>
  <c r="G2500" i="6"/>
  <c r="G2499" i="6"/>
  <c r="G2498" i="6"/>
  <c r="G2497" i="6"/>
  <c r="G2496" i="6"/>
  <c r="G2495" i="6"/>
  <c r="G2494" i="6"/>
  <c r="G2493" i="6"/>
  <c r="G2492" i="6"/>
  <c r="G2491" i="6"/>
  <c r="G2490" i="6"/>
  <c r="G2489" i="6"/>
  <c r="G2488" i="6"/>
  <c r="G2487" i="6"/>
  <c r="G2486" i="6"/>
  <c r="G2485" i="6"/>
  <c r="G2484" i="6"/>
  <c r="G2483" i="6"/>
  <c r="G2482" i="6"/>
  <c r="G2481" i="6"/>
  <c r="G2480" i="6"/>
  <c r="G2479" i="6"/>
  <c r="G2478" i="6"/>
  <c r="G2477" i="6"/>
  <c r="G2476" i="6"/>
  <c r="G2475" i="6"/>
  <c r="G2474" i="6"/>
  <c r="G2473" i="6"/>
  <c r="G2472" i="6"/>
  <c r="G2471" i="6"/>
  <c r="G2470" i="6"/>
  <c r="G2469" i="6"/>
  <c r="G2468" i="6"/>
  <c r="G2467" i="6"/>
  <c r="G2466" i="6"/>
  <c r="G2465" i="6"/>
  <c r="G2464" i="6"/>
  <c r="G2463" i="6"/>
  <c r="G2462" i="6"/>
  <c r="G2461" i="6"/>
  <c r="G2460" i="6"/>
  <c r="G2459" i="6"/>
  <c r="G2458" i="6"/>
  <c r="G2457" i="6"/>
  <c r="G2456" i="6"/>
  <c r="G2455" i="6"/>
  <c r="G2454" i="6"/>
  <c r="G2453" i="6"/>
  <c r="G2452" i="6"/>
  <c r="G2451" i="6"/>
  <c r="G2450" i="6"/>
  <c r="G2449" i="6"/>
  <c r="G2448" i="6"/>
  <c r="G2447" i="6"/>
  <c r="G2446" i="6"/>
  <c r="G2445" i="6"/>
  <c r="G2444" i="6"/>
  <c r="G2443" i="6"/>
  <c r="G2442" i="6"/>
  <c r="G2441" i="6"/>
  <c r="G2440" i="6"/>
  <c r="G2439" i="6"/>
  <c r="G2438" i="6"/>
  <c r="G2437" i="6"/>
  <c r="G2436" i="6"/>
  <c r="G2435" i="6"/>
  <c r="G2434" i="6"/>
  <c r="G2433" i="6"/>
  <c r="G2432" i="6"/>
  <c r="G2431" i="6"/>
  <c r="G2430" i="6"/>
  <c r="G2429" i="6"/>
  <c r="G2428" i="6"/>
  <c r="G2427" i="6"/>
  <c r="G2426" i="6"/>
  <c r="G2425" i="6"/>
  <c r="G2424" i="6"/>
  <c r="G2423" i="6"/>
  <c r="G2422" i="6"/>
  <c r="G2421" i="6"/>
  <c r="G2420" i="6"/>
  <c r="G2419" i="6"/>
  <c r="G2418" i="6"/>
  <c r="G2417" i="6"/>
  <c r="G2416" i="6"/>
  <c r="G2415" i="6"/>
  <c r="G2414" i="6"/>
  <c r="G2413" i="6"/>
  <c r="G2412" i="6"/>
  <c r="G2411" i="6"/>
  <c r="G2410" i="6"/>
  <c r="G2409" i="6"/>
  <c r="G2408" i="6"/>
  <c r="G2407" i="6"/>
  <c r="G2406" i="6"/>
  <c r="G2405" i="6"/>
  <c r="G2404" i="6"/>
  <c r="G2403" i="6"/>
  <c r="G2402" i="6"/>
  <c r="G2401" i="6"/>
  <c r="G2400" i="6"/>
  <c r="G2399" i="6"/>
  <c r="G2398" i="6"/>
  <c r="G2397" i="6"/>
  <c r="G2396" i="6"/>
  <c r="G2395" i="6"/>
  <c r="G2394" i="6"/>
  <c r="G2393" i="6"/>
  <c r="G2392" i="6"/>
  <c r="G2391" i="6"/>
  <c r="G2390" i="6"/>
  <c r="G2389" i="6"/>
  <c r="G2388" i="6"/>
  <c r="G2387" i="6"/>
  <c r="G2386" i="6"/>
  <c r="G2385" i="6"/>
  <c r="G2384" i="6"/>
  <c r="G2383" i="6"/>
  <c r="G2382" i="6"/>
  <c r="G2381" i="6"/>
  <c r="G2380" i="6"/>
  <c r="G2379" i="6"/>
  <c r="G2378" i="6"/>
  <c r="G2377" i="6"/>
  <c r="G2376" i="6"/>
  <c r="G2375" i="6"/>
  <c r="G2374" i="6"/>
  <c r="G2373" i="6"/>
  <c r="G2372" i="6"/>
  <c r="G2371" i="6"/>
  <c r="G2370" i="6"/>
  <c r="G2369" i="6"/>
  <c r="G2368" i="6"/>
  <c r="G2367" i="6"/>
  <c r="G2366" i="6"/>
  <c r="G2365" i="6"/>
  <c r="G2364" i="6"/>
  <c r="G2363" i="6"/>
  <c r="G2362" i="6"/>
  <c r="G2361" i="6"/>
  <c r="G2360" i="6"/>
  <c r="G2359" i="6"/>
  <c r="G2358" i="6"/>
  <c r="G2357" i="6"/>
  <c r="G2356" i="6"/>
  <c r="G2355" i="6"/>
  <c r="G2354" i="6"/>
  <c r="G2353" i="6"/>
  <c r="G2352" i="6"/>
  <c r="G2351" i="6"/>
  <c r="G2350" i="6"/>
  <c r="G2349" i="6"/>
  <c r="G2348" i="6"/>
  <c r="G2347" i="6"/>
  <c r="G2346" i="6"/>
  <c r="G2345" i="6"/>
  <c r="G2344" i="6"/>
  <c r="G2343" i="6"/>
  <c r="G2342" i="6"/>
  <c r="G2341" i="6"/>
  <c r="G2340" i="6"/>
  <c r="G2339" i="6"/>
  <c r="G2338" i="6"/>
  <c r="G2337" i="6"/>
  <c r="G2336" i="6"/>
  <c r="G2335" i="6"/>
  <c r="G2334" i="6"/>
  <c r="G2333" i="6"/>
  <c r="G2332" i="6"/>
  <c r="G2331" i="6"/>
  <c r="G2330" i="6"/>
  <c r="G2329" i="6"/>
  <c r="G2328" i="6"/>
  <c r="G2327" i="6"/>
  <c r="G2326" i="6"/>
  <c r="G2325" i="6"/>
  <c r="G2324" i="6"/>
  <c r="G2323" i="6"/>
  <c r="G2322" i="6"/>
  <c r="G2321" i="6"/>
  <c r="G2320" i="6"/>
  <c r="G2319" i="6"/>
  <c r="G2318" i="6"/>
  <c r="G2317" i="6"/>
  <c r="G2316" i="6"/>
  <c r="G2315" i="6"/>
  <c r="G2314" i="6"/>
  <c r="G2313" i="6"/>
  <c r="G2312" i="6"/>
  <c r="G2311" i="6"/>
  <c r="G2310" i="6"/>
  <c r="G2309" i="6"/>
  <c r="G2308" i="6"/>
  <c r="G2307" i="6"/>
  <c r="G2306" i="6"/>
  <c r="G2305" i="6"/>
  <c r="G2304" i="6"/>
  <c r="G2303" i="6"/>
  <c r="G2302" i="6"/>
  <c r="G2301" i="6"/>
  <c r="G2300" i="6"/>
  <c r="G2299" i="6"/>
  <c r="G2298" i="6"/>
  <c r="G2297" i="6"/>
  <c r="G2296" i="6"/>
  <c r="G2295" i="6"/>
  <c r="G2294" i="6"/>
  <c r="G2293" i="6"/>
  <c r="G2292" i="6"/>
  <c r="G2291" i="6"/>
  <c r="G2290" i="6"/>
  <c r="G2289" i="6"/>
  <c r="G2288" i="6"/>
  <c r="G2287" i="6"/>
  <c r="G2286" i="6"/>
  <c r="G2285" i="6"/>
  <c r="G2284" i="6"/>
  <c r="G2283" i="6"/>
  <c r="G2282" i="6"/>
  <c r="G2281" i="6"/>
  <c r="G2280" i="6"/>
  <c r="G2279" i="6"/>
  <c r="G2278" i="6"/>
  <c r="G2277" i="6"/>
  <c r="G2276" i="6"/>
  <c r="G2275" i="6"/>
  <c r="G2274" i="6"/>
  <c r="G2273" i="6"/>
  <c r="G2272" i="6"/>
  <c r="G2271" i="6"/>
  <c r="G2270" i="6"/>
  <c r="G2269" i="6"/>
  <c r="G2268" i="6"/>
  <c r="G2267" i="6"/>
  <c r="G2266" i="6"/>
  <c r="G2265" i="6"/>
  <c r="G2264" i="6"/>
  <c r="G2263" i="6"/>
  <c r="G2262" i="6"/>
  <c r="G2261" i="6"/>
  <c r="G2260" i="6"/>
  <c r="G2259" i="6"/>
  <c r="G2258" i="6"/>
  <c r="G2257" i="6"/>
  <c r="G2256" i="6"/>
  <c r="G2255" i="6"/>
  <c r="G2254" i="6"/>
  <c r="G2253" i="6"/>
  <c r="G2252" i="6"/>
  <c r="G2251" i="6"/>
  <c r="G2250" i="6"/>
  <c r="G2249" i="6"/>
  <c r="G2248" i="6"/>
  <c r="G2247" i="6"/>
  <c r="G2246" i="6"/>
  <c r="G2245" i="6"/>
  <c r="G2244" i="6"/>
  <c r="G2243" i="6"/>
  <c r="G2242" i="6"/>
  <c r="G2241" i="6"/>
  <c r="G2240" i="6"/>
  <c r="G2239" i="6"/>
  <c r="G2238" i="6"/>
  <c r="G2237" i="6"/>
  <c r="G2236" i="6"/>
  <c r="G2235" i="6"/>
  <c r="G2234" i="6"/>
  <c r="G2233" i="6"/>
  <c r="G2232" i="6"/>
  <c r="G2231" i="6"/>
  <c r="G2230" i="6"/>
  <c r="G2229" i="6"/>
  <c r="G2228" i="6"/>
  <c r="G2227" i="6"/>
  <c r="G2226" i="6"/>
  <c r="G2225" i="6"/>
  <c r="G2224" i="6"/>
  <c r="G2223" i="6"/>
  <c r="G2222" i="6"/>
  <c r="G2221" i="6"/>
  <c r="G2220" i="6"/>
  <c r="G2219" i="6"/>
  <c r="G2218" i="6"/>
  <c r="G2217" i="6"/>
  <c r="G2216" i="6"/>
  <c r="G2215" i="6"/>
  <c r="G2214" i="6"/>
  <c r="G2213" i="6"/>
  <c r="G2212" i="6"/>
  <c r="G2211" i="6"/>
  <c r="G2210" i="6"/>
  <c r="G2209" i="6"/>
  <c r="G2208" i="6"/>
  <c r="G2207" i="6"/>
  <c r="G2206" i="6"/>
  <c r="G2205" i="6"/>
  <c r="G2204" i="6"/>
  <c r="G2203" i="6"/>
  <c r="G2202" i="6"/>
  <c r="G2201" i="6"/>
  <c r="G2200" i="6"/>
  <c r="G2199" i="6"/>
  <c r="G2198" i="6"/>
  <c r="G2197" i="6"/>
  <c r="G2196" i="6"/>
  <c r="G2195" i="6"/>
  <c r="G2194" i="6"/>
  <c r="G2193" i="6"/>
  <c r="G2192" i="6"/>
  <c r="G2191" i="6"/>
  <c r="G2190" i="6"/>
  <c r="G2189" i="6"/>
  <c r="G2188" i="6"/>
  <c r="G2187" i="6"/>
  <c r="G2186" i="6"/>
  <c r="G2185" i="6"/>
  <c r="G2184" i="6"/>
  <c r="G2183" i="6"/>
  <c r="G2182" i="6"/>
  <c r="G2181" i="6"/>
  <c r="G2180" i="6"/>
  <c r="G2179" i="6"/>
  <c r="G2178" i="6"/>
  <c r="G2177" i="6"/>
  <c r="G2176" i="6"/>
  <c r="G2175" i="6"/>
  <c r="G2174" i="6"/>
  <c r="G2173" i="6"/>
  <c r="G2172" i="6"/>
  <c r="G2171" i="6"/>
  <c r="G2170" i="6"/>
  <c r="G2169" i="6"/>
  <c r="G2168" i="6"/>
  <c r="G2167" i="6"/>
  <c r="G2166" i="6"/>
  <c r="G2165" i="6"/>
  <c r="G2164" i="6"/>
  <c r="G2163" i="6"/>
  <c r="G2162" i="6"/>
  <c r="G2161" i="6"/>
  <c r="G2160" i="6"/>
  <c r="G2159" i="6"/>
  <c r="G2158" i="6"/>
  <c r="G2157" i="6"/>
  <c r="G2156" i="6"/>
  <c r="G2155" i="6"/>
  <c r="G2154" i="6"/>
  <c r="G2153" i="6"/>
  <c r="G2152" i="6"/>
  <c r="G2151" i="6"/>
  <c r="G2150" i="6"/>
  <c r="G2149" i="6"/>
  <c r="G2148" i="6"/>
  <c r="G2147" i="6"/>
  <c r="G2146" i="6"/>
  <c r="G2145" i="6"/>
  <c r="G2144" i="6"/>
  <c r="G2143" i="6"/>
  <c r="G2142" i="6"/>
  <c r="G2141" i="6"/>
  <c r="G2140" i="6"/>
  <c r="G2139" i="6"/>
  <c r="G2138" i="6"/>
  <c r="G2137" i="6"/>
  <c r="G2136" i="6"/>
  <c r="G2135" i="6"/>
  <c r="G2134" i="6"/>
  <c r="G2133" i="6"/>
  <c r="G2132" i="6"/>
  <c r="G2131" i="6"/>
  <c r="G2130" i="6"/>
  <c r="G2129" i="6"/>
  <c r="G2128" i="6"/>
  <c r="G2127" i="6"/>
  <c r="G2126" i="6"/>
  <c r="G2125" i="6"/>
  <c r="G2124" i="6"/>
  <c r="G2123" i="6"/>
  <c r="G2122" i="6"/>
  <c r="G2121" i="6"/>
  <c r="G2120" i="6"/>
  <c r="G2119" i="6"/>
  <c r="G2118" i="6"/>
  <c r="G2117" i="6"/>
  <c r="G2116" i="6"/>
  <c r="G2115" i="6"/>
  <c r="G2114" i="6"/>
  <c r="G2113" i="6"/>
  <c r="G2112" i="6"/>
  <c r="G2111" i="6"/>
  <c r="G2110" i="6"/>
  <c r="G2109" i="6"/>
  <c r="G2108" i="6"/>
  <c r="G2107" i="6"/>
  <c r="G2106" i="6"/>
  <c r="G2105" i="6"/>
  <c r="G2104" i="6"/>
  <c r="G2103" i="6"/>
  <c r="G2102" i="6"/>
  <c r="G2101" i="6"/>
  <c r="G2100" i="6"/>
  <c r="G2099" i="6"/>
  <c r="G2098" i="6"/>
  <c r="G2097" i="6"/>
  <c r="G2096" i="6"/>
  <c r="G2095" i="6"/>
  <c r="G2094" i="6"/>
  <c r="G2093" i="6"/>
  <c r="G2092" i="6"/>
  <c r="G2091" i="6"/>
  <c r="G2090" i="6"/>
  <c r="G2089" i="6"/>
  <c r="G2088" i="6"/>
  <c r="G2087" i="6"/>
  <c r="G2086" i="6"/>
  <c r="G2085" i="6"/>
  <c r="G2084" i="6"/>
  <c r="G2083" i="6"/>
  <c r="G2082" i="6"/>
  <c r="G2081" i="6"/>
  <c r="G2080" i="6"/>
  <c r="G2079" i="6"/>
  <c r="G2078" i="6"/>
  <c r="G2077" i="6"/>
  <c r="G2076" i="6"/>
  <c r="G2075" i="6"/>
  <c r="G2074" i="6"/>
  <c r="G2073" i="6"/>
  <c r="G2072" i="6"/>
  <c r="G2071" i="6"/>
  <c r="G2070" i="6"/>
  <c r="G2069" i="6"/>
  <c r="G2068" i="6"/>
  <c r="G2067" i="6"/>
  <c r="G2066" i="6"/>
  <c r="G2065" i="6"/>
  <c r="G2064" i="6"/>
  <c r="G2063" i="6"/>
  <c r="G2062" i="6"/>
  <c r="G2061" i="6"/>
  <c r="G2060" i="6"/>
  <c r="G2059" i="6"/>
  <c r="G2058" i="6"/>
  <c r="G2057" i="6"/>
  <c r="G2056" i="6"/>
  <c r="G2055" i="6"/>
  <c r="G2054" i="6"/>
  <c r="G2053" i="6"/>
  <c r="G2052" i="6"/>
  <c r="G2051" i="6"/>
  <c r="G2050" i="6"/>
  <c r="G2049" i="6"/>
  <c r="G2048" i="6"/>
  <c r="G2047" i="6"/>
  <c r="G2046" i="6"/>
  <c r="G2045" i="6"/>
  <c r="G2044" i="6"/>
  <c r="G2043" i="6"/>
  <c r="G2042" i="6"/>
  <c r="G2041" i="6"/>
  <c r="G2040" i="6"/>
  <c r="G2039" i="6"/>
  <c r="G2038" i="6"/>
  <c r="G2037" i="6"/>
  <c r="G2036" i="6"/>
  <c r="G2035" i="6"/>
  <c r="G2034" i="6"/>
  <c r="G2033" i="6"/>
  <c r="G2032" i="6"/>
  <c r="G2031" i="6"/>
  <c r="G2030" i="6"/>
  <c r="G2029" i="6"/>
  <c r="G2028" i="6"/>
  <c r="G2027" i="6"/>
  <c r="G2026" i="6"/>
  <c r="G2025" i="6"/>
  <c r="G2024" i="6"/>
  <c r="G2023" i="6"/>
  <c r="G2022" i="6"/>
  <c r="G2021" i="6"/>
  <c r="G2020" i="6"/>
  <c r="G2019" i="6"/>
  <c r="G2018" i="6"/>
  <c r="G2017" i="6"/>
  <c r="G2016" i="6"/>
  <c r="G2015" i="6"/>
  <c r="G2014" i="6"/>
  <c r="G2013" i="6"/>
  <c r="G2012" i="6"/>
  <c r="G2011" i="6"/>
  <c r="G2010" i="6"/>
  <c r="G2009" i="6"/>
  <c r="G2008" i="6"/>
  <c r="G2007" i="6"/>
  <c r="G2006" i="6"/>
  <c r="G2005" i="6"/>
  <c r="G2004" i="6"/>
  <c r="G2003" i="6"/>
  <c r="G2002" i="6"/>
  <c r="G2001" i="6"/>
  <c r="G2000" i="6"/>
  <c r="G1999" i="6"/>
  <c r="G1998" i="6"/>
  <c r="G1997" i="6"/>
  <c r="G1996" i="6"/>
  <c r="G1995" i="6"/>
  <c r="G1994" i="6"/>
  <c r="G1993" i="6"/>
  <c r="G1992" i="6"/>
  <c r="G1991" i="6"/>
  <c r="G1990" i="6"/>
  <c r="G1989" i="6"/>
  <c r="G1988" i="6"/>
  <c r="G1987" i="6"/>
  <c r="G1986" i="6"/>
  <c r="G1985" i="6"/>
  <c r="G1984" i="6"/>
  <c r="G1983" i="6"/>
  <c r="G1982" i="6"/>
  <c r="G1981" i="6"/>
  <c r="G1980" i="6"/>
  <c r="G1979" i="6"/>
  <c r="G1978" i="6"/>
  <c r="G1977" i="6"/>
  <c r="G1976" i="6"/>
  <c r="G1975" i="6"/>
  <c r="G1974" i="6"/>
  <c r="G1973" i="6"/>
  <c r="G1972" i="6"/>
  <c r="G1971" i="6"/>
  <c r="G1970" i="6"/>
  <c r="G1969" i="6"/>
  <c r="G1968" i="6"/>
  <c r="G1967" i="6"/>
  <c r="G1966" i="6"/>
  <c r="G1965" i="6"/>
  <c r="G1964" i="6"/>
  <c r="G1963" i="6"/>
  <c r="G1962" i="6"/>
  <c r="G1961" i="6"/>
  <c r="G1960" i="6"/>
  <c r="G1959" i="6"/>
  <c r="G1958" i="6"/>
  <c r="G1957" i="6"/>
  <c r="G1956" i="6"/>
  <c r="G1955" i="6"/>
  <c r="G1954" i="6"/>
  <c r="G1953" i="6"/>
  <c r="G1952" i="6"/>
  <c r="G1951" i="6"/>
  <c r="G1950" i="6"/>
  <c r="G1949" i="6"/>
  <c r="G1948" i="6"/>
  <c r="G1947" i="6"/>
  <c r="G1946" i="6"/>
  <c r="G1945" i="6"/>
  <c r="G1944" i="6"/>
  <c r="G1943" i="6"/>
  <c r="G1942" i="6"/>
  <c r="G1941" i="6"/>
  <c r="G1940" i="6"/>
  <c r="G1939" i="6"/>
  <c r="G1938" i="6"/>
  <c r="G1937" i="6"/>
  <c r="G1936" i="6"/>
  <c r="G1935" i="6"/>
  <c r="G1934" i="6"/>
  <c r="G1933" i="6"/>
  <c r="G1932" i="6"/>
  <c r="G1931" i="6"/>
  <c r="G1930" i="6"/>
  <c r="G1929" i="6"/>
  <c r="G1928" i="6"/>
  <c r="G1927" i="6"/>
  <c r="G1926" i="6"/>
  <c r="G1925" i="6"/>
  <c r="G1924" i="6"/>
  <c r="G1923" i="6"/>
  <c r="G1922" i="6"/>
  <c r="G1921" i="6"/>
  <c r="G1920" i="6"/>
  <c r="G1919" i="6"/>
  <c r="G1918" i="6"/>
  <c r="G1917" i="6"/>
  <c r="G1916" i="6"/>
  <c r="G1915" i="6"/>
  <c r="G1914" i="6"/>
  <c r="G1913" i="6"/>
  <c r="G1912" i="6"/>
  <c r="G1911" i="6"/>
  <c r="G1910" i="6"/>
  <c r="G1909" i="6"/>
  <c r="G1908" i="6"/>
  <c r="G1907" i="6"/>
  <c r="G1906" i="6"/>
  <c r="G1905" i="6"/>
  <c r="G1904" i="6"/>
  <c r="G1903" i="6"/>
  <c r="G1902" i="6"/>
  <c r="G1901" i="6"/>
  <c r="G1900" i="6"/>
  <c r="G1899" i="6"/>
  <c r="G1898" i="6"/>
  <c r="G1897" i="6"/>
  <c r="G1896" i="6"/>
  <c r="G1895" i="6"/>
  <c r="G1894" i="6"/>
  <c r="G1893" i="6"/>
  <c r="G1892" i="6"/>
  <c r="G1891" i="6"/>
  <c r="G1890" i="6"/>
  <c r="G1889" i="6"/>
  <c r="G1888" i="6"/>
  <c r="G1887" i="6"/>
  <c r="G1886" i="6"/>
  <c r="G1885" i="6"/>
  <c r="G1884" i="6"/>
  <c r="G1883" i="6"/>
  <c r="G1882" i="6"/>
  <c r="G1881" i="6"/>
  <c r="G1880" i="6"/>
  <c r="G1879" i="6"/>
  <c r="G1878" i="6"/>
  <c r="G1877" i="6"/>
  <c r="G1876" i="6"/>
  <c r="G1875" i="6"/>
  <c r="G1874" i="6"/>
  <c r="G1873" i="6"/>
  <c r="G1872" i="6"/>
  <c r="G1871" i="6"/>
  <c r="G1870" i="6"/>
  <c r="G1869" i="6"/>
  <c r="G1868" i="6"/>
  <c r="G1867" i="6"/>
  <c r="G1866" i="6"/>
  <c r="G1865" i="6"/>
  <c r="G1864" i="6"/>
  <c r="G1863" i="6"/>
  <c r="G1862" i="6"/>
  <c r="G1861" i="6"/>
  <c r="G1860" i="6"/>
  <c r="G1859" i="6"/>
  <c r="G1858" i="6"/>
  <c r="G1857" i="6"/>
  <c r="G1856" i="6"/>
  <c r="G1855" i="6"/>
  <c r="G1854" i="6"/>
  <c r="G1853" i="6"/>
  <c r="G1852" i="6"/>
  <c r="G1851" i="6"/>
  <c r="G1850" i="6"/>
  <c r="G1849" i="6"/>
  <c r="G1848" i="6"/>
  <c r="G1847" i="6"/>
  <c r="G1846" i="6"/>
  <c r="G1845" i="6"/>
  <c r="G1844" i="6"/>
  <c r="G1843" i="6"/>
  <c r="G1842" i="6"/>
  <c r="G1841" i="6"/>
  <c r="G1840" i="6"/>
  <c r="G1839" i="6"/>
  <c r="G1838" i="6"/>
  <c r="G1837" i="6"/>
  <c r="G1836" i="6"/>
  <c r="G1835" i="6"/>
  <c r="G1834" i="6"/>
  <c r="G1833" i="6"/>
  <c r="G1832" i="6"/>
  <c r="G1831" i="6"/>
  <c r="G1830" i="6"/>
  <c r="G1829" i="6"/>
  <c r="G1828" i="6"/>
  <c r="G1827" i="6"/>
  <c r="G1826" i="6"/>
  <c r="G1825" i="6"/>
  <c r="G1824" i="6"/>
  <c r="G1823" i="6"/>
  <c r="G1822" i="6"/>
  <c r="G1821" i="6"/>
  <c r="G1820" i="6"/>
  <c r="G1819" i="6"/>
  <c r="G1818" i="6"/>
  <c r="G1817" i="6"/>
  <c r="G1816" i="6"/>
  <c r="G1815" i="6"/>
  <c r="G1814" i="6"/>
  <c r="G1813" i="6"/>
  <c r="G1812" i="6"/>
  <c r="G1811" i="6"/>
  <c r="G1810" i="6"/>
  <c r="G1809" i="6"/>
  <c r="G1808" i="6"/>
  <c r="G1807" i="6"/>
  <c r="G1806" i="6"/>
  <c r="G1805" i="6"/>
  <c r="G1804" i="6"/>
  <c r="G1803" i="6"/>
  <c r="G1802" i="6"/>
  <c r="G1801" i="6"/>
  <c r="G1800" i="6"/>
  <c r="G1799" i="6"/>
  <c r="G1798" i="6"/>
  <c r="G1797" i="6"/>
  <c r="G1796" i="6"/>
  <c r="G1795" i="6"/>
  <c r="G1794" i="6"/>
  <c r="G1793" i="6"/>
  <c r="G1792" i="6"/>
  <c r="G1791" i="6"/>
  <c r="G1790" i="6"/>
  <c r="G1789" i="6"/>
  <c r="G1788" i="6"/>
  <c r="G1787" i="6"/>
  <c r="G1786" i="6"/>
  <c r="G1785" i="6"/>
  <c r="G1784" i="6"/>
  <c r="G1783" i="6"/>
  <c r="G1782" i="6"/>
  <c r="G1781" i="6"/>
  <c r="G1780" i="6"/>
  <c r="G1779" i="6"/>
  <c r="G1778" i="6"/>
  <c r="G1777" i="6"/>
  <c r="G1776" i="6"/>
  <c r="G1775" i="6"/>
  <c r="G1774" i="6"/>
  <c r="G1773" i="6"/>
  <c r="G1772" i="6"/>
  <c r="G1771" i="6"/>
  <c r="G1770" i="6"/>
  <c r="G1769" i="6"/>
  <c r="G1768" i="6"/>
  <c r="G1767" i="6"/>
  <c r="G1766" i="6"/>
  <c r="G1765" i="6"/>
  <c r="G1764" i="6"/>
  <c r="G1763" i="6"/>
  <c r="G1762" i="6"/>
  <c r="G1761" i="6"/>
  <c r="G1760" i="6"/>
  <c r="G1759" i="6"/>
  <c r="G1758" i="6"/>
  <c r="G1757" i="6"/>
  <c r="G1756" i="6"/>
  <c r="G1755" i="6"/>
  <c r="G1754" i="6"/>
  <c r="G1753" i="6"/>
  <c r="G1752" i="6"/>
  <c r="G1751" i="6"/>
  <c r="G1750" i="6"/>
  <c r="G1749" i="6"/>
  <c r="G1748" i="6"/>
  <c r="G1747" i="6"/>
  <c r="G1746" i="6"/>
  <c r="G1745" i="6"/>
  <c r="G1744" i="6"/>
  <c r="G1743" i="6"/>
  <c r="G1742" i="6"/>
  <c r="G1741" i="6"/>
  <c r="G1740" i="6"/>
  <c r="G1739" i="6"/>
  <c r="G1738" i="6"/>
  <c r="G1737" i="6"/>
  <c r="G1736" i="6"/>
  <c r="G1735" i="6"/>
  <c r="G1734" i="6"/>
  <c r="G1733" i="6"/>
  <c r="G1732" i="6"/>
  <c r="G1731" i="6"/>
  <c r="G1730" i="6"/>
  <c r="G1729" i="6"/>
  <c r="G1728" i="6"/>
  <c r="G1727" i="6"/>
  <c r="G1726" i="6"/>
  <c r="G1725" i="6"/>
  <c r="G1724" i="6"/>
  <c r="G1723" i="6"/>
  <c r="G1722" i="6"/>
  <c r="G1721" i="6"/>
  <c r="G1720" i="6"/>
  <c r="G1719" i="6"/>
  <c r="G1718" i="6"/>
  <c r="G1717" i="6"/>
  <c r="G1716" i="6"/>
  <c r="G1715" i="6"/>
  <c r="G1714" i="6"/>
  <c r="G1713" i="6"/>
  <c r="G1712" i="6"/>
  <c r="G1711" i="6"/>
  <c r="G1710" i="6"/>
  <c r="G1709" i="6"/>
  <c r="G1708" i="6"/>
  <c r="G1707" i="6"/>
  <c r="G1706" i="6"/>
  <c r="G1705" i="6"/>
  <c r="G1704" i="6"/>
  <c r="G1703" i="6"/>
  <c r="G1702" i="6"/>
  <c r="G1701" i="6"/>
  <c r="G1700" i="6"/>
  <c r="G1699" i="6"/>
  <c r="G1698" i="6"/>
  <c r="G1697" i="6"/>
  <c r="G1696" i="6"/>
  <c r="G1695" i="6"/>
  <c r="G1694" i="6"/>
  <c r="G1693" i="6"/>
  <c r="G1692" i="6"/>
  <c r="G1691" i="6"/>
  <c r="G1690" i="6"/>
  <c r="G1689" i="6"/>
  <c r="G1688" i="6"/>
  <c r="G1687" i="6"/>
  <c r="G1686" i="6"/>
  <c r="G1685" i="6"/>
  <c r="G1684" i="6"/>
  <c r="G1683" i="6"/>
  <c r="G1682" i="6"/>
  <c r="G1681" i="6"/>
  <c r="G1680" i="6"/>
  <c r="G1679" i="6"/>
  <c r="G1678" i="6"/>
  <c r="G1677" i="6"/>
  <c r="G1676" i="6"/>
  <c r="G1675" i="6"/>
  <c r="G1674" i="6"/>
  <c r="G1673" i="6"/>
  <c r="G1672" i="6"/>
  <c r="G1671" i="6"/>
  <c r="G1670" i="6"/>
  <c r="G1669" i="6"/>
  <c r="G1668" i="6"/>
  <c r="G1667" i="6"/>
  <c r="G1666" i="6"/>
  <c r="G1665" i="6"/>
  <c r="G1664" i="6"/>
  <c r="G1663" i="6"/>
  <c r="G1662" i="6"/>
  <c r="G1661" i="6"/>
  <c r="G1660" i="6"/>
  <c r="G1659" i="6"/>
  <c r="G1658" i="6"/>
  <c r="G1657" i="6"/>
  <c r="G1656" i="6"/>
  <c r="G1655" i="6"/>
  <c r="G1654" i="6"/>
  <c r="G1653" i="6"/>
  <c r="G1652" i="6"/>
  <c r="G1651" i="6"/>
  <c r="G1650" i="6"/>
  <c r="G1649" i="6"/>
  <c r="G1648" i="6"/>
  <c r="G1647" i="6"/>
  <c r="G1646" i="6"/>
  <c r="G1645" i="6"/>
  <c r="G1644" i="6"/>
  <c r="G1643" i="6"/>
  <c r="G1642" i="6"/>
  <c r="G1641" i="6"/>
  <c r="G1640" i="6"/>
  <c r="G1639" i="6"/>
  <c r="G1638" i="6"/>
  <c r="G1637" i="6"/>
  <c r="G1636" i="6"/>
  <c r="G1635" i="6"/>
  <c r="G1634" i="6"/>
  <c r="G1633" i="6"/>
  <c r="G1632" i="6"/>
  <c r="G1631" i="6"/>
  <c r="G1630" i="6"/>
  <c r="G1629" i="6"/>
  <c r="G1628" i="6"/>
  <c r="G1627" i="6"/>
  <c r="G1626" i="6"/>
  <c r="G1625" i="6"/>
  <c r="G1624" i="6"/>
  <c r="G1623" i="6"/>
  <c r="G1622" i="6"/>
  <c r="G1621" i="6"/>
  <c r="G1620" i="6"/>
  <c r="G1619" i="6"/>
  <c r="G1618" i="6"/>
  <c r="G1617" i="6"/>
  <c r="G1616" i="6"/>
  <c r="G1615" i="6"/>
  <c r="G1614" i="6"/>
  <c r="G1613" i="6"/>
  <c r="G1612" i="6"/>
  <c r="G1611" i="6"/>
  <c r="G1610" i="6"/>
  <c r="G1609" i="6"/>
  <c r="G1608" i="6"/>
  <c r="G1607" i="6"/>
  <c r="G1606" i="6"/>
  <c r="G1605" i="6"/>
  <c r="G1604" i="6"/>
  <c r="G1603" i="6"/>
  <c r="G1602" i="6"/>
  <c r="G1601" i="6"/>
  <c r="G1600" i="6"/>
  <c r="G1599" i="6"/>
  <c r="G1598" i="6"/>
  <c r="G1597" i="6"/>
  <c r="G1596" i="6"/>
  <c r="G1595" i="6"/>
  <c r="G1594" i="6"/>
  <c r="G1593" i="6"/>
  <c r="G1592" i="6"/>
  <c r="G1591" i="6"/>
  <c r="G1590" i="6"/>
  <c r="G1589" i="6"/>
  <c r="G1588" i="6"/>
  <c r="G1587" i="6"/>
  <c r="G1586" i="6"/>
  <c r="G1585" i="6"/>
  <c r="G1584" i="6"/>
  <c r="G1583" i="6"/>
  <c r="G1582" i="6"/>
  <c r="G1581" i="6"/>
  <c r="G1580" i="6"/>
  <c r="G1579" i="6"/>
  <c r="G1578" i="6"/>
  <c r="G1577" i="6"/>
  <c r="G1576" i="6"/>
  <c r="G1575" i="6"/>
  <c r="G1574" i="6"/>
  <c r="G1573" i="6"/>
  <c r="G1572" i="6"/>
  <c r="G1571" i="6"/>
  <c r="G1570" i="6"/>
  <c r="G1569" i="6"/>
  <c r="G1568" i="6"/>
  <c r="G1567" i="6"/>
  <c r="G1566" i="6"/>
  <c r="G1565" i="6"/>
  <c r="G1564" i="6"/>
  <c r="G1563" i="6"/>
  <c r="G1562" i="6"/>
  <c r="G1561" i="6"/>
  <c r="G1560" i="6"/>
  <c r="G1559" i="6"/>
  <c r="G1558" i="6"/>
  <c r="G1557" i="6"/>
  <c r="G1556" i="6"/>
  <c r="G1555" i="6"/>
  <c r="G1554" i="6"/>
  <c r="G1553" i="6"/>
  <c r="G1552" i="6"/>
  <c r="G1551" i="6"/>
  <c r="G1550" i="6"/>
  <c r="G1549" i="6"/>
  <c r="G1548" i="6"/>
  <c r="G1547" i="6"/>
  <c r="G1546" i="6"/>
  <c r="G1545" i="6"/>
  <c r="G1544" i="6"/>
  <c r="G1543" i="6"/>
  <c r="G1542" i="6"/>
  <c r="G1541" i="6"/>
  <c r="G1540" i="6"/>
  <c r="G1539" i="6"/>
  <c r="G1538" i="6"/>
  <c r="G1537" i="6"/>
  <c r="G1536" i="6"/>
  <c r="G1535" i="6"/>
  <c r="G1534" i="6"/>
  <c r="G1533" i="6"/>
  <c r="G1532" i="6"/>
  <c r="G1531" i="6"/>
  <c r="G1530" i="6"/>
  <c r="G1529" i="6"/>
  <c r="G1528" i="6"/>
  <c r="G1527" i="6"/>
  <c r="G1526" i="6"/>
  <c r="G1525" i="6"/>
  <c r="G1524" i="6"/>
  <c r="G1523" i="6"/>
  <c r="G1522" i="6"/>
  <c r="G1521" i="6"/>
  <c r="G1520" i="6"/>
  <c r="G1519" i="6"/>
  <c r="G1518" i="6"/>
  <c r="G1517" i="6"/>
  <c r="G1516" i="6"/>
  <c r="G1515" i="6"/>
  <c r="G1514" i="6"/>
  <c r="G1513" i="6"/>
  <c r="G1512" i="6"/>
  <c r="G1511" i="6"/>
  <c r="G1510" i="6"/>
  <c r="G1509" i="6"/>
  <c r="G1508" i="6"/>
  <c r="G1507" i="6"/>
  <c r="G1506" i="6"/>
  <c r="G1505" i="6"/>
  <c r="G1504" i="6"/>
  <c r="G1503" i="6"/>
  <c r="G1502" i="6"/>
  <c r="G1501" i="6"/>
  <c r="G1500" i="6"/>
  <c r="G1499" i="6"/>
  <c r="G1498" i="6"/>
  <c r="G1497" i="6"/>
  <c r="G1496" i="6"/>
  <c r="G1495" i="6"/>
  <c r="G1494" i="6"/>
  <c r="G1493" i="6"/>
  <c r="G1492" i="6"/>
  <c r="G1491" i="6"/>
  <c r="G1490" i="6"/>
  <c r="G1489" i="6"/>
  <c r="G1488" i="6"/>
  <c r="G1487" i="6"/>
  <c r="G1486" i="6"/>
  <c r="G1485" i="6"/>
  <c r="G1484" i="6"/>
  <c r="G1483" i="6"/>
  <c r="G1482" i="6"/>
  <c r="G1481" i="6"/>
  <c r="G1480" i="6"/>
  <c r="G1479" i="6"/>
  <c r="G1478" i="6"/>
  <c r="G1477" i="6"/>
  <c r="G1476" i="6"/>
  <c r="G1475" i="6"/>
  <c r="G1474" i="6"/>
  <c r="G1473" i="6"/>
  <c r="G1472" i="6"/>
  <c r="G1471" i="6"/>
  <c r="G1470" i="6"/>
  <c r="G1469" i="6"/>
  <c r="G1468" i="6"/>
  <c r="G1467" i="6"/>
  <c r="G1466" i="6"/>
  <c r="G1465" i="6"/>
  <c r="G1464" i="6"/>
  <c r="G1463" i="6"/>
  <c r="G1462" i="6"/>
  <c r="G1461" i="6"/>
  <c r="G1460" i="6"/>
  <c r="G1459" i="6"/>
  <c r="G1458" i="6"/>
  <c r="G1457" i="6"/>
  <c r="G1456" i="6"/>
  <c r="G1455" i="6"/>
  <c r="G1454" i="6"/>
  <c r="G1453" i="6"/>
  <c r="G1452" i="6"/>
  <c r="G1451" i="6"/>
  <c r="G1450" i="6"/>
  <c r="G1449" i="6"/>
  <c r="G1448" i="6"/>
  <c r="G1447" i="6"/>
  <c r="G1446" i="6"/>
  <c r="G1445" i="6"/>
  <c r="G1444" i="6"/>
  <c r="G1443" i="6"/>
  <c r="G1442" i="6"/>
  <c r="G1441" i="6"/>
  <c r="G1440" i="6"/>
  <c r="G1439" i="6"/>
  <c r="G1438" i="6"/>
  <c r="G1437" i="6"/>
  <c r="G1436" i="6"/>
  <c r="G1435" i="6"/>
  <c r="G1434" i="6"/>
  <c r="G1433" i="6"/>
  <c r="G1432" i="6"/>
  <c r="G1431" i="6"/>
  <c r="G1430" i="6"/>
  <c r="G1429" i="6"/>
  <c r="G1428" i="6"/>
  <c r="G1427" i="6"/>
  <c r="G1426" i="6"/>
  <c r="G1425" i="6"/>
  <c r="G1424" i="6"/>
  <c r="G1423" i="6"/>
  <c r="G1422" i="6"/>
  <c r="G1421" i="6"/>
  <c r="G1420" i="6"/>
  <c r="G1419" i="6"/>
  <c r="G1418" i="6"/>
  <c r="G1417" i="6"/>
  <c r="G1416" i="6"/>
  <c r="G1415" i="6"/>
  <c r="G1414" i="6"/>
  <c r="G1413" i="6"/>
  <c r="G1412" i="6"/>
  <c r="G1411" i="6"/>
  <c r="G1410" i="6"/>
  <c r="G1409" i="6"/>
  <c r="G1408" i="6"/>
  <c r="G1407" i="6"/>
  <c r="G1406" i="6"/>
  <c r="G1405" i="6"/>
  <c r="G1404" i="6"/>
  <c r="G1403" i="6"/>
  <c r="G1402" i="6"/>
  <c r="G1401" i="6"/>
  <c r="G1400" i="6"/>
  <c r="G1399" i="6"/>
  <c r="G1398" i="6"/>
  <c r="G1397" i="6"/>
  <c r="G1396" i="6"/>
  <c r="G1395" i="6"/>
  <c r="G1394" i="6"/>
  <c r="G1393" i="6"/>
  <c r="G1392" i="6"/>
  <c r="G1391" i="6"/>
  <c r="G1390" i="6"/>
  <c r="G1389" i="6"/>
  <c r="G1388" i="6"/>
  <c r="G1387" i="6"/>
  <c r="G1386" i="6"/>
  <c r="G1385" i="6"/>
  <c r="G1384" i="6"/>
  <c r="G1383" i="6"/>
  <c r="G1382" i="6"/>
  <c r="G1381" i="6"/>
  <c r="G1380" i="6"/>
  <c r="G1379" i="6"/>
  <c r="G1378" i="6"/>
  <c r="G1377" i="6"/>
  <c r="G1376" i="6"/>
  <c r="G1375" i="6"/>
  <c r="G1374" i="6"/>
  <c r="G1373" i="6"/>
  <c r="G1372" i="6"/>
  <c r="G1371" i="6"/>
  <c r="G1370" i="6"/>
  <c r="G1369" i="6"/>
  <c r="G1368" i="6"/>
  <c r="G1367" i="6"/>
  <c r="G1366" i="6"/>
  <c r="G1365" i="6"/>
  <c r="G1364" i="6"/>
  <c r="G1363" i="6"/>
  <c r="G1362" i="6"/>
  <c r="G1361" i="6"/>
  <c r="G1360" i="6"/>
  <c r="G1359" i="6"/>
  <c r="G1358" i="6"/>
  <c r="G1357" i="6"/>
  <c r="G1356" i="6"/>
  <c r="G1355" i="6"/>
  <c r="G1354" i="6"/>
  <c r="G1353" i="6"/>
  <c r="G1352" i="6"/>
  <c r="G1351" i="6"/>
  <c r="G1350" i="6"/>
  <c r="G1349" i="6"/>
  <c r="G1348" i="6"/>
  <c r="G1347" i="6"/>
  <c r="G1346" i="6"/>
  <c r="G1345" i="6"/>
  <c r="G1344" i="6"/>
  <c r="G1343" i="6"/>
  <c r="G1342" i="6"/>
  <c r="G1341" i="6"/>
  <c r="G1340" i="6"/>
  <c r="G1339" i="6"/>
  <c r="G1338" i="6"/>
  <c r="G1337" i="6"/>
  <c r="G1336" i="6"/>
  <c r="G1335" i="6"/>
  <c r="G1334" i="6"/>
  <c r="G1333" i="6"/>
  <c r="G1332" i="6"/>
  <c r="G1331" i="6"/>
  <c r="G1330" i="6"/>
  <c r="G1329" i="6"/>
  <c r="G1328" i="6"/>
  <c r="G1327" i="6"/>
  <c r="G1326" i="6"/>
  <c r="G1325" i="6"/>
  <c r="G1324" i="6"/>
  <c r="G1323" i="6"/>
  <c r="G1322" i="6"/>
  <c r="G1321" i="6"/>
  <c r="G1320" i="6"/>
  <c r="G1319" i="6"/>
  <c r="G1318" i="6"/>
  <c r="G1317" i="6"/>
  <c r="G1316" i="6"/>
  <c r="G1315" i="6"/>
  <c r="G1314" i="6"/>
  <c r="G1313" i="6"/>
  <c r="G1312" i="6"/>
  <c r="G1311" i="6"/>
  <c r="G1310" i="6"/>
  <c r="G1309" i="6"/>
  <c r="G1308" i="6"/>
  <c r="G1307" i="6"/>
  <c r="G1306" i="6"/>
  <c r="G1305" i="6"/>
  <c r="G1304" i="6"/>
  <c r="G1303" i="6"/>
  <c r="G1302" i="6"/>
  <c r="G1301" i="6"/>
  <c r="G1300" i="6"/>
  <c r="G1299" i="6"/>
  <c r="G1298" i="6"/>
  <c r="G1297" i="6"/>
  <c r="G1296" i="6"/>
  <c r="G1295" i="6"/>
  <c r="G1294" i="6"/>
  <c r="G1293" i="6"/>
  <c r="G1292" i="6"/>
  <c r="G1291" i="6"/>
  <c r="G1290" i="6"/>
  <c r="G1289" i="6"/>
  <c r="G1288" i="6"/>
  <c r="G1287" i="6"/>
  <c r="G1286" i="6"/>
  <c r="G1285" i="6"/>
  <c r="G1284" i="6"/>
  <c r="G1283" i="6"/>
  <c r="G1282" i="6"/>
  <c r="G1281" i="6"/>
  <c r="G1280" i="6"/>
  <c r="G1279" i="6"/>
  <c r="G1278" i="6"/>
  <c r="G1277" i="6"/>
  <c r="G1276" i="6"/>
  <c r="G1275" i="6"/>
  <c r="G1274" i="6"/>
  <c r="G1273" i="6"/>
  <c r="G1272" i="6"/>
  <c r="G1271" i="6"/>
  <c r="G1270" i="6"/>
  <c r="G1269" i="6"/>
  <c r="G1268" i="6"/>
  <c r="G1267" i="6"/>
  <c r="G1266" i="6"/>
  <c r="G1265" i="6"/>
  <c r="G1264" i="6"/>
  <c r="G1263" i="6"/>
  <c r="G1262" i="6"/>
  <c r="G1261" i="6"/>
  <c r="G1260" i="6"/>
  <c r="G1259" i="6"/>
  <c r="G1258" i="6"/>
  <c r="G1257" i="6"/>
  <c r="G1256" i="6"/>
  <c r="G1255" i="6"/>
  <c r="G1254" i="6"/>
  <c r="G1253" i="6"/>
  <c r="G1252" i="6"/>
  <c r="G1251" i="6"/>
  <c r="G1250" i="6"/>
  <c r="G1249" i="6"/>
  <c r="G1248" i="6"/>
  <c r="G1247" i="6"/>
  <c r="G1246" i="6"/>
  <c r="G1245" i="6"/>
  <c r="G1244" i="6"/>
  <c r="G1243" i="6"/>
  <c r="G1242" i="6"/>
  <c r="G1241" i="6"/>
  <c r="G1240" i="6"/>
  <c r="G1239" i="6"/>
  <c r="G1238" i="6"/>
  <c r="G1237" i="6"/>
  <c r="G1236" i="6"/>
  <c r="G1235" i="6"/>
  <c r="G1234" i="6"/>
  <c r="G1233" i="6"/>
  <c r="G1232" i="6"/>
  <c r="G1231" i="6"/>
  <c r="G1230" i="6"/>
  <c r="G1229" i="6"/>
  <c r="G1228" i="6"/>
  <c r="G1227" i="6"/>
  <c r="G1226" i="6"/>
  <c r="G1225" i="6"/>
  <c r="G1224" i="6"/>
  <c r="G1223" i="6"/>
  <c r="G1222" i="6"/>
  <c r="G1221" i="6"/>
  <c r="G1220" i="6"/>
  <c r="G1219" i="6"/>
  <c r="G1218" i="6"/>
  <c r="G1217" i="6"/>
  <c r="G1216" i="6"/>
  <c r="G1215" i="6"/>
  <c r="G1214" i="6"/>
  <c r="G1213" i="6"/>
  <c r="G1212" i="6"/>
  <c r="G1211" i="6"/>
  <c r="G1210" i="6"/>
  <c r="G1209" i="6"/>
  <c r="G1208" i="6"/>
  <c r="G1207" i="6"/>
  <c r="G1206" i="6"/>
  <c r="G1205" i="6"/>
  <c r="G1204" i="6"/>
  <c r="G1203" i="6"/>
  <c r="G1202" i="6"/>
  <c r="G1201" i="6"/>
  <c r="G1200" i="6"/>
  <c r="G1199" i="6"/>
  <c r="G1198" i="6"/>
  <c r="G1197" i="6"/>
  <c r="G1196" i="6"/>
  <c r="G1195" i="6"/>
  <c r="G1194" i="6"/>
  <c r="G1193" i="6"/>
  <c r="G1192" i="6"/>
  <c r="G1191" i="6"/>
  <c r="G1190" i="6"/>
  <c r="G1189" i="6"/>
  <c r="G1188" i="6"/>
  <c r="G1187" i="6"/>
  <c r="G1186" i="6"/>
  <c r="G1185" i="6"/>
  <c r="G1184" i="6"/>
  <c r="G1183" i="6"/>
  <c r="G1182" i="6"/>
  <c r="G1181" i="6"/>
  <c r="G1180" i="6"/>
  <c r="G1179" i="6"/>
  <c r="G1178" i="6"/>
  <c r="G1177" i="6"/>
  <c r="G1176" i="6"/>
  <c r="G1175" i="6"/>
  <c r="G1174" i="6"/>
  <c r="G1173" i="6"/>
  <c r="G1172" i="6"/>
  <c r="G1171" i="6"/>
  <c r="G1170" i="6"/>
  <c r="G1169" i="6"/>
  <c r="G1168" i="6"/>
  <c r="G1167" i="6"/>
  <c r="G1166" i="6"/>
  <c r="G1165" i="6"/>
  <c r="G1164" i="6"/>
  <c r="G1163" i="6"/>
  <c r="G1162" i="6"/>
  <c r="G1161" i="6"/>
  <c r="G1160" i="6"/>
  <c r="G1159" i="6"/>
  <c r="G1158" i="6"/>
  <c r="G1157" i="6"/>
  <c r="G1156" i="6"/>
  <c r="G1155" i="6"/>
  <c r="G1154" i="6"/>
  <c r="G1153" i="6"/>
  <c r="G1152" i="6"/>
  <c r="G1151" i="6"/>
  <c r="G1150" i="6"/>
  <c r="G1149" i="6"/>
  <c r="G1148" i="6"/>
  <c r="G1147" i="6"/>
  <c r="G1146" i="6"/>
  <c r="G1145" i="6"/>
  <c r="G1144" i="6"/>
  <c r="G1143" i="6"/>
  <c r="G1142" i="6"/>
  <c r="G1141" i="6"/>
  <c r="G1140" i="6"/>
  <c r="G1139" i="6"/>
  <c r="G1138" i="6"/>
  <c r="G1137" i="6"/>
  <c r="G1136" i="6"/>
  <c r="G1135" i="6"/>
  <c r="G1134" i="6"/>
  <c r="G1133" i="6"/>
  <c r="G1132" i="6"/>
  <c r="G1131" i="6"/>
  <c r="G1130" i="6"/>
  <c r="G1129" i="6"/>
  <c r="G1128" i="6"/>
  <c r="G1127" i="6"/>
  <c r="G1126" i="6"/>
  <c r="G1125" i="6"/>
  <c r="G1124" i="6"/>
  <c r="G1123" i="6"/>
  <c r="G1122" i="6"/>
  <c r="G1121" i="6"/>
  <c r="G1120" i="6"/>
  <c r="G1119" i="6"/>
  <c r="G1118" i="6"/>
  <c r="G1117" i="6"/>
  <c r="G1116" i="6"/>
  <c r="G1115" i="6"/>
  <c r="G1114" i="6"/>
  <c r="G1113" i="6"/>
  <c r="G1112" i="6"/>
  <c r="G1111" i="6"/>
  <c r="G1110" i="6"/>
  <c r="G1109" i="6"/>
  <c r="G1108" i="6"/>
  <c r="G1107" i="6"/>
  <c r="G1106" i="6"/>
  <c r="G1105" i="6"/>
  <c r="G1104" i="6"/>
  <c r="G1103" i="6"/>
  <c r="G1102" i="6"/>
  <c r="G1101" i="6"/>
  <c r="G1100" i="6"/>
  <c r="G1099" i="6"/>
  <c r="G1098" i="6"/>
  <c r="G1097" i="6"/>
  <c r="G1096" i="6"/>
  <c r="G1095" i="6"/>
  <c r="G1094" i="6"/>
  <c r="G1093" i="6"/>
  <c r="G1092" i="6"/>
  <c r="G1091" i="6"/>
  <c r="G1090" i="6"/>
  <c r="G1089" i="6"/>
  <c r="G1088" i="6"/>
  <c r="G1087" i="6"/>
  <c r="G1086" i="6"/>
  <c r="G1085" i="6"/>
  <c r="G1084" i="6"/>
  <c r="G1083" i="6"/>
  <c r="G1082" i="6"/>
  <c r="G1081" i="6"/>
  <c r="G1080" i="6"/>
  <c r="G1079" i="6"/>
  <c r="G1078" i="6"/>
  <c r="G1077" i="6"/>
  <c r="G1076" i="6"/>
  <c r="G1075" i="6"/>
  <c r="G1074" i="6"/>
  <c r="G1073" i="6"/>
  <c r="G1072" i="6"/>
  <c r="G1071" i="6"/>
  <c r="G1070" i="6"/>
  <c r="G1069" i="6"/>
  <c r="G1068" i="6"/>
  <c r="G1067" i="6"/>
  <c r="G1066" i="6"/>
  <c r="G1065" i="6"/>
  <c r="G1064" i="6"/>
  <c r="G1063" i="6"/>
  <c r="G1062" i="6"/>
  <c r="G1061" i="6"/>
  <c r="G1060" i="6"/>
  <c r="G1059" i="6"/>
  <c r="G1058" i="6"/>
  <c r="G1057" i="6"/>
  <c r="G1056" i="6"/>
  <c r="G1055" i="6"/>
  <c r="G1054" i="6"/>
  <c r="G1053" i="6"/>
  <c r="G1052" i="6"/>
  <c r="G1051" i="6"/>
  <c r="G1050" i="6"/>
  <c r="G1049" i="6"/>
  <c r="G1048" i="6"/>
  <c r="G1047" i="6"/>
  <c r="G1046" i="6"/>
  <c r="G1045" i="6"/>
  <c r="G1044" i="6"/>
  <c r="G1043" i="6"/>
  <c r="G1042" i="6"/>
  <c r="G1041" i="6"/>
  <c r="G1040" i="6"/>
  <c r="G1039" i="6"/>
  <c r="G1038" i="6"/>
  <c r="G1037" i="6"/>
  <c r="G1036" i="6"/>
  <c r="G1035" i="6"/>
  <c r="G1034" i="6"/>
  <c r="G1033" i="6"/>
  <c r="G1032" i="6"/>
  <c r="G1031" i="6"/>
  <c r="G1030" i="6"/>
  <c r="G1029" i="6"/>
  <c r="G1028" i="6"/>
  <c r="G1027" i="6"/>
  <c r="G1026" i="6"/>
  <c r="G1025" i="6"/>
  <c r="G1024" i="6"/>
  <c r="G1023" i="6"/>
  <c r="G1022" i="6"/>
  <c r="G1021" i="6"/>
  <c r="G1020" i="6"/>
  <c r="G1019" i="6"/>
  <c r="G1018" i="6"/>
  <c r="G1017" i="6"/>
  <c r="G1016" i="6"/>
  <c r="G1015" i="6"/>
  <c r="G1014" i="6"/>
  <c r="G1013" i="6"/>
  <c r="G1012" i="6"/>
  <c r="G1011" i="6"/>
  <c r="G1010" i="6"/>
  <c r="G1009" i="6"/>
  <c r="G1008" i="6"/>
  <c r="G1007" i="6"/>
  <c r="G1006" i="6"/>
  <c r="G1005" i="6"/>
  <c r="G1004" i="6"/>
  <c r="G1003" i="6"/>
  <c r="G1002" i="6"/>
  <c r="G1001" i="6"/>
  <c r="G1000" i="6"/>
  <c r="G999" i="6"/>
  <c r="G998" i="6"/>
  <c r="G997" i="6"/>
  <c r="G996" i="6"/>
  <c r="G995" i="6"/>
  <c r="G994" i="6"/>
  <c r="G993" i="6"/>
  <c r="G992" i="6"/>
  <c r="G991" i="6"/>
  <c r="G990" i="6"/>
  <c r="G989" i="6"/>
  <c r="G988" i="6"/>
  <c r="G987" i="6"/>
  <c r="G986" i="6"/>
  <c r="G985" i="6"/>
  <c r="G984" i="6"/>
  <c r="G983" i="6"/>
  <c r="G982" i="6"/>
  <c r="G981" i="6"/>
  <c r="G980" i="6"/>
  <c r="G979" i="6"/>
  <c r="G978" i="6"/>
  <c r="G977" i="6"/>
  <c r="G976" i="6"/>
  <c r="G975" i="6"/>
  <c r="G974" i="6"/>
  <c r="G973" i="6"/>
  <c r="G972" i="6"/>
  <c r="G971" i="6"/>
  <c r="G970" i="6"/>
  <c r="G969" i="6"/>
  <c r="G968" i="6"/>
  <c r="G967" i="6"/>
  <c r="G966" i="6"/>
  <c r="G965" i="6"/>
  <c r="G964" i="6"/>
  <c r="G963" i="6"/>
  <c r="G962" i="6"/>
  <c r="G961" i="6"/>
  <c r="G960" i="6"/>
  <c r="G959" i="6"/>
  <c r="G958" i="6"/>
  <c r="G957" i="6"/>
  <c r="G956" i="6"/>
  <c r="G955" i="6"/>
  <c r="G954" i="6"/>
  <c r="G953" i="6"/>
  <c r="G952" i="6"/>
  <c r="G951" i="6"/>
  <c r="G950" i="6"/>
  <c r="G949" i="6"/>
  <c r="G948" i="6"/>
  <c r="G947" i="6"/>
  <c r="G946" i="6"/>
  <c r="G945" i="6"/>
  <c r="G944" i="6"/>
  <c r="G943" i="6"/>
  <c r="G942" i="6"/>
  <c r="G941" i="6"/>
  <c r="G940" i="6"/>
  <c r="G939" i="6"/>
  <c r="G938" i="6"/>
  <c r="G937" i="6"/>
  <c r="G936" i="6"/>
  <c r="G935" i="6"/>
  <c r="G934" i="6"/>
  <c r="G933" i="6"/>
  <c r="G932" i="6"/>
  <c r="G931" i="6"/>
  <c r="G930" i="6"/>
  <c r="G929" i="6"/>
  <c r="G928" i="6"/>
  <c r="G927" i="6"/>
  <c r="G926" i="6"/>
  <c r="G925" i="6"/>
  <c r="G924" i="6"/>
  <c r="G923" i="6"/>
  <c r="G922" i="6"/>
  <c r="G921" i="6"/>
  <c r="G920" i="6"/>
  <c r="G919" i="6"/>
  <c r="G918" i="6"/>
  <c r="G917" i="6"/>
  <c r="G916" i="6"/>
  <c r="G915" i="6"/>
  <c r="G914" i="6"/>
  <c r="G913" i="6"/>
  <c r="G912" i="6"/>
  <c r="G911" i="6"/>
  <c r="G910" i="6"/>
  <c r="G909" i="6"/>
  <c r="G908" i="6"/>
  <c r="G907" i="6"/>
  <c r="G906" i="6"/>
  <c r="G905" i="6"/>
  <c r="G904" i="6"/>
  <c r="G903" i="6"/>
  <c r="G902" i="6"/>
  <c r="G901" i="6"/>
  <c r="G900" i="6"/>
  <c r="G899" i="6"/>
  <c r="G898" i="6"/>
  <c r="G897" i="6"/>
  <c r="G896" i="6"/>
  <c r="G895" i="6"/>
  <c r="G894" i="6"/>
  <c r="G893" i="6"/>
  <c r="G892" i="6"/>
  <c r="G891" i="6"/>
  <c r="G890" i="6"/>
  <c r="G889" i="6"/>
  <c r="G888" i="6"/>
  <c r="G887" i="6"/>
  <c r="G886" i="6"/>
  <c r="G885" i="6"/>
  <c r="G884" i="6"/>
  <c r="G883" i="6"/>
  <c r="G882" i="6"/>
  <c r="G881" i="6"/>
  <c r="G880" i="6"/>
  <c r="G879" i="6"/>
  <c r="G878" i="6"/>
  <c r="G877" i="6"/>
  <c r="G876" i="6"/>
  <c r="G875" i="6"/>
  <c r="G874" i="6"/>
  <c r="G873" i="6"/>
  <c r="G872" i="6"/>
  <c r="G871" i="6"/>
  <c r="G870" i="6"/>
  <c r="G869" i="6"/>
  <c r="G868" i="6"/>
  <c r="G867" i="6"/>
  <c r="G866" i="6"/>
  <c r="G865" i="6"/>
  <c r="G864" i="6"/>
  <c r="G863" i="6"/>
  <c r="G862" i="6"/>
  <c r="G861" i="6"/>
  <c r="G860" i="6"/>
  <c r="G859" i="6"/>
  <c r="G858" i="6"/>
  <c r="G857" i="6"/>
  <c r="G856" i="6"/>
  <c r="G855" i="6"/>
  <c r="G854" i="6"/>
  <c r="G853" i="6"/>
  <c r="G852" i="6"/>
  <c r="G851" i="6"/>
  <c r="G850" i="6"/>
  <c r="G849" i="6"/>
  <c r="G848" i="6"/>
  <c r="G847" i="6"/>
  <c r="G846" i="6"/>
  <c r="G845" i="6"/>
  <c r="G844" i="6"/>
  <c r="G843" i="6"/>
  <c r="G842" i="6"/>
  <c r="G841" i="6"/>
  <c r="G840" i="6"/>
  <c r="G839" i="6"/>
  <c r="G838" i="6"/>
  <c r="G837" i="6"/>
  <c r="G836" i="6"/>
  <c r="G835" i="6"/>
  <c r="G834" i="6"/>
  <c r="G833" i="6"/>
  <c r="G832" i="6"/>
  <c r="G831" i="6"/>
  <c r="G830" i="6"/>
  <c r="G829" i="6"/>
  <c r="G828" i="6"/>
  <c r="G827" i="6"/>
  <c r="G826" i="6"/>
  <c r="G825" i="6"/>
  <c r="G824" i="6"/>
  <c r="G823" i="6"/>
  <c r="G822" i="6"/>
  <c r="G821" i="6"/>
  <c r="G820" i="6"/>
  <c r="G819" i="6"/>
  <c r="G818" i="6"/>
  <c r="G817" i="6"/>
  <c r="G816" i="6"/>
  <c r="G815" i="6"/>
  <c r="G814" i="6"/>
  <c r="G813" i="6"/>
  <c r="G812" i="6"/>
  <c r="G811" i="6"/>
  <c r="G810" i="6"/>
  <c r="G809" i="6"/>
  <c r="G808" i="6"/>
  <c r="G807" i="6"/>
  <c r="G806" i="6"/>
  <c r="G805" i="6"/>
  <c r="G804" i="6"/>
  <c r="G803" i="6"/>
  <c r="G802" i="6"/>
  <c r="G801" i="6"/>
  <c r="G800" i="6"/>
  <c r="G799" i="6"/>
  <c r="G798" i="6"/>
  <c r="G797" i="6"/>
  <c r="G796" i="6"/>
  <c r="G795" i="6"/>
  <c r="G794" i="6"/>
  <c r="G793" i="6"/>
  <c r="G792" i="6"/>
  <c r="G791" i="6"/>
  <c r="G790" i="6"/>
  <c r="G789" i="6"/>
  <c r="G788" i="6"/>
  <c r="G787" i="6"/>
  <c r="G786" i="6"/>
  <c r="G785" i="6"/>
  <c r="G784" i="6"/>
  <c r="G783" i="6"/>
  <c r="G782" i="6"/>
  <c r="G781" i="6"/>
  <c r="G780" i="6"/>
  <c r="G779" i="6"/>
  <c r="G778" i="6"/>
  <c r="G777" i="6"/>
  <c r="G776" i="6"/>
  <c r="G775" i="6"/>
  <c r="G774" i="6"/>
  <c r="G773" i="6"/>
  <c r="G772" i="6"/>
  <c r="G771" i="6"/>
  <c r="G770" i="6"/>
  <c r="G769" i="6"/>
  <c r="G768" i="6"/>
  <c r="G767" i="6"/>
  <c r="G766" i="6"/>
  <c r="G765" i="6"/>
  <c r="G764" i="6"/>
  <c r="G763" i="6"/>
  <c r="G762" i="6"/>
  <c r="G761" i="6"/>
  <c r="G760" i="6"/>
  <c r="G759" i="6"/>
  <c r="G758" i="6"/>
  <c r="G757" i="6"/>
  <c r="G756" i="6"/>
  <c r="G755" i="6"/>
  <c r="G754" i="6"/>
  <c r="G753" i="6"/>
  <c r="G752" i="6"/>
  <c r="G751" i="6"/>
  <c r="G750" i="6"/>
  <c r="G749" i="6"/>
  <c r="G748" i="6"/>
  <c r="G747" i="6"/>
  <c r="G746" i="6"/>
  <c r="G745" i="6"/>
  <c r="G744" i="6"/>
  <c r="G743" i="6"/>
  <c r="G742" i="6"/>
  <c r="G741" i="6"/>
  <c r="G740" i="6"/>
  <c r="G739" i="6"/>
  <c r="G738" i="6"/>
  <c r="G737" i="6"/>
  <c r="G736" i="6"/>
  <c r="G735" i="6"/>
  <c r="G734" i="6"/>
  <c r="G733" i="6"/>
  <c r="G732" i="6"/>
  <c r="G731" i="6"/>
  <c r="G730" i="6"/>
  <c r="G729" i="6"/>
  <c r="G728" i="6"/>
  <c r="G727" i="6"/>
  <c r="G726" i="6"/>
  <c r="G725" i="6"/>
  <c r="G724" i="6"/>
  <c r="G723" i="6"/>
  <c r="G722" i="6"/>
  <c r="G721" i="6"/>
  <c r="G720" i="6"/>
  <c r="G719" i="6"/>
  <c r="G718" i="6"/>
  <c r="G717" i="6"/>
  <c r="G716" i="6"/>
  <c r="G715" i="6"/>
  <c r="G714" i="6"/>
  <c r="G713" i="6"/>
  <c r="G712" i="6"/>
  <c r="G711" i="6"/>
  <c r="G710" i="6"/>
  <c r="G709" i="6"/>
  <c r="G708" i="6"/>
  <c r="G707" i="6"/>
  <c r="G706" i="6"/>
  <c r="G705" i="6"/>
  <c r="G704" i="6"/>
  <c r="G703" i="6"/>
  <c r="G702" i="6"/>
  <c r="G701" i="6"/>
  <c r="G700" i="6"/>
  <c r="G699" i="6"/>
  <c r="G698" i="6"/>
  <c r="G697" i="6"/>
  <c r="G696" i="6"/>
  <c r="G695" i="6"/>
  <c r="G694" i="6"/>
  <c r="G693" i="6"/>
  <c r="G692" i="6"/>
  <c r="G691" i="6"/>
  <c r="G690" i="6"/>
  <c r="G689" i="6"/>
  <c r="G688" i="6"/>
  <c r="G687" i="6"/>
  <c r="G686" i="6"/>
  <c r="G685" i="6"/>
  <c r="G684" i="6"/>
  <c r="G683" i="6"/>
  <c r="G682" i="6"/>
  <c r="G681" i="6"/>
  <c r="G680" i="6"/>
  <c r="G679" i="6"/>
  <c r="G678" i="6"/>
  <c r="G677" i="6"/>
  <c r="G676" i="6"/>
  <c r="G675" i="6"/>
  <c r="G674" i="6"/>
  <c r="G673" i="6"/>
  <c r="G672" i="6"/>
  <c r="G671" i="6"/>
  <c r="G670" i="6"/>
  <c r="G669" i="6"/>
  <c r="G668" i="6"/>
  <c r="G667" i="6"/>
  <c r="G666" i="6"/>
  <c r="G665" i="6"/>
  <c r="G664" i="6"/>
  <c r="G663" i="6"/>
  <c r="G662" i="6"/>
  <c r="G661" i="6"/>
  <c r="G660" i="6"/>
  <c r="G659" i="6"/>
  <c r="G658" i="6"/>
  <c r="G657" i="6"/>
  <c r="G656" i="6"/>
  <c r="G655" i="6"/>
  <c r="G654" i="6"/>
  <c r="G653" i="6"/>
  <c r="G652" i="6"/>
  <c r="G651" i="6"/>
  <c r="G650" i="6"/>
  <c r="G649" i="6"/>
  <c r="G648" i="6"/>
  <c r="G647" i="6"/>
  <c r="G646" i="6"/>
  <c r="G645" i="6"/>
  <c r="G644" i="6"/>
  <c r="G643" i="6"/>
  <c r="G642" i="6"/>
  <c r="G641" i="6"/>
  <c r="G640" i="6"/>
  <c r="G639" i="6"/>
  <c r="G638" i="6"/>
  <c r="G637" i="6"/>
  <c r="G636" i="6"/>
  <c r="G635" i="6"/>
  <c r="G634" i="6"/>
  <c r="G633" i="6"/>
  <c r="G632" i="6"/>
  <c r="G631" i="6"/>
  <c r="G630" i="6"/>
  <c r="G629" i="6"/>
  <c r="G628" i="6"/>
  <c r="G627" i="6"/>
  <c r="G626" i="6"/>
  <c r="G625" i="6"/>
  <c r="G624" i="6"/>
  <c r="G623" i="6"/>
  <c r="G622" i="6"/>
  <c r="G621" i="6"/>
  <c r="G620" i="6"/>
  <c r="G619" i="6"/>
  <c r="G618" i="6"/>
  <c r="G617" i="6"/>
  <c r="G616" i="6"/>
  <c r="G615" i="6"/>
  <c r="G614" i="6"/>
  <c r="G613" i="6"/>
  <c r="G612" i="6"/>
  <c r="G611" i="6"/>
  <c r="G610" i="6"/>
  <c r="G609" i="6"/>
  <c r="G608" i="6"/>
  <c r="G607" i="6"/>
  <c r="G606" i="6"/>
  <c r="G605" i="6"/>
  <c r="G604" i="6"/>
  <c r="G603" i="6"/>
  <c r="G602" i="6"/>
  <c r="G601" i="6"/>
  <c r="G600" i="6"/>
  <c r="G599" i="6"/>
  <c r="G598" i="6"/>
  <c r="G597" i="6"/>
  <c r="G596" i="6"/>
  <c r="G595" i="6"/>
  <c r="G594" i="6"/>
  <c r="G593" i="6"/>
  <c r="G592" i="6"/>
  <c r="G591" i="6"/>
  <c r="G590" i="6"/>
  <c r="G589" i="6"/>
  <c r="G588" i="6"/>
  <c r="G587" i="6"/>
  <c r="G586" i="6"/>
  <c r="G585" i="6"/>
  <c r="G584" i="6"/>
  <c r="G583" i="6"/>
  <c r="G582" i="6"/>
  <c r="G581" i="6"/>
  <c r="G580" i="6"/>
  <c r="G579" i="6"/>
  <c r="G578" i="6"/>
  <c r="G577" i="6"/>
  <c r="G576" i="6"/>
  <c r="G575" i="6"/>
  <c r="G574" i="6"/>
  <c r="G573" i="6"/>
  <c r="G572" i="6"/>
  <c r="G571" i="6"/>
  <c r="G570" i="6"/>
  <c r="G569" i="6"/>
  <c r="G568" i="6"/>
  <c r="G567" i="6"/>
  <c r="G566" i="6"/>
  <c r="G565" i="6"/>
  <c r="G564" i="6"/>
  <c r="G563" i="6"/>
  <c r="G562" i="6"/>
  <c r="G561" i="6"/>
  <c r="G560" i="6"/>
  <c r="G559" i="6"/>
  <c r="G558" i="6"/>
  <c r="G557" i="6"/>
  <c r="G556" i="6"/>
  <c r="G555" i="6"/>
  <c r="G554" i="6"/>
  <c r="G553" i="6"/>
  <c r="G552" i="6"/>
  <c r="G551" i="6"/>
  <c r="G550" i="6"/>
  <c r="G549" i="6"/>
  <c r="G548" i="6"/>
  <c r="G547" i="6"/>
  <c r="G546" i="6"/>
  <c r="G545" i="6"/>
  <c r="G544" i="6"/>
  <c r="G543" i="6"/>
  <c r="G542" i="6"/>
  <c r="G541" i="6"/>
  <c r="G540" i="6"/>
  <c r="G539" i="6"/>
  <c r="G538" i="6"/>
  <c r="G537" i="6"/>
  <c r="G536" i="6"/>
  <c r="G535" i="6"/>
  <c r="G534" i="6"/>
  <c r="G533" i="6"/>
  <c r="G532" i="6"/>
  <c r="G531" i="6"/>
  <c r="G530" i="6"/>
  <c r="G529" i="6"/>
  <c r="G528" i="6"/>
  <c r="G527" i="6"/>
  <c r="G526" i="6"/>
  <c r="G525" i="6"/>
  <c r="G524" i="6"/>
  <c r="G523" i="6"/>
  <c r="G522" i="6"/>
  <c r="G521" i="6"/>
  <c r="G520" i="6"/>
  <c r="G519" i="6"/>
  <c r="G518" i="6"/>
  <c r="G517" i="6"/>
  <c r="G516" i="6"/>
  <c r="G515" i="6"/>
  <c r="G514" i="6"/>
  <c r="G513" i="6"/>
  <c r="G512" i="6"/>
  <c r="G511" i="6"/>
  <c r="G510" i="6"/>
  <c r="G509" i="6"/>
  <c r="G508" i="6"/>
  <c r="G507" i="6"/>
  <c r="G506" i="6"/>
  <c r="G505" i="6"/>
  <c r="G504" i="6"/>
  <c r="G503" i="6"/>
  <c r="G502" i="6"/>
  <c r="G501" i="6"/>
  <c r="G500" i="6"/>
  <c r="G499" i="6"/>
  <c r="G498" i="6"/>
  <c r="G497" i="6"/>
  <c r="G496" i="6"/>
  <c r="G495" i="6"/>
  <c r="G494" i="6"/>
  <c r="G493" i="6"/>
  <c r="G492" i="6"/>
  <c r="G491" i="6"/>
  <c r="G490" i="6"/>
  <c r="G489" i="6"/>
  <c r="G488" i="6"/>
  <c r="G487" i="6"/>
  <c r="G486" i="6"/>
  <c r="G485" i="6"/>
  <c r="G484" i="6"/>
  <c r="G483" i="6"/>
  <c r="G482" i="6"/>
  <c r="G481" i="6"/>
  <c r="G480" i="6"/>
  <c r="G479" i="6"/>
  <c r="G478" i="6"/>
  <c r="G477" i="6"/>
  <c r="G476" i="6"/>
  <c r="G475" i="6"/>
  <c r="G474" i="6"/>
  <c r="G473" i="6"/>
  <c r="G472" i="6"/>
  <c r="G471" i="6"/>
  <c r="G470" i="6"/>
  <c r="G469" i="6"/>
  <c r="G468" i="6"/>
  <c r="G467" i="6"/>
  <c r="G466" i="6"/>
  <c r="G465" i="6"/>
  <c r="G464" i="6"/>
  <c r="G463" i="6"/>
  <c r="G462" i="6"/>
  <c r="G461" i="6"/>
  <c r="G460" i="6"/>
  <c r="G459" i="6"/>
  <c r="G458" i="6"/>
  <c r="G457" i="6"/>
  <c r="G456" i="6"/>
  <c r="G455" i="6"/>
  <c r="G454" i="6"/>
  <c r="G453" i="6"/>
  <c r="G452" i="6"/>
  <c r="G451" i="6"/>
  <c r="G450" i="6"/>
  <c r="G449" i="6"/>
  <c r="G448" i="6"/>
  <c r="G447" i="6"/>
  <c r="G446" i="6"/>
  <c r="G445" i="6"/>
  <c r="G444" i="6"/>
  <c r="G443" i="6"/>
  <c r="G442" i="6"/>
  <c r="G441" i="6"/>
  <c r="G440" i="6"/>
  <c r="G439" i="6"/>
  <c r="G438" i="6"/>
  <c r="G437" i="6"/>
  <c r="G436" i="6"/>
  <c r="G435" i="6"/>
  <c r="G434" i="6"/>
  <c r="G433" i="6"/>
  <c r="G432" i="6"/>
  <c r="G431" i="6"/>
  <c r="G430" i="6"/>
  <c r="G429" i="6"/>
  <c r="G428" i="6"/>
  <c r="G427" i="6"/>
  <c r="G426" i="6"/>
  <c r="G425" i="6"/>
  <c r="G424" i="6"/>
  <c r="G423" i="6"/>
  <c r="G422" i="6"/>
  <c r="G421" i="6"/>
  <c r="G420" i="6"/>
  <c r="G419" i="6"/>
  <c r="G418" i="6"/>
  <c r="G417" i="6"/>
  <c r="G416" i="6"/>
  <c r="G415" i="6"/>
  <c r="G414" i="6"/>
  <c r="G413" i="6"/>
  <c r="G412" i="6"/>
  <c r="G411" i="6"/>
  <c r="G410" i="6"/>
  <c r="G409" i="6"/>
  <c r="G408" i="6"/>
  <c r="G407" i="6"/>
  <c r="G406" i="6"/>
  <c r="G405" i="6"/>
  <c r="G404" i="6"/>
  <c r="G403" i="6"/>
  <c r="G402" i="6"/>
  <c r="G401" i="6"/>
  <c r="G400" i="6"/>
  <c r="G399" i="6"/>
  <c r="G398" i="6"/>
  <c r="G397" i="6"/>
  <c r="G396" i="6"/>
  <c r="G395" i="6"/>
  <c r="G394" i="6"/>
  <c r="G393" i="6"/>
  <c r="G392" i="6"/>
  <c r="G391" i="6"/>
  <c r="G390" i="6"/>
  <c r="G389" i="6"/>
  <c r="G388" i="6"/>
  <c r="G387" i="6"/>
  <c r="G386" i="6"/>
  <c r="G385" i="6"/>
  <c r="G384" i="6"/>
  <c r="G383" i="6"/>
  <c r="G382" i="6"/>
  <c r="G381" i="6"/>
  <c r="G380" i="6"/>
  <c r="G379" i="6"/>
  <c r="G378" i="6"/>
  <c r="G377" i="6"/>
  <c r="G376" i="6"/>
  <c r="G375" i="6"/>
  <c r="G374" i="6"/>
  <c r="G373" i="6"/>
  <c r="G372" i="6"/>
  <c r="G371" i="6"/>
  <c r="G370" i="6"/>
  <c r="G369" i="6"/>
  <c r="G368" i="6"/>
  <c r="G367" i="6"/>
  <c r="G366" i="6"/>
  <c r="G365" i="6"/>
  <c r="G364" i="6"/>
  <c r="G363" i="6"/>
  <c r="G362" i="6"/>
  <c r="G361" i="6"/>
  <c r="G360" i="6"/>
  <c r="G359" i="6"/>
  <c r="G358" i="6"/>
  <c r="G357" i="6"/>
  <c r="G356" i="6"/>
  <c r="G355" i="6"/>
  <c r="G354" i="6"/>
  <c r="G353" i="6"/>
  <c r="G352" i="6"/>
  <c r="G351" i="6"/>
  <c r="G350" i="6"/>
  <c r="G349" i="6"/>
  <c r="G348" i="6"/>
  <c r="G347" i="6"/>
  <c r="G346" i="6"/>
  <c r="G345" i="6"/>
  <c r="G344" i="6"/>
  <c r="G343" i="6"/>
  <c r="G342" i="6"/>
  <c r="G341" i="6"/>
  <c r="G340" i="6"/>
  <c r="G339" i="6"/>
  <c r="G338" i="6"/>
  <c r="G337" i="6"/>
  <c r="G336" i="6"/>
  <c r="G335" i="6"/>
  <c r="G334" i="6"/>
  <c r="G333" i="6"/>
  <c r="G332" i="6"/>
  <c r="G331" i="6"/>
  <c r="G330" i="6"/>
  <c r="G329" i="6"/>
  <c r="G328" i="6"/>
  <c r="G327" i="6"/>
  <c r="G326" i="6"/>
  <c r="G325" i="6"/>
  <c r="G324" i="6"/>
  <c r="G323" i="6"/>
  <c r="G322" i="6"/>
  <c r="G321" i="6"/>
  <c r="G320" i="6"/>
  <c r="G319" i="6"/>
  <c r="G318" i="6"/>
  <c r="G317" i="6"/>
  <c r="G316" i="6"/>
  <c r="G315" i="6"/>
  <c r="G314" i="6"/>
  <c r="G313" i="6"/>
  <c r="G312" i="6"/>
  <c r="G311" i="6"/>
  <c r="G310" i="6"/>
  <c r="G309" i="6"/>
  <c r="G308" i="6"/>
  <c r="G307" i="6"/>
  <c r="G306" i="6"/>
  <c r="G305" i="6"/>
  <c r="G304" i="6"/>
  <c r="G303" i="6"/>
  <c r="G302" i="6"/>
  <c r="G301" i="6"/>
  <c r="G300" i="6"/>
  <c r="G299" i="6"/>
  <c r="G298" i="6"/>
  <c r="G297" i="6"/>
  <c r="G296" i="6"/>
  <c r="G295" i="6"/>
  <c r="G294" i="6"/>
  <c r="G293" i="6"/>
  <c r="G292" i="6"/>
  <c r="G291" i="6"/>
  <c r="G290" i="6"/>
  <c r="G289" i="6"/>
  <c r="G288" i="6"/>
  <c r="G287" i="6"/>
  <c r="G286" i="6"/>
  <c r="G285" i="6"/>
  <c r="G284" i="6"/>
  <c r="G283" i="6"/>
  <c r="G282" i="6"/>
  <c r="G281" i="6"/>
  <c r="G280" i="6"/>
  <c r="G279" i="6"/>
  <c r="G278" i="6"/>
  <c r="G277" i="6"/>
  <c r="G276" i="6"/>
  <c r="G275" i="6"/>
  <c r="G274" i="6"/>
  <c r="G273" i="6"/>
  <c r="G272" i="6"/>
  <c r="G271" i="6"/>
  <c r="G270" i="6"/>
  <c r="G269" i="6"/>
  <c r="G268" i="6"/>
  <c r="G267" i="6"/>
  <c r="G266" i="6"/>
  <c r="G265" i="6"/>
  <c r="G264" i="6"/>
  <c r="G263" i="6"/>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G8" i="6"/>
  <c r="G7" i="6"/>
  <c r="G6" i="6"/>
  <c r="G5" i="6"/>
  <c r="G4" i="6"/>
  <c r="G3" i="6"/>
  <c r="G2" i="6"/>
  <c r="F48" i="4"/>
  <c r="E48" i="4"/>
  <c r="D48" i="4"/>
  <c r="C48" i="4"/>
  <c r="B48" i="4"/>
  <c r="J222" i="3"/>
  <c r="I222" i="3"/>
  <c r="J102" i="3"/>
  <c r="I102" i="3"/>
  <c r="J548" i="3"/>
  <c r="I548" i="3"/>
  <c r="J71" i="3"/>
  <c r="I71" i="3"/>
  <c r="J547" i="3"/>
  <c r="I547" i="3"/>
  <c r="J332" i="3"/>
  <c r="I332" i="3"/>
  <c r="J546" i="3"/>
  <c r="I546" i="3"/>
  <c r="J331" i="3"/>
  <c r="I331" i="3"/>
  <c r="J25" i="3"/>
  <c r="I25" i="3"/>
  <c r="J101" i="3"/>
  <c r="I101" i="3"/>
  <c r="J545" i="3"/>
  <c r="I545" i="3"/>
  <c r="J544" i="3"/>
  <c r="I544" i="3"/>
  <c r="J330" i="3"/>
  <c r="I330" i="3"/>
  <c r="J70" i="3"/>
  <c r="I70" i="3"/>
  <c r="J543" i="3"/>
  <c r="I543" i="3"/>
  <c r="J221" i="3"/>
  <c r="I221" i="3"/>
  <c r="J146" i="3"/>
  <c r="I146" i="3"/>
  <c r="J542" i="3"/>
  <c r="I542" i="3"/>
  <c r="J24" i="3"/>
  <c r="I24" i="3"/>
  <c r="J13" i="3"/>
  <c r="I13" i="3"/>
  <c r="J145" i="3"/>
  <c r="I145" i="3"/>
  <c r="J541" i="3"/>
  <c r="I541" i="3"/>
  <c r="J69" i="3"/>
  <c r="I69" i="3"/>
  <c r="J220" i="3"/>
  <c r="I220" i="3"/>
  <c r="J219" i="3"/>
  <c r="I219" i="3"/>
  <c r="J144" i="3"/>
  <c r="I144" i="3"/>
  <c r="J143" i="3"/>
  <c r="I143" i="3"/>
  <c r="J329" i="3"/>
  <c r="I329" i="3"/>
  <c r="J328" i="3"/>
  <c r="I328" i="3"/>
  <c r="J540" i="3"/>
  <c r="I540" i="3"/>
  <c r="J34" i="3"/>
  <c r="I34" i="3"/>
  <c r="J327" i="3"/>
  <c r="I327" i="3"/>
  <c r="J218" i="3"/>
  <c r="I218" i="3"/>
  <c r="J217" i="3"/>
  <c r="I217" i="3"/>
  <c r="J100" i="3"/>
  <c r="I100" i="3"/>
  <c r="J539" i="3"/>
  <c r="I539" i="3"/>
  <c r="J142" i="3"/>
  <c r="I142" i="3"/>
  <c r="J326" i="3"/>
  <c r="I326" i="3"/>
  <c r="J216" i="3"/>
  <c r="I216" i="3"/>
  <c r="J215" i="3"/>
  <c r="I215" i="3"/>
  <c r="J325" i="3"/>
  <c r="I325" i="3"/>
  <c r="J538" i="3"/>
  <c r="I538" i="3"/>
  <c r="J214" i="3"/>
  <c r="I214" i="3"/>
  <c r="J537" i="3"/>
  <c r="I537" i="3"/>
  <c r="J324" i="3"/>
  <c r="I324" i="3"/>
  <c r="J213" i="3"/>
  <c r="I213" i="3"/>
  <c r="J536" i="3"/>
  <c r="I536" i="3"/>
  <c r="J535" i="3"/>
  <c r="I535" i="3"/>
  <c r="J534" i="3"/>
  <c r="I534" i="3"/>
  <c r="J533" i="3"/>
  <c r="I533" i="3"/>
  <c r="J212" i="3"/>
  <c r="I212" i="3"/>
  <c r="J99" i="3"/>
  <c r="I99" i="3"/>
  <c r="J323" i="3"/>
  <c r="I323" i="3"/>
  <c r="J68" i="3"/>
  <c r="I68" i="3"/>
  <c r="J532" i="3"/>
  <c r="I532" i="3"/>
  <c r="J531" i="3"/>
  <c r="I531" i="3"/>
  <c r="J98" i="3"/>
  <c r="I98" i="3"/>
  <c r="J141" i="3"/>
  <c r="I141" i="3"/>
  <c r="J97" i="3"/>
  <c r="I97" i="3"/>
  <c r="J530" i="3"/>
  <c r="I530" i="3"/>
  <c r="J211" i="3"/>
  <c r="I211" i="3"/>
  <c r="J140" i="3"/>
  <c r="I140" i="3"/>
  <c r="J529" i="3"/>
  <c r="I529" i="3"/>
  <c r="J528" i="3"/>
  <c r="I528" i="3"/>
  <c r="J210" i="3"/>
  <c r="I210" i="3"/>
  <c r="J67" i="3"/>
  <c r="I67" i="3"/>
  <c r="J48" i="3"/>
  <c r="I48" i="3"/>
  <c r="J527" i="3"/>
  <c r="I527" i="3"/>
  <c r="J209" i="3"/>
  <c r="I209" i="3"/>
  <c r="J526" i="3"/>
  <c r="I526" i="3"/>
  <c r="J322" i="3"/>
  <c r="I322" i="3"/>
  <c r="J525" i="3"/>
  <c r="I525" i="3"/>
  <c r="J524" i="3"/>
  <c r="I524" i="3"/>
  <c r="J139" i="3"/>
  <c r="I139" i="3"/>
  <c r="J523" i="3"/>
  <c r="I523" i="3"/>
  <c r="J321" i="3"/>
  <c r="I321" i="3"/>
  <c r="J66" i="3"/>
  <c r="I66" i="3"/>
  <c r="J320" i="3"/>
  <c r="I320" i="3"/>
  <c r="J65" i="3"/>
  <c r="I65" i="3"/>
  <c r="J522" i="3"/>
  <c r="I522" i="3"/>
  <c r="J7" i="3"/>
  <c r="I7" i="3"/>
  <c r="J8" i="3"/>
  <c r="I8" i="3"/>
  <c r="J521" i="3"/>
  <c r="I521" i="3"/>
  <c r="J520" i="3"/>
  <c r="I520" i="3"/>
  <c r="J519" i="3"/>
  <c r="I519" i="3"/>
  <c r="J23" i="3"/>
  <c r="I23" i="3"/>
  <c r="J64" i="3"/>
  <c r="I64" i="3"/>
  <c r="J22" i="3"/>
  <c r="I22" i="3"/>
  <c r="J319" i="3"/>
  <c r="I319" i="3"/>
  <c r="J518" i="3"/>
  <c r="I518" i="3"/>
  <c r="J63" i="3"/>
  <c r="I63" i="3"/>
  <c r="J517" i="3"/>
  <c r="I517" i="3"/>
  <c r="J6" i="3"/>
  <c r="I6" i="3"/>
  <c r="J208" i="3"/>
  <c r="I208" i="3"/>
  <c r="J318" i="3"/>
  <c r="I318" i="3"/>
  <c r="J207" i="3"/>
  <c r="I207" i="3"/>
  <c r="J96" i="3"/>
  <c r="I96" i="3"/>
  <c r="J516" i="3"/>
  <c r="I516" i="3"/>
  <c r="J138" i="3"/>
  <c r="I138" i="3"/>
  <c r="J515" i="3"/>
  <c r="I515" i="3"/>
  <c r="J514" i="3"/>
  <c r="I514" i="3"/>
  <c r="J513" i="3"/>
  <c r="I513" i="3"/>
  <c r="J512" i="3"/>
  <c r="I512" i="3"/>
  <c r="J317" i="3"/>
  <c r="I317" i="3"/>
  <c r="J511" i="3"/>
  <c r="I511" i="3"/>
  <c r="J137" i="3"/>
  <c r="I137" i="3"/>
  <c r="J510" i="3"/>
  <c r="I510" i="3"/>
  <c r="J40" i="3"/>
  <c r="I40" i="3"/>
  <c r="J316" i="3"/>
  <c r="I316" i="3"/>
  <c r="J136" i="3"/>
  <c r="I136" i="3"/>
  <c r="J206" i="3"/>
  <c r="I206" i="3"/>
  <c r="J315" i="3"/>
  <c r="I315" i="3"/>
  <c r="J95" i="3"/>
  <c r="I95" i="3"/>
  <c r="J135" i="3"/>
  <c r="I135" i="3"/>
  <c r="J314" i="3"/>
  <c r="I314" i="3"/>
  <c r="J33" i="3"/>
  <c r="I33" i="3"/>
  <c r="J313" i="3"/>
  <c r="I313" i="3"/>
  <c r="J94" i="3"/>
  <c r="I94" i="3"/>
  <c r="J205" i="3"/>
  <c r="I205" i="3"/>
  <c r="J204" i="3"/>
  <c r="I204" i="3"/>
  <c r="J509" i="3"/>
  <c r="I509" i="3"/>
  <c r="J39" i="3"/>
  <c r="I39" i="3"/>
  <c r="J508" i="3"/>
  <c r="I508" i="3"/>
  <c r="J507" i="3"/>
  <c r="I507" i="3"/>
  <c r="J312" i="3"/>
  <c r="I312" i="3"/>
  <c r="J62" i="3"/>
  <c r="I62" i="3"/>
  <c r="J203" i="3"/>
  <c r="I203" i="3"/>
  <c r="J21" i="3"/>
  <c r="I21" i="3"/>
  <c r="J202" i="3"/>
  <c r="I202" i="3"/>
  <c r="J201" i="3"/>
  <c r="I201" i="3"/>
  <c r="J311" i="3"/>
  <c r="I311" i="3"/>
  <c r="J93" i="3"/>
  <c r="I93" i="3"/>
  <c r="J12" i="3"/>
  <c r="I12" i="3"/>
  <c r="J92" i="3"/>
  <c r="I92" i="3"/>
  <c r="J91" i="3"/>
  <c r="I91" i="3"/>
  <c r="J310" i="3"/>
  <c r="I310" i="3"/>
  <c r="J506" i="3"/>
  <c r="I506" i="3"/>
  <c r="J200" i="3"/>
  <c r="I200" i="3"/>
  <c r="J505" i="3"/>
  <c r="I505" i="3"/>
  <c r="J504" i="3"/>
  <c r="I504" i="3"/>
  <c r="J90" i="3"/>
  <c r="I90" i="3"/>
  <c r="J15" i="3"/>
  <c r="I15" i="3"/>
  <c r="J199" i="3"/>
  <c r="I199" i="3"/>
  <c r="J38" i="3"/>
  <c r="I38" i="3"/>
  <c r="J61" i="3"/>
  <c r="I61" i="3"/>
  <c r="J503" i="3"/>
  <c r="I503" i="3"/>
  <c r="J60" i="3"/>
  <c r="I60" i="3"/>
  <c r="J502" i="3"/>
  <c r="I502" i="3"/>
  <c r="J32" i="3"/>
  <c r="I32" i="3"/>
  <c r="J501" i="3"/>
  <c r="I501" i="3"/>
  <c r="J134" i="3"/>
  <c r="I134" i="3"/>
  <c r="J500" i="3"/>
  <c r="I500" i="3"/>
  <c r="J499" i="3"/>
  <c r="I499" i="3"/>
  <c r="J498" i="3"/>
  <c r="I498" i="3"/>
  <c r="J133" i="3"/>
  <c r="I133" i="3"/>
  <c r="J47" i="3"/>
  <c r="I47" i="3"/>
  <c r="J198" i="3"/>
  <c r="I198" i="3"/>
  <c r="J497" i="3"/>
  <c r="I497" i="3"/>
  <c r="J309" i="3"/>
  <c r="I309" i="3"/>
  <c r="J496" i="3"/>
  <c r="I496" i="3"/>
  <c r="J59" i="3"/>
  <c r="I59" i="3"/>
  <c r="J495" i="3"/>
  <c r="I495" i="3"/>
  <c r="J308" i="3"/>
  <c r="I308" i="3"/>
  <c r="J494" i="3"/>
  <c r="I494" i="3"/>
  <c r="J493" i="3"/>
  <c r="I493" i="3"/>
  <c r="J492" i="3"/>
  <c r="I492" i="3"/>
  <c r="J132" i="3"/>
  <c r="I132" i="3"/>
  <c r="J307" i="3"/>
  <c r="I307" i="3"/>
  <c r="J491" i="3"/>
  <c r="I491" i="3"/>
  <c r="J490" i="3"/>
  <c r="I490" i="3"/>
  <c r="J489" i="3"/>
  <c r="I489" i="3"/>
  <c r="J488" i="3"/>
  <c r="I488" i="3"/>
  <c r="J487" i="3"/>
  <c r="I487" i="3"/>
  <c r="J486" i="3"/>
  <c r="I486" i="3"/>
  <c r="J485" i="3"/>
  <c r="I485" i="3"/>
  <c r="J484" i="3"/>
  <c r="I484" i="3"/>
  <c r="J483" i="3"/>
  <c r="I483" i="3"/>
  <c r="J482" i="3"/>
  <c r="I482" i="3"/>
  <c r="J481" i="3"/>
  <c r="I481" i="3"/>
  <c r="J480" i="3"/>
  <c r="I480" i="3"/>
  <c r="J479" i="3"/>
  <c r="I479" i="3"/>
  <c r="J478" i="3"/>
  <c r="I478" i="3"/>
  <c r="J477" i="3"/>
  <c r="I477" i="3"/>
  <c r="J476" i="3"/>
  <c r="I476" i="3"/>
  <c r="J475" i="3"/>
  <c r="I475" i="3"/>
  <c r="J474" i="3"/>
  <c r="I474" i="3"/>
  <c r="J473" i="3"/>
  <c r="I473" i="3"/>
  <c r="J472" i="3"/>
  <c r="I472" i="3"/>
  <c r="J471" i="3"/>
  <c r="I471" i="3"/>
  <c r="J470" i="3"/>
  <c r="I470" i="3"/>
  <c r="J306" i="3"/>
  <c r="I306" i="3"/>
  <c r="J305" i="3"/>
  <c r="I305" i="3"/>
  <c r="J469" i="3"/>
  <c r="I469" i="3"/>
  <c r="J58" i="3"/>
  <c r="I58" i="3"/>
  <c r="J468" i="3"/>
  <c r="I468" i="3"/>
  <c r="J20" i="3"/>
  <c r="I20" i="3"/>
  <c r="J304" i="3"/>
  <c r="I304" i="3"/>
  <c r="J467" i="3"/>
  <c r="I467" i="3"/>
  <c r="J466" i="3"/>
  <c r="I466" i="3"/>
  <c r="J465" i="3"/>
  <c r="I465" i="3"/>
  <c r="J303" i="3"/>
  <c r="I303" i="3"/>
  <c r="J464" i="3"/>
  <c r="I464" i="3"/>
  <c r="J463" i="3"/>
  <c r="I463" i="3"/>
  <c r="J462" i="3"/>
  <c r="I462" i="3"/>
  <c r="J461" i="3"/>
  <c r="I461" i="3"/>
  <c r="J460" i="3"/>
  <c r="I460" i="3"/>
  <c r="J459" i="3"/>
  <c r="I459" i="3"/>
  <c r="J458" i="3"/>
  <c r="I458" i="3"/>
  <c r="J457" i="3"/>
  <c r="I457" i="3"/>
  <c r="J456" i="3"/>
  <c r="I456" i="3"/>
  <c r="J455" i="3"/>
  <c r="I455" i="3"/>
  <c r="J454" i="3"/>
  <c r="I454" i="3"/>
  <c r="J453" i="3"/>
  <c r="I453" i="3"/>
  <c r="J452" i="3"/>
  <c r="I452" i="3"/>
  <c r="J451" i="3"/>
  <c r="I451" i="3"/>
  <c r="J302" i="3"/>
  <c r="I302" i="3"/>
  <c r="J450" i="3"/>
  <c r="I450" i="3"/>
  <c r="J449" i="3"/>
  <c r="I449" i="3"/>
  <c r="J448" i="3"/>
  <c r="I448" i="3"/>
  <c r="J447" i="3"/>
  <c r="I447" i="3"/>
  <c r="J446" i="3"/>
  <c r="I446" i="3"/>
  <c r="J445" i="3"/>
  <c r="I445" i="3"/>
  <c r="J444" i="3"/>
  <c r="I444" i="3"/>
  <c r="J301" i="3"/>
  <c r="I301" i="3"/>
  <c r="J443" i="3"/>
  <c r="I443" i="3"/>
  <c r="J442" i="3"/>
  <c r="I442" i="3"/>
  <c r="J441" i="3"/>
  <c r="I441" i="3"/>
  <c r="J440" i="3"/>
  <c r="I440" i="3"/>
  <c r="J439" i="3"/>
  <c r="I439" i="3"/>
  <c r="J300" i="3"/>
  <c r="I300" i="3"/>
  <c r="J438" i="3"/>
  <c r="I438" i="3"/>
  <c r="J437" i="3"/>
  <c r="I437" i="3"/>
  <c r="J89" i="3"/>
  <c r="I89" i="3"/>
  <c r="J436" i="3"/>
  <c r="I436" i="3"/>
  <c r="J299" i="3"/>
  <c r="I299" i="3"/>
  <c r="J435" i="3"/>
  <c r="I435" i="3"/>
  <c r="J197" i="3"/>
  <c r="I197" i="3"/>
  <c r="J434" i="3"/>
  <c r="I434" i="3"/>
  <c r="J433" i="3"/>
  <c r="I433" i="3"/>
  <c r="J432" i="3"/>
  <c r="I432" i="3"/>
  <c r="J298" i="3"/>
  <c r="I298" i="3"/>
  <c r="J297" i="3"/>
  <c r="I297" i="3"/>
  <c r="J431" i="3"/>
  <c r="I431" i="3"/>
  <c r="J430" i="3"/>
  <c r="I430" i="3"/>
  <c r="J296" i="3"/>
  <c r="I296" i="3"/>
  <c r="J429" i="3"/>
  <c r="I429" i="3"/>
  <c r="J295" i="3"/>
  <c r="I295" i="3"/>
  <c r="J428" i="3"/>
  <c r="I428" i="3"/>
  <c r="J196" i="3"/>
  <c r="I196" i="3"/>
  <c r="J131" i="3"/>
  <c r="I131" i="3"/>
  <c r="J195" i="3"/>
  <c r="I195" i="3"/>
  <c r="J294" i="3"/>
  <c r="I294" i="3"/>
  <c r="J427" i="3"/>
  <c r="I427" i="3"/>
  <c r="J426" i="3"/>
  <c r="I426" i="3"/>
  <c r="J293" i="3"/>
  <c r="I293" i="3"/>
  <c r="J194" i="3"/>
  <c r="I194" i="3"/>
  <c r="J425" i="3"/>
  <c r="I425" i="3"/>
  <c r="J424" i="3"/>
  <c r="I424" i="3"/>
  <c r="J423" i="3"/>
  <c r="I423" i="3"/>
  <c r="J422" i="3"/>
  <c r="I422" i="3"/>
  <c r="J292" i="3"/>
  <c r="I292" i="3"/>
  <c r="J291" i="3"/>
  <c r="I291" i="3"/>
  <c r="J421" i="3"/>
  <c r="I421" i="3"/>
  <c r="J420" i="3"/>
  <c r="I420" i="3"/>
  <c r="J193" i="3"/>
  <c r="I193" i="3"/>
  <c r="J419" i="3"/>
  <c r="I419" i="3"/>
  <c r="J418" i="3"/>
  <c r="I418" i="3"/>
  <c r="J88" i="3"/>
  <c r="I88" i="3"/>
  <c r="J417" i="3"/>
  <c r="I417" i="3"/>
  <c r="J416" i="3"/>
  <c r="I416" i="3"/>
  <c r="J290" i="3"/>
  <c r="I290" i="3"/>
  <c r="J289" i="3"/>
  <c r="I289" i="3"/>
  <c r="J415" i="3"/>
  <c r="I415" i="3"/>
  <c r="J414" i="3"/>
  <c r="I414" i="3"/>
  <c r="J288" i="3"/>
  <c r="I288" i="3"/>
  <c r="J413" i="3"/>
  <c r="I413" i="3"/>
  <c r="J412" i="3"/>
  <c r="I412" i="3"/>
  <c r="J287" i="3"/>
  <c r="I287" i="3"/>
  <c r="J411" i="3"/>
  <c r="I411" i="3"/>
  <c r="J410" i="3"/>
  <c r="I410" i="3"/>
  <c r="J409" i="3"/>
  <c r="I409" i="3"/>
  <c r="J408" i="3"/>
  <c r="I408" i="3"/>
  <c r="J286" i="3"/>
  <c r="I286" i="3"/>
  <c r="J407" i="3"/>
  <c r="I407" i="3"/>
  <c r="J406" i="3"/>
  <c r="I406" i="3"/>
  <c r="J405" i="3"/>
  <c r="I405" i="3"/>
  <c r="J404" i="3"/>
  <c r="I404" i="3"/>
  <c r="J403" i="3"/>
  <c r="I403" i="3"/>
  <c r="J402" i="3"/>
  <c r="I402" i="3"/>
  <c r="J285" i="3"/>
  <c r="I285" i="3"/>
  <c r="J401" i="3"/>
  <c r="I401" i="3"/>
  <c r="J400" i="3"/>
  <c r="I400" i="3"/>
  <c r="J399" i="3"/>
  <c r="I399" i="3"/>
  <c r="J284" i="3"/>
  <c r="I284" i="3"/>
  <c r="J398" i="3"/>
  <c r="I398" i="3"/>
  <c r="J397" i="3"/>
  <c r="I397" i="3"/>
  <c r="J396" i="3"/>
  <c r="I396" i="3"/>
  <c r="J395" i="3"/>
  <c r="I395" i="3"/>
  <c r="J283" i="3"/>
  <c r="I283" i="3"/>
  <c r="J394" i="3"/>
  <c r="I394" i="3"/>
  <c r="J393" i="3"/>
  <c r="I393" i="3"/>
  <c r="J158" i="3"/>
  <c r="I158" i="3"/>
  <c r="J392" i="3"/>
  <c r="I392" i="3"/>
  <c r="J391" i="3"/>
  <c r="I391" i="3"/>
  <c r="J192" i="3"/>
  <c r="I192" i="3"/>
  <c r="J129" i="3"/>
  <c r="I129" i="3"/>
  <c r="J282" i="3"/>
  <c r="I282" i="3"/>
  <c r="J281" i="3"/>
  <c r="I281" i="3"/>
  <c r="J390" i="3"/>
  <c r="I390" i="3"/>
  <c r="J389" i="3"/>
  <c r="I389" i="3"/>
  <c r="J280" i="3"/>
  <c r="I280" i="3"/>
  <c r="J191" i="3"/>
  <c r="I191" i="3"/>
  <c r="J279" i="3"/>
  <c r="I279" i="3"/>
  <c r="J190" i="3"/>
  <c r="I190" i="3"/>
  <c r="J388" i="3"/>
  <c r="I388" i="3"/>
  <c r="J387" i="3"/>
  <c r="I387" i="3"/>
  <c r="J386" i="3"/>
  <c r="I386" i="3"/>
  <c r="J278" i="3"/>
  <c r="I278" i="3"/>
  <c r="J189" i="3"/>
  <c r="I189" i="3"/>
  <c r="J277" i="3"/>
  <c r="I277" i="3"/>
  <c r="J385" i="3"/>
  <c r="I385" i="3"/>
  <c r="J188" i="3"/>
  <c r="I188" i="3"/>
  <c r="J276" i="3"/>
  <c r="I276" i="3"/>
  <c r="J275" i="3"/>
  <c r="I275" i="3"/>
  <c r="J384" i="3"/>
  <c r="I384" i="3"/>
  <c r="J383" i="3"/>
  <c r="I383" i="3"/>
  <c r="J128" i="3"/>
  <c r="I128" i="3"/>
  <c r="J274" i="3"/>
  <c r="I274" i="3"/>
  <c r="J127" i="3"/>
  <c r="I127" i="3"/>
  <c r="J273" i="3"/>
  <c r="I273" i="3"/>
  <c r="J272" i="3"/>
  <c r="I272" i="3"/>
  <c r="J271" i="3"/>
  <c r="I271" i="3"/>
  <c r="J382" i="3"/>
  <c r="I382" i="3"/>
  <c r="J126" i="3"/>
  <c r="I126" i="3"/>
  <c r="J18" i="3"/>
  <c r="I18" i="3"/>
  <c r="J270" i="3"/>
  <c r="I270" i="3"/>
  <c r="J269" i="3"/>
  <c r="I269" i="3"/>
  <c r="J381" i="3"/>
  <c r="I381" i="3"/>
  <c r="J268" i="3"/>
  <c r="I268" i="3"/>
  <c r="J187" i="3"/>
  <c r="I187" i="3"/>
  <c r="J380" i="3"/>
  <c r="I380" i="3"/>
  <c r="J267" i="3"/>
  <c r="I267" i="3"/>
  <c r="J266" i="3"/>
  <c r="I266" i="3"/>
  <c r="J379" i="3"/>
  <c r="I379" i="3"/>
  <c r="J125" i="3"/>
  <c r="I125" i="3"/>
  <c r="J378" i="3"/>
  <c r="I378" i="3"/>
  <c r="J186" i="3"/>
  <c r="I186" i="3"/>
  <c r="J377" i="3"/>
  <c r="I377" i="3"/>
  <c r="J376" i="3"/>
  <c r="I376" i="3"/>
  <c r="J375" i="3"/>
  <c r="I375" i="3"/>
  <c r="J374" i="3"/>
  <c r="I374" i="3"/>
  <c r="J265" i="3"/>
  <c r="I265" i="3"/>
  <c r="J373" i="3"/>
  <c r="I373" i="3"/>
  <c r="J57" i="3"/>
  <c r="I57" i="3"/>
  <c r="J124" i="3"/>
  <c r="I124" i="3"/>
  <c r="J372" i="3"/>
  <c r="I372" i="3"/>
  <c r="J371" i="3"/>
  <c r="I371" i="3"/>
  <c r="J264" i="3"/>
  <c r="I264" i="3"/>
  <c r="J263" i="3"/>
  <c r="I263" i="3"/>
  <c r="J370" i="3"/>
  <c r="I370" i="3"/>
  <c r="J185" i="3"/>
  <c r="I185" i="3"/>
  <c r="J123" i="3"/>
  <c r="I123" i="3"/>
  <c r="J369" i="3"/>
  <c r="I369" i="3"/>
  <c r="J368" i="3"/>
  <c r="I368" i="3"/>
  <c r="J367" i="3"/>
  <c r="I367" i="3"/>
  <c r="J262" i="3"/>
  <c r="I262" i="3"/>
  <c r="J261" i="3"/>
  <c r="I261" i="3"/>
  <c r="J184" i="3"/>
  <c r="I184" i="3"/>
  <c r="J366" i="3"/>
  <c r="I366" i="3"/>
  <c r="J365" i="3"/>
  <c r="I365" i="3"/>
  <c r="J260" i="3"/>
  <c r="I260" i="3"/>
  <c r="J259" i="3"/>
  <c r="I259" i="3"/>
  <c r="J258" i="3"/>
  <c r="I258" i="3"/>
  <c r="J364" i="3"/>
  <c r="I364" i="3"/>
  <c r="J257" i="3"/>
  <c r="I257" i="3"/>
  <c r="J183" i="3"/>
  <c r="I183" i="3"/>
  <c r="J363" i="3"/>
  <c r="I363" i="3"/>
  <c r="J256" i="3"/>
  <c r="I256" i="3"/>
  <c r="J182" i="3"/>
  <c r="I182" i="3"/>
  <c r="J181" i="3"/>
  <c r="I181" i="3"/>
  <c r="J180" i="3"/>
  <c r="I180" i="3"/>
  <c r="J179" i="3"/>
  <c r="I179" i="3"/>
  <c r="J362" i="3"/>
  <c r="I362" i="3"/>
  <c r="J178" i="3"/>
  <c r="I178" i="3"/>
  <c r="J361" i="3"/>
  <c r="I361" i="3"/>
  <c r="J360" i="3"/>
  <c r="I360" i="3"/>
  <c r="J122" i="3"/>
  <c r="I122" i="3"/>
  <c r="J255" i="3"/>
  <c r="I255" i="3"/>
  <c r="J161" i="3"/>
  <c r="I161" i="3"/>
  <c r="J254" i="3"/>
  <c r="I254" i="3"/>
  <c r="J359" i="3"/>
  <c r="I359" i="3"/>
  <c r="J121" i="3"/>
  <c r="I121" i="3"/>
  <c r="J358" i="3"/>
  <c r="I358" i="3"/>
  <c r="J253" i="3"/>
  <c r="I253" i="3"/>
  <c r="J357" i="3"/>
  <c r="I357" i="3"/>
  <c r="J356" i="3"/>
  <c r="I356" i="3"/>
  <c r="J252" i="3"/>
  <c r="I252" i="3"/>
  <c r="J251" i="3"/>
  <c r="I251" i="3"/>
  <c r="J355" i="3"/>
  <c r="I355" i="3"/>
  <c r="J354" i="3"/>
  <c r="I354" i="3"/>
  <c r="J176" i="3"/>
  <c r="I176" i="3"/>
  <c r="J250" i="3"/>
  <c r="I250" i="3"/>
  <c r="J175" i="3"/>
  <c r="I175" i="3"/>
  <c r="J174" i="3"/>
  <c r="I174" i="3"/>
  <c r="J249" i="3"/>
  <c r="I249" i="3"/>
  <c r="J248" i="3"/>
  <c r="I248" i="3"/>
  <c r="J173" i="3"/>
  <c r="I173" i="3"/>
  <c r="J353" i="3"/>
  <c r="I353" i="3"/>
  <c r="J247" i="3"/>
  <c r="I247" i="3"/>
  <c r="J352" i="3"/>
  <c r="I352" i="3"/>
  <c r="J351" i="3"/>
  <c r="I351" i="3"/>
  <c r="J246" i="3"/>
  <c r="I246" i="3"/>
  <c r="J172" i="3"/>
  <c r="I172" i="3"/>
  <c r="J56" i="3"/>
  <c r="I56" i="3"/>
  <c r="J350" i="3"/>
  <c r="I350" i="3"/>
  <c r="J151" i="3"/>
  <c r="I151" i="3"/>
  <c r="J245" i="3"/>
  <c r="I245" i="3"/>
  <c r="J170" i="3"/>
  <c r="I170" i="3"/>
  <c r="J349" i="3"/>
  <c r="I349" i="3"/>
  <c r="J155" i="3"/>
  <c r="I155" i="3"/>
  <c r="J244" i="3"/>
  <c r="I244" i="3"/>
  <c r="J348" i="3"/>
  <c r="I348" i="3"/>
  <c r="J110" i="3"/>
  <c r="I110" i="3"/>
  <c r="J243" i="3"/>
  <c r="I243" i="3"/>
  <c r="J117" i="3"/>
  <c r="I117" i="3"/>
  <c r="J347" i="3"/>
  <c r="I347" i="3"/>
  <c r="J168" i="3"/>
  <c r="I168" i="3"/>
  <c r="J119" i="3"/>
  <c r="I119" i="3"/>
  <c r="J167" i="3"/>
  <c r="I167" i="3"/>
  <c r="J159" i="3"/>
  <c r="I159" i="3"/>
  <c r="J242" i="3"/>
  <c r="I242" i="3"/>
  <c r="J166" i="3"/>
  <c r="I166" i="3"/>
  <c r="J165" i="3"/>
  <c r="I165" i="3"/>
  <c r="J148" i="3"/>
  <c r="I148" i="3"/>
  <c r="J86" i="3"/>
  <c r="I86" i="3"/>
  <c r="J164" i="3"/>
  <c r="I164" i="3"/>
  <c r="J147" i="3"/>
  <c r="I147" i="3"/>
  <c r="J169" i="3"/>
  <c r="I169" i="3"/>
  <c r="J157" i="3"/>
  <c r="I157" i="3"/>
  <c r="J241" i="3"/>
  <c r="I241" i="3"/>
  <c r="J163" i="3"/>
  <c r="I163" i="3"/>
  <c r="J156" i="3"/>
  <c r="I156" i="3"/>
  <c r="J240" i="3"/>
  <c r="I240" i="3"/>
  <c r="J239" i="3"/>
  <c r="I239" i="3"/>
  <c r="J153" i="3"/>
  <c r="I153" i="3"/>
  <c r="J346" i="3"/>
  <c r="I346" i="3"/>
  <c r="J238" i="3"/>
  <c r="I238" i="3"/>
  <c r="J345" i="3"/>
  <c r="I345" i="3"/>
  <c r="J112" i="3"/>
  <c r="I112" i="3"/>
  <c r="J120" i="3"/>
  <c r="I120" i="3"/>
  <c r="J237" i="3"/>
  <c r="I237" i="3"/>
  <c r="J85" i="3"/>
  <c r="I85" i="3"/>
  <c r="J113" i="3"/>
  <c r="I113" i="3"/>
  <c r="J344" i="3"/>
  <c r="I344" i="3"/>
  <c r="J115" i="3"/>
  <c r="I115" i="3"/>
  <c r="J236" i="3"/>
  <c r="I236" i="3"/>
  <c r="J343" i="3"/>
  <c r="I343" i="3"/>
  <c r="J160" i="3"/>
  <c r="I160" i="3"/>
  <c r="J152" i="3"/>
  <c r="I152" i="3"/>
  <c r="J118" i="3"/>
  <c r="I118" i="3"/>
  <c r="J342" i="3"/>
  <c r="I342" i="3"/>
  <c r="J106" i="3"/>
  <c r="I106" i="3"/>
  <c r="J114" i="3"/>
  <c r="I114" i="3"/>
  <c r="J105" i="3"/>
  <c r="I105" i="3"/>
  <c r="J107" i="3"/>
  <c r="I107" i="3"/>
  <c r="J83" i="3"/>
  <c r="I83" i="3"/>
  <c r="J80" i="3"/>
  <c r="I80" i="3"/>
  <c r="J177" i="3"/>
  <c r="I177" i="3"/>
  <c r="J149" i="3"/>
  <c r="I149" i="3"/>
  <c r="J341" i="3"/>
  <c r="I341" i="3"/>
  <c r="J76" i="3"/>
  <c r="I76" i="3"/>
  <c r="J235" i="3"/>
  <c r="I235" i="3"/>
  <c r="J234" i="3"/>
  <c r="I234" i="3"/>
  <c r="J82" i="3"/>
  <c r="I82" i="3"/>
  <c r="J130" i="3"/>
  <c r="I130" i="3"/>
  <c r="J340" i="3"/>
  <c r="I340" i="3"/>
  <c r="J111" i="3"/>
  <c r="I111" i="3"/>
  <c r="J116" i="3"/>
  <c r="I116" i="3"/>
  <c r="J87" i="3"/>
  <c r="I87" i="3"/>
  <c r="J103" i="3"/>
  <c r="I103" i="3"/>
  <c r="J108" i="3"/>
  <c r="I108" i="3"/>
  <c r="J84" i="3"/>
  <c r="I84" i="3"/>
  <c r="J79" i="3"/>
  <c r="I79" i="3"/>
  <c r="J233" i="3"/>
  <c r="I233" i="3"/>
  <c r="J232" i="3"/>
  <c r="I232" i="3"/>
  <c r="J77" i="3"/>
  <c r="I77" i="3"/>
  <c r="J73" i="3"/>
  <c r="I73" i="3"/>
  <c r="J339" i="3"/>
  <c r="I339" i="3"/>
  <c r="J231" i="3"/>
  <c r="I231" i="3"/>
  <c r="J72" i="3"/>
  <c r="I72" i="3"/>
  <c r="J154" i="3"/>
  <c r="I154" i="3"/>
  <c r="J81" i="3"/>
  <c r="I81" i="3"/>
  <c r="J109" i="3"/>
  <c r="I109" i="3"/>
  <c r="J78" i="3"/>
  <c r="I78" i="3"/>
  <c r="J338" i="3"/>
  <c r="I338" i="3"/>
  <c r="J230" i="3"/>
  <c r="I230" i="3"/>
  <c r="J162" i="3"/>
  <c r="I162" i="3"/>
  <c r="J54" i="3"/>
  <c r="I54" i="3"/>
  <c r="J337" i="3"/>
  <c r="I337" i="3"/>
  <c r="J229" i="3"/>
  <c r="I229" i="3"/>
  <c r="J228" i="3"/>
  <c r="I228" i="3"/>
  <c r="J53" i="3"/>
  <c r="I53" i="3"/>
  <c r="J336" i="3"/>
  <c r="I336" i="3"/>
  <c r="J55" i="3"/>
  <c r="I55" i="3"/>
  <c r="J44" i="3"/>
  <c r="I44" i="3"/>
  <c r="J49" i="3"/>
  <c r="I49" i="3"/>
  <c r="J74" i="3"/>
  <c r="I74" i="3"/>
  <c r="J171" i="3"/>
  <c r="I171" i="3"/>
  <c r="J45" i="3"/>
  <c r="I45" i="3"/>
  <c r="J104" i="3"/>
  <c r="I104" i="3"/>
  <c r="J52" i="3"/>
  <c r="I52" i="3"/>
  <c r="J37" i="3"/>
  <c r="I37" i="3"/>
  <c r="J35" i="3"/>
  <c r="I35" i="3"/>
  <c r="J46" i="3"/>
  <c r="I46" i="3"/>
  <c r="J335" i="3"/>
  <c r="I335" i="3"/>
  <c r="J227" i="3"/>
  <c r="I227" i="3"/>
  <c r="J43" i="3"/>
  <c r="I43" i="3"/>
  <c r="J36" i="3"/>
  <c r="I36" i="3"/>
  <c r="J28" i="3"/>
  <c r="I28" i="3"/>
  <c r="J150" i="3"/>
  <c r="I150" i="3"/>
  <c r="J75" i="3"/>
  <c r="I75" i="3"/>
  <c r="J41" i="3"/>
  <c r="I41" i="3"/>
  <c r="J226" i="3"/>
  <c r="I226" i="3"/>
  <c r="J50" i="3"/>
  <c r="I50" i="3"/>
  <c r="J31" i="3"/>
  <c r="I31" i="3"/>
  <c r="J42" i="3"/>
  <c r="I42" i="3"/>
  <c r="J29" i="3"/>
  <c r="I29" i="3"/>
  <c r="J14" i="3"/>
  <c r="I14" i="3"/>
  <c r="J19" i="3"/>
  <c r="I19" i="3"/>
  <c r="J51" i="3"/>
  <c r="I51" i="3"/>
  <c r="J30" i="3"/>
  <c r="I30" i="3"/>
  <c r="J27" i="3"/>
  <c r="I27" i="3"/>
  <c r="J11" i="3"/>
  <c r="I11" i="3"/>
  <c r="J225" i="3"/>
  <c r="I225" i="3"/>
  <c r="J26" i="3"/>
  <c r="I26" i="3"/>
  <c r="J224" i="3"/>
  <c r="I224" i="3"/>
  <c r="J16" i="3"/>
  <c r="I16" i="3"/>
  <c r="J17" i="3"/>
  <c r="I17" i="3"/>
  <c r="J223" i="3"/>
  <c r="I223" i="3"/>
  <c r="J334" i="3"/>
  <c r="I334" i="3"/>
  <c r="J9" i="3"/>
  <c r="I9" i="3"/>
  <c r="J10" i="3"/>
  <c r="I10" i="3"/>
  <c r="J333" i="3"/>
  <c r="I333" i="3"/>
  <c r="J550" i="2"/>
  <c r="I550" i="2"/>
  <c r="J549" i="2"/>
  <c r="I549" i="2"/>
  <c r="J548" i="2"/>
  <c r="I548" i="2"/>
  <c r="J547" i="2"/>
  <c r="I547" i="2"/>
  <c r="J546" i="2"/>
  <c r="I546" i="2"/>
  <c r="J545" i="2"/>
  <c r="I545" i="2"/>
  <c r="J544" i="2"/>
  <c r="I544" i="2"/>
  <c r="J543" i="2"/>
  <c r="I543" i="2"/>
  <c r="J542" i="2"/>
  <c r="I542" i="2"/>
  <c r="J541" i="2"/>
  <c r="I541" i="2"/>
  <c r="J540" i="2"/>
  <c r="I540" i="2"/>
  <c r="J539" i="2"/>
  <c r="I539" i="2"/>
  <c r="J538" i="2"/>
  <c r="I538" i="2"/>
  <c r="J537" i="2"/>
  <c r="I537" i="2"/>
  <c r="J536" i="2"/>
  <c r="I536" i="2"/>
  <c r="J535" i="2"/>
  <c r="I535" i="2"/>
  <c r="J534" i="2"/>
  <c r="I534" i="2"/>
  <c r="J533" i="2"/>
  <c r="I533" i="2"/>
  <c r="J532" i="2"/>
  <c r="I532" i="2"/>
  <c r="J531" i="2"/>
  <c r="I531" i="2"/>
  <c r="J530" i="2"/>
  <c r="I530" i="2"/>
  <c r="J529" i="2"/>
  <c r="I529" i="2"/>
  <c r="J528" i="2"/>
  <c r="I528" i="2"/>
  <c r="J527" i="2"/>
  <c r="I527" i="2"/>
  <c r="J526" i="2"/>
  <c r="I526" i="2"/>
  <c r="J525" i="2"/>
  <c r="I525" i="2"/>
  <c r="J524" i="2"/>
  <c r="I524" i="2"/>
  <c r="J523" i="2"/>
  <c r="I523" i="2"/>
  <c r="J522" i="2"/>
  <c r="I522" i="2"/>
  <c r="J521" i="2"/>
  <c r="I521" i="2"/>
  <c r="J520" i="2"/>
  <c r="I520" i="2"/>
  <c r="J519" i="2"/>
  <c r="I519" i="2"/>
  <c r="J518" i="2"/>
  <c r="I518" i="2"/>
  <c r="J517" i="2"/>
  <c r="I517" i="2"/>
  <c r="J516" i="2"/>
  <c r="I516" i="2"/>
  <c r="J515" i="2"/>
  <c r="I515" i="2"/>
  <c r="J514" i="2"/>
  <c r="I514" i="2"/>
  <c r="J513" i="2"/>
  <c r="I513" i="2"/>
  <c r="J512" i="2"/>
  <c r="I512" i="2"/>
  <c r="J511" i="2"/>
  <c r="I511" i="2"/>
  <c r="J510" i="2"/>
  <c r="I510" i="2"/>
  <c r="J509" i="2"/>
  <c r="I509" i="2"/>
  <c r="J508" i="2"/>
  <c r="I508" i="2"/>
  <c r="J507" i="2"/>
  <c r="I507" i="2"/>
  <c r="J506" i="2"/>
  <c r="I506" i="2"/>
  <c r="J505" i="2"/>
  <c r="I505" i="2"/>
  <c r="J504" i="2"/>
  <c r="I504" i="2"/>
  <c r="J503" i="2"/>
  <c r="I503" i="2"/>
  <c r="J502" i="2"/>
  <c r="I502" i="2"/>
  <c r="J501" i="2"/>
  <c r="I501" i="2"/>
  <c r="J500" i="2"/>
  <c r="I500" i="2"/>
  <c r="J499" i="2"/>
  <c r="I499" i="2"/>
  <c r="J498" i="2"/>
  <c r="I498" i="2"/>
  <c r="J497" i="2"/>
  <c r="I497" i="2"/>
  <c r="J496" i="2"/>
  <c r="I496" i="2"/>
  <c r="J495" i="2"/>
  <c r="I495" i="2"/>
  <c r="J494" i="2"/>
  <c r="I494" i="2"/>
  <c r="J493" i="2"/>
  <c r="I493" i="2"/>
  <c r="J492" i="2"/>
  <c r="I492" i="2"/>
  <c r="J491" i="2"/>
  <c r="I491" i="2"/>
  <c r="J490" i="2"/>
  <c r="I490" i="2"/>
  <c r="J489" i="2"/>
  <c r="I489" i="2"/>
  <c r="J488" i="2"/>
  <c r="I488" i="2"/>
  <c r="J487" i="2"/>
  <c r="I487" i="2"/>
  <c r="J486" i="2"/>
  <c r="I486" i="2"/>
  <c r="J485" i="2"/>
  <c r="I485" i="2"/>
  <c r="J484" i="2"/>
  <c r="I484" i="2"/>
  <c r="J483" i="2"/>
  <c r="I483" i="2"/>
  <c r="J482" i="2"/>
  <c r="I482" i="2"/>
  <c r="J481" i="2"/>
  <c r="I481" i="2"/>
  <c r="J480" i="2"/>
  <c r="I480" i="2"/>
  <c r="J479" i="2"/>
  <c r="I479" i="2"/>
  <c r="J478" i="2"/>
  <c r="I478" i="2"/>
  <c r="J477" i="2"/>
  <c r="I477" i="2"/>
  <c r="J476" i="2"/>
  <c r="I476" i="2"/>
  <c r="J475" i="2"/>
  <c r="I475" i="2"/>
  <c r="J474" i="2"/>
  <c r="I474" i="2"/>
  <c r="J473" i="2"/>
  <c r="I473" i="2"/>
  <c r="J472" i="2"/>
  <c r="I472" i="2"/>
  <c r="J471" i="2"/>
  <c r="I471" i="2"/>
  <c r="J470" i="2"/>
  <c r="I470" i="2"/>
  <c r="J469" i="2"/>
  <c r="I469" i="2"/>
  <c r="J468" i="2"/>
  <c r="I468" i="2"/>
  <c r="J467" i="2"/>
  <c r="I467" i="2"/>
  <c r="J466" i="2"/>
  <c r="I466" i="2"/>
  <c r="J465" i="2"/>
  <c r="I465" i="2"/>
  <c r="J464" i="2"/>
  <c r="I464" i="2"/>
  <c r="J463" i="2"/>
  <c r="I463" i="2"/>
  <c r="J462" i="2"/>
  <c r="I462" i="2"/>
  <c r="J461" i="2"/>
  <c r="I461" i="2"/>
  <c r="J460" i="2"/>
  <c r="I460" i="2"/>
  <c r="J459" i="2"/>
  <c r="I459" i="2"/>
  <c r="J458" i="2"/>
  <c r="I458" i="2"/>
  <c r="J457" i="2"/>
  <c r="I457" i="2"/>
  <c r="J456" i="2"/>
  <c r="I456" i="2"/>
  <c r="J455" i="2"/>
  <c r="I455" i="2"/>
  <c r="J454" i="2"/>
  <c r="I454" i="2"/>
  <c r="J453" i="2"/>
  <c r="I453" i="2"/>
  <c r="J452" i="2"/>
  <c r="I452" i="2"/>
  <c r="J451" i="2"/>
  <c r="I451" i="2"/>
  <c r="J450" i="2"/>
  <c r="I450" i="2"/>
  <c r="J449" i="2"/>
  <c r="I449" i="2"/>
  <c r="J448" i="2"/>
  <c r="I448" i="2"/>
  <c r="J447" i="2"/>
  <c r="I447" i="2"/>
  <c r="J446" i="2"/>
  <c r="I446" i="2"/>
  <c r="J445" i="2"/>
  <c r="I445" i="2"/>
  <c r="J444" i="2"/>
  <c r="I444" i="2"/>
  <c r="J443" i="2"/>
  <c r="I443" i="2"/>
  <c r="J442" i="2"/>
  <c r="I442" i="2"/>
  <c r="J441" i="2"/>
  <c r="I441" i="2"/>
  <c r="J440" i="2"/>
  <c r="I440" i="2"/>
  <c r="J439" i="2"/>
  <c r="I439" i="2"/>
  <c r="J438" i="2"/>
  <c r="I438" i="2"/>
  <c r="J437" i="2"/>
  <c r="I437" i="2"/>
  <c r="J436" i="2"/>
  <c r="I436" i="2"/>
  <c r="J435" i="2"/>
  <c r="I435" i="2"/>
  <c r="J434" i="2"/>
  <c r="I434" i="2"/>
  <c r="J433" i="2"/>
  <c r="I433" i="2"/>
  <c r="J432" i="2"/>
  <c r="I432" i="2"/>
  <c r="J431" i="2"/>
  <c r="I431" i="2"/>
  <c r="J430" i="2"/>
  <c r="I430" i="2"/>
  <c r="J429" i="2"/>
  <c r="I429" i="2"/>
  <c r="J428" i="2"/>
  <c r="I428" i="2"/>
  <c r="J427" i="2"/>
  <c r="I427" i="2"/>
  <c r="J426" i="2"/>
  <c r="I426" i="2"/>
  <c r="J425" i="2"/>
  <c r="I425" i="2"/>
  <c r="J424" i="2"/>
  <c r="I424" i="2"/>
  <c r="J423" i="2"/>
  <c r="I423" i="2"/>
  <c r="J422" i="2"/>
  <c r="I422" i="2"/>
  <c r="J421" i="2"/>
  <c r="I421" i="2"/>
  <c r="J420" i="2"/>
  <c r="I420" i="2"/>
  <c r="J419" i="2"/>
  <c r="I419" i="2"/>
  <c r="J418" i="2"/>
  <c r="I418" i="2"/>
  <c r="J417" i="2"/>
  <c r="I417" i="2"/>
  <c r="J416" i="2"/>
  <c r="I416" i="2"/>
  <c r="J415" i="2"/>
  <c r="I415" i="2"/>
  <c r="J414" i="2"/>
  <c r="I414" i="2"/>
  <c r="J413" i="2"/>
  <c r="I413" i="2"/>
  <c r="J412" i="2"/>
  <c r="I412" i="2"/>
  <c r="J411" i="2"/>
  <c r="I411" i="2"/>
  <c r="J410" i="2"/>
  <c r="I410" i="2"/>
  <c r="J409" i="2"/>
  <c r="I409" i="2"/>
  <c r="J408" i="2"/>
  <c r="I408" i="2"/>
  <c r="J407" i="2"/>
  <c r="I407" i="2"/>
  <c r="J406" i="2"/>
  <c r="I406" i="2"/>
  <c r="J405" i="2"/>
  <c r="I405" i="2"/>
  <c r="J404" i="2"/>
  <c r="I404" i="2"/>
  <c r="J403" i="2"/>
  <c r="I403" i="2"/>
  <c r="J402" i="2"/>
  <c r="I402" i="2"/>
  <c r="J401" i="2"/>
  <c r="I401" i="2"/>
  <c r="J400" i="2"/>
  <c r="I400" i="2"/>
  <c r="J399" i="2"/>
  <c r="I399" i="2"/>
  <c r="J398" i="2"/>
  <c r="I398" i="2"/>
  <c r="J397" i="2"/>
  <c r="I397" i="2"/>
  <c r="J396" i="2"/>
  <c r="I396" i="2"/>
  <c r="J395" i="2"/>
  <c r="I395" i="2"/>
  <c r="J394" i="2"/>
  <c r="I394" i="2"/>
  <c r="J393" i="2"/>
  <c r="I393" i="2"/>
  <c r="J392" i="2"/>
  <c r="I392" i="2"/>
  <c r="J391" i="2"/>
  <c r="I391" i="2"/>
  <c r="J390" i="2"/>
  <c r="I390" i="2"/>
  <c r="J389" i="2"/>
  <c r="I389" i="2"/>
  <c r="J388" i="2"/>
  <c r="I388" i="2"/>
  <c r="J387" i="2"/>
  <c r="I387" i="2"/>
  <c r="J386" i="2"/>
  <c r="I386" i="2"/>
  <c r="J385" i="2"/>
  <c r="I385" i="2"/>
  <c r="J384" i="2"/>
  <c r="I384" i="2"/>
  <c r="J383" i="2"/>
  <c r="I383" i="2"/>
  <c r="J382" i="2"/>
  <c r="I382" i="2"/>
  <c r="J381" i="2"/>
  <c r="I381" i="2"/>
  <c r="J380" i="2"/>
  <c r="I380" i="2"/>
  <c r="J379" i="2"/>
  <c r="I379" i="2"/>
  <c r="J378" i="2"/>
  <c r="I378" i="2"/>
  <c r="J377" i="2"/>
  <c r="I377" i="2"/>
  <c r="J376" i="2"/>
  <c r="I376" i="2"/>
  <c r="J375" i="2"/>
  <c r="I375" i="2"/>
  <c r="J374" i="2"/>
  <c r="I374" i="2"/>
  <c r="J373" i="2"/>
  <c r="I373" i="2"/>
  <c r="J372" i="2"/>
  <c r="I372" i="2"/>
  <c r="J371" i="2"/>
  <c r="I371" i="2"/>
  <c r="J370" i="2"/>
  <c r="I370" i="2"/>
  <c r="J369" i="2"/>
  <c r="I369" i="2"/>
  <c r="J368" i="2"/>
  <c r="I368" i="2"/>
  <c r="J367" i="2"/>
  <c r="I367" i="2"/>
  <c r="J366" i="2"/>
  <c r="I366" i="2"/>
  <c r="J365" i="2"/>
  <c r="I365" i="2"/>
  <c r="J364" i="2"/>
  <c r="I364" i="2"/>
  <c r="J363" i="2"/>
  <c r="I363" i="2"/>
  <c r="J362" i="2"/>
  <c r="I362" i="2"/>
  <c r="J361" i="2"/>
  <c r="I361" i="2"/>
  <c r="J360" i="2"/>
  <c r="I360" i="2"/>
  <c r="J359" i="2"/>
  <c r="I359" i="2"/>
  <c r="J358" i="2"/>
  <c r="I358" i="2"/>
  <c r="J357" i="2"/>
  <c r="I357" i="2"/>
  <c r="J356" i="2"/>
  <c r="I356" i="2"/>
  <c r="J355" i="2"/>
  <c r="I355" i="2"/>
  <c r="J354" i="2"/>
  <c r="I354" i="2"/>
  <c r="J353" i="2"/>
  <c r="I353" i="2"/>
  <c r="J352" i="2"/>
  <c r="I352" i="2"/>
  <c r="J351" i="2"/>
  <c r="I351" i="2"/>
  <c r="J350" i="2"/>
  <c r="I350" i="2"/>
  <c r="J349" i="2"/>
  <c r="I349" i="2"/>
  <c r="J348" i="2"/>
  <c r="I348" i="2"/>
  <c r="J347" i="2"/>
  <c r="I347" i="2"/>
  <c r="J346" i="2"/>
  <c r="I346" i="2"/>
  <c r="J345" i="2"/>
  <c r="I345" i="2"/>
  <c r="J344" i="2"/>
  <c r="I344" i="2"/>
  <c r="J343" i="2"/>
  <c r="I343" i="2"/>
  <c r="J342" i="2"/>
  <c r="I342" i="2"/>
  <c r="J341" i="2"/>
  <c r="I341" i="2"/>
  <c r="J273" i="2"/>
  <c r="I273" i="2"/>
  <c r="J340" i="2"/>
  <c r="I340" i="2"/>
  <c r="J339" i="2"/>
  <c r="I339" i="2"/>
  <c r="J338" i="2"/>
  <c r="I338" i="2"/>
  <c r="J337" i="2"/>
  <c r="I337" i="2"/>
  <c r="J336" i="2"/>
  <c r="I336" i="2"/>
  <c r="J272" i="2"/>
  <c r="I272" i="2"/>
  <c r="J271" i="2"/>
  <c r="I271" i="2"/>
  <c r="J335" i="2"/>
  <c r="I335" i="2"/>
  <c r="J334" i="2"/>
  <c r="I334" i="2"/>
  <c r="J333" i="2"/>
  <c r="I333" i="2"/>
  <c r="J332" i="2"/>
  <c r="I332" i="2"/>
  <c r="J331" i="2"/>
  <c r="I331" i="2"/>
  <c r="J330" i="2"/>
  <c r="I330" i="2"/>
  <c r="J270" i="2"/>
  <c r="I270" i="2"/>
  <c r="J329" i="2"/>
  <c r="I329" i="2"/>
  <c r="J328" i="2"/>
  <c r="I328" i="2"/>
  <c r="J327" i="2"/>
  <c r="I327" i="2"/>
  <c r="J326" i="2"/>
  <c r="I326" i="2"/>
  <c r="J325" i="2"/>
  <c r="I325" i="2"/>
  <c r="J324" i="2"/>
  <c r="I324" i="2"/>
  <c r="J269" i="2"/>
  <c r="I269" i="2"/>
  <c r="J268" i="2"/>
  <c r="I268" i="2"/>
  <c r="J323" i="2"/>
  <c r="I323" i="2"/>
  <c r="J267" i="2"/>
  <c r="I267" i="2"/>
  <c r="J322" i="2"/>
  <c r="I322" i="2"/>
  <c r="J321" i="2"/>
  <c r="I321" i="2"/>
  <c r="J320" i="2"/>
  <c r="I320" i="2"/>
  <c r="J319" i="2"/>
  <c r="I319" i="2"/>
  <c r="J318" i="2"/>
  <c r="I318" i="2"/>
  <c r="J266" i="2"/>
  <c r="I266" i="2"/>
  <c r="J265" i="2"/>
  <c r="I265" i="2"/>
  <c r="J317" i="2"/>
  <c r="I317" i="2"/>
  <c r="J264" i="2"/>
  <c r="I264" i="2"/>
  <c r="J316" i="2"/>
  <c r="I316" i="2"/>
  <c r="J263" i="2"/>
  <c r="I263" i="2"/>
  <c r="J315" i="2"/>
  <c r="I315" i="2"/>
  <c r="J314" i="2"/>
  <c r="I314" i="2"/>
  <c r="J313" i="2"/>
  <c r="I313" i="2"/>
  <c r="J312" i="2"/>
  <c r="I312" i="2"/>
  <c r="J311" i="2"/>
  <c r="I311" i="2"/>
  <c r="J262" i="2"/>
  <c r="I262" i="2"/>
  <c r="J310" i="2"/>
  <c r="I310" i="2"/>
  <c r="J309" i="2"/>
  <c r="I309" i="2"/>
  <c r="J308" i="2"/>
  <c r="I308" i="2"/>
  <c r="J307" i="2"/>
  <c r="I307" i="2"/>
  <c r="J261" i="2"/>
  <c r="I261" i="2"/>
  <c r="J260" i="2"/>
  <c r="I260" i="2"/>
  <c r="J306" i="2"/>
  <c r="I306" i="2"/>
  <c r="J305" i="2"/>
  <c r="I305" i="2"/>
  <c r="J259" i="2"/>
  <c r="I259" i="2"/>
  <c r="J304" i="2"/>
  <c r="I304" i="2"/>
  <c r="J258" i="2"/>
  <c r="I258" i="2"/>
  <c r="J303" i="2"/>
  <c r="I303" i="2"/>
  <c r="J257" i="2"/>
  <c r="I257" i="2"/>
  <c r="J256" i="2"/>
  <c r="I256" i="2"/>
  <c r="J255" i="2"/>
  <c r="I255" i="2"/>
  <c r="J302" i="2"/>
  <c r="I302" i="2"/>
  <c r="J301" i="2"/>
  <c r="I301" i="2"/>
  <c r="J300" i="2"/>
  <c r="I300" i="2"/>
  <c r="J299" i="2"/>
  <c r="I299" i="2"/>
  <c r="J298" i="2"/>
  <c r="I298" i="2"/>
  <c r="J297" i="2"/>
  <c r="I297" i="2"/>
  <c r="J296" i="2"/>
  <c r="I296" i="2"/>
  <c r="J295" i="2"/>
  <c r="I295" i="2"/>
  <c r="J254" i="2"/>
  <c r="I254" i="2"/>
  <c r="J294" i="2"/>
  <c r="I294" i="2"/>
  <c r="J253" i="2"/>
  <c r="I253" i="2"/>
  <c r="J293" i="2"/>
  <c r="I293" i="2"/>
  <c r="J252" i="2"/>
  <c r="I252" i="2"/>
  <c r="J251" i="2"/>
  <c r="I251" i="2"/>
  <c r="J250" i="2"/>
  <c r="I250" i="2"/>
  <c r="J292" i="2"/>
  <c r="I292" i="2"/>
  <c r="J193" i="2"/>
  <c r="I193" i="2"/>
  <c r="J249" i="2"/>
  <c r="I249" i="2"/>
  <c r="J248" i="2"/>
  <c r="I248" i="2"/>
  <c r="J247" i="2"/>
  <c r="I247" i="2"/>
  <c r="J192" i="2"/>
  <c r="I192" i="2"/>
  <c r="J291" i="2"/>
  <c r="I291" i="2"/>
  <c r="J246" i="2"/>
  <c r="I246" i="2"/>
  <c r="J245" i="2"/>
  <c r="I245" i="2"/>
  <c r="J290" i="2"/>
  <c r="I290" i="2"/>
  <c r="J289" i="2"/>
  <c r="I289" i="2"/>
  <c r="J151" i="2"/>
  <c r="I151" i="2"/>
  <c r="J244" i="2"/>
  <c r="I244" i="2"/>
  <c r="J191" i="2"/>
  <c r="I191" i="2"/>
  <c r="J243" i="2"/>
  <c r="I243" i="2"/>
  <c r="J242" i="2"/>
  <c r="I242" i="2"/>
  <c r="J111" i="2"/>
  <c r="I111" i="2"/>
  <c r="J150" i="2"/>
  <c r="I150" i="2"/>
  <c r="J241" i="2"/>
  <c r="I241" i="2"/>
  <c r="J240" i="2"/>
  <c r="I240" i="2"/>
  <c r="J239" i="2"/>
  <c r="I239" i="2"/>
  <c r="J149" i="2"/>
  <c r="I149" i="2"/>
  <c r="J190" i="2"/>
  <c r="I190" i="2"/>
  <c r="J238" i="2"/>
  <c r="I238" i="2"/>
  <c r="J237" i="2"/>
  <c r="I237" i="2"/>
  <c r="J236" i="2"/>
  <c r="I236" i="2"/>
  <c r="J189" i="2"/>
  <c r="I189" i="2"/>
  <c r="J148" i="2"/>
  <c r="I148" i="2"/>
  <c r="J188" i="2"/>
  <c r="I188" i="2"/>
  <c r="J235" i="2"/>
  <c r="I235" i="2"/>
  <c r="J234" i="2"/>
  <c r="I234" i="2"/>
  <c r="J288" i="2"/>
  <c r="I288" i="2"/>
  <c r="J147" i="2"/>
  <c r="I147" i="2"/>
  <c r="J233" i="2"/>
  <c r="I233" i="2"/>
  <c r="J187" i="2"/>
  <c r="I187" i="2"/>
  <c r="J232" i="2"/>
  <c r="I232" i="2"/>
  <c r="J186" i="2"/>
  <c r="I186" i="2"/>
  <c r="J287" i="2"/>
  <c r="I287" i="2"/>
  <c r="J185" i="2"/>
  <c r="I185" i="2"/>
  <c r="J184" i="2"/>
  <c r="I184" i="2"/>
  <c r="J231" i="2"/>
  <c r="I231" i="2"/>
  <c r="J230" i="2"/>
  <c r="I230" i="2"/>
  <c r="J183" i="2"/>
  <c r="I183" i="2"/>
  <c r="J286" i="2"/>
  <c r="I286" i="2"/>
  <c r="J182" i="2"/>
  <c r="I182" i="2"/>
  <c r="J229" i="2"/>
  <c r="I229" i="2"/>
  <c r="J181" i="2"/>
  <c r="I181" i="2"/>
  <c r="J146" i="2"/>
  <c r="I146" i="2"/>
  <c r="J228" i="2"/>
  <c r="I228" i="2"/>
  <c r="J227" i="2"/>
  <c r="I227" i="2"/>
  <c r="J180" i="2"/>
  <c r="I180" i="2"/>
  <c r="J88" i="2"/>
  <c r="I88" i="2"/>
  <c r="J226" i="2"/>
  <c r="I226" i="2"/>
  <c r="J179" i="2"/>
  <c r="I179" i="2"/>
  <c r="J225" i="2"/>
  <c r="I225" i="2"/>
  <c r="J224" i="2"/>
  <c r="I224" i="2"/>
  <c r="J285" i="2"/>
  <c r="I285" i="2"/>
  <c r="J284" i="2"/>
  <c r="I284" i="2"/>
  <c r="J223" i="2"/>
  <c r="I223" i="2"/>
  <c r="J283" i="2"/>
  <c r="I283" i="2"/>
  <c r="J282" i="2"/>
  <c r="I282" i="2"/>
  <c r="J222" i="2"/>
  <c r="I222" i="2"/>
  <c r="J145" i="2"/>
  <c r="I145" i="2"/>
  <c r="J221" i="2"/>
  <c r="I221" i="2"/>
  <c r="J281" i="2"/>
  <c r="I281" i="2"/>
  <c r="J87" i="2"/>
  <c r="I87" i="2"/>
  <c r="J220" i="2"/>
  <c r="I220" i="2"/>
  <c r="J219" i="2"/>
  <c r="I219" i="2"/>
  <c r="J218" i="2"/>
  <c r="I218" i="2"/>
  <c r="J217" i="2"/>
  <c r="I217" i="2"/>
  <c r="J216" i="2"/>
  <c r="I216" i="2"/>
  <c r="J215" i="2"/>
  <c r="I215" i="2"/>
  <c r="J214" i="2"/>
  <c r="I214" i="2"/>
  <c r="J280" i="2"/>
  <c r="I280" i="2"/>
  <c r="J213" i="2"/>
  <c r="I213" i="2"/>
  <c r="J144" i="2"/>
  <c r="I144" i="2"/>
  <c r="J178" i="2"/>
  <c r="I178" i="2"/>
  <c r="J279" i="2"/>
  <c r="I279" i="2"/>
  <c r="J143" i="2"/>
  <c r="I143" i="2"/>
  <c r="J142" i="2"/>
  <c r="I142" i="2"/>
  <c r="J177" i="2"/>
  <c r="I177" i="2"/>
  <c r="J212" i="2"/>
  <c r="I212" i="2"/>
  <c r="J141" i="2"/>
  <c r="I141" i="2"/>
  <c r="J278" i="2"/>
  <c r="I278" i="2"/>
  <c r="J140" i="2"/>
  <c r="I140" i="2"/>
  <c r="J176" i="2"/>
  <c r="I176" i="2"/>
  <c r="J86" i="2"/>
  <c r="I86" i="2"/>
  <c r="J175" i="2"/>
  <c r="I175" i="2"/>
  <c r="J211" i="2"/>
  <c r="I211" i="2"/>
  <c r="J85" i="2"/>
  <c r="I85" i="2"/>
  <c r="J139" i="2"/>
  <c r="I139" i="2"/>
  <c r="J84" i="2"/>
  <c r="I84" i="2"/>
  <c r="J277" i="2"/>
  <c r="I277" i="2"/>
  <c r="J276" i="2"/>
  <c r="I276" i="2"/>
  <c r="J210" i="2"/>
  <c r="I210" i="2"/>
  <c r="J209" i="2"/>
  <c r="I209" i="2"/>
  <c r="J208" i="2"/>
  <c r="I208" i="2"/>
  <c r="J138" i="2"/>
  <c r="I138" i="2"/>
  <c r="J137" i="2"/>
  <c r="I137" i="2"/>
  <c r="J275" i="2"/>
  <c r="I275" i="2"/>
  <c r="J83" i="2"/>
  <c r="I83" i="2"/>
  <c r="J136" i="2"/>
  <c r="I136" i="2"/>
  <c r="J174" i="2"/>
  <c r="I174" i="2"/>
  <c r="J274" i="2"/>
  <c r="I274" i="2"/>
  <c r="J135" i="2"/>
  <c r="I135" i="2"/>
  <c r="J173" i="2"/>
  <c r="I173" i="2"/>
  <c r="J134" i="2"/>
  <c r="I134" i="2"/>
  <c r="J133" i="2"/>
  <c r="I133" i="2"/>
  <c r="J132" i="2"/>
  <c r="I132" i="2"/>
  <c r="J172" i="2"/>
  <c r="I172" i="2"/>
  <c r="J131" i="2"/>
  <c r="I131" i="2"/>
  <c r="J82" i="2"/>
  <c r="I82" i="2"/>
  <c r="J207" i="2"/>
  <c r="I207" i="2"/>
  <c r="J206" i="2"/>
  <c r="I206" i="2"/>
  <c r="J171" i="2"/>
  <c r="I171" i="2"/>
  <c r="J205" i="2"/>
  <c r="I205" i="2"/>
  <c r="J170" i="2"/>
  <c r="I170" i="2"/>
  <c r="J204" i="2"/>
  <c r="I204" i="2"/>
  <c r="J110" i="2"/>
  <c r="I110" i="2"/>
  <c r="J81" i="2"/>
  <c r="I81" i="2"/>
  <c r="J203" i="2"/>
  <c r="I203" i="2"/>
  <c r="J202" i="2"/>
  <c r="I202" i="2"/>
  <c r="J80" i="2"/>
  <c r="I80" i="2"/>
  <c r="J169" i="2"/>
  <c r="I169" i="2"/>
  <c r="J130" i="2"/>
  <c r="I130" i="2"/>
  <c r="J129" i="2"/>
  <c r="I129" i="2"/>
  <c r="J128" i="2"/>
  <c r="I128" i="2"/>
  <c r="J201" i="2"/>
  <c r="I201" i="2"/>
  <c r="J168" i="2"/>
  <c r="I168" i="2"/>
  <c r="J109" i="2"/>
  <c r="I109" i="2"/>
  <c r="J127" i="2"/>
  <c r="I127" i="2"/>
  <c r="J126" i="2"/>
  <c r="I126" i="2"/>
  <c r="J200" i="2"/>
  <c r="I200" i="2"/>
  <c r="J167" i="2"/>
  <c r="I167" i="2"/>
  <c r="J125" i="2"/>
  <c r="I125" i="2"/>
  <c r="J199" i="2"/>
  <c r="I199" i="2"/>
  <c r="J94" i="2"/>
  <c r="I94" i="2"/>
  <c r="J78" i="2"/>
  <c r="I78" i="2"/>
  <c r="J79" i="2"/>
  <c r="I79" i="2"/>
  <c r="J105" i="2"/>
  <c r="I105" i="2"/>
  <c r="J77" i="2"/>
  <c r="I77" i="2"/>
  <c r="J76" i="2"/>
  <c r="I76" i="2"/>
  <c r="J75" i="2"/>
  <c r="I75" i="2"/>
  <c r="J166" i="2"/>
  <c r="I166" i="2"/>
  <c r="J165" i="2"/>
  <c r="I165" i="2"/>
  <c r="J124" i="2"/>
  <c r="I124" i="2"/>
  <c r="J164" i="2"/>
  <c r="I164" i="2"/>
  <c r="J90" i="2"/>
  <c r="I90" i="2"/>
  <c r="J163" i="2"/>
  <c r="I163" i="2"/>
  <c r="J74" i="2"/>
  <c r="I74" i="2"/>
  <c r="J73" i="2"/>
  <c r="I73" i="2"/>
  <c r="J72" i="2"/>
  <c r="I72" i="2"/>
  <c r="J123" i="2"/>
  <c r="I123" i="2"/>
  <c r="J104" i="2"/>
  <c r="I104" i="2"/>
  <c r="J162" i="2"/>
  <c r="I162" i="2"/>
  <c r="J161" i="2"/>
  <c r="I161" i="2"/>
  <c r="J198" i="2"/>
  <c r="I198" i="2"/>
  <c r="J71" i="2"/>
  <c r="I71" i="2"/>
  <c r="J122" i="2"/>
  <c r="I122" i="2"/>
  <c r="J70" i="2"/>
  <c r="I70" i="2"/>
  <c r="J160" i="2"/>
  <c r="I160" i="2"/>
  <c r="J121" i="2"/>
  <c r="I121" i="2"/>
  <c r="J197" i="2"/>
  <c r="I197" i="2"/>
  <c r="J69" i="2"/>
  <c r="I69" i="2"/>
  <c r="J196" i="2"/>
  <c r="I196" i="2"/>
  <c r="J68" i="2"/>
  <c r="I68" i="2"/>
  <c r="J103" i="2"/>
  <c r="I103" i="2"/>
  <c r="J67" i="2"/>
  <c r="I67" i="2"/>
  <c r="J66" i="2"/>
  <c r="I66" i="2"/>
  <c r="J195" i="2"/>
  <c r="I195" i="2"/>
  <c r="J159" i="2"/>
  <c r="I159" i="2"/>
  <c r="J158" i="2"/>
  <c r="I158" i="2"/>
  <c r="J65" i="2"/>
  <c r="I65" i="2"/>
  <c r="J120" i="2"/>
  <c r="I120" i="2"/>
  <c r="J194" i="2"/>
  <c r="I194" i="2"/>
  <c r="J119" i="2"/>
  <c r="I119" i="2"/>
  <c r="J102" i="2"/>
  <c r="I102" i="2"/>
  <c r="J64" i="2"/>
  <c r="I64" i="2"/>
  <c r="J157" i="2"/>
  <c r="I157" i="2"/>
  <c r="J63" i="2"/>
  <c r="I63" i="2"/>
  <c r="J108" i="2"/>
  <c r="I108" i="2"/>
  <c r="J62" i="2"/>
  <c r="I62" i="2"/>
  <c r="J61" i="2"/>
  <c r="I61" i="2"/>
  <c r="J118" i="2"/>
  <c r="I118" i="2"/>
  <c r="J117" i="2"/>
  <c r="I117" i="2"/>
  <c r="J116" i="2"/>
  <c r="I116" i="2"/>
  <c r="J115" i="2"/>
  <c r="I115" i="2"/>
  <c r="J60" i="2"/>
  <c r="I60" i="2"/>
  <c r="J59" i="2"/>
  <c r="I59" i="2"/>
  <c r="J101" i="2"/>
  <c r="I101" i="2"/>
  <c r="J58" i="2"/>
  <c r="I58" i="2"/>
  <c r="J57" i="2"/>
  <c r="I57" i="2"/>
  <c r="J56" i="2"/>
  <c r="I56" i="2"/>
  <c r="J55" i="2"/>
  <c r="I55" i="2"/>
  <c r="J114" i="2"/>
  <c r="I114" i="2"/>
  <c r="J54" i="2"/>
  <c r="I54" i="2"/>
  <c r="J156" i="2"/>
  <c r="I156" i="2"/>
  <c r="J53" i="2"/>
  <c r="I53" i="2"/>
  <c r="J107" i="2"/>
  <c r="I107" i="2"/>
  <c r="J100" i="2"/>
  <c r="I100" i="2"/>
  <c r="J93" i="2"/>
  <c r="I93" i="2"/>
  <c r="J52" i="2"/>
  <c r="I52" i="2"/>
  <c r="J51" i="2"/>
  <c r="I51" i="2"/>
  <c r="J155" i="2"/>
  <c r="I155" i="2"/>
  <c r="J99" i="2"/>
  <c r="I99" i="2"/>
  <c r="J50" i="2"/>
  <c r="I50" i="2"/>
  <c r="J49" i="2"/>
  <c r="I49" i="2"/>
  <c r="J48" i="2"/>
  <c r="I48" i="2"/>
  <c r="J47" i="2"/>
  <c r="I47" i="2"/>
  <c r="J154" i="2"/>
  <c r="I154" i="2"/>
  <c r="J153" i="2"/>
  <c r="I153" i="2"/>
  <c r="J46" i="2"/>
  <c r="I46" i="2"/>
  <c r="J45" i="2"/>
  <c r="I45" i="2"/>
  <c r="J44" i="2"/>
  <c r="I44" i="2"/>
  <c r="J42" i="2"/>
  <c r="I42" i="2"/>
  <c r="J43" i="2"/>
  <c r="I43" i="2"/>
  <c r="J41" i="2"/>
  <c r="I41" i="2"/>
  <c r="J98" i="2"/>
  <c r="I98" i="2"/>
  <c r="J113" i="2"/>
  <c r="I113" i="2"/>
  <c r="J152" i="2"/>
  <c r="I152" i="2"/>
  <c r="J40" i="2"/>
  <c r="I40" i="2"/>
  <c r="J39" i="2"/>
  <c r="I39" i="2"/>
  <c r="J38" i="2"/>
  <c r="I38" i="2"/>
  <c r="J106" i="2"/>
  <c r="I106" i="2"/>
  <c r="J89" i="2"/>
  <c r="I89" i="2"/>
  <c r="J37" i="2"/>
  <c r="I37" i="2"/>
  <c r="J36" i="2"/>
  <c r="I36" i="2"/>
  <c r="J35" i="2"/>
  <c r="I35" i="2"/>
  <c r="J34" i="2"/>
  <c r="I34" i="2"/>
  <c r="J33" i="2"/>
  <c r="I33" i="2"/>
  <c r="J32" i="2"/>
  <c r="I32" i="2"/>
  <c r="J92" i="2"/>
  <c r="I92" i="2"/>
  <c r="J31" i="2"/>
  <c r="I31" i="2"/>
  <c r="J30" i="2"/>
  <c r="I30" i="2"/>
  <c r="J29" i="2"/>
  <c r="I29" i="2"/>
  <c r="J28" i="2"/>
  <c r="I28" i="2"/>
  <c r="J27" i="2"/>
  <c r="I27" i="2"/>
  <c r="J26" i="2"/>
  <c r="I26" i="2"/>
  <c r="J25" i="2"/>
  <c r="I25" i="2"/>
  <c r="J24" i="2"/>
  <c r="I24" i="2"/>
  <c r="J97" i="2"/>
  <c r="I97" i="2"/>
  <c r="J23" i="2"/>
  <c r="I23" i="2"/>
  <c r="J22" i="2"/>
  <c r="I22" i="2"/>
  <c r="J21" i="2"/>
  <c r="I21" i="2"/>
  <c r="J96" i="2"/>
  <c r="I96" i="2"/>
  <c r="J20" i="2"/>
  <c r="I20" i="2"/>
  <c r="J91" i="2"/>
  <c r="I91" i="2"/>
  <c r="J19" i="2"/>
  <c r="I19" i="2"/>
  <c r="J18" i="2"/>
  <c r="I18" i="2"/>
  <c r="J95" i="2"/>
  <c r="I95" i="2"/>
  <c r="J17" i="2"/>
  <c r="I17" i="2"/>
  <c r="J16" i="2"/>
  <c r="I16" i="2"/>
  <c r="J15" i="2"/>
  <c r="I15" i="2"/>
  <c r="J14" i="2"/>
  <c r="I14" i="2"/>
  <c r="J112" i="2"/>
  <c r="I112" i="2"/>
  <c r="J13" i="2"/>
  <c r="I13" i="2"/>
  <c r="J12" i="2"/>
  <c r="I12" i="2"/>
  <c r="J11" i="2"/>
  <c r="I11" i="2"/>
  <c r="J10" i="2"/>
  <c r="I10" i="2"/>
  <c r="J9" i="2"/>
  <c r="I9" i="2"/>
  <c r="J8" i="2"/>
  <c r="I8" i="2"/>
  <c r="J7" i="2"/>
  <c r="I7" i="2"/>
  <c r="J6" i="2"/>
  <c r="I6" i="2"/>
  <c r="J5" i="2"/>
  <c r="I5" i="2"/>
  <c r="AD77" i="3" l="1"/>
  <c r="AD78" i="3"/>
  <c r="AD152" i="3"/>
  <c r="AD50" i="3"/>
  <c r="AD9" i="3"/>
  <c r="AD83" i="3"/>
  <c r="AD119" i="3"/>
  <c r="AD17" i="3"/>
  <c r="AD107" i="3"/>
  <c r="AD43" i="3"/>
  <c r="AD36" i="3"/>
  <c r="AD148" i="3"/>
  <c r="AD110" i="3"/>
  <c r="AD120" i="3"/>
  <c r="AD37" i="3"/>
  <c r="AD103" i="3"/>
  <c r="AD130" i="3"/>
  <c r="AD82" i="3"/>
  <c r="AD28" i="3"/>
  <c r="AD11" i="3"/>
  <c r="AD76" i="3"/>
  <c r="AD30" i="3"/>
  <c r="AD41" i="3"/>
  <c r="AD162" i="3"/>
  <c r="AD79" i="3"/>
  <c r="AD49" i="3"/>
  <c r="AD118" i="3"/>
  <c r="AD115" i="3"/>
  <c r="AD117" i="3"/>
  <c r="AD44" i="3"/>
  <c r="AD46" i="3"/>
  <c r="AD111" i="3"/>
  <c r="AD74" i="3"/>
  <c r="AD87" i="3"/>
  <c r="AD80" i="3"/>
  <c r="AD156" i="3"/>
  <c r="AD116" i="3"/>
  <c r="AD114" i="3"/>
  <c r="AD163" i="3"/>
  <c r="AD19" i="3"/>
  <c r="AD35" i="3"/>
  <c r="AD177" i="3"/>
  <c r="AD54" i="3"/>
  <c r="AD29" i="3"/>
  <c r="AD169" i="3"/>
  <c r="AD55" i="3"/>
  <c r="AD149" i="3"/>
  <c r="AD52" i="3"/>
  <c r="AD158" i="3"/>
  <c r="AD14" i="3"/>
  <c r="AD104" i="3"/>
  <c r="AD105" i="3"/>
  <c r="AD86" i="3"/>
  <c r="AD106" i="3"/>
  <c r="AD153" i="3"/>
  <c r="AD84" i="3"/>
  <c r="AD157" i="3"/>
  <c r="AD112" i="3"/>
  <c r="AD147" i="3"/>
  <c r="AD27" i="3"/>
  <c r="AD75" i="3"/>
  <c r="AD171" i="3"/>
  <c r="AD45" i="3"/>
  <c r="AD72" i="3"/>
  <c r="AD81" i="3"/>
  <c r="AD151" i="3"/>
  <c r="AD42" i="3"/>
  <c r="AD108" i="3"/>
  <c r="AD51" i="3"/>
  <c r="AD10" i="3"/>
  <c r="AD16" i="3"/>
  <c r="AD26" i="3"/>
  <c r="AD31" i="3"/>
  <c r="AD85" i="3"/>
  <c r="AD109" i="3"/>
  <c r="AD53" i="3"/>
  <c r="AD159" i="3"/>
  <c r="AD73" i="3"/>
  <c r="AH64" i="2"/>
  <c r="AH21" i="2"/>
  <c r="AH12" i="2"/>
  <c r="AH181" i="2"/>
  <c r="AH173" i="2"/>
  <c r="AH165" i="2"/>
  <c r="AH157" i="2"/>
  <c r="AH149" i="2"/>
  <c r="AH141" i="2"/>
  <c r="AH133" i="2"/>
  <c r="AH125" i="2"/>
  <c r="AH117" i="2"/>
  <c r="AH109" i="2"/>
  <c r="AH101" i="2"/>
  <c r="AH93" i="2"/>
  <c r="AH82" i="2"/>
  <c r="AH69" i="2"/>
  <c r="AH78" i="2"/>
  <c r="AH57" i="2"/>
  <c r="AH5" i="2"/>
  <c r="AH34" i="2"/>
  <c r="AH27" i="2"/>
  <c r="AH26" i="2"/>
  <c r="AH25" i="2"/>
  <c r="AH50" i="2"/>
  <c r="AH6" i="2"/>
  <c r="AH180" i="2"/>
  <c r="AH172" i="2"/>
  <c r="AH164" i="2"/>
  <c r="AH156" i="2"/>
  <c r="AH148" i="2"/>
  <c r="AH140" i="2"/>
  <c r="AH132" i="2"/>
  <c r="AH124" i="2"/>
  <c r="AH116" i="2"/>
  <c r="AH108" i="2"/>
  <c r="AH100" i="2"/>
  <c r="AH92" i="2"/>
  <c r="AH77" i="2"/>
  <c r="AH59" i="2"/>
  <c r="AH68" i="2"/>
  <c r="AH39" i="2"/>
  <c r="AH48" i="2"/>
  <c r="AH74" i="2"/>
  <c r="AH53" i="2"/>
  <c r="AH66" i="2"/>
  <c r="AH45" i="2"/>
  <c r="AH41" i="2"/>
  <c r="AH187" i="2"/>
  <c r="AH179" i="2"/>
  <c r="AH171" i="2"/>
  <c r="AH163" i="2"/>
  <c r="AH155" i="2"/>
  <c r="AH147" i="2"/>
  <c r="AH139" i="2"/>
  <c r="AH131" i="2"/>
  <c r="AH123" i="2"/>
  <c r="AH115" i="2"/>
  <c r="AH107" i="2"/>
  <c r="AH99" i="2"/>
  <c r="AH91" i="2"/>
  <c r="AH79" i="2"/>
  <c r="AH65" i="2"/>
  <c r="AH19" i="2"/>
  <c r="AH29" i="2"/>
  <c r="AH30" i="2"/>
  <c r="AH31" i="2"/>
  <c r="AH44" i="2"/>
  <c r="AH42" i="2"/>
  <c r="AH22" i="2"/>
  <c r="AH54" i="2"/>
  <c r="AH186" i="2"/>
  <c r="AH178" i="2"/>
  <c r="AH170" i="2"/>
  <c r="AH162" i="2"/>
  <c r="AH154" i="2"/>
  <c r="AH146" i="2"/>
  <c r="AH138" i="2"/>
  <c r="AH130" i="2"/>
  <c r="AH122" i="2"/>
  <c r="AH114" i="2"/>
  <c r="AH106" i="2"/>
  <c r="AH98" i="2"/>
  <c r="AH90" i="2"/>
  <c r="AH81" i="2"/>
  <c r="AH46" i="2"/>
  <c r="AH72" i="2"/>
  <c r="AH38" i="2"/>
  <c r="AH16" i="2"/>
  <c r="AH32" i="2"/>
  <c r="AH7" i="2"/>
  <c r="AH49" i="2"/>
  <c r="AH9" i="2"/>
  <c r="AH23" i="2"/>
  <c r="AH185" i="2"/>
  <c r="AH177" i="2"/>
  <c r="AH169" i="2"/>
  <c r="AH161" i="2"/>
  <c r="AH153" i="2"/>
  <c r="AH145" i="2"/>
  <c r="AH137" i="2"/>
  <c r="AH129" i="2"/>
  <c r="AH121" i="2"/>
  <c r="AH113" i="2"/>
  <c r="AH105" i="2"/>
  <c r="AH97" i="2"/>
  <c r="AH89" i="2"/>
  <c r="AH73" i="2"/>
  <c r="AH36" i="2"/>
  <c r="AH76" i="2"/>
  <c r="AH28" i="2"/>
  <c r="AH18" i="2"/>
  <c r="AH40" i="2"/>
  <c r="AH15" i="2"/>
  <c r="AH33" i="2"/>
  <c r="AH14" i="2"/>
  <c r="AH24" i="2"/>
  <c r="AH184" i="2"/>
  <c r="AH176" i="2"/>
  <c r="AH168" i="2"/>
  <c r="AH160" i="2"/>
  <c r="AH152" i="2"/>
  <c r="AH144" i="2"/>
  <c r="AH136" i="2"/>
  <c r="AH128" i="2"/>
  <c r="AH120" i="2"/>
  <c r="AH112" i="2"/>
  <c r="AH104" i="2"/>
  <c r="AH96" i="2"/>
  <c r="AH86" i="2"/>
  <c r="AH84" i="2"/>
  <c r="AH88" i="2"/>
  <c r="AH52" i="2"/>
  <c r="AH62" i="2"/>
  <c r="AH8" i="2"/>
  <c r="AH37" i="2"/>
  <c r="AH61" i="2"/>
  <c r="AH83" i="2"/>
  <c r="AH13" i="2"/>
  <c r="AH71" i="2"/>
  <c r="AH183" i="2"/>
  <c r="AH175" i="2"/>
  <c r="AH167" i="2"/>
  <c r="AH159" i="2"/>
  <c r="AH151" i="2"/>
  <c r="AH143" i="2"/>
  <c r="AH135" i="2"/>
  <c r="AH127" i="2"/>
  <c r="AH119" i="2"/>
  <c r="AH111" i="2"/>
  <c r="AH103" i="2"/>
  <c r="AH95" i="2"/>
  <c r="AH87" i="2"/>
  <c r="AH67" i="2"/>
  <c r="AH75" i="2"/>
  <c r="AH63" i="2"/>
  <c r="AH70" i="2"/>
  <c r="AH55" i="2"/>
  <c r="AH20" i="2"/>
  <c r="AH56" i="2"/>
  <c r="AH47" i="2"/>
  <c r="AH11" i="2"/>
  <c r="AH182" i="2"/>
  <c r="AH174" i="2"/>
  <c r="AH166" i="2"/>
  <c r="AH158" i="2"/>
  <c r="AH150" i="2"/>
  <c r="AH142" i="2"/>
  <c r="AH134" i="2"/>
  <c r="AH126" i="2"/>
  <c r="AH118" i="2"/>
  <c r="AH110" i="2"/>
  <c r="AH102" i="2"/>
  <c r="AH94" i="2"/>
  <c r="AH85" i="2"/>
  <c r="AH58" i="2"/>
  <c r="AH80" i="2"/>
  <c r="AH51" i="2"/>
  <c r="AH17" i="2"/>
  <c r="AH35" i="2"/>
  <c r="AH10" i="2"/>
  <c r="AH60" i="2"/>
  <c r="AH43" i="2"/>
  <c r="AD161" i="3"/>
  <c r="AD155"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<sst xmlns="http://schemas.openxmlformats.org/spreadsheetml/2006/main" count="23009" uniqueCount="2268">
  <si>
    <t>Source: NCR4A_TVET.xlsx (TESDA registry extract). JF + Angela</t>
  </si>
  <si>
    <t>WHAT THIS DATASET IS</t>
  </si>
  <si>
    <t>Grain</t>
  </si>
  <si>
    <t>One row = institution x city x qualification x role (training and/or assessment).</t>
  </si>
  <si>
    <t>Roles</t>
  </si>
  <si>
    <t>Is_Development=1: delivers training (drives Enrolled, Graduates). Is_Assessment=1: accredited assessment venue (drives Assessed, Certified). A row can be both.</t>
  </si>
  <si>
    <t>Coverage</t>
  </si>
  <si>
    <t>2 regions, 1,085 unique institutions, 155 qualifications, 3,327 records after cleaning.</t>
  </si>
  <si>
    <t>DATA CLEANING APPLIED</t>
  </si>
  <si>
    <t>Duplicates removed</t>
  </si>
  <si>
    <t>738 exact full-row duplicates dropped (mostly assessment rows double-listed in the export). 4,065 raw rows -&gt; 3,327 clean.</t>
  </si>
  <si>
    <t>Construction flag</t>
  </si>
  <si>
    <t>Built-environment trades flagged: SMAW/GMAW/GTAW/FCAW welding, Electrical Installation, Masonry, Carpentry, Plumbing, Tile Setting, Heavy Equipment Operation, Scaffolding, Pipefitting, Reinforcing Steel, Rigging, Formwork. Automotive painting excluded (vehicle, not building).</t>
  </si>
  <si>
    <t>HOW CENTRES ARE RANKED</t>
  </si>
  <si>
    <t>Primary metric</t>
  </si>
  <si>
    <t>Enrolled = training throughput (scale of the teaching business).</t>
  </si>
  <si>
    <t>Quality signals</t>
  </si>
  <si>
    <t>Grad Rate = Graduates / Enrolled. Cert Rate = Certified / Assessed. Both can exceed 100% because a cohort graduating/certifying this period may have enrolled earlier, and assessment includes walk-in RPL candidates.</t>
  </si>
  <si>
    <t>KEY TAKEAWAYS</t>
  </si>
  <si>
    <t>1</t>
  </si>
  <si>
    <t>The market splits into two businesses: training (Enrolled/Graduates) and assessment/certification (Assessed/Certified). Many high-volume players are assessment-heavy, which is more asset-light.</t>
  </si>
  <si>
    <t>2</t>
  </si>
  <si>
    <t>NCR leaders skew to BPO-adjacent and service trades (call center, computer servicing, caregiving, food). 4A leaders skew to manufacturing-linked and trade skills.</t>
  </si>
  <si>
    <t>3</t>
  </si>
  <si>
    <t>Construction trades = 15.8% of all training enrolment, but certification volume (72.5k) far exceeds training enrolment (30.6k): the trades assessment/RPL business is larger than the training business.</t>
  </si>
  <si>
    <t>4</t>
  </si>
  <si>
    <t>Welding (SMAW I+II) and Electrical Installation are the deepest construction pools by both demand and number of providers (130+ centres each), i.e. competitive. Heavy Equipment, Scaffolding and Plumbing are thinner provider markets with high certification pull.</t>
  </si>
  <si>
    <t>Institution Name</t>
  </si>
  <si>
    <t>City</t>
  </si>
  <si>
    <t>Province</t>
  </si>
  <si>
    <t>Region</t>
  </si>
  <si>
    <t>Reg</t>
  </si>
  <si>
    <t>Qualification</t>
  </si>
  <si>
    <t>IsConstruction</t>
  </si>
  <si>
    <t>Is_Development</t>
  </si>
  <si>
    <t>Is_Assessment</t>
  </si>
  <si>
    <t>Trainer Count</t>
  </si>
  <si>
    <t>Enrolled</t>
  </si>
  <si>
    <t>Graduates</t>
  </si>
  <si>
    <t>Number of Accredited Ass Qual</t>
  </si>
  <si>
    <t>Assessed</t>
  </si>
  <si>
    <t>Certified</t>
  </si>
  <si>
    <t>PHILIPPINE CALL CENTER INSTITUTE INC.</t>
  </si>
  <si>
    <t>Makati City</t>
  </si>
  <si>
    <t>PASMAK</t>
  </si>
  <si>
    <t>National Capital Region (NCR)</t>
  </si>
  <si>
    <t>NCR</t>
  </si>
  <si>
    <t>Computer Systems Servicing NC II</t>
  </si>
  <si>
    <t>EAST AND WEST CENTER OF EXCELLENCE IN TRAINING CORPORATION</t>
  </si>
  <si>
    <t>Alaminos</t>
  </si>
  <si>
    <t>Laguna</t>
  </si>
  <si>
    <t>Region IVA - CALABARZON</t>
  </si>
  <si>
    <t>4A</t>
  </si>
  <si>
    <t>Contact Center Services NC II</t>
  </si>
  <si>
    <t>HYPER YOUNG INSTITUTE OF TECHNOLOGY INC.</t>
  </si>
  <si>
    <t>Pasig City</t>
  </si>
  <si>
    <t>PAMAMARISAN</t>
  </si>
  <si>
    <t>CARENET HEALTHCARE INSTITUTE INC.</t>
  </si>
  <si>
    <t>Barista NC II</t>
  </si>
  <si>
    <t>THE BIG FIVE TRAINING AND ASSESSMENT CENTER INC.</t>
  </si>
  <si>
    <t>San Pablo City</t>
  </si>
  <si>
    <t>Bread and Pastry Production NC II</t>
  </si>
  <si>
    <t>SOUTHERN INSTITUTE OF MARITIME STUDIES-MANILA INC.</t>
  </si>
  <si>
    <t>Ermita, City of Manila</t>
  </si>
  <si>
    <t>City of Manila</t>
  </si>
  <si>
    <t>Ship's Catering Services NC I</t>
  </si>
  <si>
    <t>TECHVOC SKILLS INC.</t>
  </si>
  <si>
    <t>Sampaloc, City of Manila</t>
  </si>
  <si>
    <t>MINDTECH TRAINING &amp; DEVELOPMENT INSTITUTE, INC.</t>
  </si>
  <si>
    <t xml:space="preserve">NATIONAL INSTITUTE FOR TECHNICAL AND VOCATIONAL CAREERS, INC. </t>
  </si>
  <si>
    <t>Quezon City</t>
  </si>
  <si>
    <t>RMC EAGLES TRAINING AND ASSESSMENT CENTER INC.</t>
  </si>
  <si>
    <t>Caloocan City</t>
  </si>
  <si>
    <t>CAMANAVA</t>
  </si>
  <si>
    <t>Driving NC II</t>
  </si>
  <si>
    <t>Hilot (Wellness Massage) NC II</t>
  </si>
  <si>
    <t>TRIPLE K'S EAST CAPITOL KITCHEN CORP. DOING BUSINESS UNDER THE NAME AND STYLE OF SPICES AND HERBS TR</t>
  </si>
  <si>
    <t>TELECALL INSTITUTE OF TECHNOLOGY INC.</t>
  </si>
  <si>
    <t>Cabuyao</t>
  </si>
  <si>
    <t>Events Management Services NC III</t>
  </si>
  <si>
    <t>ADAO LEARNING INSTITUTE INC.</t>
  </si>
  <si>
    <t>Kalayaan</t>
  </si>
  <si>
    <t>Quezon City Lingkod Bayan Skills Development Center</t>
  </si>
  <si>
    <t>Tile Setting NC II</t>
  </si>
  <si>
    <t>UNO CAREGIVER AND DOMESTIC MNGT TRAINING, INC.</t>
  </si>
  <si>
    <t>Domestic Work NC II</t>
  </si>
  <si>
    <t>FAR EAST MARITIME FOUNDATION INC.</t>
  </si>
  <si>
    <t>CENTER FOR INTERNATIONAL INDUSTRIES COMPETENCE CORP.</t>
  </si>
  <si>
    <t>LUCENA TECHNOLOGICAL INSTITUTE INCORPORATED</t>
  </si>
  <si>
    <t>Lucena City</t>
  </si>
  <si>
    <t>Quezon</t>
  </si>
  <si>
    <t>Shielded Metal Arc Welding (SMAW) NC II</t>
  </si>
  <si>
    <t>Cookery NC II</t>
  </si>
  <si>
    <t>ASIA PACIFIC CAREGIVER &amp; HEALTHCARE TRAINING CENTER, INC.</t>
  </si>
  <si>
    <t>Caregiving NC II</t>
  </si>
  <si>
    <t>PHILIPPINE INDUSTRIAL EQUIPMENT TECHNICAL INSTITUTE, INC.</t>
  </si>
  <si>
    <t>City of Biñan</t>
  </si>
  <si>
    <t>Heavy Equipment Operation (Hydraulic Excavator) NC II</t>
  </si>
  <si>
    <t>SYLVRE AGRI-FARM &amp; ASSESSMENT CENTER INC.</t>
  </si>
  <si>
    <t>Siniloan</t>
  </si>
  <si>
    <t>Rice Machinery Operations NC II</t>
  </si>
  <si>
    <t>B AND B ACADEMY FOR SKILLS TRAINING AND ASSESSMENT INC.</t>
  </si>
  <si>
    <t>Heavy Equipment Operation (Forklift) NC II</t>
  </si>
  <si>
    <t>MUNTIPARLASTAPAT DISTRICT TRAINING AND ASSESSMENT CENTER</t>
  </si>
  <si>
    <t>Taguig City</t>
  </si>
  <si>
    <t>MUNTIPARLASTAPAT</t>
  </si>
  <si>
    <t xml:space="preserve">SLDM COLLEGES OF QUEZON CITY, INC. </t>
  </si>
  <si>
    <t>Tourism Promotion Services NC II</t>
  </si>
  <si>
    <t>Colegio de Santo Cristo De Burgos Corporation</t>
  </si>
  <si>
    <t>Sariaya</t>
  </si>
  <si>
    <t xml:space="preserve">DIVINE MERCY INTERNATIONAL INSTITUTE INC.   </t>
  </si>
  <si>
    <t>Silang</t>
  </si>
  <si>
    <t>Cavite</t>
  </si>
  <si>
    <t>Electrical Installation and Maintenance NC II</t>
  </si>
  <si>
    <t>High Vision Training Center, Inc.</t>
  </si>
  <si>
    <t>LE PRIME INSTITUTE OF TECHNOLOGY INC.</t>
  </si>
  <si>
    <t>Lipa City</t>
  </si>
  <si>
    <t>Batangas</t>
  </si>
  <si>
    <t>ASIANTOUCH INTERNATIONAL TRAINING INSTITUTE, INC.</t>
  </si>
  <si>
    <t>Marikina City</t>
  </si>
  <si>
    <t>HORIZONS INSTITUTE OF TECHNOLOGY CORPORATION</t>
  </si>
  <si>
    <t>ASIAN SCHOOL OF ADVANCED TECHNOLOGY INC.</t>
  </si>
  <si>
    <t>Bacoor City</t>
  </si>
  <si>
    <t>Caregiving (Elderly) NC II</t>
  </si>
  <si>
    <t>A1VENTURES TECHNICAL AND VOCATIONAL ACADEMY INC.</t>
  </si>
  <si>
    <t>D' RISING SUN TRAINING CENTER PHILS. INC.</t>
  </si>
  <si>
    <t>Slaughtering Operations (Swine) NC II</t>
  </si>
  <si>
    <t>Computer Site Ins. Inc.</t>
  </si>
  <si>
    <t>San Pedro</t>
  </si>
  <si>
    <t>MAGSAYSAY CENTER FOR HOSPITALITY AND CULINARY ARTS, INC.</t>
  </si>
  <si>
    <t>Mandaluyong City</t>
  </si>
  <si>
    <t>MECHATRONICS TECHNOLOGIES CORP.</t>
  </si>
  <si>
    <t>Mechatronics Servicing NC II</t>
  </si>
  <si>
    <t>ICROPS INTERNATIONAL ASSESSMENT AND TRAINING CENTER, INC.</t>
  </si>
  <si>
    <t>RCTI TRAINING AND ASSESSMENT CORP.</t>
  </si>
  <si>
    <t>PHILIPPINE SCHOOL FOR TECHNOLOGY DEVELOPMENT AND INNOVATION INC.</t>
  </si>
  <si>
    <t>Valenzuela City</t>
  </si>
  <si>
    <t>ZEYEN SKILLS ENHANCEMENT CENTER INC.</t>
  </si>
  <si>
    <t>LUCKY HOME MANDARIN RESOURCE TRAINING AND SKILLS DEVELOPMENT INC.</t>
  </si>
  <si>
    <t>Malate, City of Manila</t>
  </si>
  <si>
    <t>TESDA PAMAMARISAN TRAINING AND ASSESSMENT CENTER (TPTAC)</t>
  </si>
  <si>
    <t>WELEARN TRAINING AND ASSESSMENT CENTER FOR LIVELIHOOD DEVELOPMENT INC.</t>
  </si>
  <si>
    <t>MINDBANK TRAINING &amp; SKILLS CORPORATION</t>
  </si>
  <si>
    <t>ACADEMY FOR INTERNATIONAL CULINARY ARTS, INC.</t>
  </si>
  <si>
    <t>TRIDENT-ASSESSMENT AND TECHNICAL TRAINING CENTER INC.</t>
  </si>
  <si>
    <t>Top Choice Training Institute and Assessment Center</t>
  </si>
  <si>
    <t>Parañaque City</t>
  </si>
  <si>
    <t>MYCHEST SKILLS INSTITUTE CORP.</t>
  </si>
  <si>
    <t>POWER LINK CENTER FOR ADVANCED TECHNICAL SKILLS DEVELOPMENT INC.</t>
  </si>
  <si>
    <t>APHRODITE TRAINING AND ASSESSMENT CENTER INC.</t>
  </si>
  <si>
    <t>PSAA INTERNATIONAL ACADEMY INC.</t>
  </si>
  <si>
    <t>Pandacan, City of Manila</t>
  </si>
  <si>
    <t>PHILIPPINE ACADEMY FOR TECHNICAL AND VOCATIONAL SKILLS, INC.</t>
  </si>
  <si>
    <t>Food and Beverage Services NC II</t>
  </si>
  <si>
    <t>REGIONAL TRAINING CENTER - NCR</t>
  </si>
  <si>
    <t>Carpentry NC II</t>
  </si>
  <si>
    <t>RIGHT FOCUS TRAINING CENTER, INC.</t>
  </si>
  <si>
    <t>Santa Cruz, City of Manila</t>
  </si>
  <si>
    <t>GENUINE SERVICE PRESIDENT TRAINING AND ASSESSMENT CENTER INC.</t>
  </si>
  <si>
    <t>OPTIMUM SKILLS SOURCE INSTITUTE CORP.</t>
  </si>
  <si>
    <t>San Juan City</t>
  </si>
  <si>
    <t>SOCIO INTER SKILLS TRAINING ACADEMY (SISTA) INC.</t>
  </si>
  <si>
    <t>THE MOLINO INSTITUTE OF SCIENCE AND TECHNOLOGY INC.</t>
  </si>
  <si>
    <t>Candelaria</t>
  </si>
  <si>
    <t>ST. MARTIN SCHOOL OF ADVANCED TECHNOLOGY AND CAREGIVER INC.</t>
  </si>
  <si>
    <t>City of Dasmariñas</t>
  </si>
  <si>
    <t>HIGH PERFORMANCE INTERNATIONAL TRAINING CENTER AND TRADE TEST, INC.</t>
  </si>
  <si>
    <t>Paco, City of Manila</t>
  </si>
  <si>
    <t>SYNERGY ASSESSMENT &amp; TRAINING CENTER</t>
  </si>
  <si>
    <t>Malvar</t>
  </si>
  <si>
    <t>Arellano University, Inc.</t>
  </si>
  <si>
    <t>SILVERPOINT TRAINING INSTITUTE OF INDUSTRIAL SECURITY, INC.</t>
  </si>
  <si>
    <t>Pasay City</t>
  </si>
  <si>
    <t>Security Services NC II</t>
  </si>
  <si>
    <t>INTERNATIONAL TRAINING CENTER AND HOSPITALITY INSTITUTE, INC.</t>
  </si>
  <si>
    <t>EVERBRIGHT INTERNATIONAL ACADEMY, INC.</t>
  </si>
  <si>
    <t>TAGUIG MANPOWER TRAINING AND ASSESSMENT CENTER (TMTC)</t>
  </si>
  <si>
    <t>ST. MICHAEL ARCANGEL TECHNOLOGICAL INSTITUTE, INC.</t>
  </si>
  <si>
    <t>Malabon City</t>
  </si>
  <si>
    <t>SOUTHERN LUZON TECHNOLOGICAL COLLEGE FOUNDATION, INC.</t>
  </si>
  <si>
    <t>Organic Agriculture Production NC II</t>
  </si>
  <si>
    <t>APLUS TECHNICAL AND VOCATIONAL SCHOOL INC.</t>
  </si>
  <si>
    <t>TESDA Women's Center</t>
  </si>
  <si>
    <t>Bookkeeping NC III</t>
  </si>
  <si>
    <t>Laborlink Technical Institute Corporation</t>
  </si>
  <si>
    <t>HUMAN RESOURCE DEVELOPMENT CENTER (HRDC)</t>
  </si>
  <si>
    <t>Electrical Installation and Maintenance NC III</t>
  </si>
  <si>
    <t>HEZEKIAH VOCATIONAL &amp; TECHNOLOGICAL TRAINING INSTITUTE, (HVTTI) INC.</t>
  </si>
  <si>
    <t>Imus</t>
  </si>
  <si>
    <t>GLOBETEK SCIENCE FOUNDATION INC.</t>
  </si>
  <si>
    <t>Shielded Metal Arc Welding (SMAW) NC I</t>
  </si>
  <si>
    <t>AUTOZONE DRIVING SCHOOLINC.</t>
  </si>
  <si>
    <t>KAMELO MANPOWER SKILLS DEVELOPMENT CENTER INC.</t>
  </si>
  <si>
    <t>Batangas City</t>
  </si>
  <si>
    <t>SACRED HEART TECHNICAL &amp; VOCATIONAL ASSESSMENT CENTER INC.</t>
  </si>
  <si>
    <t>Skillful Training and Assessment Center Inc.</t>
  </si>
  <si>
    <t>Lemery</t>
  </si>
  <si>
    <t>RUBIKS MANPOWER TRAINING CENTER INC.</t>
  </si>
  <si>
    <t>QTEK TRAINING AND ASSESSMENT CENTER INC.</t>
  </si>
  <si>
    <t>COLEGIO DE SAN EXPEDITO, IN.C</t>
  </si>
  <si>
    <t>INTERNATIONAL TRAINING FOR ENHANCEMENT &amp; ASSESSMENT CENTER, INC.</t>
  </si>
  <si>
    <t>GATEWAYS INSTITUTE OF SCIENCE &amp; TECHNOLOGY, INC. (Mandaluyong)</t>
  </si>
  <si>
    <t>MARANATHA TECHNOLOGICAL INSTITUTE AND TRAINING CENTER CORPORATION</t>
  </si>
  <si>
    <t>ST. CATHERINE INSTITUTE OF TECHNOLOGY, INC.</t>
  </si>
  <si>
    <t>Technical Drafting NC II</t>
  </si>
  <si>
    <t>JOYSIS TECH VOC INC.</t>
  </si>
  <si>
    <t>Programming (Java) NC III</t>
  </si>
  <si>
    <t>Electronic Products Assembly and Servicing NC II</t>
  </si>
  <si>
    <t>CAPT. WILIJADO P. ABUID FOUNDATION, INC.</t>
  </si>
  <si>
    <t>COLLEGE OF SAINT AMATIEL INC.</t>
  </si>
  <si>
    <t>ST. THOMAS AQUINAS INSTITUTE OF CALOOCAN INC.</t>
  </si>
  <si>
    <t>TESDA MANILA TRAINING AND ASSESSMENT CENTER (TMTAC)</t>
  </si>
  <si>
    <t>Trainers Methodology Level I</t>
  </si>
  <si>
    <t xml:space="preserve">ASIAN ENTREPRENEURS TECHNOLOGICAL INSTITUTE, INC. </t>
  </si>
  <si>
    <t>Driving (Passenger Bus/Straight Truck) NC III</t>
  </si>
  <si>
    <t>ARAYA SKILLS DEVELOPMENT INSTITUTE, CORP.</t>
  </si>
  <si>
    <t>MANILA CULINARY &amp; HOSPITALITY ACADEMY, INC.</t>
  </si>
  <si>
    <t>TESDA-NAVOTAAS TRAINING INSTITUTE</t>
  </si>
  <si>
    <t>Navotas City</t>
  </si>
  <si>
    <t>RAC Servicing (DomRAC) NC II</t>
  </si>
  <si>
    <t>PV Systems Installation NC II</t>
  </si>
  <si>
    <t>MILESTONE TECHNOLOGICAL INSTITUTE, INC.</t>
  </si>
  <si>
    <t>STO. NIÑO DE NOVALICHES SCHOOL INC.</t>
  </si>
  <si>
    <t>Automotive Servicing NC I</t>
  </si>
  <si>
    <t>EXCELSIOR CENTER FOR EXCELLENCE INC.</t>
  </si>
  <si>
    <t>CABALEN TRAINING INSTITUTE CORP.</t>
  </si>
  <si>
    <t>PHILIPPINE INSTITUTE OF MEDICAL TRAINING AND DEVELOPMENT INC.</t>
  </si>
  <si>
    <t>CENTER FOR BARISTA AND TOURISM ACADEMY TRAINING AND ASSESSMENT, INC.</t>
  </si>
  <si>
    <t>CPDC TRAINING &amp; TESTING CORP.</t>
  </si>
  <si>
    <t>TRAINING CENTER FOR SKILLS AND DEVELOPMENT, INC.</t>
  </si>
  <si>
    <t>PRIME EDUCATION AND ASSESSMENT CENTER INC.</t>
  </si>
  <si>
    <t>BCB ABUNDANT GREENS FLOWER FARM</t>
  </si>
  <si>
    <t>Lucban</t>
  </si>
  <si>
    <t>R AND R SKILLS TRAINING CENTER INC.</t>
  </si>
  <si>
    <t>Sampaloc</t>
  </si>
  <si>
    <t>BOWLINE TRAINING &amp; ASSESSMENT CENTER, INC.</t>
  </si>
  <si>
    <t>Construction Painting NC II</t>
  </si>
  <si>
    <t>SP CASTRO CONSTRUCTION SERVICES</t>
  </si>
  <si>
    <t>Pagbilao</t>
  </si>
  <si>
    <t>SMI INSTITUTE INC.</t>
  </si>
  <si>
    <t>APICIUS CULINARY ARTS AND HOTEL MANAGEMENT, INC.</t>
  </si>
  <si>
    <t>LIVELIHOOD PLANNER SPECIALIST CENTER INC.</t>
  </si>
  <si>
    <t>United Christian Academy College of Asia, Inc.</t>
  </si>
  <si>
    <t>ITECH TECHNICAL VOCATIONAL INSTITUTE CORP.</t>
  </si>
  <si>
    <t>Rodriguez (Montalban)</t>
  </si>
  <si>
    <t>Rizal</t>
  </si>
  <si>
    <t>R1ZAL TRAINING &amp; DEVELOPMENT INSTITUTE INC.</t>
  </si>
  <si>
    <t>Cainta</t>
  </si>
  <si>
    <t>RNC Technical Learning Center Inc.</t>
  </si>
  <si>
    <t>Calauag</t>
  </si>
  <si>
    <t>Regional Training Center - CALABARZON</t>
  </si>
  <si>
    <t>Housekeeping NC II</t>
  </si>
  <si>
    <t xml:space="preserve">FIRST GEAR TECHNICAL INSTITUTE AND ASSESSMENT CENTER, INC. </t>
  </si>
  <si>
    <t xml:space="preserve">CANE TOWN COLLEGES OF THE PHILIPPINES, INC. DOING BUSINESS UNDER THE NAME AND STYLE OF PROFESSIONAL </t>
  </si>
  <si>
    <t>RGTECH INSTITUTE AND ASSESSMENT CENTER</t>
  </si>
  <si>
    <t>GOALS TRAINING AND ASSESSMENT INSTITUTE INC.</t>
  </si>
  <si>
    <t>GOOD WORKERS TRANSFORMATION CENTER, INC.</t>
  </si>
  <si>
    <t>ST. MARK SKILLS TRAINING INSTITUTE INC.</t>
  </si>
  <si>
    <t>Infanta</t>
  </si>
  <si>
    <t>HONORIO LOPEZ TECHNICAL INSTITUTE INC.</t>
  </si>
  <si>
    <t>Tondo I/II, City of Manila</t>
  </si>
  <si>
    <t>D' Rising Sun Training Center Phils., Inc.</t>
  </si>
  <si>
    <t>Muntinlupa City</t>
  </si>
  <si>
    <t>SEAMAC INTERNATIONAL TRAINING INSTITUTE, INC.</t>
  </si>
  <si>
    <t>RENAISSANCE SCHOOL OF SCIENCE AND TECHNOLOGY INC</t>
  </si>
  <si>
    <t>Morong</t>
  </si>
  <si>
    <t xml:space="preserve">IMUS COMPUTER COLLEGE, INC. (FORMERLY: IMUS COMPUTER CENTER, INC.) - CARMONA </t>
  </si>
  <si>
    <t>Carmona</t>
  </si>
  <si>
    <t>FIL-WORK TRAINING CENTER AND TRADE TEST, INC.</t>
  </si>
  <si>
    <t>Lexus Academy Training and Assessment Center, Inc.</t>
  </si>
  <si>
    <t>ST. MICHAEL CAREER FOCUSED ENHANCEMENT, INC.</t>
  </si>
  <si>
    <t>DA VINCI ALLIED HEALTH SCIENCES TRAINING INSTITUTE INC.</t>
  </si>
  <si>
    <t>IMPERIUM AGRICULTURE TRAINING AND ASSESSMENT CENTER</t>
  </si>
  <si>
    <t>Pangil</t>
  </si>
  <si>
    <t>AMAZING GRACE TECHNICAL TRAINING INSTITUTE</t>
  </si>
  <si>
    <t>ARV TRADE TEST AND TRAINING CENTER, INC.</t>
  </si>
  <si>
    <t>CANADIAN TOURISM AND HOSPITALITY INSTITUTE, INC.</t>
  </si>
  <si>
    <t>LUCIANO'S NATURE FARM</t>
  </si>
  <si>
    <t>FINE INTERNATIONAL TRAINING CENTER, INC.</t>
  </si>
  <si>
    <t>PHILIPPINE SEAFARERS TRAINING CENTER</t>
  </si>
  <si>
    <t>Quiapo, City of Manila</t>
  </si>
  <si>
    <t>YURIMI CENTER FOR HOSPITALITY AND CULINARY ARTS INC.</t>
  </si>
  <si>
    <t>Los Baños</t>
  </si>
  <si>
    <t>UNITED SEAFARER'S MARITIME CENTER, INC.</t>
  </si>
  <si>
    <t>Integrated Movement Academy, Inc.</t>
  </si>
  <si>
    <t>Las Piñas City</t>
  </si>
  <si>
    <t>GREENTHUMB FARMING SCHOOL</t>
  </si>
  <si>
    <t>Atimonan</t>
  </si>
  <si>
    <t>SAN ANTONIO SKILLS DEVELOPMENT CENTER INC.</t>
  </si>
  <si>
    <t>City of Santa Rosa</t>
  </si>
  <si>
    <t xml:space="preserve">DON BOSCO YOUTH CENTER-TONDO INC. </t>
  </si>
  <si>
    <t>Mechatronics Servicing NC III</t>
  </si>
  <si>
    <t xml:space="preserve">ACADEMY ASIA SCHOOL OF TECHNOLOGY AND THE ARTS, INC. </t>
  </si>
  <si>
    <t xml:space="preserve">CEN TECH - CENTER FOR TECHNICAL EXCELLENCE, INC. </t>
  </si>
  <si>
    <t>SYNERGY ASSESSMENT AND TRAINING CENTER INC.</t>
  </si>
  <si>
    <t>MARIKINA SKILLS TRAINING AND ASSESSMENT CENTER INC.</t>
  </si>
  <si>
    <t>EQUINOX TRAINING CENTER INC.</t>
  </si>
  <si>
    <t>Santa Teresita</t>
  </si>
  <si>
    <t>LORD YAHWEH BUSINESS COLLEGES AND MARITIME ACADEMY INCORPORATED</t>
  </si>
  <si>
    <t>Technical Skills System of Lucena Inc.</t>
  </si>
  <si>
    <t>TECHNO DEVELOPMENT CENTER OF THE PHILIPPINES, INC.</t>
  </si>
  <si>
    <t>DON LEON NATURE FARMS INC.</t>
  </si>
  <si>
    <t>San Juan</t>
  </si>
  <si>
    <t>D' BEAUTY TREND CENTER INSTITUTE INC.</t>
  </si>
  <si>
    <t>PASAY-MAKATI DISTRICT TRAINING AND ASSESSMENT CENTER (PMDTAC)</t>
  </si>
  <si>
    <t>SAINT FRANCIS OF ASSISI COLLEGE OF ALABANG INC.</t>
  </si>
  <si>
    <t>PASIG CITY INSTITUTE OF SCIENCE AND TECHNOLOGY</t>
  </si>
  <si>
    <t>TRINITY POLYTECHNIC COLLEGE, INC.</t>
  </si>
  <si>
    <t>Shielded Metal Arc Welding (SMAW) NC III</t>
  </si>
  <si>
    <t>Marymount Academy of Parañaque (MAPI), Inc.</t>
  </si>
  <si>
    <t>Provincial Training Center - Lipa</t>
  </si>
  <si>
    <t>PR1ME INSTITUTE FOR SKILLS DEVELOPMENT AND ASSESSMENT CENTER, INC.</t>
  </si>
  <si>
    <t>Santa Cruz</t>
  </si>
  <si>
    <t>Advent Caregiver School Inc.</t>
  </si>
  <si>
    <t>EJ TRAINING AND ASSESSMENT CENTER INC.</t>
  </si>
  <si>
    <t xml:space="preserve">ACCESS PASIG COMPUTER &amp; TECHNICAL COLLEGES, INC. </t>
  </si>
  <si>
    <t>MIKASTRA INTEGRATED FARM</t>
  </si>
  <si>
    <t>Macalelon</t>
  </si>
  <si>
    <t>Agricultural Crops Production NC II</t>
  </si>
  <si>
    <t>LTC TRAINING, ASSESSMENT AND MULTI SERVICES, INC.</t>
  </si>
  <si>
    <t>LINKAGE INDUSTRIAL CORP</t>
  </si>
  <si>
    <t>Taytay</t>
  </si>
  <si>
    <t>Stars and Rainbow Academy, Inc.</t>
  </si>
  <si>
    <t>MARY GRACE INTERNATIONAL EDUCATION INC.</t>
  </si>
  <si>
    <t>INTEGRATED INNOVATION AND HOSPITALITY COLLEGES, INC.</t>
  </si>
  <si>
    <t>UNITECH EDUCATIONAL INSTITUTE (UEI) INC.</t>
  </si>
  <si>
    <t>ASIA SOURCE ICOLLEGE INC.</t>
  </si>
  <si>
    <t>POWER SKILLS TECHNICAL CENTER OF CAVITE INC.</t>
  </si>
  <si>
    <t>MOTHER THERESA INSTITUTE OF TECHNOLOGY AND ASSESSMENT CENTER INC.</t>
  </si>
  <si>
    <t>CLEAR VOCATION INSTITUTE FOR SKILLS TRAINING &amp; ASSESSMENT CORP.</t>
  </si>
  <si>
    <t>KING EAGLE TRAINING AND ASSESSMENT CENTER CORPORATION</t>
  </si>
  <si>
    <t>Dressmaking NC II</t>
  </si>
  <si>
    <t>MENDOZA TRAINING AND ASSESSMENT CENTER INC.</t>
  </si>
  <si>
    <t>Mabitac</t>
  </si>
  <si>
    <t>SWEET NATURE FARMS</t>
  </si>
  <si>
    <t>Santa Maria</t>
  </si>
  <si>
    <t>PHILIPPINE WELDING TECHNOLOGY SKILLS AND SERVICES CENTER INC.</t>
  </si>
  <si>
    <t>Miesha Training Academy and Assessment Center, Inc.</t>
  </si>
  <si>
    <t>DRIMSTECH TRAINING AND ASSESSMENT CENTER INC.</t>
  </si>
  <si>
    <t>Bauan</t>
  </si>
  <si>
    <t>LEMERY COLLEGES, INC.</t>
  </si>
  <si>
    <t>SAV1 SKILLS TRAINING AND DEVELOPMENT CENTER INC.</t>
  </si>
  <si>
    <t>Gateways Institute of Science and Technology, Inc.</t>
  </si>
  <si>
    <t>KEYSTONE TECHNICAL INSTITUTE OF LOPEZ QUEZON, INC.</t>
  </si>
  <si>
    <t>Magdalena</t>
  </si>
  <si>
    <t>Agroentrepreneurship NC II</t>
  </si>
  <si>
    <t>COCHA CENTRE OF CULINARY HOTEL ARTS TRAINING AND ASSESSMENT INC.</t>
  </si>
  <si>
    <t>Cortijo de Palsabangon Farm OPC</t>
  </si>
  <si>
    <t>PRINCE ZMT TRAINING AND ASSESSMENT CENTER INC.</t>
  </si>
  <si>
    <t>MARYMEI SKILLS TRAINING CENTER OF THE PHILS. CORP.</t>
  </si>
  <si>
    <t xml:space="preserve">EDS MANUFACTURING CORP. </t>
  </si>
  <si>
    <t>Automotive Wiring Harness Assembly NC II</t>
  </si>
  <si>
    <t>GLOBAL OVERSEAS TRAINING INSTITUTE FOR HEAVY EQUIPMENT OPERATORS &amp; SKILLS DEVELOPMENT (GOTHED), INC.</t>
  </si>
  <si>
    <t>CENTER FOR ASIAN CULINARY STUDIES INC.</t>
  </si>
  <si>
    <t>NAVOTAS VOCATIONAL TRAINING AND ASSESSMENT (NAVOTAAS) INSTITUTE - ANNEX II</t>
  </si>
  <si>
    <t>PAMANTASAN NG LUNGSOD NG MARIKINA</t>
  </si>
  <si>
    <t>ASIAN CAREGIVING AND TECHNOLOGY EDUCATION CENTERS, INC.</t>
  </si>
  <si>
    <t>ASIAN TECH-HUB ACADEMY, INC.</t>
  </si>
  <si>
    <t>SKILLSTECH BATANGAS TRAINING AND ASSESSMENT CENTER CORP.</t>
  </si>
  <si>
    <t>Calaca</t>
  </si>
  <si>
    <t>GARDNER COLLEGE DILIMAN, INC.</t>
  </si>
  <si>
    <t>ST. PEREGRINE INSTITUTE, INC.</t>
  </si>
  <si>
    <t>GRAND TRAINING AND ASSESSMENT CENTER, INCORPORATED</t>
  </si>
  <si>
    <t>Bartending NC II</t>
  </si>
  <si>
    <t>PCA MARIVALLEY CONSTRUCTORS ASSOCIATION, INC.</t>
  </si>
  <si>
    <t>Gas Metal Arc Welding (GMAW) NC II</t>
  </si>
  <si>
    <t>WESTBRIDGE INSTITUTE OF TECHNOLOGY</t>
  </si>
  <si>
    <t>ANGELITA V. DEL MUNDO FOUNDATION</t>
  </si>
  <si>
    <t>Pagsanjan</t>
  </si>
  <si>
    <t>FPTI-PUNLAAN SCHOOL</t>
  </si>
  <si>
    <t>HEADSTART TRAINING CENTER CORP.</t>
  </si>
  <si>
    <t>COOKO CULINARY AND BARISTA ACADEMY, INC.</t>
  </si>
  <si>
    <t>LA SALLE GREENHILLS, INC.</t>
  </si>
  <si>
    <t>Ships' Catering (Ships' Cooks) NC III</t>
  </si>
  <si>
    <t>KUMINTANG INSTITUTE TRAINING AND ASSESSMENT INC.</t>
  </si>
  <si>
    <t>Talisay</t>
  </si>
  <si>
    <t>LAGUNA COLLEGE OF ARTS AND TECHNOLOGY INC.</t>
  </si>
  <si>
    <t>Victoria</t>
  </si>
  <si>
    <t>ROUNDED SYSTEMS INC.</t>
  </si>
  <si>
    <t>UST ANGELICUM COLLEGE, INC.</t>
  </si>
  <si>
    <t>D' BEAUTY TREND CENTER INSTITUTE, INC.</t>
  </si>
  <si>
    <t>INTERNATIONAL MARITIME EDUCATION CENTER CORPORATION</t>
  </si>
  <si>
    <t>INFORMATION HUB INC.</t>
  </si>
  <si>
    <t>TESDA-LLDA PROVINCIAL TRAINING CENTER</t>
  </si>
  <si>
    <t>Calauan</t>
  </si>
  <si>
    <t>Lopez</t>
  </si>
  <si>
    <t>Treston International College, Inc.</t>
  </si>
  <si>
    <t>EXCEL TECHNICAL SKILLS AND CAREER CENTER, INC.</t>
  </si>
  <si>
    <t>KABAKA MANPOWER TRAINING AND ASSESSMENT CENTER, INC.</t>
  </si>
  <si>
    <t>NE PLUS ULTRA TRAINING CENTER CORPORATION</t>
  </si>
  <si>
    <t>Integrated Innovation and Hospitality Colleges, Inc.</t>
  </si>
  <si>
    <t>Olivarez College, Inc.</t>
  </si>
  <si>
    <t>KAIZEN TECH INSTITUTE OF MANILA INC.</t>
  </si>
  <si>
    <t>Visual Graphic Design NC III</t>
  </si>
  <si>
    <t>ST. MATTHEW OF BLUMENTRITT INSTITUTE OF TECHNOLOGY (SMBIT). INC.</t>
  </si>
  <si>
    <t>IMPERIUM TRAINING CENTER INC.</t>
  </si>
  <si>
    <t>COLEGIO DE LOS BANOS</t>
  </si>
  <si>
    <t>COLEGIO DE AMORE INC.</t>
  </si>
  <si>
    <t>Trece Martires City</t>
  </si>
  <si>
    <t>SEA GEM TRAINING AND ASSESSMENT CENTER, INC.</t>
  </si>
  <si>
    <t>DIETA INTEGRATED FARM</t>
  </si>
  <si>
    <t>ST. THERESE OF THE CHILD JESUS INSTITUTE OF ARTS AND SCIENCES, INC.</t>
  </si>
  <si>
    <t>SKILLED INSTITUTE OF TECHNOLOGY AND COMMUNICATIONS INC.</t>
  </si>
  <si>
    <t>Scaffolding Works (Supported Type Scaffold) NC II</t>
  </si>
  <si>
    <t>DOLORITO ACADEMY OF KNOWLEDGE AND SKILLS (DAKS) INC.</t>
  </si>
  <si>
    <t>Rosario</t>
  </si>
  <si>
    <t xml:space="preserve">K A S H TRAINING AND ASSESSMENT CENTER INC. </t>
  </si>
  <si>
    <t>General Trias</t>
  </si>
  <si>
    <t>ST. LORENZO RUIZ TRAINING AND ASSESSMENT CENTER, (SLRTACI) INC.</t>
  </si>
  <si>
    <t xml:space="preserve">IMUS COMPUTER COLLEGE - IMUS </t>
  </si>
  <si>
    <t>EMPEROR INTERNATIONAL TRAINING AND ASSESSMENT CENTER, INC.</t>
  </si>
  <si>
    <t>CRUZEDAL TRAINING &amp; ASSESSMENT CENTER INC.</t>
  </si>
  <si>
    <t>PARAÑAQUE CITY COLLEGE</t>
  </si>
  <si>
    <t>SOLANZO INTEGRATED FARM</t>
  </si>
  <si>
    <t>XAVIER TECHNICAL TRAINING CENTER CORP.</t>
  </si>
  <si>
    <t>ARKANGHEL ADVANCE SCHOOL OF CAREGIVING AND SAFETY INC.</t>
  </si>
  <si>
    <t>NAVOTAS VOCATIONAL TRAINING AND ASSESSMENT (NAVOTAAS) INSTITUTE</t>
  </si>
  <si>
    <t>AMACO TVI TRAINING CENTER CORP.</t>
  </si>
  <si>
    <t>MARIÑAS TECHNOLOGIES TRAINING SCHOOL</t>
  </si>
  <si>
    <t>Pila</t>
  </si>
  <si>
    <t>HOSPITALITY INSTITUTE OF AMERICA-PHILIPPINES INC.</t>
  </si>
  <si>
    <t>International School for Culinary Arts and Hotel Management Quezon City, Inc.</t>
  </si>
  <si>
    <t>THE FORKS TRAINING AND ASSESSMENT SOLUTIONS INC.</t>
  </si>
  <si>
    <t>METRO VISION EMS AND DISASTER MANAGEMENT TRAINING AND ASSESSMENT CENTER, INC.</t>
  </si>
  <si>
    <t>Emergency Medical Services NC II</t>
  </si>
  <si>
    <t>DELTA TECHNOLOGICAL INSTITUTE INC.</t>
  </si>
  <si>
    <t xml:space="preserve">CENTRAL INSTITUTE OF TECHNOLOGY OF QUEZON CITY, INC. </t>
  </si>
  <si>
    <t>MARY CHILES HOSPITAL, INC. DOING BUSINESS UNDER THE NAME AND STYLE OF MARY CHILES GEN. HOSPITAL; MARY CHILES COLLEGE AND MCC CHILDBIRTH AND WOMEN'S CENTER</t>
  </si>
  <si>
    <t>RAJJ ASSESSMENT AND TRAINING CENTER CORPORATION</t>
  </si>
  <si>
    <t>BEST MIND SKILLS TRAINING AND ASSESSMENT CENTER, INC.</t>
  </si>
  <si>
    <t>GLOBAL INFINITY TRAINING CENTER INC.</t>
  </si>
  <si>
    <t>LIN HUI KHO TECHNICAL &amp; VOCATIONAL TRAINING CENTER INC.</t>
  </si>
  <si>
    <t>Nasugbu</t>
  </si>
  <si>
    <t>KIMMY INTERNATIONAL TRAINING &amp; TESTING, INC.</t>
  </si>
  <si>
    <t>Front Office Services NC II</t>
  </si>
  <si>
    <t>Microcadd Institute Incorporated</t>
  </si>
  <si>
    <t>EXPERTS TECHNOLOGY ASSESSMENT AND TRAINING CENTER, INC.</t>
  </si>
  <si>
    <t>GUIDED EDUCATION TRAINING SCHOOL (GETS) INC.</t>
  </si>
  <si>
    <t>IMUS COMPUTER COLLEGE, INC. (FORMERLY: IMUS COMPUTER CENTER, INC.) - GMA</t>
  </si>
  <si>
    <t>Gen. Mariano Alvarez</t>
  </si>
  <si>
    <t>EMMANUEL JOHN INSTITUTE OF SCIENCE &amp; TECHNOLOGY, INC.</t>
  </si>
  <si>
    <t>FIRST IN LEARNING ELECTRONICS TRAINING CENTER</t>
  </si>
  <si>
    <t>INFORMATICS COLLEGE-MANILA INC.</t>
  </si>
  <si>
    <t xml:space="preserve">BROTHERS OF CHRIST OF BANNEUX, INC.   </t>
  </si>
  <si>
    <t>Gas Tungsten Arc Welding (GTAW) NC II</t>
  </si>
  <si>
    <t>CHEF MARITIME MANAGEMENT SERVICES TRAINING AND ASSESSMENT CENTER CORP.</t>
  </si>
  <si>
    <t>Driving (Articulated Vehicle) NC III</t>
  </si>
  <si>
    <t>PESO-CAESAR LOS BAÑOS MANPOWER SKILLS TRAINING CENTER</t>
  </si>
  <si>
    <t>SANTA ROSA MANPOWER TRAINING CENTER</t>
  </si>
  <si>
    <t>OUR LADY OF GUADALUPE TECHNICAL AND VOCATIONAL TRAINING SCHOOL CORP.</t>
  </si>
  <si>
    <t>St. Bernadette College of Alabang</t>
  </si>
  <si>
    <t>(S.J.B.) SAINT JOHN BOSCO I.A.S. INC. - (Mandaluyong Branch)</t>
  </si>
  <si>
    <t>AISTAC ALPHA INNOVATIVE SKILLS TRAINING AND ASSESSMENT CENTER INC. DOING BUSINESS UNDER AISTAC ALPHA</t>
  </si>
  <si>
    <t>GLOBE MARITIME TRAINING CENTER-MANILA, INC.</t>
  </si>
  <si>
    <t>ADORESS FARM TRAINING AND ASSESSMENT CENTER</t>
  </si>
  <si>
    <t>COLLEGE OF SAN BENILDO-RIZAL FOUNDATION, INC.</t>
  </si>
  <si>
    <t>City of Antipolo</t>
  </si>
  <si>
    <t>DIGITAL ARTS TECHNOLOGY TRAINING CENTER, INC</t>
  </si>
  <si>
    <t>OYAYI FARM &amp; RESORT</t>
  </si>
  <si>
    <t>ABEST RESOURCE DEVELOPMENT INC.</t>
  </si>
  <si>
    <t>BCL SKILLS DEVELOPMENT CORP.</t>
  </si>
  <si>
    <t>WORLD CITI, INC. DOING BUSINESS UNDER THE NAME AND STYLE OF WORLD CITI COLLEGES AND WORLD CITI MEDIC</t>
  </si>
  <si>
    <t>STI COLLEGE BATANGAS, INC.</t>
  </si>
  <si>
    <t>COLEGIO DE SAN GABRIEL ARCANGEL OF CALOOCAN, INC.</t>
  </si>
  <si>
    <t>ASIAN CHRISTIAN THEOLOGICAL SCHOOL &amp; COLLEGES INC.</t>
  </si>
  <si>
    <t>ESYNERGY INTERNATIONAL INC.</t>
  </si>
  <si>
    <t>PHILIPPINE CENTER FOR CREATIVE IMAGING, INC.</t>
  </si>
  <si>
    <t>Photography NC II</t>
  </si>
  <si>
    <t>Housekeeping NC III</t>
  </si>
  <si>
    <t>CAPELLAN INSTITUTE OF TECHNOLOGY, INC.</t>
  </si>
  <si>
    <t>ST. JUDEL INSTITUTE OF TECHNOLOGY ,INC.</t>
  </si>
  <si>
    <t>EXCELSIOR CENTER FOR TECHNOLOGY AND INNOVATION INC.</t>
  </si>
  <si>
    <t>San Miguel, City of Manila</t>
  </si>
  <si>
    <t>PERPETUAL HELP TECHNOLOGICAL SCHOOL, INC.</t>
  </si>
  <si>
    <t>NS VILLAMOR FARM CORPORATION</t>
  </si>
  <si>
    <t>Animal Production (Poultry-Chicken) NC II</t>
  </si>
  <si>
    <t>Center for Competencies Enhancement and Development, Inc.</t>
  </si>
  <si>
    <t>City of Calamba</t>
  </si>
  <si>
    <t>TOP CHOICE TRAINING INSTITUTE AND ASSESSMENT CENTER INC.</t>
  </si>
  <si>
    <t>PHILIPPINE INDUSTRIAL EQUIPMENT TECHNICAL INSTITUTE INC.</t>
  </si>
  <si>
    <t>Teresa</t>
  </si>
  <si>
    <t>Automotive Servicing (Engine Repair) NC II</t>
  </si>
  <si>
    <t>PROFES-SKILLS INSTITUTE Training and Assessment Center, Inc.</t>
  </si>
  <si>
    <t>GINTONG ARAL SKILLS DEVELOPMENT ACADEMY INC</t>
  </si>
  <si>
    <t>RIZAL MARINE AND TECHNO COMPUTER COLLEGE (RMTC)</t>
  </si>
  <si>
    <t>Tanay</t>
  </si>
  <si>
    <t>IAB INTERNATIONAL TRAINING CENTER INC.</t>
  </si>
  <si>
    <t>C &amp; C ACADEMY INC.</t>
  </si>
  <si>
    <t>Machining NC II</t>
  </si>
  <si>
    <t>The Foundation for Professional Training Inc. - Anihan Technical School</t>
  </si>
  <si>
    <t>GOLD LANE INTERNATIONAL TRAINING SKILLS, INC.</t>
  </si>
  <si>
    <t>SOLLIGHT (Submission, Obedience, Loyalty, Light) Inc.</t>
  </si>
  <si>
    <t>UBEDA MANPOWER TRAINING CENTER INC.</t>
  </si>
  <si>
    <t>San Jose</t>
  </si>
  <si>
    <t>Pipefitting (Metallic) NC II</t>
  </si>
  <si>
    <t>TECHNO SPEAR TRAINING CENTER OF THE PHILIPPINES INCORPORATED</t>
  </si>
  <si>
    <t>Barangay Health Services NC II</t>
  </si>
  <si>
    <t>MISSION SCHOOL OF ST. MARTIN INC.</t>
  </si>
  <si>
    <t>Angono</t>
  </si>
  <si>
    <t>MMLFY TRAINING AND ASSESSMENT CENTER INC.</t>
  </si>
  <si>
    <t>Famy</t>
  </si>
  <si>
    <t>St. Anne College Lucena Inc.</t>
  </si>
  <si>
    <t>BATANGAS EASTERN COLLEGES, INC.</t>
  </si>
  <si>
    <t>ACLC COLLEGE OF MANILA, INC.</t>
  </si>
  <si>
    <t>GLINOGA INTEGRATED FARM</t>
  </si>
  <si>
    <t>Pitogo</t>
  </si>
  <si>
    <t>Heavy Equipment Operation (Wheel Loader) NC II</t>
  </si>
  <si>
    <t>St. Raphael College of business &amp; Arts, Inc.</t>
  </si>
  <si>
    <t>Real</t>
  </si>
  <si>
    <t>Bernardo College</t>
  </si>
  <si>
    <t>MILLENNIUM PROPERTIES AND BROKERAGE INCORPORATED - ASTORIA CULINARY &amp; HOSPITALITY INSTITUTE</t>
  </si>
  <si>
    <t>VONWELT NATURE FARM TRAINING AND ASSESSMENT CENTER INC.</t>
  </si>
  <si>
    <t>CIRCLE TEST TRAINING AND ASSESSMENT CENTER INC.</t>
  </si>
  <si>
    <t>Santa Ana, City of Manila</t>
  </si>
  <si>
    <t>Quezon National Agricultural School</t>
  </si>
  <si>
    <t>CARENET HEALTHCARE INSTITUTE, INC.</t>
  </si>
  <si>
    <t>EL ROYALE CREDIT COOPERATIVE</t>
  </si>
  <si>
    <t>City of Tayabas</t>
  </si>
  <si>
    <t>SAN JUAN ASSESSMENT CENTER INC.</t>
  </si>
  <si>
    <t>Rizal Marine and Technocumputer College,(RMTC) Infanta Branch, Inc.</t>
  </si>
  <si>
    <t>SKILLS FOR ENTREPRENEURSHIP, EMPLOYMENT AND DEVELOPMENT CENTER CORP.</t>
  </si>
  <si>
    <t>SKILLED FARMING SCHOOL</t>
  </si>
  <si>
    <t>Padre Burgos</t>
  </si>
  <si>
    <t>PHILIPPINE NATIONAL DRIVING ACADEMY INC.</t>
  </si>
  <si>
    <t>MOVERS INTERNATIONAL SCHOOL, INC.</t>
  </si>
  <si>
    <t>Informatics College - Northgate, Inc.</t>
  </si>
  <si>
    <t>ZION ACADEMY OF BATANGAS INC.</t>
  </si>
  <si>
    <t>GOLDEN LEAF FARM</t>
  </si>
  <si>
    <t>MARIANO CENTER FOR TECHNICAL STUDIES INC.</t>
  </si>
  <si>
    <t>UNITED INTERNATIONAL MARITIME TRAINING AND ASSESSMENT CENTER INC.</t>
  </si>
  <si>
    <t>Plumbing NC I</t>
  </si>
  <si>
    <t>Arandia College, Inc.</t>
  </si>
  <si>
    <t>PHIL ASIA SKILLS TRAINING AND ASSESSMENT CENTER, INC.</t>
  </si>
  <si>
    <t>Mind and Integrity College Inc.</t>
  </si>
  <si>
    <t>ST. PEREGRINE INSTITUTE</t>
  </si>
  <si>
    <t>Masonry NC II</t>
  </si>
  <si>
    <t>INTERFACE COMPUTER COLLEGE INC.</t>
  </si>
  <si>
    <t>OFFSHORE-ONSHORE INSTITUTE OF TECHNOLOGY, INC.</t>
  </si>
  <si>
    <t>Mauban</t>
  </si>
  <si>
    <t>WCU SKILLS ACADEMY INC.</t>
  </si>
  <si>
    <t>TRINITY POLYTECHNIC COLLEGE INC.</t>
  </si>
  <si>
    <t>GRACE MANILA LEARNING INSTITUTE INC.</t>
  </si>
  <si>
    <t>TESDA PROVINCIAL TRAINING CENTER SAN ANTONIO</t>
  </si>
  <si>
    <t>San Antonio</t>
  </si>
  <si>
    <t>WILSAFE TRAINING CENTER CORP.</t>
  </si>
  <si>
    <t>HOME CULINARY AND TECHNICAL SCHOOL CORPORATION</t>
  </si>
  <si>
    <t>GUARDIANS TECHNICAL SCHOOL INC.</t>
  </si>
  <si>
    <t>Cavite City</t>
  </si>
  <si>
    <t>SCIENTIA VOX MANTRADE INSTITUTE, INC.</t>
  </si>
  <si>
    <t>Taal</t>
  </si>
  <si>
    <t>GLOBAL CENTER OF EDUCATION MANAGEMENT SCIENCE AND TECHNOLOGY CORP.</t>
  </si>
  <si>
    <t>Roqueza's Integrated Farm and Training Center Corporation</t>
  </si>
  <si>
    <t>Animal Production (Ruminants) NC II</t>
  </si>
  <si>
    <t>MC TECH TRAINING AND ASSESSMENT CENTER, INC.</t>
  </si>
  <si>
    <t>NAVA INSTITUTE OF SCIENCE AND TECHNICAL EDUCATION, INC.</t>
  </si>
  <si>
    <t>Pililla</t>
  </si>
  <si>
    <t>SINILOAN CAREGIVER TRAINING CENTER</t>
  </si>
  <si>
    <t>MEPF TECHNOLOGICAL INSTITUTE (MTI) INC.</t>
  </si>
  <si>
    <t>Plumbing NC II</t>
  </si>
  <si>
    <t>PADACE INTERNATIONAL TRAINING AND ASSESSMENT CENTER, INC.</t>
  </si>
  <si>
    <t>Jacobo Z. Gonzales Memorial School of Arts and Trades</t>
  </si>
  <si>
    <t>DIGITAL RIZAL TRAINING AND ASSESSMENT CENTER INC.</t>
  </si>
  <si>
    <t>Binangonan</t>
  </si>
  <si>
    <t>CENTRAL RIZAL INSTITUTE OF TECHNOLOGY INC.</t>
  </si>
  <si>
    <t>Rizal Provincial Technical Education and Skills Development Center - Binangonan</t>
  </si>
  <si>
    <t>BRIGHTWELL TECHNICAL EDUCATION TRAINING AND ASSESSMENT CENTER, INC.</t>
  </si>
  <si>
    <t>GOLDEN GATE COLLEGES</t>
  </si>
  <si>
    <t>SARIAYA 4-J DEVELOPMENT CORPORATION</t>
  </si>
  <si>
    <t>D'NEW ORLEANS TRAINING CENTER PHILS. INC.</t>
  </si>
  <si>
    <t>MANDALUYONG MANPOWER AND TECHNICAL-VOCATIONAL TRAINING CENTER</t>
  </si>
  <si>
    <t>Provincial Technical Education and Skills Development Center (PTESDC) - Taytay</t>
  </si>
  <si>
    <t>MILLENNIAL'S CHOICE TRAINING INSTITUTE AND ASSESSMENT CENTER INC.</t>
  </si>
  <si>
    <t>Kawit</t>
  </si>
  <si>
    <t>JERETECH TRAINING AND ASSESSMENT CENTER, INC.</t>
  </si>
  <si>
    <t>MAESTRO TEODORICIO TECHNOLOGICAL SCHOOL INC.</t>
  </si>
  <si>
    <t>MFI POLYTECHNIC INSTITUTE, INC.</t>
  </si>
  <si>
    <t>El Royale Hotelier Training Center Inc.</t>
  </si>
  <si>
    <t>STAR-SKILLS,TALENT, ASSESSMENT AND REVIEW TRAINING CENTER INC.</t>
  </si>
  <si>
    <t>CITY OF MALABON POLYTECHNIC INSTITUTE</t>
  </si>
  <si>
    <t>LACORTE MANPOWER TRAINING CENTER, INC.</t>
  </si>
  <si>
    <t>SCHOLA ANGELICUS, INC.</t>
  </si>
  <si>
    <t>CITY UNIVERSITY OF PASAY</t>
  </si>
  <si>
    <t>CAP TRAINING AND ASSESSMENT CENTER INC.</t>
  </si>
  <si>
    <t>SPRING LEAF (SL) TECHNICALS: TRAINING AND DEVELOPMENT CENTER INC.</t>
  </si>
  <si>
    <t>Rizal Provincial Technical Education and Skills Development Center - Cainta</t>
  </si>
  <si>
    <t>MFI Polytechnic Institute, Inc. (Formerly: MFI Foundation, Inc.)</t>
  </si>
  <si>
    <t>FARMSHARE PRIME</t>
  </si>
  <si>
    <t>Cavinti</t>
  </si>
  <si>
    <t>Gas Metal Arc Welding (GMAW) NC I</t>
  </si>
  <si>
    <t>BLUECHIP TRAINING CENTER INC.</t>
  </si>
  <si>
    <t>INTERNATIONAL ELECTRONICS AND TECHNICAL INSTITUTE (ALABANG), INC.</t>
  </si>
  <si>
    <t>NOBLE VISION TRAINING AND ASSESSMENT INSTITUTE INC.</t>
  </si>
  <si>
    <t>SCHOOL FOR ACADEMICS AND INDUSTRIAL TECHNOLOGY, INC.</t>
  </si>
  <si>
    <t>PAGSANJAN HEALTHCARE AND LIVELIHOOD TRAINING AND ASSESSMENT CENTER INC.</t>
  </si>
  <si>
    <t>GLOBAL CULINARY &amp; HOSPITALITY ACADEMY, INC.</t>
  </si>
  <si>
    <t>Van Technological and Skills Academy Inc.</t>
  </si>
  <si>
    <t>Lakewood School of Alabang, Inc.</t>
  </si>
  <si>
    <t>West Bay Colleges, Inc.</t>
  </si>
  <si>
    <t>INTERNATIONAL TRANSPORTATION ACADEMY AND ASSESSMENT CENTER INC.</t>
  </si>
  <si>
    <t>ST. NICOLAS GOLDEN FIELD ACADEMY INC.</t>
  </si>
  <si>
    <t>CONCEPT INSTITUTE FOR CAREER ENHANCEMENT, INC.</t>
  </si>
  <si>
    <t>Instrumentation and Control Servicing NC II</t>
  </si>
  <si>
    <t xml:space="preserve">OUR LADY OF GUADALUPE COLLEGE, INC., </t>
  </si>
  <si>
    <t>INTERNATIONAL ELECTRONICS AND TECHNICAL INSTITUTE, INC.</t>
  </si>
  <si>
    <t>BRIGHT FUTURE SKILLS TRAINING AND ASSESSMENT CENTER INC.</t>
  </si>
  <si>
    <t>BLUERIDGE PACIFIC INSTITUTE, INC.</t>
  </si>
  <si>
    <t>Binondo, City of Manila</t>
  </si>
  <si>
    <t>OUR LADY OF LOURDES COLLEGE OF NOVALICHES (OLLCN) INC.</t>
  </si>
  <si>
    <t>SHEPHERDS AND LAMBS TRAINING INSTITUTE INC.</t>
  </si>
  <si>
    <t>DYNAMIC CHRISTIAN SCHOOL OF TECHNOLOGY, INC.</t>
  </si>
  <si>
    <t>MYRTLE'S AGRICULTURAL FARM</t>
  </si>
  <si>
    <t>OUAN'S WORTH FARM AND FAMILY RESORT CORP</t>
  </si>
  <si>
    <t>VITAMIN C INTEGRATED FARM</t>
  </si>
  <si>
    <t>GENESIS COLLEGES INC.</t>
  </si>
  <si>
    <t>JOBLINK INSTITUTE OF TECHNOLOGY INC.</t>
  </si>
  <si>
    <t>SKILL-POWER INSTITUTE</t>
  </si>
  <si>
    <t>ST. AUGUSTINE COLLEGE-LAS PIÑAS CITY INC. (FORMERLY: ST. AUGUSTINE SCHOOL OF NURSING - LAS PIÑAS CITY, INC.)</t>
  </si>
  <si>
    <t>ST. DOMINIC COLLEGE OF ASIA, INC.</t>
  </si>
  <si>
    <t>FADZ CONSTRUCTION, INC.</t>
  </si>
  <si>
    <t>GOD BEARER INSTITUTE TRAINING AND ASSESSMENT CENTER, INC.</t>
  </si>
  <si>
    <t>ROYAL BRITISH COLLEGE, INC.</t>
  </si>
  <si>
    <t>GRAND RIDGE INSTITUTE FOR BAKING, INC.</t>
  </si>
  <si>
    <t>Taysan</t>
  </si>
  <si>
    <t>INFOTECH COLLEGE OF ARTS AND SCIENCES PHILIPPINES, INC.</t>
  </si>
  <si>
    <t xml:space="preserve">LIPA CITY COLLEGES </t>
  </si>
  <si>
    <t>Banahaw Technological College, Inc.</t>
  </si>
  <si>
    <t>CALAMBA MANPOWER DEVELOPMENT CENTER</t>
  </si>
  <si>
    <t>MANILA ATELIER OF FOOD ARTS AND HOSPITALITY, INC.</t>
  </si>
  <si>
    <t>NEW GENERATION EXPERTS TRAINING AND ASSESSMENT CENTER INC.</t>
  </si>
  <si>
    <t>Trimex Colleges, Inc.</t>
  </si>
  <si>
    <t>Asia Source College of Arts and Technology, Inc.</t>
  </si>
  <si>
    <t>LOK YEE TRAINING AND ASSESSMENT CENTRE INC.</t>
  </si>
  <si>
    <t>Southside Integrated School, Inc.</t>
  </si>
  <si>
    <t>Tiaong</t>
  </si>
  <si>
    <t>MICHIGAN ENGLISH ASSESSMENT INC.</t>
  </si>
  <si>
    <t>INFINITY VOCATIONALTRAINING SCHOOL INC.</t>
  </si>
  <si>
    <t>CHEF'S DEN CULINARY INSTITUTE AND ASSESSMENT CENTER INC.</t>
  </si>
  <si>
    <t>Emilio Aguinaldo Educational Corporation Doing Business Under The Name And Style Of Aguinaldo International School And Emilio Aguinaldo College (formerly: Emilio Aguinaldo College)</t>
  </si>
  <si>
    <t>SIEGA CAREER TRAINING CENTER INC.</t>
  </si>
  <si>
    <t>UMA VERDE ECONATURE FARM</t>
  </si>
  <si>
    <t>Commercial Cooking NC III</t>
  </si>
  <si>
    <t>St. Augustine School of Nursing Lucena City. Inc.</t>
  </si>
  <si>
    <t>BELART TRAINING AND ASSESSSMENT CENTER INC.</t>
  </si>
  <si>
    <t>RICHBAR INSTITUTE OF TECHNICAL SKILLS</t>
  </si>
  <si>
    <t>LAGUNA INSTITUTE OF TECHNOLOGY BIÑAN, LAGUNA INC.</t>
  </si>
  <si>
    <t>FIRST GLOBAL TRAINING AND ASSESSMENT CENTER CORP.</t>
  </si>
  <si>
    <t>Masonry NC I</t>
  </si>
  <si>
    <t>IETI College, Inc.</t>
  </si>
  <si>
    <t>Aceba Science &amp; Tech.Institute (ASTI) Inc.</t>
  </si>
  <si>
    <t>ACCESS DATA QUALITY TRAINING CENTER INC.</t>
  </si>
  <si>
    <t>SBG TRAINING CENTER, INC.</t>
  </si>
  <si>
    <t>INDUSTRY-TECHNOLOGY TRAINING AND ASSESSMENT CENTER CORP.</t>
  </si>
  <si>
    <t>Balayan</t>
  </si>
  <si>
    <t>3BO INSTITUTE OF TECHNICAL EDUCATION INC.</t>
  </si>
  <si>
    <t>AFQ WELDTEK INC.</t>
  </si>
  <si>
    <t>Infotech Institute of Arts and Sciences, Inc.</t>
  </si>
  <si>
    <t>GOKONGWEI BROTHERS FOUNDATION INC.</t>
  </si>
  <si>
    <t>IMUS COMPUTER COLLEGE</t>
  </si>
  <si>
    <t>OUR LADY OF LOURDES COLLEGE INC</t>
  </si>
  <si>
    <t>METROLOGYX TRAINING &amp; ASSESSMENT CENTER INC.</t>
  </si>
  <si>
    <t>Health Care Services NC II</t>
  </si>
  <si>
    <t>ST. LOUISE DE MARILLAC INTERNATIONAL FOUNDATION, INC.</t>
  </si>
  <si>
    <t>SAMSON COLLEGE OF SCIENCE AND TECHNOLOGY, INC.</t>
  </si>
  <si>
    <t>Mechatronics Servicing NC IV</t>
  </si>
  <si>
    <t>VALENZUELA CITY TECHNOLOGICAL COLLEGE</t>
  </si>
  <si>
    <t>LFS TRAINING AND ASSESSMENT CENTER INC.</t>
  </si>
  <si>
    <t>INTEGRICARE TRAINING INSTITUTE, INC.</t>
  </si>
  <si>
    <t>TRENT INFORMATION FIRST TECHNICAL CAREER INSTITUTE INC.</t>
  </si>
  <si>
    <t>Bondoc Peninsula Technological Institute</t>
  </si>
  <si>
    <t>San Narciso</t>
  </si>
  <si>
    <t>DMMC INSTITUTE OF HEALTH SCIENCES</t>
  </si>
  <si>
    <t>City of Tanauan</t>
  </si>
  <si>
    <t>MNP INSTITUTE OF SCIENCE AND TECHNOLOGY INC.</t>
  </si>
  <si>
    <t>AMAZING GRACE TECHNICAL TRAINING INSTITUTE INC.</t>
  </si>
  <si>
    <t>ECLARO ACADEMY, INC.</t>
  </si>
  <si>
    <t>DON BOSCO TECHNICAL COLLEGE, INC.</t>
  </si>
  <si>
    <t>PINOY SKILLS ACADEMY INC.</t>
  </si>
  <si>
    <t>SABAS SKILLS DEVELOPMENT AND ASSESSMENT CENTER, INC.</t>
  </si>
  <si>
    <t>MK MARITIME TRAINING CENTER INC.</t>
  </si>
  <si>
    <t>OERIDIAN TRAINING SOLUTIONS INC.</t>
  </si>
  <si>
    <t>VRRG MANPOWER TRAINING CENTER, INC.</t>
  </si>
  <si>
    <t>PRO-TECH SKILLS DEVELOPMENT CENTER CORPORATION</t>
  </si>
  <si>
    <t>AUTOHUB INSTITUTE OF TECHNOLOGY, INC.</t>
  </si>
  <si>
    <t>7-STAR EDUCATIONAL ACADEMY CORPORATION (7-STAR EDUCATIONAL ACADEMY INC.)</t>
  </si>
  <si>
    <t>Asian Institute of Technology &amp; Education Tiaong Campus Inc.</t>
  </si>
  <si>
    <t>E-GLOBAL INTERNATIONAL COMMUNICATIONS, INC.</t>
  </si>
  <si>
    <t>IETI COLLEGE OF SCIENCE &amp; TECHNOLOGY (MARIKINA), INC.</t>
  </si>
  <si>
    <t>ACADEMY FOR LEISURE AND TOURISM INC.</t>
  </si>
  <si>
    <t xml:space="preserve">PRECIOUS KNOWLEDGE TRAINING CENTER </t>
  </si>
  <si>
    <t>TOMAS CLAUDIO MEMORIAL COLLEGE</t>
  </si>
  <si>
    <t>International Electronics and Technical Institute (Las Piñas), Inc.</t>
  </si>
  <si>
    <t>ST. PETER VELLE TECHNICAL TRAINING CENTER, INC.</t>
  </si>
  <si>
    <t>(S.J.B.) SAINT JOHN BOSCO I.A.S. INC. - (Pasig Branch)</t>
  </si>
  <si>
    <t>DIVERSIFIED CORPORATION</t>
  </si>
  <si>
    <t>CABUYAO INTEGRATED NATIONAL HIGH SCHOOL</t>
  </si>
  <si>
    <t>QUEZON CITY SKILLS AND LIVELIHOOD FOUNDATION, INC.</t>
  </si>
  <si>
    <t>DIVINE MERCY COLLEGE FOUNDATION, INC.</t>
  </si>
  <si>
    <t>SANTA CELERINA INSTITUTE OF TECHNOLOGY (SCITEC) INC.</t>
  </si>
  <si>
    <t>SAINT MARK TECHNICAL VOCATIONAL INSTITUTE INC.</t>
  </si>
  <si>
    <t>MALAYA AF TECHNICAL TRAINING CENTER INC</t>
  </si>
  <si>
    <t>INTERFACE COMPUTER COLLEGE, INC.</t>
  </si>
  <si>
    <t>DE OCAMPO MEMORIAL COLLEGE, INC.</t>
  </si>
  <si>
    <t>Dental Laboratory Technology Services (Removable Dentures/Appliances) NC II</t>
  </si>
  <si>
    <t>CONCORDIA COLLEGE, INC.</t>
  </si>
  <si>
    <t>Food and Beverage Services NC III</t>
  </si>
  <si>
    <t>STI- COLLEGE MARIKINA INC.</t>
  </si>
  <si>
    <t>EMME INSTITUTE OF TECHNOLOGY INC.</t>
  </si>
  <si>
    <t>EMMAUS CHRISTIAN SCHOOLS, INCORPORATED</t>
  </si>
  <si>
    <t>RVN TECH-VOC INC.</t>
  </si>
  <si>
    <t>XAVIER TECHNICAL TRAINING CENTER, CORP.</t>
  </si>
  <si>
    <t>OUR LADY OF ASSUMPTION COLLEGE OF LAGUNA INC.</t>
  </si>
  <si>
    <t>SELAH INTERNATIONAL TRAINING AND ASSESSMENT INC.</t>
  </si>
  <si>
    <t>GOLDENHEART SKILLS TRAINING INC.</t>
  </si>
  <si>
    <t>SAN JUAN INSTITUTE OF TECHNOLOGY</t>
  </si>
  <si>
    <t>Plumbing NC III</t>
  </si>
  <si>
    <t>UNIVERSITY OF BATANGAS</t>
  </si>
  <si>
    <t>HOLY TRINITY SCHOOL OF SCIENCE AND TECHNOLOGY INC.</t>
  </si>
  <si>
    <t>IMUS COMPUTER COLLEGE, INC. - TRECE</t>
  </si>
  <si>
    <t>Coriander Culinary Academy Inc.</t>
  </si>
  <si>
    <t>Ibaan</t>
  </si>
  <si>
    <t>IMMACULADA CONCEPCION COLLEGE OF SOLDIERS HILLS CALOOCAN CITY INC.</t>
  </si>
  <si>
    <t>INFOTECH COLLEGE OF ARTS &amp; SCIENCES PHILIPPINES, INC.</t>
  </si>
  <si>
    <t>E-JUVENEX'S ACADEMY, INC. DOING BUSINESS UNDER JUVENEX'S TRAINING CENTER; JUVENEX'S MASSAGE SPA</t>
  </si>
  <si>
    <t>TAAL MARANAN'S FARMVILLE INC.</t>
  </si>
  <si>
    <t>UNITED INSTITUTE FOR BUSINESS AND TECHNOLOGY ASSESSMENT INC.</t>
  </si>
  <si>
    <t>GRANT INSTITUTE OF TRADE AND TECHNOLOGY</t>
  </si>
  <si>
    <t>D'CONSTANTINOS FARM CORP.</t>
  </si>
  <si>
    <t>Maragondon</t>
  </si>
  <si>
    <t>LAURA VICUÑA FOUNDATION, INC.</t>
  </si>
  <si>
    <t>ASIAN COLLEGE OF COMPUTER AND MARITIME STUDIES (ACCMS) INC.</t>
  </si>
  <si>
    <t>Catanauan</t>
  </si>
  <si>
    <t>INNOVATIVE TECHNICAL INSTITUTE INC.</t>
  </si>
  <si>
    <t>TESDA Provincial Training Center - Paliparan</t>
  </si>
  <si>
    <t>HYONG YANG INSTITUTE OF TECHNOLOGY INC.</t>
  </si>
  <si>
    <t>ST. GABRIEL COLLEGE OF TECHNOLOGY AND ASSESSMENT CENTER INC.</t>
  </si>
  <si>
    <t>DR. R.A. FERNANDO SCHOOL OF HEALTHCARE TECHNOLOGY, INC.</t>
  </si>
  <si>
    <t>GOLDEN ARABLE FARM</t>
  </si>
  <si>
    <t>Agricultural Crops Production NC I</t>
  </si>
  <si>
    <t>BB AGRIVENTURES OPC</t>
  </si>
  <si>
    <t>FLOR AND DAISY'S AGRICULTURAL FARM</t>
  </si>
  <si>
    <t>JHEURIS CAKES AND PASTRIES SHOP</t>
  </si>
  <si>
    <t>RK'S EVENT CATERING SERVICES</t>
  </si>
  <si>
    <t>SHIP HOTEL CRUISE INSTITUTE OF THE PHILS., INC.</t>
  </si>
  <si>
    <t>St. Francis de Assissi Educational Foundation, Inc.</t>
  </si>
  <si>
    <t>ST. HONORE ACADEMY INC.</t>
  </si>
  <si>
    <t>Calayan Educational Foundation Inc.</t>
  </si>
  <si>
    <t>CORINTH GLOBAL JAPANESE LANGUAGE AND CULTURE SKILLS TRAINING AND ASSESSMENT CENTER, INCORPORATED (FORMERLY: CORINTH GLOBAL JAPANESE LANGUAGE AND SKILLS TRAINING CENTER INC.)</t>
  </si>
  <si>
    <t>ACEBA SCIENCE &amp; TECH. INSTITUTE (ASTI) INC.</t>
  </si>
  <si>
    <t>Seaman Job Study Center Inc.</t>
  </si>
  <si>
    <t>Flux-Cored Arc Welding (FCAW) NC II</t>
  </si>
  <si>
    <t>MARY THE QUEEN COLLEGE OF QUEZON CITY, INC.</t>
  </si>
  <si>
    <t>BEEGOOD AGRICULTURAL LEARNING CENTER</t>
  </si>
  <si>
    <t>ATHENA ACADEME INC.</t>
  </si>
  <si>
    <t>Lyceum of ALabang</t>
  </si>
  <si>
    <t>MAVI ARTS AND VOCATIONAL INSTITUTE, INC.</t>
  </si>
  <si>
    <t>WESTBRIDGE INSITUTE OF TECHNOLOGY, INC.</t>
  </si>
  <si>
    <t>San Mateo</t>
  </si>
  <si>
    <t>AB TECHNICAL TRAINING AND ASSESSMENT CENTER INC.</t>
  </si>
  <si>
    <t>THE GOAL VENTURE TRAINING AND ASSESSMENT CENTER CORPORATION</t>
  </si>
  <si>
    <t>Tanza</t>
  </si>
  <si>
    <t>JC INSTITUTE FOR TRAINING AND ASSESSMENT CENTER INC.</t>
  </si>
  <si>
    <t>AD OMNIPOTENCE TRAINING AND ASSESSMENT CENTER INC.</t>
  </si>
  <si>
    <t>Calatagan</t>
  </si>
  <si>
    <t>BINANGONAN CATHOLIC COLLEGE INC.</t>
  </si>
  <si>
    <t>JAYCOM TRAINING AND ASSESSMENT CENTER INC.</t>
  </si>
  <si>
    <t>FAIR EMPLOYMENT TRAINING &amp; ASSESSMENT CENTER, INC.</t>
  </si>
  <si>
    <t>ELPEEDA SKILLS CENTRE INC.</t>
  </si>
  <si>
    <t>Calamba Doctors' College</t>
  </si>
  <si>
    <t>ST. FRANCIS TECHNICAL INSTITUTE CENTER FOR DEVELOPMENT, TRAINING AND COMPETENCY ASSESSMENT, INC.</t>
  </si>
  <si>
    <t>SOUTH COMPEDGE COLLEGE, INC.</t>
  </si>
  <si>
    <t>MOTHER IGNACIA NATIONAL SOCIAL APOSTOLATE CENTER</t>
  </si>
  <si>
    <t>ACADEMIA DE LIPA CITY INC.</t>
  </si>
  <si>
    <t>AMERICAN TESOL INSTITUTE PHIL. INC.</t>
  </si>
  <si>
    <t>BLANCAFLOR LEISURE FARM</t>
  </si>
  <si>
    <t>Mataasnakahoy</t>
  </si>
  <si>
    <t>JMAC TRAINING AND ASSESSMENT CENTER, INC.</t>
  </si>
  <si>
    <t>ENCARNACION FARM</t>
  </si>
  <si>
    <t>Dolores</t>
  </si>
  <si>
    <t>ZEYEN FARMING SCHOOL</t>
  </si>
  <si>
    <t>Alabat</t>
  </si>
  <si>
    <t>SAN PEDRO TECHNOLOGICAL INSTITUTE</t>
  </si>
  <si>
    <t>GO TEC INTERNATIONAL BUSINESS SCHOOL, INC.</t>
  </si>
  <si>
    <t>ILEAD - MEDIC SCHOOL FOR HEALTH CARE SCIENCES INC.</t>
  </si>
  <si>
    <t>E. ZOBEL FOUNDATION, INC.</t>
  </si>
  <si>
    <t>BRILLIANT MINDS REVIEW AND TRAINING SCHOOL CORP.</t>
  </si>
  <si>
    <t>OVERSEAS ACADEMY SKILLS &amp; ASSESSMENT CENTER INC.</t>
  </si>
  <si>
    <t>AVALONE TRAINING AND DEVELOPMENT FOUNDATION, INC.</t>
  </si>
  <si>
    <t>PTC PALIPARAN</t>
  </si>
  <si>
    <t xml:space="preserve">MACHJO VOCATIONAL TRAINING CENTER AND COMPUTER SERVICES, INC. </t>
  </si>
  <si>
    <t>ZYMONN AULSTEIN COLLEGES OF THE PHILIPPINES INC.</t>
  </si>
  <si>
    <t>TESDA Provincial Training Center - Rosario</t>
  </si>
  <si>
    <t>Motorcycle/Small Engine Servicing NC II</t>
  </si>
  <si>
    <t>A.D AGAWIN CONSTRUCTION</t>
  </si>
  <si>
    <t>Gumaca</t>
  </si>
  <si>
    <t>FADZ CONSTRUCTION INCORPORATION</t>
  </si>
  <si>
    <t>RIDGE TECHNICAL SCHOOL AND DEVELOPMENT CORP.</t>
  </si>
  <si>
    <t>MINDBRIDGE RESOURCES CORPORATION</t>
  </si>
  <si>
    <t>KAFEI TAN TRAINING INSTITUTE INC.</t>
  </si>
  <si>
    <t>HOLY DELIVERANCE INSTITUTE FOR TECHNICAL SKILLS DEVELOPMENT INC.</t>
  </si>
  <si>
    <t>THE BEARER OF LIGHT AND WISDOM COLLEGES, INC.</t>
  </si>
  <si>
    <t>GRABSUM School, Inc.</t>
  </si>
  <si>
    <t>SECTOR EAST TRAINING SOLUTIONS INC.</t>
  </si>
  <si>
    <t xml:space="preserve">AGRISKWELA INSTITUTE OF THE PHILIPPINES INC.  </t>
  </si>
  <si>
    <t>EASTERN STAR INSTITUTE OF SCIENCE &amp; TECHNOLOGY-ESIST, INC.</t>
  </si>
  <si>
    <t>ST. BENILDE COLLEGE OF SCIENCE AND TECHNOLOGY AND ASSESSMENT CENTER (SILANG CAVITE), INC.</t>
  </si>
  <si>
    <t>EMMANUEL HEALTHCARE SKILLS TRAINING AND ASSESSMENT CENTER, INC.</t>
  </si>
  <si>
    <t>NATIONAL COLLEGE OF SCIENCE AND TECHNOLOGY INSTITUTE OF INDUSTRIAL RESEARCH AND TRAINING-DASMARIÑAS, CAVITE, INC.</t>
  </si>
  <si>
    <t>WCC AERONAUTICAL AND TECHNOLOGICAL COLLEGE - NORTH MANILA, INC.</t>
  </si>
  <si>
    <t>SEHALIAH AGRICULTURAL FARM</t>
  </si>
  <si>
    <t>Amadeo</t>
  </si>
  <si>
    <t>UNIVERSITY OF PERPETUAL HELP SYSTEM DALTA</t>
  </si>
  <si>
    <t>SERVITECH INSTITUTE ASIA INC.</t>
  </si>
  <si>
    <t>ELECTRON COLLEGE OF TECHNICAL EDUCATION CORPORATION (FORMERLY: ELECTRON TECHNICAL TRAINING CENTER, I</t>
  </si>
  <si>
    <t>D.M. Consunji Technical Training Center, Inc.</t>
  </si>
  <si>
    <t>Medical Transcription NC II</t>
  </si>
  <si>
    <t>MARSDESIGN SUPPLY AND BUILDING CONSTRUCTION</t>
  </si>
  <si>
    <t>Pambayang Kolehiyo ng Mauban</t>
  </si>
  <si>
    <t>ELECTRON COLLEGE OF TECHNICAL EDUCATION CORPORATION</t>
  </si>
  <si>
    <t>MT. CHARMEL SCIENCE AND TECHNICAL INSTITUTE INC.</t>
  </si>
  <si>
    <t>PAARALAN NG KASANAYAN AT KAALAMAN TRAINING INC.</t>
  </si>
  <si>
    <t>HSL-BRAILLE COLLEGE, INC.</t>
  </si>
  <si>
    <t>LAGUNA SINO-FILIPINO EDUCATIONAL FOUNDATION</t>
  </si>
  <si>
    <t>WORLD CITI COLLEGES-ANTIPOLO, INC.</t>
  </si>
  <si>
    <t xml:space="preserve">WELDING INDUSTRIES OF THE PHILIPPINES, INCORPORATED </t>
  </si>
  <si>
    <t>DIVINE GRACE TRAINING AND ASSESSMENT CENTER INC.</t>
  </si>
  <si>
    <t>DREAM NATURE FARM</t>
  </si>
  <si>
    <t>Center for Excellence in Special Education (Stepping Stone) Foundation, Inc.</t>
  </si>
  <si>
    <t>JATAKAMNA FOOD TRADING</t>
  </si>
  <si>
    <t>SINILOAN LFEYM TRAINING AND ASSESSMENT CENTER INC.</t>
  </si>
  <si>
    <t>AIRSMART FLIGHT ATTENDANT INSTITUTE OF GLOBAL CAREER INC.</t>
  </si>
  <si>
    <t>RUBIAL TECHNICAL TRAINING CENTER</t>
  </si>
  <si>
    <t>Santo Tomas</t>
  </si>
  <si>
    <t>TECHNOVATIVE TRAINING CENTER, INC.</t>
  </si>
  <si>
    <t>ATLAS CULINARY INSTITUTE INC.</t>
  </si>
  <si>
    <t>Pharmacy Services NC III</t>
  </si>
  <si>
    <t>MARIAN LEARNING CENTER AND SCIENCE HIGH SCHOOL INC.</t>
  </si>
  <si>
    <t>NYLOVE FARM</t>
  </si>
  <si>
    <t>LEON SCHOOL OF TECHNOLOGY INC.</t>
  </si>
  <si>
    <t>CHAD'S NATURE FARM</t>
  </si>
  <si>
    <t>N.T. Language Inc.</t>
  </si>
  <si>
    <t>MARIWSKA INTEGRATED FARM</t>
  </si>
  <si>
    <t>FOREMOST ACCREDITATION SECURITY TRAINING SCHOOL (FASTS), INC.</t>
  </si>
  <si>
    <t>Animal Production (Swine) NC II</t>
  </si>
  <si>
    <t>COMMSYS ADVANCED SOLUTIONS, INC.</t>
  </si>
  <si>
    <t>Dental Laboratory Technology Services NC I</t>
  </si>
  <si>
    <t>MASAGANANG BUKID</t>
  </si>
  <si>
    <t>Nagcarlan</t>
  </si>
  <si>
    <t>ATIMONAN INSTITUTE INC.</t>
  </si>
  <si>
    <t>SAN ANTONIO DE PADUA COLLEGE FOUNDATION OF PILA, LAGUNA, INC.</t>
  </si>
  <si>
    <t xml:space="preserve">BEATITUDES TECHNOLOGICAL AND THEOLOGICAL COLLEGE IMUS, CAVITE INC.  </t>
  </si>
  <si>
    <t>RESOURCES EDUCATION VOCATIONAL INSTRUCTION LIVELIHOOD LEARNING ACADEMIC (REVILLA) CENTER</t>
  </si>
  <si>
    <t>WORKONNECT LEARNING CENTER, INC.</t>
  </si>
  <si>
    <t>UNITED MARINE TRAINING CENTER, INC.</t>
  </si>
  <si>
    <t>ACETAC INSTITUTE OF TECHNOLOGY INC.</t>
  </si>
  <si>
    <t>3D Animation NC III</t>
  </si>
  <si>
    <t>Victory Elijah Christian College Inc.</t>
  </si>
  <si>
    <t>JOMALIG INTEGRATED FARM</t>
  </si>
  <si>
    <t>Jomalig</t>
  </si>
  <si>
    <t>MSTC MULTI SKILLED TECHNICAL CORPORATION</t>
  </si>
  <si>
    <t>CGROUP SKILLS DEVELOPMENT AND SECURITY TRAINING INSTITUTE INC.</t>
  </si>
  <si>
    <t>GENESIS CHILDREN'S GROWTH ACADEMY CORPORATION</t>
  </si>
  <si>
    <t>Rigging NC I</t>
  </si>
  <si>
    <t>(S.J.B.) SAINT JOHN BOSCO I.A.S. INC.</t>
  </si>
  <si>
    <t>ILOILO ABUNDANT LIFE RESOURCE CORPORATION</t>
  </si>
  <si>
    <t>CALAMBA MANPOWER DEVELOPMENT CENTER - ANNEX</t>
  </si>
  <si>
    <t>C HEO TRAINING AND ASSESSMENT CENTER, INC.</t>
  </si>
  <si>
    <t>HAR HAKARMEL INTEGRATED FARM</t>
  </si>
  <si>
    <t xml:space="preserve">SISTERS OF MARY TECHNICAL EDUCATION INSTITUTE CAVITE, INC.-Boystown </t>
  </si>
  <si>
    <t>Digital Communication and Technological College Inc.</t>
  </si>
  <si>
    <t>HI-GEAR TECHNICAL LEARNING CENTER INC.</t>
  </si>
  <si>
    <t>SYLT FIRST GOURMET ACADEMY INC.</t>
  </si>
  <si>
    <t>FUTURE MINDS FOR BUSINESS AND LEARNING INC. OPERATING UNDER THE NAME OF PACE TECHNOLOGY AND ARTS</t>
  </si>
  <si>
    <t>GINTONG BUKID FARM &amp; LEISURE</t>
  </si>
  <si>
    <t>UPTITUDE TRAINING CORP.</t>
  </si>
  <si>
    <t>SAINT FRANCIS OF ASSISI COLLEGE OF CAVITE, INC.</t>
  </si>
  <si>
    <t>WTS TECHNOLOGY GLOBAL TRAINING INSTITUTE INC.</t>
  </si>
  <si>
    <t>TERRAPEDRITO FARM</t>
  </si>
  <si>
    <t>Agroentrepreneurship NC III</t>
  </si>
  <si>
    <t>OMAÑA FARM CORPORATION</t>
  </si>
  <si>
    <t>Unisan</t>
  </si>
  <si>
    <t>Agricultural Crops Production NC III</t>
  </si>
  <si>
    <t>SHINJHEW AGRICULTURAL LEARNING CENTER</t>
  </si>
  <si>
    <t>DON BOSCO TVET CENTER - CALAUAN, INC.</t>
  </si>
  <si>
    <t xml:space="preserve"> Philtech Institute of Arts and Technology Inc </t>
  </si>
  <si>
    <t>LUZONIAN CENTER OF EXCELLENCE FOR SCIENCE AND TECHNOLOGY (LCEST) INC.</t>
  </si>
  <si>
    <t>MANILA BUSINESS COLLEGE FOUNDATION, INC.</t>
  </si>
  <si>
    <t>BWEST College (Boater's Wheel Educational System and Technology), Inc.</t>
  </si>
  <si>
    <t>INNOVATECH SKILLS &amp; RESOURCE INSTITUTE INC.</t>
  </si>
  <si>
    <t>JIG LIVELIHOOD TRAINING SERVICES</t>
  </si>
  <si>
    <t xml:space="preserve">OLIVAREZ COLLEGE - TAGAYTAY INC.  </t>
  </si>
  <si>
    <t>Tagaytay City</t>
  </si>
  <si>
    <t>St. Augustine School of Nursing - Las Piñas City, Inc.</t>
  </si>
  <si>
    <t>Talon Dos Institute of Technology</t>
  </si>
  <si>
    <t>Dental Hygiene NC IV</t>
  </si>
  <si>
    <t>PHILIPPINE NATIONAL POLICE LOGISTICS SUPPORT SERVICE</t>
  </si>
  <si>
    <t>SIR JUICY JERRY PROJECTS EVENTS MANAGEMENT SERVICES</t>
  </si>
  <si>
    <t>TRIPLE'R AM FRIENDNERSHIP MASSAGE SERVICES</t>
  </si>
  <si>
    <t>ARMA COLLEGE OF TECHNOLOGY, TRAINING AND ASSESSMENT CENTER INC.</t>
  </si>
  <si>
    <t>GOLDEN HERON POULTRY FARM</t>
  </si>
  <si>
    <t>IDA VITA CORPORATION</t>
  </si>
  <si>
    <t>XAVIER TECHNICAL TRAINING CENTER CORP</t>
  </si>
  <si>
    <t>CAGANDAHAN SKILLS DEVELOPMENT INC.</t>
  </si>
  <si>
    <t>Paete</t>
  </si>
  <si>
    <t>NEWTON SCIENCE SCHOOL INC.</t>
  </si>
  <si>
    <t>ANGONO CATHOLIC COLLEGE, INC.</t>
  </si>
  <si>
    <t>JS DUREZA TECHNICAL AND VOCATIONAL SCHOOL INC.</t>
  </si>
  <si>
    <t>CENTRIC TRAINING &amp; ASSESSMENT CENTER INC.</t>
  </si>
  <si>
    <t>GLEAMS TRAINING AND ASSESSMENT CENTER INC.</t>
  </si>
  <si>
    <t>AGILE INSITUTE OF SLAUGHTERING &amp; BUTCHERING CORP.</t>
  </si>
  <si>
    <t>REY AND MARICAR TRAINING AND ASSESSMENT CENTER INC.</t>
  </si>
  <si>
    <t>BARELIFE WELLNESS SPA CORPORATION</t>
  </si>
  <si>
    <t>AGRIE'S INTEGRATED NATURAL FARM</t>
  </si>
  <si>
    <t>PROBATON TECHNICAL SKILLS INSTITUTE INC.</t>
  </si>
  <si>
    <t>ICCT COLLEGES FOUNDATION INC</t>
  </si>
  <si>
    <t>Game Programming NC III</t>
  </si>
  <si>
    <t>MOCA FAMILY FARM RLEARNING CENTER, INC.</t>
  </si>
  <si>
    <t>Padre Garcia</t>
  </si>
  <si>
    <t>Biomedical Equipment Servicing NC II</t>
  </si>
  <si>
    <t>COLEGIO DE SAN CLEMENTE</t>
  </si>
  <si>
    <t>CAVITE SCHOOL OF ST. MARK</t>
  </si>
  <si>
    <t>Chinese General Hospital Colleges, Inc. (Formerly: Chinese General College of Nursing and Liberal Arts, Inc.)</t>
  </si>
  <si>
    <t>COMMUNITY GENERAL HOSPITAL EDUCATIONAL AND SCIENCE FOUNDATION, INC.</t>
  </si>
  <si>
    <t>NEW SINAI SCHOOL AND COLLEGES STA ROSA</t>
  </si>
  <si>
    <t>UNIVERSAL TREKKER SKILLS DEVELOPMENT AND TRAINING CENTER, INC.</t>
  </si>
  <si>
    <t>PULXAR TVI, INC.</t>
  </si>
  <si>
    <t>SENTRONG SANAYANG TEKNIKAL NG KABATAAN</t>
  </si>
  <si>
    <t>CALUNGSOD INTEGRATED FARM</t>
  </si>
  <si>
    <t>GATEWAYS INSTITUTE OF SCIENCE &amp; TECHNOLOGY</t>
  </si>
  <si>
    <t>University of Perpetual Help System Laguna</t>
  </si>
  <si>
    <t>ESRA TECHNICAL TRAINING FOUNDATION, INC.</t>
  </si>
  <si>
    <t>IEXCEL SCHOOL OF COMMUNICATION AND TECHNICAL SKILLS, INC.</t>
  </si>
  <si>
    <t>TRACE COLLEGE</t>
  </si>
  <si>
    <t>SISTERS OF MARY TECHNICAL EDUCATION INSTITUTE CAVITE, INC.-Girlstown</t>
  </si>
  <si>
    <t>CALITY CARE TRAINING AND ASSESSMENT INC.</t>
  </si>
  <si>
    <t>DON BOSCO COLLEGE</t>
  </si>
  <si>
    <t>Imus Computer College, Inc.</t>
  </si>
  <si>
    <t>GARDNER COLLEGE CAINTA, INC.</t>
  </si>
  <si>
    <t>MALASAGA INSTITUTE OF TECHNOLOGY INC.</t>
  </si>
  <si>
    <t>QUALITY LIFELONG LEARNING INSTITUTE</t>
  </si>
  <si>
    <t>TOYOTA MOTOR PHILS SCHOOL OF TECHNOLOGY</t>
  </si>
  <si>
    <t>Automotive Body Painting/Finishing NC II</t>
  </si>
  <si>
    <t>Automotive Body Repairing NC II</t>
  </si>
  <si>
    <t>DATACOM INSTITUTE OF COMPUTER TECHNOLOGY CORPORATION</t>
  </si>
  <si>
    <t>NATIONAL COLLEGE OF SCIENCE AND TECHNOLOGY INSTITUTE OF INDUSTRIAL RESEARCH AND TRAINING-DASMARIÑAS, CAVITE, INC. ****</t>
  </si>
  <si>
    <t>STI COLLEGE - ROSARIO CAVITE</t>
  </si>
  <si>
    <t>MONARK FOUNDATION INC.</t>
  </si>
  <si>
    <t>ST. MICHAEL TVET TRAINING AND ASSESSMENT CENTER INC.</t>
  </si>
  <si>
    <t>Mechanical Drafting NC I</t>
  </si>
  <si>
    <t>Commercial Cooking NC IV</t>
  </si>
  <si>
    <t>PROTEC INTERNATIONAL INSTITUTE INC.</t>
  </si>
  <si>
    <t>DE LA SALLE LIPA, INC.</t>
  </si>
  <si>
    <t>ISHRM SCHOOL SYSTEM, INC.</t>
  </si>
  <si>
    <t>INTERNATIONAL ELECTRONICS &amp; TECHNICAL INSTITUTE (IMUS), INC.</t>
  </si>
  <si>
    <t>NYK-FIL MARITIME E-LTRAINING INC</t>
  </si>
  <si>
    <t>SOUTHERN NAZARENE TRAINING INSTITUTE</t>
  </si>
  <si>
    <t>University of Perpetual Help Rizal</t>
  </si>
  <si>
    <t>EMPRESS DENTAL LABORATORIES, INC.</t>
  </si>
  <si>
    <t>Dental Laboratory Technology Services (Fixed Dentures/Restorations) NC II</t>
  </si>
  <si>
    <t>NIGHTINGALE CAREGIVER AND ADVANCED TECHNOLOGY SCHOOL, INC.</t>
  </si>
  <si>
    <t>National TVET Trainers Academy</t>
  </si>
  <si>
    <t>SEATECH MARITIME TRAINING AND ASSESSMENT CENTER INC.</t>
  </si>
  <si>
    <t>ST. PAUL UNIVERSITY QUEZON CITY, INC.</t>
  </si>
  <si>
    <t>PWU-CDCEC CALAMBA, INC.</t>
  </si>
  <si>
    <t>SIMPLICITY ACADEMY INC.</t>
  </si>
  <si>
    <t>BIYAYA POLYTECHNIC ACADEMY INC.</t>
  </si>
  <si>
    <t>WEST8 INSTITUTE OF TECHNICAL SKILLS, INC.</t>
  </si>
  <si>
    <t>EPIPHANIE TRAINING CENTER INC.</t>
  </si>
  <si>
    <t>Travel Services NC II</t>
  </si>
  <si>
    <t>HAESSA SKILLS DEVELOPMENT AND ASSESSMENT CENTER INC.</t>
  </si>
  <si>
    <t>ZION INSTITUTE OF SCIENCE AND TECHNOLOGY INC.</t>
  </si>
  <si>
    <t>Automotive Servicing NC II</t>
  </si>
  <si>
    <t>MAGIS INSTITUTE OF SCIENCE AND TECHNOLOGY INC.</t>
  </si>
  <si>
    <t>ADVENTIST UNIVERSITY OF THE PHILIPPINES</t>
  </si>
  <si>
    <t>SILENT INTEGRATED FARM, INC.</t>
  </si>
  <si>
    <t>Liliw</t>
  </si>
  <si>
    <t>YAMAHEI TRAINING AND ASSESSMENT CENTER CORPORATION</t>
  </si>
  <si>
    <t>SLIM'S FASHION AND ARTS SCHOOL</t>
  </si>
  <si>
    <t>Caregiving (Newborn to Pre-Schooler) NC II</t>
  </si>
  <si>
    <t>SHEMA LEADERSHIP INSTITUTE OF SCIENCE AND TECHNOLOGY INC.</t>
  </si>
  <si>
    <t>DR. CARLOS S. LANTING COLLEGE, INC. (FORMERLY DR. CARLOS S. LANTING SCHOOL OF MIDWIFERY, INCORPORATE</t>
  </si>
  <si>
    <t>INTERNATIONAL PEACE LEADERSHIP COLLEGE, INC.</t>
  </si>
  <si>
    <t>Rogationist College (St. Anthony's Boy Village), Inc.</t>
  </si>
  <si>
    <t>CHEF JHON'S TRAINING AND ASSESSMENT INC.</t>
  </si>
  <si>
    <t>FAST LOGISTICS LEARNING AND DEVELOPMENT CORPORATION</t>
  </si>
  <si>
    <t>PROFETA TECHNICAL AND VOCATIONAL SCHOOL INCORPORATED</t>
  </si>
  <si>
    <t>TCAI INC.</t>
  </si>
  <si>
    <t>Massage Therapy NC II</t>
  </si>
  <si>
    <t xml:space="preserve">FIVE STAR STANDARD COLLEGE, INC. </t>
  </si>
  <si>
    <t>QTEK DYNAMIC TRAINING INC.</t>
  </si>
  <si>
    <t>MFI POLYTECHNIC INSTITUTE INC.</t>
  </si>
  <si>
    <t>Jala-Jala</t>
  </si>
  <si>
    <t>PHILIPPINE HEAVY EQUIPMENT OPERATOR AND ASSESSMENT TRAINING CENTER INC.</t>
  </si>
  <si>
    <t>ARK TECHNOLOGICAL INSTITUTE EDUCATION SYSTEM INC.</t>
  </si>
  <si>
    <t>THE ALPS TECHNOLOGY ACADEMY (TATA), INC.</t>
  </si>
  <si>
    <t>PRINCE GIRON INTERNATIONAL TRAINING CENTRE, INC.</t>
  </si>
  <si>
    <t>EASTGATE MARITIME TRAINING CENTER INC.</t>
  </si>
  <si>
    <t>JEM JOB EXCELLENCE AND MASTERY ASSESSMENT AND TRAINING CENTER INC.</t>
  </si>
  <si>
    <t>AINA INTEGRATED FARM</t>
  </si>
  <si>
    <t>LUXEBEAUTE INTERNATIONAL ACADEMY INC.</t>
  </si>
  <si>
    <t>UNIVERSAL COLLEGES OF PARAÑAQUE INC. (FORMERLY: UNIVERSAL COLLEGE OF NURSING INC.)</t>
  </si>
  <si>
    <t>NATIONAL UNIVERSITY</t>
  </si>
  <si>
    <t>Dental Technology NC IV</t>
  </si>
  <si>
    <t>GOLDEN CHI TRAINING AND ASSESSMENT CENTER, INC.</t>
  </si>
  <si>
    <t>AVIATION TECHNICAL SCHOOL OF COTABATO</t>
  </si>
  <si>
    <t>JAPRA INTERNATIONAL TRAINING &amp; ASSESSMENT CENTER, INC.</t>
  </si>
  <si>
    <t>MANILAPHIL SKILLS INSTITUTE, INC.</t>
  </si>
  <si>
    <t>KOMS TRAINING AND ASSESSMENT CENTER, INC.</t>
  </si>
  <si>
    <t>GREEN HOUSE TRAINING AND ASSESSMENT CENTER INC.</t>
  </si>
  <si>
    <t>UNITED ACHIEVER ASSESSMENT &amp; TRAINING CENTER INC.</t>
  </si>
  <si>
    <t>YKMK GLOBAL TRAINING AND ASSESSMENT CENTER INC.</t>
  </si>
  <si>
    <t>FIRST PLACE TRAINING AND ASSESSMENT CENTER, INC.</t>
  </si>
  <si>
    <t>MNM ASSESSMENT CENTER INC.</t>
  </si>
  <si>
    <t>TRINITY URSUA TECHNICAL INSTITUTE AND ASSESSMENT CENTER INC.</t>
  </si>
  <si>
    <t xml:space="preserve">ALMAMLAKA TRAINING AND ASSESSMENT CORPORATION </t>
  </si>
  <si>
    <t>I-ASSESS AND SKILLS DEVELOPMENT INC.</t>
  </si>
  <si>
    <t>BLESSING OFW INTERNATIONAL TRAINING AND ASSESSMENT CENTER INC.</t>
  </si>
  <si>
    <t>JCDM INTERNATIONAL TRAINING AND ASSESSMENT CENTER INC.</t>
  </si>
  <si>
    <t>PINOY HELPING HAND SPECIALIST, INC.</t>
  </si>
  <si>
    <t>MASTERCORE ACADEMY INC.</t>
  </si>
  <si>
    <t>JIRR TRAINING AND ASSESSMENT CENTER INC.</t>
  </si>
  <si>
    <t>San Nicolas, City of Manila</t>
  </si>
  <si>
    <t>SALAAM TRAINING AND ASSESSMENT CENTER CORPORATION</t>
  </si>
  <si>
    <t>ROE ABBOT TRAINING AND DEVELOPMENT INSTITUTE, INC.</t>
  </si>
  <si>
    <t>MJ INTERNATIONAL HUMAN RESOURCE SKILLS ASSESSMENT CENTER INC.</t>
  </si>
  <si>
    <t>LEXUS ACADEMY TRAINING AND ASSESSMENT CENTER INC.</t>
  </si>
  <si>
    <t>SAINT FRANCIS DE ASSISI EDUCATIONAL FOUNDATION, INC.</t>
  </si>
  <si>
    <t>Hairdressing NC II</t>
  </si>
  <si>
    <t>QUEST TRAINING AND ASSESSMENT CENTER CORP.</t>
  </si>
  <si>
    <t>IETI COLLEGE, INC.</t>
  </si>
  <si>
    <t>SKYBORN TRAINING CENTER, INC.</t>
  </si>
  <si>
    <t>EXCELLENT GLOBAL SKILLS TRAINING AND ASSESSMENT CENTER INC.</t>
  </si>
  <si>
    <t>BOWLINE TRAINING AND ASSESSMENT CENTER, INC.</t>
  </si>
  <si>
    <t>ADVENT CAREGIVER SCHOOL, INC.</t>
  </si>
  <si>
    <t>Golden Chi Training and Assessment Center, Inc.</t>
  </si>
  <si>
    <t>DIVINE MERCY INTERNATIONAL INSTITUTE INC.</t>
  </si>
  <si>
    <t>Beauty Care (Nail Care) Services NC II</t>
  </si>
  <si>
    <t>AAA CAREER DEVELOPMENT, INC.</t>
  </si>
  <si>
    <t>CORTIJO DE PALSABANGON FARM OPC</t>
  </si>
  <si>
    <t>NOBLE VISION TRAINING AND ASSESSMENT INSTITUTE, INC.</t>
  </si>
  <si>
    <t>GERSON TECH INTERNATIONAL TRAINING AND ASSESSMENT CENTER, INC.</t>
  </si>
  <si>
    <t>GLOBAL OVERSEAS TRAINING INSTITUTE FOR HEAVY EQUIPMENT OPERATORS &amp; SKILLS DEVELOPMENT (GOTIHED), INC</t>
  </si>
  <si>
    <t>UCHENNA TRAINING AND ASSESSMENT CENTER INC.</t>
  </si>
  <si>
    <t>CORIANDER CULINARY ACADEMY INC.</t>
  </si>
  <si>
    <t>PHILIPPINE WELDING TECHNOLOGY SKILLS &amp; SERVICES CENTER INC.</t>
  </si>
  <si>
    <t>DIAMOND SAPPHIRE TRAINING AND ASSESSMENT CENTER CO.,INC.</t>
  </si>
  <si>
    <t>BEST SKILLS ENHANCERS TRAINING AND ASSESSMENT CENTER, INC.</t>
  </si>
  <si>
    <t>KING EAGLE TRAINING AND ASSESSMENT CENTER, CORP.</t>
  </si>
  <si>
    <t>JACOBO Z. GONZALES MEMORIAL SCHOOL OF ARTS AND TRADES</t>
  </si>
  <si>
    <t xml:space="preserve">LYCEUM OF THE PHILIPPINES UNIVERSITY, INC. DOING BUSINESS UNDER THE NAMES AND STYLES OF THE BAYLEAF </t>
  </si>
  <si>
    <t>Intramuros, City of Manila</t>
  </si>
  <si>
    <t>SOUTHERN INSTITUTE OF MARITIME STUDIES-MANILA</t>
  </si>
  <si>
    <t>HIGH VISION TRAINING CENTER</t>
  </si>
  <si>
    <t>TOYOTA MOTOR PHILIPPINES SCHOOL OF TECHNOLOGY, INC.</t>
  </si>
  <si>
    <t>AISTAC ALPHA INNOVATIVE SKILLS TRAINING AND ASSESSMENT CENTER, INC.</t>
  </si>
  <si>
    <t>MC TECH TRAINING AND ASSESSMENT CENTER INC.</t>
  </si>
  <si>
    <t xml:space="preserve">ST. CATHERINE INSTITUTE OF TECHNOLOGY INC. </t>
  </si>
  <si>
    <t>ASIAN CHRISTIAN TECHNOLOGICAL SCHOOL &amp; COLLEGES INC.</t>
  </si>
  <si>
    <t>STEP-UP INTERNATIONAL TRAINING AND ASSESSMENT CENTER, INC</t>
  </si>
  <si>
    <t>OVERSEAS ACADEMY SKILLS AND ASSESSMENT CENTER INC.</t>
  </si>
  <si>
    <t>CSTC COLLEGE OF SCIENCES, TECHNOLOGY AND COMMUNICATIONS, INC.</t>
  </si>
  <si>
    <t>MOTHER THERESA INSTITUTE OF TECHNOLOGY AND ASSESSMENT CENTER, INC.</t>
  </si>
  <si>
    <t>LYCEUM OF ALABANG, INC.</t>
  </si>
  <si>
    <t xml:space="preserve">EMMANUEL JOHN INSTITUTE OF SCIENCE AND TECHNOLOGY INC. </t>
  </si>
  <si>
    <t>SAV1 SKILLS TRAINING AND DEVELOPMENT CENTER, INC.</t>
  </si>
  <si>
    <t>MATTISONS INSTITUTE AND ASSESSMENT CENTER, INC.</t>
  </si>
  <si>
    <t>GOLDEN APOL CARE TRAINING AND ASSESSMENT CENTER, INC.</t>
  </si>
  <si>
    <t>CENTER FOR COMPETENCIES ENHANCEMENT AND DEVELOPMENT, INCORPORATED</t>
  </si>
  <si>
    <t>ACCESS PASIG COMPUTER AND TECHNICAL COLLEGES, INC.</t>
  </si>
  <si>
    <t>QUEZON NATIONAL AGRICULTURAL SCHOOL</t>
  </si>
  <si>
    <t>ST. ANNE COLLEGE OF LUCENA INC.</t>
  </si>
  <si>
    <t>PROBATON TECHNICAL SKILLS INSTITUTE, INC.</t>
  </si>
  <si>
    <t>RBM SKILLS TRAINING AND ASSESSMENT CENTER, INC.</t>
  </si>
  <si>
    <t>GOALS TRAINING AND ASSESSMENT INSTITUTE INC</t>
  </si>
  <si>
    <t>LYCEUM OF THE PHILIPPINES UNIVERSITY - BATANGAS, INC.</t>
  </si>
  <si>
    <t>D.M. CONSUNJI TECHNICAL TRAINING CENTER INC.</t>
  </si>
  <si>
    <t>SMI INSTITUTE INC. (FORMERLY: TECHTRADE TRAINING AND ASSESSMENT CENTER INC.)</t>
  </si>
  <si>
    <t>BERNARDO COLLEGE</t>
  </si>
  <si>
    <t>BLUERIDGE PACIFIC INSTITUTE INC.</t>
  </si>
  <si>
    <t>BEATITUDES TECHNOLOGICAL AND THEOLOGICAL COLLEGE - IMUS, CAVITE INC.</t>
  </si>
  <si>
    <t>THE ASIAN ACADEMY OF PROFESSIONAL STUDIES (TAAPS), INCORPORATED</t>
  </si>
  <si>
    <t>FILJAP WELDING INSTITUTE AND TRADETEST CENTER INC.</t>
  </si>
  <si>
    <t>ST. MATTHEW OF BLUMENTRITT INSTITUTE OF TECHNOLOGY (SMBIT) INC.</t>
  </si>
  <si>
    <t>RIZAL PROVINCIAL TECHNICAL EDUCATION AND SKILLS DEVELOPMENT CENTER - BINANGONAN</t>
  </si>
  <si>
    <t>EJ TRAINING AND ASSESSMENT CENTER</t>
  </si>
  <si>
    <t>TECHNICAL SKILLS SYSTEM OF LUCENA, INC.</t>
  </si>
  <si>
    <t>POWER LINK CENTER FOR ADVANCED TECHNICAL SKILLS DEVELOPMENT, INC.</t>
  </si>
  <si>
    <t>TECHNO DEVT. CENTER OF THE PHIL. INC.</t>
  </si>
  <si>
    <t>DA'FAMERS TRAINING AND ASSESSMENT CENTER CORP.,</t>
  </si>
  <si>
    <t>ACEBA SCIENCE &amp; TECH. INSTITUTE INC.</t>
  </si>
  <si>
    <t>Heavy Equipment Operation (Truck Mounted Crane) NC II</t>
  </si>
  <si>
    <t>SEIYU LANGUAGE SCHOOL AND HOUSEKEEPING TRAINING AND ASSESSMENT CENTER INC.</t>
  </si>
  <si>
    <t>BWEST COLLEGE (BOATER'S WHEEL EDUCATIONAL SYSTEM AND TECHNOLOGY) INC.</t>
  </si>
  <si>
    <t>GRANT INSTITUTE OF TRADE &amp; TECHNOLOGY INC.</t>
  </si>
  <si>
    <t>CHRIST THE KING COLLEGE OF SCIENCE AND TECHNOLOGY, INC.</t>
  </si>
  <si>
    <t>MARIAM TRAINING AND ASSESSMENT CENTER CORP.</t>
  </si>
  <si>
    <t>CAVITE SCHOOL OF ST. MARK, INC.</t>
  </si>
  <si>
    <t>CENTRAL INSTITUTE OF TECHNOLOGY</t>
  </si>
  <si>
    <t>COLEGIO DE SANTO CRISTO DE BURGOS CORPORATION</t>
  </si>
  <si>
    <t>Customer Services NC II</t>
  </si>
  <si>
    <t>Mobile Phones and Handheld Gadgets Servicing NC III</t>
  </si>
  <si>
    <t>MILLENIAL'S CHOICE TRAINING INSTITUTE AND ASSESSMENT CENTER, INC.</t>
  </si>
  <si>
    <t xml:space="preserve">KAMELO MANPOWER SKILLS DEVELOPMENT CENTER INC. </t>
  </si>
  <si>
    <t xml:space="preserve">ST. PAUL UNIVERSITY MANILA (ST. PAUL UNIVERSITY SYSTEM) INC. (FORMERLY: ST. PAUL COLLEGE OF MANILA, </t>
  </si>
  <si>
    <t>PHROLED TRAINING AND ASSESSMENT CENTER CORP.</t>
  </si>
  <si>
    <t>MONARK FOUNDATION, INC.</t>
  </si>
  <si>
    <t>FIRST GEAR TECHNICAL INSTITUTE AND ASSESSMENT CENTER INC.</t>
  </si>
  <si>
    <t>STARS AND RAINBOW ACADEMY, INC.</t>
  </si>
  <si>
    <t>TOP CHOICE TRAINING INSTITUTE AND ASSESSMENT CENTER, INC.</t>
  </si>
  <si>
    <t>BANAHAW TECHNOLOGICAL COLLEGE, INC.</t>
  </si>
  <si>
    <t>ISHRM SCHOOL SYSTEM, INC. - BACOOR</t>
  </si>
  <si>
    <t>DIAMOND SECURITY TRAINING ACADEMY AND ASSESSMENT CENTER, INC.</t>
  </si>
  <si>
    <t>CENTER FOR BARISTA AND TOURISM ACADEMY TRAINING AND ASSESSMENT INC.</t>
  </si>
  <si>
    <t>LAKEWOOD SCHOOL OF ALABANG, INC.</t>
  </si>
  <si>
    <t>MILESTONE TECHNICAL INSTITUTE INC.</t>
  </si>
  <si>
    <t>NATIONAL INSTITUTE FOR TECHNICAL &amp; VOCATIONAL CAREERS INC.</t>
  </si>
  <si>
    <t>CALAYAN EDUCATIONAL FOUNDATION INC.</t>
  </si>
  <si>
    <t>Automotive Servicing (Chassis Repair) NC II</t>
  </si>
  <si>
    <t>SAINT MARK TECHNICAL VOCATIONAL INSITUTE INC.</t>
  </si>
  <si>
    <t>Automotive Servicing (Electrical Repair) NC II</t>
  </si>
  <si>
    <t>HORIZONS INTERNATIONAL TRAINING AND ASSESSMENT CENTER CORPORATION</t>
  </si>
  <si>
    <t>RENAISSANCE SCHOOL OF SCIENCE AND TECHNOLOGY INC.</t>
  </si>
  <si>
    <t>CAPELLAN INSTITUTE OF TECHNOLOGY INC.</t>
  </si>
  <si>
    <t>MOVERS INTERNATIONAL SCHOOL INC.</t>
  </si>
  <si>
    <t xml:space="preserve">MARY THE QUEEN COLLEGE OF QUEZON CITY INC. </t>
  </si>
  <si>
    <t>J.H. ONTOP TRAINING AND ASSESSMENT CENTER INC.</t>
  </si>
  <si>
    <t>MEBIUS ARTIST CENTER INC.</t>
  </si>
  <si>
    <t>ARTICULATED TRAINING AND DRIVING SCHOOL, INC.</t>
  </si>
  <si>
    <t>ASIAN ENTREPRENEURS TECHNOLOGICAL INSTITUTE, INC.</t>
  </si>
  <si>
    <t>SCIENTIA VOX MANTRADE INSTITUTE INC.</t>
  </si>
  <si>
    <t>RIGHT FOCUS TRAINING CENTER INC.</t>
  </si>
  <si>
    <t>REGIONAL TRAINING CENTER-CALABARZON</t>
  </si>
  <si>
    <t>SEA GEM TRAINING AND ASSESSMENT CENTER INC.</t>
  </si>
  <si>
    <t>ST. BERNADETTE COLLEGE OF ALABANG, INC.</t>
  </si>
  <si>
    <t>System Formworks Installation NC II</t>
  </si>
  <si>
    <t>HIGH PERFORMANCE INTERNATIONAL TRAINING CENTER AND TRADE TEST,INC.</t>
  </si>
  <si>
    <t>EL ROYALE HOTELIER TRAINING CENTER INC.</t>
  </si>
  <si>
    <t>Barbering NC II</t>
  </si>
  <si>
    <t>SLDM COLLEGES OF QUEZON CITY, INC.</t>
  </si>
  <si>
    <t>QTEK TRAINING AND ASSESSMENT CENTER, INC.</t>
  </si>
  <si>
    <t>ENHANCE TRAINING &amp; DEVELOPMENT CORP.</t>
  </si>
  <si>
    <t>GOD'S GIFT TRAINING AND ASSESSMENT CENTER, INC.</t>
  </si>
  <si>
    <t>TESDA PROVINCIAL TRAINING CENTER - ROSARIO</t>
  </si>
  <si>
    <t>ST. PETER VELLE TECHNICAL TRAINING CENTER INC.</t>
  </si>
  <si>
    <t>SINILOAN CAREGIVER TRAINING CENTER INC.</t>
  </si>
  <si>
    <t>COMPUTER SITE INS. INC.</t>
  </si>
  <si>
    <t>MIESHA TRAINING ACADEMY AND ASSESSMENT CENTER, INC.</t>
  </si>
  <si>
    <t>QUEZON CITY LINGKOD BAYAN SKILLS DEVELOPMENT CENTER</t>
  </si>
  <si>
    <t>CARD-MRI DEVELOPMENT INSTITUTE, INC.</t>
  </si>
  <si>
    <t>Bay</t>
  </si>
  <si>
    <t>Microfinance Technology NC II</t>
  </si>
  <si>
    <t>SKILLFUL TRAINING AND ASSESSMENT CENTER INC.</t>
  </si>
  <si>
    <t>WORLD CITI INC. DOING BUSINESS UNDER THE NAME AND STYLE OF WORLD CITI COLLEGES AND WORLD CITI MEDICA</t>
  </si>
  <si>
    <t>HOSPITALITY INSTITUTE OF AMERICA-PHILIPPINES INC</t>
  </si>
  <si>
    <t>Food Processing NC I</t>
  </si>
  <si>
    <t>ACADEMY ASIA SCHOOL OF TECHNOLOGY AND THE ARTS, INC.</t>
  </si>
  <si>
    <t>MANILA CULINARY AND HOSPITALITY ACADEMY INC.</t>
  </si>
  <si>
    <t>PHILTECH INSTITUTE OF ARTS AND TECHNOLOGY</t>
  </si>
  <si>
    <t>Tagkawayan</t>
  </si>
  <si>
    <t>BEX TECHNICAL CENTER, OPC.</t>
  </si>
  <si>
    <t>SOLLIGHT (SUBMISSION, OBEDIENCE, LOYALTY, LIGHT) INC.</t>
  </si>
  <si>
    <t>SELAH INTERNATIONAL TRAINING AND ASSESMENT INC.</t>
  </si>
  <si>
    <t>NIGHTINGALE CAREGIVER AND ADVANCED TECHNOLOGY SCHOOL INC.</t>
  </si>
  <si>
    <t>THE GOAL VENTURE TRAINING &amp; ASSESSMENT CENTER CORPORATION</t>
  </si>
  <si>
    <t>RIZAL PROVINCIAL TECHNICAL EDUCATION AND SKILLS DEVELOPMENT CENTER - CAINTA</t>
  </si>
  <si>
    <t>ROGATIONIST COLLEGE (ST. ANTHONY'S BOYS VILLAGE), INC.</t>
  </si>
  <si>
    <t>ST. JUDEL INSTITUTE OF TECHNOLOGY (SJIT), INC.</t>
  </si>
  <si>
    <t>CARCIR TECHNICAL TRAINING &amp; ASSESSMENT CENTER INC.</t>
  </si>
  <si>
    <t>SKYHOME TRAINING AND ASSESSMENT CENTER, CORP</t>
  </si>
  <si>
    <t>WCU DEVELOPMENT AND TRAINING CENTER INC.</t>
  </si>
  <si>
    <t>SEVEN LAKES ULTIMATE BUSINESS SOLUTION (UBS) INSTITUTE INC.</t>
  </si>
  <si>
    <t>OLIVAREZ COLLEGE, INC.</t>
  </si>
  <si>
    <t>SOUTHSIDE INTEGRATED SCHOOL INC.</t>
  </si>
  <si>
    <t>PHILIPPINE SEAFARERS TRAINING CENTER, INC.</t>
  </si>
  <si>
    <t>Animation NC II</t>
  </si>
  <si>
    <t>ASIAN INSTITUTE OF TECHNOLOGY AND EDUCATION, INC.</t>
  </si>
  <si>
    <t>DON BOSCO YOUTH CENTER-TONDO, INC</t>
  </si>
  <si>
    <t>A1 VENTURES TECHNICAL AND VOCATIONAL ACADEMY INC.</t>
  </si>
  <si>
    <t>ICROPS INTERNATIONAL ASSESSMENT AND TRAINING CENTER INC.</t>
  </si>
  <si>
    <t>LAGUNA INSTITUTE OF TECHNOLOGY - BIÑAN, LAGUNA INC.</t>
  </si>
  <si>
    <t>LABOR-LINK TECHNICAL INSTITUTE CORPORATION</t>
  </si>
  <si>
    <t>FIRST IN LEARNING ELECTRONICS TRAINING CENTER INC.</t>
  </si>
  <si>
    <t>PROVINCIAL TRAINING CENTER LIPA</t>
  </si>
  <si>
    <t>CEN TECH - CENTER FOR TECHNICAL EXCELLENCE INC.</t>
  </si>
  <si>
    <t>KAFEI TAN TRAINING INSTITUTE, INC.</t>
  </si>
  <si>
    <t>UNITED SEAFARERS MARITIME CENTER, INC.</t>
  </si>
  <si>
    <t>D' BEAUTY TREND CENTER INSTITUTE INC. (FORMERLY: D' BEAUTY TREND CENTER INC.)</t>
  </si>
  <si>
    <t>COLEGIO DE SAN CLEMENTE, INC.</t>
  </si>
  <si>
    <t>PHILIPPINE ACADEMY FOR TECHNICAL AND VOCATIONAL SKILLS INC.</t>
  </si>
  <si>
    <t>SISTERS OF MARY TECHNICAL EDUCATION INSTITUTE CAVITE, INC. - GIRLSTOWN</t>
  </si>
  <si>
    <t>BESTLINK COLLEGE OF THE PHILIPPINES, INC.</t>
  </si>
  <si>
    <t>PROVINCIAL TECHNICAL EDUCATION AND SKILLS DEVELOPMENT CENTER (PTESDC) - TAYTAY</t>
  </si>
  <si>
    <t>LFS TRAINING AND ASSESSMENT CENTER, INC</t>
  </si>
  <si>
    <t>ST. RAPHAEL COLLEGE OF BUSINESS AND ARTS INC</t>
  </si>
  <si>
    <t>MARIKINA SKILLS TRAINING AND ASSESSMENT CENTER, INC.</t>
  </si>
  <si>
    <t>PROFES-SKILLS INSTITUTE TRAINING AND ASSESSMENT CENTER, INC.</t>
  </si>
  <si>
    <t>UMA VERDE ECONATURE FARM INC.</t>
  </si>
  <si>
    <t>TESDA WOMEN'S CENTER</t>
  </si>
  <si>
    <t>Heavy Equipment Operation (Gantry Crane) NC II</t>
  </si>
  <si>
    <t>Commercial Air-conditioning Installation and Servicing NC III</t>
  </si>
  <si>
    <t>OLIVAREZ COLLEGE - TAGAYTAY, INC.</t>
  </si>
  <si>
    <t>D' RISING SUN TRAINING CENTER PHILS., INC.</t>
  </si>
  <si>
    <t>MACHJO VOCATIONAL TRAINING CENTER &amp; COMPUTER SERVICES, INC.</t>
  </si>
  <si>
    <t>SYLVRE AGRI-FARM TRAINING AND ASSESSMENT CENTER INC.</t>
  </si>
  <si>
    <t>D’ RISING SUN TRAINING CENTER PHILS., INC.</t>
  </si>
  <si>
    <t>MANUEL S. ENVERGA FOUNDATION - CANDELARIA INC.</t>
  </si>
  <si>
    <t>VALENZUELA CITY POLYTECHNIC COLLEGE</t>
  </si>
  <si>
    <t>INTEGRATED MOVEMENT ACADEMY, INC.</t>
  </si>
  <si>
    <t>Heavy Equipment Operation (Crawler Crane) NC II</t>
  </si>
  <si>
    <t>APLUS TECHNICAL AND VOCATIONAL SCHOOL, INC.</t>
  </si>
  <si>
    <t>STAR-SKILLS, TALENT, ASSESSMENT AND REVIEW TRAINING CENTER INC.</t>
  </si>
  <si>
    <t>GUARDIANS TECHNICAL SCHOOL, INC.</t>
  </si>
  <si>
    <t>Heavy Equipment Operation (Truck Mounted Crane) NC III</t>
  </si>
  <si>
    <t>Reinforcing Steel Works NC II</t>
  </si>
  <si>
    <t>GENESIS INNOVATIONS AND CREATIVE DESIGN TRAINING CENTER INC.</t>
  </si>
  <si>
    <t>TESDA PROVINCIAL TRAINING CENTER - PALIPARAN</t>
  </si>
  <si>
    <t>ALABASTER HEART CHRISTIAN ACADEMY, INC.</t>
  </si>
  <si>
    <t>Heavy Equipment Operation (Rough Terrain Crane) NC III</t>
  </si>
  <si>
    <t>AUTOZONE DRIVING SCHOOL INC.</t>
  </si>
  <si>
    <t>AIM TECH CHRISTIAN COLLEGE, INC.</t>
  </si>
  <si>
    <t>MNP INSTITUTE OF SCIENCE AND TECHNOLOGY, INC.</t>
  </si>
  <si>
    <t>AGILE INSTITUTE OF SLAUGHTERING AND BUTCHERING CORP</t>
  </si>
  <si>
    <t>INTERNATIONAL TRAINING FOR ENHANCEMENT AND ASSESSMENT CENTER, INC.</t>
  </si>
  <si>
    <t>LORD YAHWEH BUSINESS COLLEGES &amp; MARITIME ACADEMY INCORPORATED</t>
  </si>
  <si>
    <t>ARANDIA COLLEGE, INC.</t>
  </si>
  <si>
    <t>Security Services NC I</t>
  </si>
  <si>
    <t>PHILTECH INSTITUTE OF ARTS AND TECHNOLOGY INC.</t>
  </si>
  <si>
    <t>PRECIOUS KNOWLEDGE TRAINING CENTER-GENERAL TRIAS INC.</t>
  </si>
  <si>
    <t>TRESTON INTERNATIONAL COLLEGE, INC.</t>
  </si>
  <si>
    <t>JAR TRAINING AND ASSESSMENT CENTER INC.</t>
  </si>
  <si>
    <t>BONDOC PENINSULA TECHNOLOGICAL INSTITUTE</t>
  </si>
  <si>
    <t>WESTBRIDGE INSTITUTE OF TECHNOLOGY, INC.</t>
  </si>
  <si>
    <t>ASIAN CHRISTIAN TECHNOLOGICAL SCHOOL &amp; COLLEGES INC. (FRMRLY: ASIAN CHRISTIAN THEOLOGICAL S &amp; C INC.</t>
  </si>
  <si>
    <t>SYNERGY ASSESSMENT AND TRAINING CENTER, INC.</t>
  </si>
  <si>
    <t>Automotive Servicing NC IV</t>
  </si>
  <si>
    <t>RNC TECHNICAL LEARNING CENTER INC.</t>
  </si>
  <si>
    <t>ST. THOMAS AQUINAS INSTITUTE OF CALOOCAN</t>
  </si>
  <si>
    <t>HUMAN RESOURCE DEVELOPMENT CENTER</t>
  </si>
  <si>
    <t>OUR LADY OF LOURDES COLLEGE OF NOVALICHES</t>
  </si>
  <si>
    <t>ANGELITA V. DEL MUNDO FOUNDATION (AVM FOUNDATION) INC.</t>
  </si>
  <si>
    <t>ARELLANO UNIVERSITY INC</t>
  </si>
  <si>
    <t>JERETECH TRAINING AND ASSESSMENT CENTER, INC</t>
  </si>
  <si>
    <t>WEST BAY COLLEGES, INC.</t>
  </si>
  <si>
    <t>SILVERPOINT TRAINING INSTITUTE OF INDUSTRIAL SECURITY INC.</t>
  </si>
  <si>
    <t>ETHOMAX GOOD SERVANT MULTI-PURPOSE COOPERATIVE (EGOS - MPC)</t>
  </si>
  <si>
    <t>MAKATI DEVELOPMENT CORPORATION</t>
  </si>
  <si>
    <t>CANE TOWN COLLEGES OF THE PHILIPPINES, INC.</t>
  </si>
  <si>
    <t>ADORESS FARM TRAINING AND ASSESSMENT CENTER INCORPORATED</t>
  </si>
  <si>
    <t>NELLCON TRAINING AND ASSESSMENT CENTER (NTAC), INC.</t>
  </si>
  <si>
    <t>ACADEMY FOR INTERNATIONAL CULINARY ARTS INC.</t>
  </si>
  <si>
    <t>Heavy Equipment Operation (Rigid On-Highway Dump Truck) NC II</t>
  </si>
  <si>
    <t>INNOVATECH SKILLS AND RESOURCE INSTITUTE INC.</t>
  </si>
  <si>
    <t>Heavy Equipment Operation (Rigid Off-Highway Dump Truck) NC II</t>
  </si>
  <si>
    <t>DREAMERS VOCATIONAL LEARNING CENTER INCORPORATED</t>
  </si>
  <si>
    <t>TESDA MANILA TRAINING AND ASSESSMENT CENTER</t>
  </si>
  <si>
    <t>INTERNATIONAL SCHOOL FOR CULINARY ARTS AND HOTEL MANAGEMENT OF QUEZON CITY, INC. (ISCAHM)</t>
  </si>
  <si>
    <t>INTERNATIONAL ELECTRONICS AND TECHNICAL INSTITUTE (CALAMBA), INC.</t>
  </si>
  <si>
    <t>SNF AGRIBUSINESS TRAINING AND ASSESSMENT CENTER INC.</t>
  </si>
  <si>
    <t>Heavy Equipment Operation (Transit Mixer) NC II</t>
  </si>
  <si>
    <t>THE ALPS TECHNOLOGY ACADEMY (TATA) INC.</t>
  </si>
  <si>
    <t>SUCCESS TECHNICAL AND VOCATIONAL SCHOOL, INC.</t>
  </si>
  <si>
    <t>ADVANCE TECHNOLOGICAL SCIENCE SCHOOL INC.</t>
  </si>
  <si>
    <t>SACRED HEART COLLEGE OF LUCENA CITY, INC.</t>
  </si>
  <si>
    <t>UNIVERSITY OF BATANGAS, INC.</t>
  </si>
  <si>
    <t>RICHBAR INSTITUTE OF TECHNICAL SKILLS, INC.</t>
  </si>
  <si>
    <t>DON BOSCO TECHNICAL INSTITUTE OF MAKATI, INC.</t>
  </si>
  <si>
    <t>M.L.A CARE TRAINING AND ASSESSMENT CENTER, CORP.</t>
  </si>
  <si>
    <t>MICROCADD INSTITUTE INCORPORATED</t>
  </si>
  <si>
    <t>BROTHERS OF CHRIST OF BANNEUX, INC.</t>
  </si>
  <si>
    <t>DMPC SKILLED WORKS TRAINING AND ASSESSMENT CENTER INC.</t>
  </si>
  <si>
    <t>ASSINIBOINE TECHNICAL INSTITUTE INC.</t>
  </si>
  <si>
    <t>DIVINE MERCY COLLEGE FOUNDATION, INCORPORATED</t>
  </si>
  <si>
    <t>MARYHILL COLLEGE, INC.</t>
  </si>
  <si>
    <t>Heavy Equipment Operation (Tower Crane) NC II</t>
  </si>
  <si>
    <t>CAVITE PRIMEMOVERS CENTER FOR SKILLS AND TECHNICAL DEVELOPMENT INC.</t>
  </si>
  <si>
    <t>WELDING INDUSTRIES OF THE PHILIPPINES, INCORPORATED</t>
  </si>
  <si>
    <t>SOLANZO INTEGRATED FARM TRAINING AND ASSESSMENT CENTER CORP.</t>
  </si>
  <si>
    <t>LYCEUM OF THE PHILIPPINES-LAGUNA, INC.</t>
  </si>
  <si>
    <t>GRABSUM SCHOOL INC.</t>
  </si>
  <si>
    <t>SKYBORN TRAINING AND ASSESSMENT CENTER INC.</t>
  </si>
  <si>
    <t>VRRG MANPOWER TRAINING CENTER INC.</t>
  </si>
  <si>
    <t>AGRISKWELA INSTITUTE OF THE PHILIPPINES, INC.</t>
  </si>
  <si>
    <t>DE LA SALLE-LIPA, INC.</t>
  </si>
  <si>
    <t>METRO MANILA COLLEGE, INC.</t>
  </si>
  <si>
    <t>ARAYA SKILLS DEVELOPMENT INSTITUTE CORP.</t>
  </si>
  <si>
    <t>SUMULONG COLLEGE OF ARTS &amp; SCIENCES (SCAS) INCORPORATED</t>
  </si>
  <si>
    <t>JOBLINK INSTITUTE OF TECHNOLOGY INCORPORATED</t>
  </si>
  <si>
    <t>SISTERS OF MARY TECHNICAL EDUCATION INSTITUTE CAVITE, INC. - BOYSTOWN</t>
  </si>
  <si>
    <t>NAVOTAS VOCATIONAL TRAINING AND ASSESSMENT (NAVOTAAS) INSTITUTE - MAIN</t>
  </si>
  <si>
    <t>QUEZON CITY SKILLS AND LIVELIHOOD FOUNDATION INC.</t>
  </si>
  <si>
    <t>ROYAL BRITISH COLLEGE INC.</t>
  </si>
  <si>
    <t>LYCEUM OF THE PHILIPPINES UNIVERSITY, INC. - CAVITE</t>
  </si>
  <si>
    <t>MARIAN LEARNING CENTER AND SCIENCE HIGH SCHOOL</t>
  </si>
  <si>
    <t>Beauty Care (Skin Care) Services NC II</t>
  </si>
  <si>
    <t>CHAIR OF ST. PETER TECHNICAL INSTITUTE CORPORATION</t>
  </si>
  <si>
    <t>VICTORY ELIJAH CHRISTIAN COLLEGE INC.</t>
  </si>
  <si>
    <t>TOUGH LIFT TRAINING AND ASSESSMENT CENTER INC.</t>
  </si>
  <si>
    <t>VAN TECHNOLOGICAL AND SKILLS ACADEMY INC.</t>
  </si>
  <si>
    <t>ALPHA CENTAURI EDUCATIONAL SYSTEM, INC.</t>
  </si>
  <si>
    <t>SEAMAN JOB STUDY CENTER INC.</t>
  </si>
  <si>
    <t>Philtech Institute of Arts and Technology Inc.</t>
  </si>
  <si>
    <t>SWISS IT ACADEMY INC.</t>
  </si>
  <si>
    <t>INFINITY VOCATIONAL TRAINING SCHOOL INC.</t>
  </si>
  <si>
    <t>TRIMEX COLLEGES INC.</t>
  </si>
  <si>
    <t>D' NEW ORLEANS TRAINING CENTER PHILS. INC.</t>
  </si>
  <si>
    <t>EXCELSIOR CENTER FOR EXCELLENCE, INC.</t>
  </si>
  <si>
    <t>ANGELS DRIVING CENTER</t>
  </si>
  <si>
    <t>Machining NC I</t>
  </si>
  <si>
    <t>INTERNATIONAL COLLEGE OF ALLIED HEALTH SCIENCES AND TECHNOLOGY (ICAHST) INC.</t>
  </si>
  <si>
    <t>SURE WORK TECHNOLOGICAL INSTITUTE AND ASSESSMENT CENTER INC</t>
  </si>
  <si>
    <t xml:space="preserve">ST. FRANCIS TECHNICAL INSTITUTE CENTER FOR DEVELOPMENT, TRAINING AND COMPETENCY ASSESSMENT INC. </t>
  </si>
  <si>
    <t>ORALMEN SKILLS DEVELOPMENT &amp; TRAINING INC.</t>
  </si>
  <si>
    <t>Heavy Equipment Operation (Overhead and Gantry Crane) NC III</t>
  </si>
  <si>
    <t>ST. THERESE OF THE CHILD JESUS INSTITUTE OF ARTS &amp; SCIENCES, INC.</t>
  </si>
  <si>
    <t>ACCESS KAUNLARAN COMPUTER AND TECHNICAL COLLEGES INC.</t>
  </si>
  <si>
    <t>VITAMIN C INTEGRATED FARM EDUCATIONAL INSTITUTION OPC</t>
  </si>
  <si>
    <t>MFI POLYTECHNIC INSTITUTE INC. (FORMERLY: MFI FOUNDATION, INC.)</t>
  </si>
  <si>
    <t>SAN ANTONIO DE PADUA COLLEGE OF PILA, LAGUNA INC.</t>
  </si>
  <si>
    <t>Heavy Equipment Operation (Rough Terrain Crane) NC II</t>
  </si>
  <si>
    <t>CITY OF ANTIPOLO INSTITUTE OF TECHNOLOGY</t>
  </si>
  <si>
    <t>DOCALLOS INSTITUTE OF TECHNOLOGY INC.</t>
  </si>
  <si>
    <t>COOKO CULINARY AND BARISTA ACADEMY INC.</t>
  </si>
  <si>
    <t>Automotive Painting NC II</t>
  </si>
  <si>
    <t>LAGUNA SINO-FILIPINO EDUCTIONAL FOUNDATION, INC</t>
  </si>
  <si>
    <t>MANILA CATHEDRAL COLLEGE INC.</t>
  </si>
  <si>
    <t>ROQUEZA'S INTEGRATED FARM AND TRAINING CENTER CORPORATION</t>
  </si>
  <si>
    <t>LA SALLE GREEN HILLS, INC.</t>
  </si>
  <si>
    <t>JS DUREZA TECHNICAL AND VOCATIONAL SCHOOL, INC.</t>
  </si>
  <si>
    <t>FARMSHARE CORPORATION</t>
  </si>
  <si>
    <t>MAVI ARTS AND VOCATIONAL INSTITUTE INC.</t>
  </si>
  <si>
    <t>JEMCO TECH TRAINING CENTER INC.</t>
  </si>
  <si>
    <t>TECHNOVATIVE TRAINING CENTER INC.</t>
  </si>
  <si>
    <t>CNC Milling Machine Operation NC II</t>
  </si>
  <si>
    <t>DATAMEX-COLLEGE OF SAINT ADELINE, INC.</t>
  </si>
  <si>
    <t>COSTALES AGRICULTURAL AND SKILLS DEVELOPMENT INSTITUTE, INC.</t>
  </si>
  <si>
    <t>Majayjay</t>
  </si>
  <si>
    <t>Food Processing NC II</t>
  </si>
  <si>
    <t>Heavy Equipment Servicing (Mechanical) NC II</t>
  </si>
  <si>
    <t>Heavy Equipment Operation (Road Roller) NC II</t>
  </si>
  <si>
    <t>MOCA FAMILY FARM RLEARNING CENTER INC.</t>
  </si>
  <si>
    <t>NAVOTAS VOCATIONAL TRAINING AND ASSESSMENT (NAVOTAAS) INSTITUTE - ANNEX I</t>
  </si>
  <si>
    <t>RVN TECH-VOC, INC.</t>
  </si>
  <si>
    <t>MANILA ATELIER OF FOOD ARTS AND HOSPITALITY INC.</t>
  </si>
  <si>
    <t>KENJUSFRANKIE TRAINING CENTER INC.</t>
  </si>
  <si>
    <t>RAC Servicing (PACU-CRE) NC III</t>
  </si>
  <si>
    <t>UNITED MARINE TRAINING CENTER, INC. (FORMERLY: MARLOW NAVIGATION TRAINING CENTER, INC.)</t>
  </si>
  <si>
    <t>COLEGIO DE SAN GABRIEL DE ARCANGEL OF CALOOCAN, INC.</t>
  </si>
  <si>
    <t>Electrical Installation and Maintenance NC IV</t>
  </si>
  <si>
    <t>CIEVEROSE COLLEGE INC</t>
  </si>
  <si>
    <t>Heavy Equipment Operation (Crawler Crane) NC III</t>
  </si>
  <si>
    <t>MARIKINA POLYTECHNIC COLLEGE</t>
  </si>
  <si>
    <t>Automotive Servicing NC III</t>
  </si>
  <si>
    <t>AMANG PASCUAL INTERNATIONAL SCHOOL OF ARTS AND TRADES INC.</t>
  </si>
  <si>
    <t>Public Employment Services NC IV</t>
  </si>
  <si>
    <t>VERSA-SKILLS INSTITUTE FOR TECHNOLOGY AND LIVELIHOOD (VITAL), INC.</t>
  </si>
  <si>
    <t xml:space="preserve"> Heavy Equipment Operation (Tower Crane) NC III</t>
  </si>
  <si>
    <t>OUR LADY OF LOURDES SCHOOL OF NOVALICHES (OLLCN), INC. (FORMERLY: OUR LADY OF LOURDES COLLEGE</t>
  </si>
  <si>
    <t>Trainers Methodology Level II</t>
  </si>
  <si>
    <t>IBEAUTIFIED AESTHETICS AND COSMETOLOGY INSTITUTE CORP. DOING BUSINESS UNDER THE NAME AND STYLE OF IN</t>
  </si>
  <si>
    <t>Emergency Medical Services NC III</t>
  </si>
  <si>
    <t>MT. CHARMEL SCIENCE AND TECHNICAL INSTITUTE, INC.</t>
  </si>
  <si>
    <t>E-JUVENEX'S ACADEMY INC. DOING BUSINESS UNDER JUVENEX'S TRAINING CENTER; JUVENEX'S MASSAGE SPA</t>
  </si>
  <si>
    <t>Tailoring NC II</t>
  </si>
  <si>
    <t>JMAC TRAINING AND ASSESSMENT CENTER, INC</t>
  </si>
  <si>
    <t>ST. HONORE ACADEMY, INC.</t>
  </si>
  <si>
    <t>ICCT COLLEGES FOUNDATION INC.</t>
  </si>
  <si>
    <t>OUR LADY OF LOURDES COLLEGE, INC (FORMERLY: OUR LADY OF LOURDES LEARNING CENTER, INC.)</t>
  </si>
  <si>
    <t>Heavy Equipment Operation (Bulldozer) NC II</t>
  </si>
  <si>
    <t>GOODWILL TRAINING AND ASSESSMENT CENTER INC.</t>
  </si>
  <si>
    <t>Telecom OSP Installation (Fiber Optic Cable) NC II</t>
  </si>
  <si>
    <t>MYSTICAL ROSE SCHOOL OF CALOOCAN INC.</t>
  </si>
  <si>
    <t>Web Development NC III</t>
  </si>
  <si>
    <t>BETHSAIDA INTERNATIONAL TECHNOLOGY SCHOOL, INC.</t>
  </si>
  <si>
    <t>RIDGE TECHNICAL SCHOOL AND DEVELOPMENT CORP</t>
  </si>
  <si>
    <t>WORKONNECT LEARNING CENTER INC</t>
  </si>
  <si>
    <t>ACEL TECHNICAL TRAINING CENTER, INC.</t>
  </si>
  <si>
    <t>FOREMOST ACCREDITATION SECURITY TRAINING SCHOOL, INC.</t>
  </si>
  <si>
    <t>NAVAL SEA SYSTEMS TRAINING CENTER</t>
  </si>
  <si>
    <t>JPA TRAINING CENTER INC.</t>
  </si>
  <si>
    <t>NYK-FIL MARITIME E-TRAINING INC.</t>
  </si>
  <si>
    <t>Fashion Design (Apparel) NC III</t>
  </si>
  <si>
    <t>LA CONSOLACION COLLEGE</t>
  </si>
  <si>
    <t>INTERGRATED TRAINING SPECIALIST INC.</t>
  </si>
  <si>
    <t>HOPE@CIRCLE ASSESSMENT AND TRAINING CENTER INC.</t>
  </si>
  <si>
    <t>STOUT RISK REDUCTION MANAGEMENT TRAINING SERVICES INC.</t>
  </si>
  <si>
    <t>Heavy Equipment Operation (Motor Grader) NC II</t>
  </si>
  <si>
    <t>Instrumentation and Control Servicing NC III</t>
  </si>
  <si>
    <t>PHILIPPINE INSTITUTE FOR TECHNICAL EDUCATION TRAINING AND ASSESSMENT CENTER INC.</t>
  </si>
  <si>
    <t>IETI COLLEGE OF SCIENCE AND TECHNOLOGY, INC.</t>
  </si>
  <si>
    <t xml:space="preserve"> Caregiving (Clients with Special Needs) NC II</t>
  </si>
  <si>
    <t>OERIDIAN TRAINING SOLUTIONS, INC.</t>
  </si>
  <si>
    <t>Commercial Refrigeration Installation and Servicing NC III</t>
  </si>
  <si>
    <t>2D Animation NC III</t>
  </si>
  <si>
    <t>CITI GLOBAL COLLEGE INC.</t>
  </si>
  <si>
    <t>7-STAR EDUCATIONAL ACADEMY CORPORATION</t>
  </si>
  <si>
    <t>TOP PEG ANIMATION &amp; CREATIVE STUDIO, INC.</t>
  </si>
  <si>
    <t>Housekeeping NC IV</t>
  </si>
  <si>
    <t>JACA SKILLS TRAINING AND ASSESSMENT CENTER INC.</t>
  </si>
  <si>
    <t>FS AUTOMATION AND SOLUTIONS INC.</t>
  </si>
  <si>
    <t>Landscape Installation and Maintenance (Softscape) NC II</t>
  </si>
  <si>
    <t>MAGSAYSAY INSTITUTE OF SHIPPING INC.</t>
  </si>
  <si>
    <t>Shielded Metal Arc Welding (SMAW) NC IV</t>
  </si>
  <si>
    <t>Illustration NC II</t>
  </si>
  <si>
    <t>RASE TRAINING AND ASSESSMENT CENTER INC.</t>
  </si>
  <si>
    <t>Beauty Care Services (Nail Care) NC II</t>
  </si>
  <si>
    <t>CARD-MRI DEVELOPMENT INC.</t>
  </si>
  <si>
    <t>MOREH ASSESSMENT TRAINING CENTER INCORPORATED</t>
  </si>
  <si>
    <t>DEAN &amp; DELUCA (PHILIPPINES) INC.</t>
  </si>
  <si>
    <t>FURIO AND ASSOCIATES REVIEW AND HEALTHCARE TRAINING CENTER INC.</t>
  </si>
  <si>
    <t>MARTINEZ TRAINING CENTER FOR HEALTH SERVICES, INC.</t>
  </si>
  <si>
    <t>NOVA SCHOLA TANAUAN INC.</t>
  </si>
  <si>
    <t>SAKURA CAREGIVER AND HEALTHCARE SCHOOL, INC.</t>
  </si>
  <si>
    <t>Agoncillo</t>
  </si>
  <si>
    <t>JABS TRAINING &amp; ASSESSMENT CENTER INC.</t>
  </si>
  <si>
    <t>ALEANZA INSTITUTE ONE INC.</t>
  </si>
  <si>
    <t>Dalubhasaan ng Lungsod ng Lucena</t>
  </si>
  <si>
    <t>MALAYAN COLLEGES LAGUNA, INC. LED BY A MAPUA SCHOOL OF ENGINEERING</t>
  </si>
  <si>
    <t>Metropolitan Occupational Science and Technology Institute Corp.</t>
  </si>
  <si>
    <t>SAN PEDRO CITY POLYTECHNIC COLLEGE</t>
  </si>
  <si>
    <t>STI EDUCATION SERVICES GROUP, CALAMBA</t>
  </si>
  <si>
    <t>PILLARS ACADEMY OF TRADE ARTS AND SCIENCES, INC.</t>
  </si>
  <si>
    <t>KTI INTEGRATED FARM</t>
  </si>
  <si>
    <t>LALY'S FARM VILLE</t>
  </si>
  <si>
    <t>ONE STOP WAREHOUSING SOLUTIONS, INC</t>
  </si>
  <si>
    <t>Warehousing Services NC II</t>
  </si>
  <si>
    <t>Filter</t>
  </si>
  <si>
    <t>546 institutions. Ranked by training Enrolled. Rates shown as formulas (recompute live).</t>
  </si>
  <si>
    <t>=&gt;3 Quals</t>
  </si>
  <si>
    <t>=&gt;100 graduates</t>
  </si>
  <si>
    <t>=&gt;5 trainers</t>
  </si>
  <si>
    <t>Rank</t>
  </si>
  <si>
    <t>Institution</t>
  </si>
  <si>
    <t>Quals</t>
  </si>
  <si>
    <t>Trainers</t>
  </si>
  <si>
    <t>Grad Rate</t>
  </si>
  <si>
    <t>Cert Rate</t>
  </si>
  <si>
    <t>Primary Research Notes (JF Inputs)</t>
  </si>
  <si>
    <t>Updated FB in the Past Year</t>
  </si>
  <si>
    <t>Congratulate their Graduates of the Current Year?</t>
  </si>
  <si>
    <t>Updated Google Maps</t>
  </si>
  <si>
    <t>Responded to Student Inquiry?</t>
  </si>
  <si>
    <t>Website?</t>
  </si>
  <si>
    <t>Website Link</t>
  </si>
  <si>
    <t>Decision</t>
  </si>
  <si>
    <t>First Name</t>
  </si>
  <si>
    <t>Last Name</t>
  </si>
  <si>
    <t>Title</t>
  </si>
  <si>
    <t>Email of Contact</t>
  </si>
  <si>
    <t>Has a LMS</t>
  </si>
  <si>
    <t>When is next course starting</t>
  </si>
  <si>
    <t>How much is it?</t>
  </si>
  <si>
    <t>Can I get scholarship?</t>
  </si>
  <si>
    <t>How do I apply?</t>
  </si>
  <si>
    <t>Phone number contact</t>
  </si>
  <si>
    <t>Email Contact</t>
  </si>
  <si>
    <t>Number of Yes</t>
  </si>
  <si>
    <t>Number of Institutions that have At Least 3 Yes</t>
  </si>
  <si>
    <t xml:space="preserve">Facebook page, last update 2024. Called both numbers, no response. </t>
  </si>
  <si>
    <t>No</t>
  </si>
  <si>
    <t xml:space="preserve">Has a webpage and Facebook page. </t>
  </si>
  <si>
    <t>Yes</t>
  </si>
  <si>
    <t>https://twc.tesda.gov.ph/</t>
  </si>
  <si>
    <t>Gerrelen</t>
  </si>
  <si>
    <t>Balbin</t>
  </si>
  <si>
    <t>Senior TESD Specialist, Unit Head (Training Management Unit)</t>
  </si>
  <si>
    <t>gdbalbin@tesda.gov.ph</t>
  </si>
  <si>
    <t>N/A</t>
  </si>
  <si>
    <t>(02) 8817-2650 / (02) 8817-2651</t>
  </si>
  <si>
    <t>twc@tesda.gov.ph</t>
  </si>
  <si>
    <t>Facebook has student photos, but the phone number given does not work. They have a website. There, the number does work. Wala pong bread and pastry. No TESDA scholarship. Ships NC III for 27 days for 1495 USD. They ask for Form 137, 138,and Transcript of Records. Pwede mag apply ng online. Sales@unpc.com.ph.</t>
  </si>
  <si>
    <t>https://www.umtc.com.ph/</t>
  </si>
  <si>
    <t>None (Waiting for full batch)</t>
  </si>
  <si>
    <t>1495 USD</t>
  </si>
  <si>
    <t>No (No TESDA scholarship currently)</t>
  </si>
  <si>
    <t>Online (Email the Requirements)</t>
  </si>
  <si>
    <t>Facebook page is actually an account, not a page.</t>
  </si>
  <si>
    <t>They have a message channel that just posts whenver there is a new opening or program. They responded very quickly when I messaged them on Facebook. They even have a Tiktok with 2000 followers.</t>
  </si>
  <si>
    <t>Melody</t>
  </si>
  <si>
    <t>Cruz</t>
  </si>
  <si>
    <t>School Head</t>
  </si>
  <si>
    <t>techvoc_skills.incorporated@yahoo.com</t>
  </si>
  <si>
    <t>Facebook was updated last April 14. No phone number and email is provided.</t>
  </si>
  <si>
    <t>They have a Tiktok. I tried calling them thrice. They never picked up. For the Caregiving NC II, there is no tentative. Php 26,000 in installment basis. Merong TESDA scholarship pero walang starting date. Drop by.</t>
  </si>
  <si>
    <t>None (Pending TESDA funding)</t>
  </si>
  <si>
    <t>Php 26,000</t>
  </si>
  <si>
    <t>Yes (Waitlist)</t>
  </si>
  <si>
    <t>Onsite (Walk-in application)</t>
  </si>
  <si>
    <t>(02) 8687 6250</t>
  </si>
  <si>
    <t>uno.training88@gmail.com</t>
  </si>
  <si>
    <t>Has a Facebook page but webpage does not work anymore. Called, no response.</t>
  </si>
  <si>
    <t>https://psaamanilatvet.com/</t>
  </si>
  <si>
    <t>Riza</t>
  </si>
  <si>
    <t>Sorima-Matias</t>
  </si>
  <si>
    <t>Training Director</t>
  </si>
  <si>
    <t>0920 859 3752</t>
  </si>
  <si>
    <t>psaamanila@hotmail.com</t>
  </si>
  <si>
    <t>Facebook page was updated last June 19. There is Barista, Cookery. They offer scholarships and the such, but there is no voucher right now. They need 15 to 20 candidates. It is unsure when it will start. Fill up an application. Voucher for the scholarship.</t>
  </si>
  <si>
    <t>https://powerlink3.wixsite.com/powerlinkgroup</t>
  </si>
  <si>
    <t>3rd Priority</t>
  </si>
  <si>
    <t>0969 306 4698</t>
  </si>
  <si>
    <t>powerlink0615@gmail.com</t>
  </si>
  <si>
    <t>Already a partner, no need to review</t>
  </si>
  <si>
    <t>Facebook page was updated last June 11. There is registration link in the recent Facebook post to register. They are waiting for the notice to proceed from TESDA so that they can start orientation. For the regular, there is no assessment for the cyber threat monitoring NC I. For the regular, it is 16 days. The price was not said to me, and when they said to look at the registration form, it doesn't even say the price either.</t>
  </si>
  <si>
    <t>None (For scheduling)</t>
  </si>
  <si>
    <t>FB (Use registration link)</t>
  </si>
  <si>
    <t>0905 418 0148</t>
  </si>
  <si>
    <t>rmceagles3@gmail.com</t>
  </si>
  <si>
    <t>Facebook page was last updated in 2025, but the phone number does not work.</t>
  </si>
  <si>
    <t>Facebook was updated last 2019, and the phone numbers given do not work.</t>
  </si>
  <si>
    <t>Their landline number is not even updated.</t>
  </si>
  <si>
    <t xml:space="preserve">Facebook was updated last June 23. </t>
  </si>
  <si>
    <t>0956 432 9868</t>
  </si>
  <si>
    <t>bbacademypasig@gmail.com</t>
  </si>
  <si>
    <t>They have a wordpress. However, when I asked on the Java programming course, they said that it's not currently available since there are currently no scholarships.</t>
  </si>
  <si>
    <t>https://mtivalenzuela.wordpress.com/?fbclid=IwY2xjawS79edleHRuA2FlbQIxMABicmlkETF5V0pSQ3Y2RzltTzJOcnVnc3J0YwZhcHBfaWQQMjIyMDM5MTc4ODIwMDg5MgABHt0O_Y9j0jQTXKv1oxd1Fu3dQssYM3hmiiWsYsvMSxal3hLrXq4TLgvaa0DH_aem_LJ0TYP3wfSv9mKSm77KLSQ</t>
  </si>
  <si>
    <t>Online (WordPress site for inquiries)</t>
  </si>
  <si>
    <t>(02) 8553-8078</t>
  </si>
  <si>
    <t>mti.developer.ph@gmail.com</t>
  </si>
  <si>
    <t>The regional training center does not have its own Facebook page for developmental acitivites. It is combined with the main Facebook page. However, their website does tell on how to apply.</t>
  </si>
  <si>
    <t>https://rtcncr.com/</t>
  </si>
  <si>
    <t>Jerry</t>
  </si>
  <si>
    <t>Taroy</t>
  </si>
  <si>
    <t>Supervising TESD Specialist, Head – Training, Research, Assessment and Extension Unit (TREAU)</t>
  </si>
  <si>
    <t>0968 852 8204</t>
  </si>
  <si>
    <t>rtcncr@tesda.gov.ph</t>
  </si>
  <si>
    <t>Facebook was updated last July 3. They accepted my call, but they ended it when I asked about scholarships.</t>
  </si>
  <si>
    <t>http://www.qtekcenter.com/site/page/content</t>
  </si>
  <si>
    <t>3rd Priority (For the courses, it is difficult to work with construction)</t>
  </si>
  <si>
    <t>0917 300 5827</t>
  </si>
  <si>
    <t>mcobinayug@qtekcenter.com</t>
  </si>
  <si>
    <t>Facebook was updated last June 25. They also have a website. The landline number does not work, but the phone number does.</t>
  </si>
  <si>
    <t>https://www.mechatronicstechnologiescorp.com/?fbclid=IwY2xjawS7-FRleHRuA2FlbQIxMABicmlkETF5V0pSQ3Y2RzltTzJOcnVnc3J0YwZhcHBfaWQQMjIyMDM5MTc4ODIwMDg5MgABHgOEcKonPcyX34lk0-T79l9To5TiXmsiLxDTW94WhhoSFaJ87Uav6eHa-KJj_aem_4cikKUbg9_O5qQenqa8UCg</t>
  </si>
  <si>
    <t>Xerxes Gamaliel</t>
  </si>
  <si>
    <t>Itao</t>
  </si>
  <si>
    <t>Managing Director</t>
  </si>
  <si>
    <t>0975 293 7418</t>
  </si>
  <si>
    <t>mechatronicstechnologiescorp@yahoo.com</t>
  </si>
  <si>
    <t>Facebook was updated last June 30. They also have a nice website.</t>
  </si>
  <si>
    <t>https://www.donboscoyouthcenter.online/</t>
  </si>
  <si>
    <t>0949 103 8045</t>
  </si>
  <si>
    <t>donboscoyouthcentertvet@gmail.com</t>
  </si>
  <si>
    <t>Facebook page was updated last July 2.</t>
  </si>
  <si>
    <t>https://www.sista.com.ph/</t>
  </si>
  <si>
    <t>0962 246 4473</t>
  </si>
  <si>
    <t>sociointerskills@gmail.com</t>
  </si>
  <si>
    <t>Facebook was updated lasy July 3. The website provided did not work. For the phone call, they were very insightful because they even said on how to actually register. They asked also for my name and said that I can register in the center or message more in WhatsApp.</t>
  </si>
  <si>
    <t>Onsite / WhatsApp (Register at center or message for assistance)</t>
  </si>
  <si>
    <t>0918 927 1980</t>
  </si>
  <si>
    <t>topchoicetraining24@gmail.com</t>
  </si>
  <si>
    <t>Their Facebook is not even the first result. It's called Tesda Ncr Qclbsdc, so it's just a lost list of acronyms huhuhuhu. Also, calling is not an option. They prefer if you just go there. As a commenter said, "Mas mabilis ang transaction sa QC Lingkod Bayan Center kung personal kayo pupunta sa office nila"</t>
  </si>
  <si>
    <t>Facebook page was updated last July 7. They did not accept my call.</t>
  </si>
  <si>
    <t>0968 776 0024</t>
  </si>
  <si>
    <t>hitacc.am@gmail.com</t>
  </si>
  <si>
    <t xml:space="preserve">Facebook was last updated June 30. They actually had to transfer me. To register, we would have to go to Facebook of the training and assessment center of lakewood school of alabang. There would be a link that gives the registration link and they would give me a list of requirements. Aside of the list requirements, certificate of indigency (no need for medical since this is replacement of the medical). </t>
  </si>
  <si>
    <t>0967 375 4257</t>
  </si>
  <si>
    <t>sldmcollegesofqc2014@gmail.com</t>
  </si>
  <si>
    <t>Facebook was last updated June 25. They also have an Instagram where they posted last June 11.</t>
  </si>
  <si>
    <t>https://www.rightfocustrainingcenter.com/</t>
  </si>
  <si>
    <t>0981 792 9222</t>
  </si>
  <si>
    <t>rftc.socmed@gmail.com</t>
  </si>
  <si>
    <t>Facebook was updated last July 2. The district training center does not have their own website, and the phone numbers given do not work. Still, I will just include a phone number for completion's sake. However, they do have a Forms to register: https://docs.google.com/forms/d/e/1FAIpQLSezk8jlUcjy0xn-x7dg1agnQHsxHzhmO0TqGaZCNuBZKQXvew/viewform</t>
  </si>
  <si>
    <t>0917 845 8926</t>
  </si>
  <si>
    <t>mdtac@tesda.gov.ph</t>
  </si>
  <si>
    <t>Facebook was updated last  May. The district's landline does not work, but I'll include it anyways. They do have a Forms: https://forms.gle/gpkjhHgY3i8MGiLy8</t>
  </si>
  <si>
    <t>(02) 8292-2183</t>
  </si>
  <si>
    <t xml:space="preserve">tnti@tesda.gov.ph </t>
  </si>
  <si>
    <t>Facebook was updated last May 14, but the post was just 'Amen!🧚‍♂️' When I called the phone number, they said that I should just go to the actual location for more questions. They did not want to answer on how to register on the phone.</t>
  </si>
  <si>
    <t>0915 800 1270</t>
  </si>
  <si>
    <t>Facebook was last updated June 23. The number provided could not be completed at dial.</t>
  </si>
  <si>
    <t>0968 447 1790</t>
  </si>
  <si>
    <t>headstartcenter1@gmail.com</t>
  </si>
  <si>
    <t>Facebook page was updated last June 25. No TESDA courses right now. But there is a registration link in the Facebook page. We can register there so that once TESDA gives scholarship. Instead, they suggested to just enroll regularly. With tuition, they will just be assessed. The tuition will be of the Professional Certificate of Culinary Art (where it leads to the Cookery NC II) is of four months with the duration ours of 270 hours with 300 hours of OJT from 8 AM to 5 PM thrice a week. Afterwards, there is a program inclusion with local partnerships para maging OJT. For the payment, there is two options of cash payment with Php 65,000 with 10% discount. The second option is monthly payment of an initial payment of Php 25,000 (monthly of Php 10,000).</t>
  </si>
  <si>
    <t>http://academyasia.ph/</t>
  </si>
  <si>
    <t>₱65,000 (Training; Professional Certificate in Culinary Art → Cookery NC II)</t>
  </si>
  <si>
    <t>Online (Register via FB link for updates or enroll regularly)</t>
  </si>
  <si>
    <t>0917 882 2742</t>
  </si>
  <si>
    <t>academy.asia@gmail.com</t>
  </si>
  <si>
    <t xml:space="preserve">Facebook was updated last July 8. There is a tentative schedule with a weekend schedule for someone brand new for the barista (no sure date). Onsite registration only. Message in Facebook for the contact and the such so that they are added in the line-up. No TESDA scholarship, only regular training. For regular training of Php 8,000. 1,200 for the assessment.  </t>
  </si>
  <si>
    <t>https://www.rcti-elearning.com/?fbclid=IwY2xjawS8M1lleHRuA2FlbQIxMABicmlkETF1MlN4bjJpVkN6a2xHNENDc3J0YwZhcHBfaWQQMjIyMDM5MTc4ODIwMDg5MgABHsse20a-kx8qQZzgBEtMPjDQWQVaDKiODPt1be4_bNNBVzZ_htwzsLhcjn6F_aem_BpN-2npgquSQzmI1bA_K7A</t>
  </si>
  <si>
    <t>2nd Priority</t>
  </si>
  <si>
    <t xml:space="preserve"> </t>
  </si>
  <si>
    <t>Facebook was updated last July 3. They also have a nice website.</t>
  </si>
  <si>
    <t>https://finetraining.co/</t>
  </si>
  <si>
    <t>0921 576 9341</t>
  </si>
  <si>
    <t>admin@fineitc.com</t>
  </si>
  <si>
    <t>Facebook was updated lst June 30, very recent.</t>
  </si>
  <si>
    <t>0908 813 7226</t>
  </si>
  <si>
    <t>None</t>
  </si>
  <si>
    <t>Facebook was updated last May 3. No phone number available. They also have a website, but it is not secure.</t>
  </si>
  <si>
    <t>https://smitracked.cloud/</t>
  </si>
  <si>
    <t>Cristina</t>
  </si>
  <si>
    <t>Aplasca</t>
  </si>
  <si>
    <t>smiacademicenter@gmail.com</t>
  </si>
  <si>
    <t>Facebook was updated last June 16. They said to go to the location for registration.</t>
  </si>
  <si>
    <t>(02) 8252 1192</t>
  </si>
  <si>
    <t>They do not have their own facebook since they are just combined with the main TESDA page. Moreover, the last time they were posted about was September 24, 2024.</t>
  </si>
  <si>
    <t>There are no more scholarships available, but 16000 tuition fee, 2000 deductible for registration for housekeeping. The registration has to be done onsite. They spoke to me in English.</t>
  </si>
  <si>
    <t>https://itchi-asia.com/</t>
  </si>
  <si>
    <t>₱16,000 (Training; Housekeeping NC II)</t>
  </si>
  <si>
    <t>None (No available scholarship slots)</t>
  </si>
  <si>
    <t>Onsite (Register at center; ₱2,000 deductible for reservation)</t>
  </si>
  <si>
    <t>0947 484 5312</t>
  </si>
  <si>
    <t>info@itchi-asia.com</t>
  </si>
  <si>
    <t>Facebook page was updated last July 1. For Electrical Installation and Maintenance NC II, it is currently ongoing. For the regular training, there is a minimum amount of people needed. It would Php 14,500 for over 25 days. This includes only training. The assessment fee is Php 1,849. To register, we can just message on Facebook to fill up and register. There is only online payment available.</t>
  </si>
  <si>
    <t>https://seamactraining.com/</t>
  </si>
  <si>
    <t>Ongoing (25-day training; minimum batch required)</t>
  </si>
  <si>
    <t>₱14,500 + ₱1,849 (Training + Assessment; Electrical Installation and Maintenance NC II)</t>
  </si>
  <si>
    <t>No (No available scholarship slots)</t>
  </si>
  <si>
    <t>FB (Fill out form + pay online)</t>
  </si>
  <si>
    <t>02 8736 7885</t>
  </si>
  <si>
    <t>seamactraining@yahoo.com</t>
  </si>
  <si>
    <t xml:space="preserve">Facebook was updated last May 22. When I called, I asked first on when is the next enrollment. They asked specifically for which course, so I just said on SMAW NC III.  They suggested to me for registration that I go physically to their offices.  </t>
  </si>
  <si>
    <t>0918 529 2561</t>
  </si>
  <si>
    <t>stcatherineinstituteoftechnology@yahoo.com</t>
  </si>
  <si>
    <t>Facebook was updated last July 8. This is for the Barista NC I. Next available on July 9 to 25. For scholarship, the enrollment is closed right now since it is not available. For the paid training, Php 27,490 with training and assessment. They accept online enrollment through the website page and facebook page.</t>
  </si>
  <si>
    <t>https://centerforbarista.com/</t>
  </si>
  <si>
    <t>Deejae</t>
  </si>
  <si>
    <t>Juanta</t>
  </si>
  <si>
    <t>Founder</t>
  </si>
  <si>
    <t>July 9–25</t>
  </si>
  <si>
    <t>₱27,490 (Training + Assessment; Barista NC I)</t>
  </si>
  <si>
    <t>Online (Website or FB enrollment)</t>
  </si>
  <si>
    <t>0945 217 5697</t>
  </si>
  <si>
    <t>training.cfb@gmail.com</t>
  </si>
  <si>
    <t xml:space="preserve">Facebook was updated last June 30. </t>
  </si>
  <si>
    <t>0912 801 0310</t>
  </si>
  <si>
    <t>miesha.inc@gmail.com</t>
  </si>
  <si>
    <t>The Facebook page was last updated on July 8. The tentative start date is within this month, contingent upon the completion of the participant list; however, the exact schedule remains indefinite.
Applicants may also opt for regular training. It should be noted that there is a limited absorptive capacity for TESDA scholars, and those who are not accommodated may be placed in a waiting list or considered for the regular program.
The fee for the regular training is Php 29,727.17. Registration must be completed onsite, as certain documents require physical signatures.</t>
  </si>
  <si>
    <t>Tentative (Within this month; waiting for full batch)</t>
  </si>
  <si>
    <t>₱29,727.17 (Training; Regular program)</t>
  </si>
  <si>
    <t>0917 133 0793</t>
  </si>
  <si>
    <t>cpdcorp@gmail.com</t>
  </si>
  <si>
    <t xml:space="preserve">Facebook page was updated last July 1. The website provided more details in the TESDA programs. https://sltcfi.com/page.php?page=tran </t>
  </si>
  <si>
    <t>https://pasig.sltcfi.com/</t>
  </si>
  <si>
    <t>0995 111 4651</t>
  </si>
  <si>
    <t>registrar@sltcfi.com</t>
  </si>
  <si>
    <t>Facebook page was updated last July 3. They did not accept my call. The posts are not really for the TESDA branch. It is more on the SHS branch.</t>
  </si>
  <si>
    <t>https://astoriaculinaryandhospitalityinstitute.com/</t>
  </si>
  <si>
    <t>0920 958 2032</t>
  </si>
  <si>
    <t>training@astoriaplaza.com</t>
  </si>
  <si>
    <t xml:space="preserve">Facebook page was updated last July 6. There are two branches of Pasig and Taguig. I called the Pasig branch since that is the came up when I searched for the Facebook page. For the Bookkeeping NC III, they are offering the regular program na may bayad with Php 12,000 of only training. The assessment fee is Php 841. The regular program would be starting when the 10 slots are occupied. I would be the first one in line for the Bookkeeping (I would have to find nine other people). Regular program lahat sa TESDA. There are no TESDA scholarships right now. To register, kailangan onsite to pass requirements in the officem so it needs onsite. </t>
  </si>
  <si>
    <t>https://www.asiasourceicollege.edu.ph/</t>
  </si>
  <si>
    <t>Jethro</t>
  </si>
  <si>
    <t>Orejuela</t>
  </si>
  <si>
    <t>School Director</t>
  </si>
  <si>
    <t>₱12,000 + ₱841 (Training + Assessment; Bookkeeping NC III)</t>
  </si>
  <si>
    <t>Onsite (Submit requirements at office)</t>
  </si>
  <si>
    <t>0961 743 0541</t>
  </si>
  <si>
    <t>asic2014@asiasourceicollege.edu.ph</t>
  </si>
  <si>
    <t>Facebook page was updated last June 20. They did not accept my call.</t>
  </si>
  <si>
    <t>https://www.lsgh.edu.ph/</t>
  </si>
  <si>
    <t>02 8723 4055</t>
  </si>
  <si>
    <t>is.apae@lsgh.edu.ph</t>
  </si>
  <si>
    <t>Facebook was updated last July 1. They also have a very nice website. Scholarships are being provided by Vikings Hospitality program. First step of application is to reserve a slot, which has Php 5,000 or Php 10,000 of the reservation, depending on the program. They are likely to have a very good reputation.</t>
  </si>
  <si>
    <t>https://centerforasianculinarystudies.com/</t>
  </si>
  <si>
    <t>Eugenio; Eliseo</t>
  </si>
  <si>
    <t>Gonzalez; De Guzman</t>
  </si>
  <si>
    <t>Culinary Arts Director; Pastry Arts Director</t>
  </si>
  <si>
    <t>Php 40,000</t>
  </si>
  <si>
    <t>Yes (Not through TESDA but through Vikings Hospitality Program)</t>
  </si>
  <si>
    <t>Online (Reserve slot via website + pay ₱5,000–₱10,000)</t>
  </si>
  <si>
    <t>0977 347 3277</t>
  </si>
  <si>
    <t>cacschef@gmail.com</t>
  </si>
  <si>
    <t>Facebook page was updated last June 15. When I called the phone number provided in the their webpage, the background noise was so loud that I could not hear anything from the service agent.</t>
  </si>
  <si>
    <t>https://plmar.edu.ph/</t>
  </si>
  <si>
    <t>02 7369 7277</t>
  </si>
  <si>
    <t>plmarikina2003@yahoo.com.ph</t>
  </si>
  <si>
    <t xml:space="preserve">Facebook was last updated June 30. They actually had to transfer me. To register, we would have to go to Facebook of the training and assessment center of lakewood school of alabang. There would be a link that gives the registration link and they would give me a list of requirements. Aside of the list requirements, certificate of indigency (no need for medical. This is replacement of the medical). </t>
  </si>
  <si>
    <t>Online (Use registration link and complete requirements)</t>
  </si>
  <si>
    <t>(02) 8550 2260</t>
  </si>
  <si>
    <t>lakewoodschoolofalabang@gmail.com</t>
  </si>
  <si>
    <t>Top TVET Centres: 4A</t>
  </si>
  <si>
    <t>543 institutions. Ranked by training Enrolled. Rates shown as formulas (recompute live).</t>
  </si>
  <si>
    <t>Scholarship available is Carpenter available on July 20 and 30. NCs for assessment can vary, but training is all scholarship provided.</t>
  </si>
  <si>
    <t>July 20 and 30</t>
  </si>
  <si>
    <t>0916 397 7290</t>
  </si>
  <si>
    <t>adaolearninginstituteinc@gmail.com</t>
  </si>
  <si>
    <t>As of right now, there is no scholarship given by TESDA, but there is regular training (with a training fee of Php 10_000). To enroll, we need to go to the office physically. To be able to start, they need to be fully booked, so as of right now, we just need to wait. Facebook was updated last June 30.</t>
  </si>
  <si>
    <t>Php 10,000 (Regular training)</t>
  </si>
  <si>
    <t>Onsite (Waitlist until class is full)</t>
  </si>
  <si>
    <t>0908 655 2653</t>
  </si>
  <si>
    <t>thebigfivetraining2018@gmail.com</t>
  </si>
  <si>
    <t>Facebook page was updated last June 23.</t>
  </si>
  <si>
    <t>https://cdscdb.edu.ph/</t>
  </si>
  <si>
    <t>0917 538 1515</t>
  </si>
  <si>
    <t>colegiodesantocristodeburgos@gmail.com</t>
  </si>
  <si>
    <t>Facebook page was updated last July 1. The phone number does not work.</t>
  </si>
  <si>
    <t>https://learnatrsst.org/home.php</t>
  </si>
  <si>
    <t>0919 084 0826</t>
  </si>
  <si>
    <t>renaissance.oic@gmail.com</t>
  </si>
  <si>
    <t>The Facebook page was last updated on July 2, 2026. The institution also has a webpage; however, upon accessing it, it was flagged as not secure. It should be noted that there are two versions of the site, “Autozone” and “Autozone TESDA,” but the latter appears to be outdated.
For the Pedro branch, there are currently no available scholarship slots. However, SMAW NC I training remains open in this branch. To apply or inquire, applicants are advised to search for “Autozone TESDA” and coordinate through their official channels.
For Driving NC II, the institution is currently accepting applicants for a waitlist. They require applicants to indicate whether they already have a student permit or driver’s license. According to the staff, there is already a long lineup with multiple batches scheduled.
Under the scholarship program, training is free. For private enrollment, the cost is Php 5,500 per trainee, with an additional Php 1,034 for assessment. To apply for the scholarship, applicants must visit the site in person and bring a valid license and a 1×1 photo. Additional requirements will be requested once the training schedule is confirmed.
For private training, a minimum of ten students is required to open a class.</t>
  </si>
  <si>
    <t>https://autozone.driving.com.ph/</t>
  </si>
  <si>
    <t>Php 5,500 + Php 1,034 assessment (Regular Training)</t>
  </si>
  <si>
    <t>Limited (No slots for Pedro branch; free if available)</t>
  </si>
  <si>
    <t>Onsite (Walk-in; waitlist for Driving NC II)</t>
  </si>
  <si>
    <t>028 400 2430</t>
  </si>
  <si>
    <t>autozone.trainingcenter@gmail.com</t>
  </si>
  <si>
    <t>No TESDA scholarship as of right now. You cannot pay for a TESDA course either. It really has to be through TESDA scholarship. If you want to be apply to pay, you would have to go through the two-year courses. To apply, you have to drop-by and fill up to the location. Facebook was last updated July 3.</t>
  </si>
  <si>
    <t>https://baldestamon2004.neocities.org/</t>
  </si>
  <si>
    <t>N/A (TESDA only; paid via 2-year courses)</t>
  </si>
  <si>
    <t>0942 422 0165</t>
  </si>
  <si>
    <t>comsite19882000@yahoo.com</t>
  </si>
  <si>
    <t>They do not have any budget yet, so no TESDA offered courses. Once they have a budget, they call those who registered. To register, you just have to message the page. For the phone number, it's not readily available in the Facebook page. You would have to go to the TESDA page.</t>
  </si>
  <si>
    <t>Online (Facebook Message)</t>
  </si>
  <si>
    <t>(042) 784 2334</t>
  </si>
  <si>
    <t>LucenaTech@gmail.com</t>
  </si>
  <si>
    <t>The number provided in the TESDA Webpage was apparently incorrect. I will still include it for completeness, but they don't even provide an email. The Facebook page was updated last July 1.</t>
  </si>
  <si>
    <t>(046) 512 3522</t>
  </si>
  <si>
    <t>The number provided in the TESDA Webpage was apparently incorrect.  They currently have welding courses, lahat may scholarship. They only have scholarship. Umaabot pa ng 13K. To apply, get a registration form in the onsite office of the national ID, birth certificate, and the such. Once they applied and once the instituion gets the funding from TESDA for the scholarships, they will just call the scholars.</t>
  </si>
  <si>
    <t>Free (Scholarship), Php 13,000 (Regular)</t>
  </si>
  <si>
    <t>043 756 2564</t>
  </si>
  <si>
    <t>synergyassessment_trainingcenter@yahoo.com</t>
  </si>
  <si>
    <t>They are very active in their Facebook page, where they last uploaded July 3. They also have a very pretty website, which was the first result. 0917 124 6624</t>
  </si>
  <si>
    <t>https://tesdartccalabarzon.com/</t>
  </si>
  <si>
    <t>(043) 781 9379</t>
  </si>
  <si>
    <t>rtcbatangas@tesda.gov.ph</t>
  </si>
  <si>
    <t>This specializes as a construction company, so when you search it up, it shows their offices in Pasig, not the school in Quezon. The Facebook for the school was updated last May 9, 2024. The phone number does not work.</t>
  </si>
  <si>
    <t>https://www.spcastro.com/</t>
  </si>
  <si>
    <t>Facebook was updated last July 3.</t>
  </si>
  <si>
    <t>0948 051 1340</t>
  </si>
  <si>
    <t>st.mark.institute2022@gmail.com</t>
  </si>
  <si>
    <t>Facebook page is just a group chat. It is filled with questions if a TESDA course is now available. The latest question was from June 27. Even though the Facebook is technically updated, I don't trust it. The phone number provided in the TESDA Webpage does not work.</t>
  </si>
  <si>
    <t>The Facebook page does not readily provide the institution’s contact details, such as the phone number and email. These had to be located within the posts. The page was last updated on July 6. https://www.facebook.com/photo?fbid=2250178522472942&amp;set=a.210535573103924
At present, there are no available scholarships. For paid training, applicants must wait for the availability of a trainer. The fee for SMAW NC I is Php 35,000.
To apply, applicants are required to proceed onsite and coordinate directly with the institution for further instructions.</t>
  </si>
  <si>
    <t>None (Waiting for trainer availability)</t>
  </si>
  <si>
    <t>Php 35,000 (SMAW NC I)</t>
  </si>
  <si>
    <t>No (No scholarship currently)</t>
  </si>
  <si>
    <t>0946 502 9079</t>
  </si>
  <si>
    <t>kamelo.batangas@gmail.com</t>
  </si>
  <si>
    <t>Facebook page was updated last July 3, 2014.</t>
  </si>
  <si>
    <t>There are two Facebook pages for the same institution. I used the phone number of the Facebook page that had the latest post, which was on November 2025.</t>
  </si>
  <si>
    <t>0917 701 8481</t>
  </si>
  <si>
    <t>goalsinstitute2017@gmail.com</t>
  </si>
  <si>
    <t>Facebook page was updated last May 26. The phone number provided does not work.</t>
  </si>
  <si>
    <t>0951 957 4236</t>
  </si>
  <si>
    <t>pr1metrainingcenter.inc@gmail.com</t>
  </si>
  <si>
    <t xml:space="preserve">You would have to wait a while where there are enough students to hold a class so that it actually makes financial sense to hold classes. To apply, it has to be walk-in. There is no online registration. </t>
  </si>
  <si>
    <t>https://www.sanbenildo.edu.ph/tesda</t>
  </si>
  <si>
    <t>0930 127 1906</t>
  </si>
  <si>
    <t>trainingcenter@sanbenildo.edu.ph</t>
  </si>
  <si>
    <t>The landline number in the TESDA webpage was actually a landline for some person's house. I did not want to call any of the other phone numbers given. Also, the latest post from TESDA was from April 23, 2021.</t>
  </si>
  <si>
    <t>The Facebook page was last updated on June 26. The program is offered strictly under a scholarship basis, with no option for paid enrollment.
Interested applicants are advised to visit the Facebook page and follow the instructions to be added to the group chat for further details.
Please note that the phone number listed on the Facebook page is not functional. Only the contact number provided within the posts should be used for inquiries.</t>
  </si>
  <si>
    <t>Free (Scholarship only)</t>
  </si>
  <si>
    <t>Yes (No paid option)</t>
  </si>
  <si>
    <t>Online (FB page and then go to group chat instructions)</t>
  </si>
  <si>
    <t>(049) 545 0165</t>
  </si>
  <si>
    <t>lordyahwehmaritime@gmail.com</t>
  </si>
  <si>
    <t>Facebook page was updated last July 6. There is scholarships for Food and Beverages NC I and II (but they prioritize those who had already regitered beforehand). For regular training, it is Php 16 000 for house and training pero wala po na may gusto ngayon and need 15 people. For the register, just register to google forms</t>
  </si>
  <si>
    <t>Free (Scholarship), Php 16,000 (Regular; with housing)</t>
  </si>
  <si>
    <t>Online (Google Form)</t>
  </si>
  <si>
    <t>0910 752 1723</t>
  </si>
  <si>
    <t>They have a website, but it's not easily shown that they have a website: https://www.jzgmsat.edu.ph/
Website is updated last July 3. The mobile number and landline I dialed was unattended, but I will add both in the fields. For the Housekeeping NC II, the kailangan is 25. Palista muna sa admission and then tanong sa requirements. Kailangan muna enroll. 
This is the second time I called they answered. The Housekeeping NC II is waitlisted. Special training si Housekeeping with Php 3,000 (assessment fee is Php 1,108). For the scholarhsip, it is still pending. For application, it needs to be onsite.</t>
  </si>
  <si>
    <t>https://www.jzgmsat.edu.ph/</t>
  </si>
  <si>
    <t>Php 3,000 (assessment fee is Php 1,108).</t>
  </si>
  <si>
    <t>(049) - 511 - 6130</t>
  </si>
  <si>
    <t>zgmsat@tesda.gov.ph</t>
  </si>
  <si>
    <t>The Facebook page does not easily give the contact details. I had to find it through the TESDA Webpage. Facebook was updated last July 2.</t>
  </si>
  <si>
    <t>Facebook page was updated last Feburary 6, 2023. The Google Maps is not even clear because there is another one in Manila, which can confuse because the main institution is in Batangas.</t>
  </si>
  <si>
    <t>https://www.theforkstasi.com/</t>
  </si>
  <si>
    <t>Baka wala nang scholarship, possible next year na. for the regular classes, walang offer. For the price of development and assessment, is Php 5,825. Meron ding regular class from PUP (partnered with them) with 45 days of training. To apply, you need to be onsite so that you can get the requirements and fill out the participant profile.</t>
  </si>
  <si>
    <t>₱5,825 (Assessment; Food and Beverages NC II)</t>
  </si>
  <si>
    <t>0920 614 4418</t>
  </si>
  <si>
    <t>keystonetechnical.lopez@gmail.com</t>
  </si>
  <si>
    <t>Facebook page was updated last July 7. The phone number works, but I cannot hear anything from the other end of the line. They also have a website that is updated and very pretty.</t>
  </si>
  <si>
    <t>https://bec.edu.ph/</t>
  </si>
  <si>
    <t>(043) 575 3616</t>
  </si>
  <si>
    <t>beacon@bec.edu.ph</t>
  </si>
  <si>
    <t xml:space="preserve">Facebook page was updated last June 25. Ang available right now ay baking. No scheduled right now for baking. We can enroll in the school right now so that once it is available, they will call once available. This is TESDA scholarship, they do not accept. Onsite lang. Everything is thru scholarship. </t>
  </si>
  <si>
    <t>0907 077 0616</t>
  </si>
  <si>
    <t>unitech.UEI@gmail.com</t>
  </si>
  <si>
    <t>Facebook page was updated last June 8.</t>
  </si>
  <si>
    <t>https://qnas.edu.ph/</t>
  </si>
  <si>
    <t>registration@qnas.edu.ph</t>
  </si>
  <si>
    <t>0946 617 7983</t>
  </si>
  <si>
    <t>Facebook page was updated last June 13. When I called, they said that they currently do not have the actual person who replies to the questions, but they did answer the phone. I will just have to call apparently in one hour.</t>
  </si>
  <si>
    <t>0917 587 3195</t>
  </si>
  <si>
    <t>adventcaregiverschool@yahoo.com</t>
  </si>
  <si>
    <t>The Facebook page is not readily accessible because the first link when the name is searched up is the Cooperative itself, NOT the TESDA training center. When I called the phone number over three days, it was always unavailable.</t>
  </si>
  <si>
    <t>This was easily confused with the other center in Cainta. I don't think they are even alive since the last post about this specific center was June 24, 2020.</t>
  </si>
  <si>
    <t>They are still alive. The Facebook page is hard to find, but they do have a website, which is still functioning, and the phone number they gave works. They transferred me over to another phone number, and I had to wait for an hour.</t>
  </si>
  <si>
    <t>https://rptesdccainta.com/about</t>
  </si>
  <si>
    <t xml:space="preserve">(02)8656-9937
</t>
  </si>
  <si>
    <t>ptccainta@tesda.gov.ph</t>
  </si>
  <si>
    <t>Facebook page was updated last June 27, 2018.</t>
  </si>
  <si>
    <t>Facebook page was updated last July 6. They have an updated website, which also posted last July 6.</t>
  </si>
  <si>
    <t>https://anihan.edu.ph/</t>
  </si>
  <si>
    <t>0939 266 6108</t>
  </si>
  <si>
    <t>info@anihan.edu.ph</t>
  </si>
  <si>
    <t>Facebook page was updated last June 24. Magsisimula na sya ng July 11 (Saturday). Regular training sya. Kung scholar, nakalagay na kung para sa scholar. The price is Php 17,000 (kasama na ang NC I and NC II at materials. Kasama na rin ang assessment). To register, punta na sa Xavier. Day-off on Thursday an hanggang 4 PM. No online.</t>
  </si>
  <si>
    <t>July 11 (Saturday)</t>
  </si>
  <si>
    <t>Php 17,000 (Training + Assessment; SMAW NC I &amp; NC II)</t>
  </si>
  <si>
    <t>0962 263 9719</t>
  </si>
  <si>
    <t>xaviertech.sjdm@gmail.com</t>
  </si>
  <si>
    <t>Facebook page was updated last October 15, 2019</t>
  </si>
  <si>
    <t>Facebook page was updated last May 29. The start of the course is unknown because of a hold-up by TESDA. They only accept scholarships, and the registration is to be done online through filling up a form.</t>
  </si>
  <si>
    <t>None (Delayed due to TESDA hold)</t>
  </si>
  <si>
    <t>Yes (Scholarship only)</t>
  </si>
  <si>
    <t>Online (Form)</t>
  </si>
  <si>
    <t>0985 765 9475</t>
  </si>
  <si>
    <t>mikastrafarm@gmail.com</t>
  </si>
  <si>
    <t>For the Forklift Training, there is currently ongoing enrollment from Monday to Saturday of 15 days for Php 15,000 (this includes only the training). The assessment is Php 1,508. This is only regular training. There is a scholarship in Laguna of Forklift NC II. To register, pwede magbayad online and just message the facebook para mahabol.</t>
  </si>
  <si>
    <t>Ongoing enrollment (15-day training; Monday–Saturday)</t>
  </si>
  <si>
    <t>Php 15,000 + Php 1,508 (Training + Assessment; Forklift NC II)</t>
  </si>
  <si>
    <t>Available (Laguna only)</t>
  </si>
  <si>
    <t>Online (Pay online + message FB for confirmation)</t>
  </si>
  <si>
    <t>0917 120 2572</t>
  </si>
  <si>
    <t>philequipt@yahoo.com</t>
  </si>
  <si>
    <t>Construction Trades: Demand by Qualification</t>
  </si>
  <si>
    <t>Built-environment programs only. Two businesses shown: Training (Enrolled) vs Assessment (Certified).</t>
  </si>
  <si>
    <t>Centres</t>
  </si>
  <si>
    <t>TOTAL (construction)</t>
  </si>
  <si>
    <t>Construction enrolment by region</t>
  </si>
  <si>
    <t>Top Construction-Trade Centres</t>
  </si>
  <si>
    <t>Ranked by construction Enrolled. Cert col reveals assessment-led players (high Cert, low Enrolled).</t>
  </si>
  <si>
    <t>Record Id</t>
  </si>
  <si>
    <t>Is Converted</t>
  </si>
  <si>
    <r>
      <t xml:space="preserve">Lead </t>
    </r>
    <r>
      <rPr>
        <b/>
        <u/>
        <sz val="10"/>
        <color theme="1"/>
        <rFont val="Helvetica Neue"/>
        <family val="2"/>
      </rPr>
      <t>Owner.id</t>
    </r>
  </si>
  <si>
    <t>Lead Owner</t>
  </si>
  <si>
    <t>Company</t>
  </si>
  <si>
    <t>Priority Level</t>
  </si>
  <si>
    <t>Email</t>
  </si>
  <si>
    <t>Sureness</t>
  </si>
  <si>
    <t>Phone</t>
  </si>
  <si>
    <t>Mobile</t>
  </si>
  <si>
    <t>Website</t>
  </si>
  <si>
    <t>Lead Source</t>
  </si>
  <si>
    <t>Lead Status</t>
  </si>
  <si>
    <r>
      <t xml:space="preserve">Created </t>
    </r>
    <r>
      <rPr>
        <b/>
        <u/>
        <sz val="10"/>
        <color theme="1"/>
        <rFont val="Helvetica Neue"/>
        <family val="2"/>
      </rPr>
      <t>By.id</t>
    </r>
  </si>
  <si>
    <t>Created By</t>
  </si>
  <si>
    <r>
      <t xml:space="preserve">Modified </t>
    </r>
    <r>
      <rPr>
        <b/>
        <u/>
        <sz val="10"/>
        <color theme="1"/>
        <rFont val="Helvetica Neue"/>
        <family val="2"/>
      </rPr>
      <t>By.id</t>
    </r>
  </si>
  <si>
    <t>Modified By</t>
  </si>
  <si>
    <t>Created Time</t>
  </si>
  <si>
    <t>Modified Time</t>
  </si>
  <si>
    <t>Lead Name</t>
  </si>
  <si>
    <t>Description</t>
  </si>
  <si>
    <t>Salutation</t>
  </si>
  <si>
    <t>Secondary Email</t>
  </si>
  <si>
    <t>Last Activity Time</t>
  </si>
  <si>
    <t>Tag</t>
  </si>
  <si>
    <t>Converted Date Time</t>
  </si>
  <si>
    <t>Lead Conversion Time</t>
  </si>
  <si>
    <t>Unsubscribed Mode</t>
  </si>
  <si>
    <t>Unsubscribed Time</t>
  </si>
  <si>
    <r>
      <t xml:space="preserve">Converted </t>
    </r>
    <r>
      <rPr>
        <b/>
        <u/>
        <sz val="10"/>
        <color theme="1"/>
        <rFont val="Helvetica Neue"/>
        <family val="2"/>
      </rPr>
      <t>Account.id</t>
    </r>
  </si>
  <si>
    <t>Converted Account</t>
  </si>
  <si>
    <r>
      <t xml:space="preserve">Converted </t>
    </r>
    <r>
      <rPr>
        <b/>
        <u/>
        <sz val="10"/>
        <color theme="1"/>
        <rFont val="Helvetica Neue"/>
        <family val="2"/>
      </rPr>
      <t>Contact.id</t>
    </r>
  </si>
  <si>
    <t>Converted Contact</t>
  </si>
  <si>
    <r>
      <t xml:space="preserve">Converted </t>
    </r>
    <r>
      <rPr>
        <b/>
        <u/>
        <sz val="10"/>
        <color theme="1"/>
        <rFont val="Helvetica Neue"/>
        <family val="2"/>
      </rPr>
      <t>Deal.id</t>
    </r>
  </si>
  <si>
    <t>Converted Deal</t>
  </si>
  <si>
    <t>Change Log Time</t>
  </si>
  <si>
    <t>Locked</t>
  </si>
  <si>
    <t>Last Enriched Time</t>
  </si>
  <si>
    <t>Enrich Status</t>
  </si>
  <si>
    <t>Partner Type</t>
  </si>
  <si>
    <t>Connect with University Entrepreneurship Prgm.</t>
  </si>
  <si>
    <t>Get more information about the alliance</t>
  </si>
  <si>
    <t>Partner with you as a mentor</t>
  </si>
  <si>
    <t>Connect with programs aimed at entrepreneurs /SB</t>
  </si>
  <si>
    <t>Other</t>
  </si>
  <si>
    <t>Industria o Sector</t>
  </si>
  <si>
    <t>¿Qué esperas obtener de esta masterclass?</t>
  </si>
  <si>
    <t>Retos más importantes para este año</t>
  </si>
  <si>
    <t>Que le preguntarías al fundador de Rappi</t>
  </si>
  <si>
    <t>¿En qué punto se encuentra tu emprendimiento?</t>
  </si>
  <si>
    <t>Interest Level</t>
  </si>
  <si>
    <t>Sector.</t>
  </si>
  <si>
    <t>State/Province</t>
  </si>
  <si>
    <t>Country.</t>
  </si>
  <si>
    <t>Web o redes del emprendimiento</t>
  </si>
  <si>
    <t>Prinicipal reto</t>
  </si>
  <si>
    <t>Tipo de Aliado</t>
  </si>
  <si>
    <t>Fecha de inicio de operaciones</t>
  </si>
  <si>
    <t>Número de Empleados</t>
  </si>
  <si>
    <t>Número de clientes que pagan</t>
  </si>
  <si>
    <t>Pitch de Startup</t>
  </si>
  <si>
    <t>Ventas Anuales</t>
  </si>
  <si>
    <t>Tipo de fondeo recibido</t>
  </si>
  <si>
    <t>Principales Canales de Ventas</t>
  </si>
  <si>
    <t>Get more information about Emplea+</t>
  </si>
  <si>
    <t>Senior TESD Specialist, Training Management Unit Head</t>
  </si>
  <si>
    <t>1st Priority</t>
  </si>
  <si>
    <t>Yes (Website)</t>
  </si>
  <si>
    <t>Cold call</t>
  </si>
  <si>
    <t>Sourced</t>
  </si>
  <si>
    <t>Fernando</t>
  </si>
  <si>
    <t>Libao</t>
  </si>
  <si>
    <t>Center Manager</t>
  </si>
  <si>
    <t>milestone.camanava2022@gmail.com / mti.developer.ph@gmail.com</t>
  </si>
  <si>
    <t>Maybe??? (Came From 2024 EGAC Dataset)</t>
  </si>
  <si>
    <t>Eugenio</t>
  </si>
  <si>
    <t>Gonzalez</t>
  </si>
  <si>
    <t>Culinary Arts Director</t>
  </si>
  <si>
    <t>qc.cenbartvimis@gmail.com / training.cfb@gmail.com</t>
  </si>
  <si>
    <t>Jamie</t>
  </si>
  <si>
    <t>Dolera</t>
  </si>
  <si>
    <t>Most Likely (Fact-Checked from Pre-2024 Sources)</t>
  </si>
  <si>
    <t>Teresita</t>
  </si>
  <si>
    <t>Marcos</t>
  </si>
  <si>
    <t>ne.guarina@seamac.ph.education / seamactraining@yahoo.com</t>
  </si>
  <si>
    <t>Don't Trust (Came From 2024 EGAC Dataset. But contact person works now in Exact Colleges)</t>
  </si>
  <si>
    <t>asiasource.academics@gmail.com / asic2014@asiasourceicollege.edu.ph</t>
  </si>
  <si>
    <t>Yes (Facebook)</t>
  </si>
  <si>
    <t>Mary Grace Rosalia</t>
  </si>
  <si>
    <t>Gulan</t>
  </si>
  <si>
    <t>uno_training@yahoo.com / uno.training88@gmail.com</t>
  </si>
  <si>
    <t>Don't Trust (Came From 2024 EGAC Dataset. But contact person works now in NASTA)</t>
  </si>
  <si>
    <t>Yes (Tiktok)</t>
  </si>
  <si>
    <t>Mary Grace</t>
  </si>
  <si>
    <t>Tejada</t>
  </si>
  <si>
    <t>finetrainingcenter@gmail.com / admin@fineitc.com</t>
  </si>
  <si>
    <t>Rizalina</t>
  </si>
  <si>
    <t>Cordova</t>
  </si>
  <si>
    <t>President</t>
  </si>
  <si>
    <t>seagem629@gmail.com</t>
  </si>
  <si>
    <t>Julita</t>
  </si>
  <si>
    <t>Concepcion</t>
  </si>
  <si>
    <t>techvoc.lakewood@gmail.com / lakewoodschoolofalabang@gmail.com</t>
  </si>
  <si>
    <t>Rosalina</t>
  </si>
  <si>
    <t>Fernandez</t>
  </si>
  <si>
    <t>rftc.socmed@gmail.com / rightfocus.diploma@gmail.com</t>
  </si>
  <si>
    <t>Ulysses</t>
  </si>
  <si>
    <t>Campos</t>
  </si>
  <si>
    <t>School Administrator</t>
  </si>
  <si>
    <t>Ricky</t>
  </si>
  <si>
    <t>Purificacion</t>
  </si>
  <si>
    <t>rcticorp@yahoo.com</t>
  </si>
  <si>
    <t>Ridgie</t>
  </si>
  <si>
    <t>Orina</t>
  </si>
  <si>
    <t>sociointerskillstvi@gmail.com</t>
  </si>
  <si>
    <t>Arrish</t>
  </si>
  <si>
    <t>Altavano</t>
  </si>
  <si>
    <t>TVET Administrator</t>
  </si>
  <si>
    <t>tvetoffice@sltcfi.com / pasig@sltcfi.com / registrar@sltcfi.com</t>
  </si>
  <si>
    <t>Yes (LinkedIn)</t>
  </si>
  <si>
    <t>Felimon</t>
  </si>
  <si>
    <t>Regalado</t>
  </si>
  <si>
    <t>General Manager</t>
  </si>
  <si>
    <t>Donald</t>
  </si>
  <si>
    <t>Bautista</t>
  </si>
  <si>
    <t>info@umtc.com.ph / sales@umtc.com.ph / registrar@umtc.com.ph</t>
  </si>
  <si>
    <t>Angelica</t>
  </si>
  <si>
    <t>Gonzales</t>
  </si>
  <si>
    <t>Vocational School Administrator III</t>
  </si>
  <si>
    <t xml:space="preserve">jzgmsat@tesda.gov.ph </t>
  </si>
  <si>
    <t>Gary</t>
  </si>
  <si>
    <t>Puaso</t>
  </si>
  <si>
    <t>Administrator</t>
  </si>
  <si>
    <t>Rodrigo</t>
  </si>
  <si>
    <t>Ko</t>
  </si>
  <si>
    <t>TVI Head</t>
  </si>
  <si>
    <t>Gerardo</t>
  </si>
  <si>
    <t>Janairo</t>
  </si>
  <si>
    <t>TVI Director</t>
  </si>
  <si>
    <t>Leni</t>
  </si>
  <si>
    <t>Adao</t>
  </si>
  <si>
    <t>Probably (Fact-Checked from Pre-2024 Sources)</t>
  </si>
  <si>
    <t>John Theodore</t>
  </si>
  <si>
    <t>Gatchalian</t>
  </si>
  <si>
    <t>John Ansel</t>
  </si>
  <si>
    <t>Baruel</t>
  </si>
  <si>
    <t>renaissance_techvoc@yahoo.com.ph</t>
  </si>
  <si>
    <t>Don't Trust (Came From 2024 EGAC Dataset. But contact person works is just an educator there, not necessarily the manager)</t>
  </si>
  <si>
    <t>Christopher</t>
  </si>
  <si>
    <t>Santos</t>
  </si>
  <si>
    <t>Member, Board of Directors</t>
  </si>
  <si>
    <t>Allan Kristoffer</t>
  </si>
  <si>
    <t>Ramos</t>
  </si>
  <si>
    <t>lagunacollege.edu@gmail.com</t>
  </si>
  <si>
    <t>Mary Joyce</t>
  </si>
  <si>
    <t>Monzon</t>
  </si>
  <si>
    <t>Vice President of Operations</t>
  </si>
  <si>
    <t>Diane</t>
  </si>
  <si>
    <t>Recirdo</t>
  </si>
  <si>
    <t>Maria Senen</t>
  </si>
  <si>
    <t>Olmos</t>
  </si>
  <si>
    <t>Industry Linkage and Alumnae Officer</t>
  </si>
  <si>
    <t>senen.olmos@anihan.edu.ph</t>
  </si>
  <si>
    <t>Joana Marie</t>
  </si>
  <si>
    <t>Sulit</t>
  </si>
  <si>
    <t>TESDA Center Head</t>
  </si>
  <si>
    <t>bec_registrar@yahoo.com</t>
  </si>
  <si>
    <t>Jeorge</t>
  </si>
  <si>
    <t>Dulog</t>
  </si>
  <si>
    <t>divinemercyinstitute@gmail.com</t>
  </si>
  <si>
    <t>Jessie</t>
  </si>
  <si>
    <t>Recto</t>
  </si>
  <si>
    <t>Sean Paul</t>
  </si>
  <si>
    <t>Castro</t>
  </si>
  <si>
    <t>spcastroconstruction@gmail.com</t>
  </si>
  <si>
    <t>Carlenne Joy</t>
  </si>
  <si>
    <t>Benamer</t>
  </si>
  <si>
    <t>Center Administrator</t>
  </si>
  <si>
    <t>theforksbatangas@yahoo.com</t>
  </si>
  <si>
    <t>Name Given by Ms. Maria Coloma</t>
  </si>
  <si>
    <t>Can be Found?</t>
  </si>
  <si>
    <t>Name in the Dataset</t>
  </si>
  <si>
    <t>Is in NCR or 4A?</t>
  </si>
  <si>
    <t>Graduated</t>
  </si>
  <si>
    <t>UNC Naga (Hospitality Management, Tourism, Information Technology)</t>
  </si>
  <si>
    <t>N</t>
  </si>
  <si>
    <t>-NCF Naga (Information Technology, Computer Programming, Business Administration)</t>
  </si>
  <si>
    <t>Y</t>
  </si>
  <si>
    <t>NAGA COLLEGE FOUNDATION, INC.</t>
  </si>
  <si>
    <t>CSPC Camarines Sur (Automotive Servicing, Electrical Installation and Maintenance, Welding)</t>
  </si>
  <si>
    <t>Letran Calamba (Hospitality Management, Culinary Arts, Business Administration)</t>
  </si>
  <si>
    <t>NU Laguna (Information Technology, Tourism, Hospitality Management)</t>
  </si>
  <si>
    <t>National University in Manila is in the database, but not Laguna</t>
  </si>
  <si>
    <t>EAC Dasmariñas (Healthcare Services, Hospitality Management, Business Administration)</t>
  </si>
  <si>
    <t>Mapúa Malayan Colleges Laguna (Engineering Technology, Information Technology, Industrial Technology)</t>
  </si>
  <si>
    <t>Trimex Colleges (Automotive Servicing, Electrical Installation, Computer Systems Servicing)</t>
  </si>
  <si>
    <t>Trimex Colleges, Inc. / TRIMEX COLLEGES INC.</t>
  </si>
  <si>
    <t>PHINMA Union College (Hospitality Management, Tourism, Business Administration)</t>
  </si>
  <si>
    <t>PHINMA Rizal College (Information Technology, Business Administration, Education)</t>
  </si>
  <si>
    <t>Dualtech Training Center (Mechatronics, Industrial Automation, Electrical Technology)</t>
  </si>
  <si>
    <t>LPU Batangas (Hospitality Management, Culinary Arts, Tourism)</t>
  </si>
  <si>
    <t>San Pablo Colleges (Healthcare Services, Information Technology, Business Administration)</t>
  </si>
  <si>
    <t>St. Benilde Calamba (Hospitality Management, Culinary Arts, Tourism)</t>
  </si>
  <si>
    <t>Pamantasan ng Cabuyao (Information Technology, Engineering Technology, Business Administration)</t>
  </si>
  <si>
    <t>City College of Calamba (Computer Systems Servicing, Electrical Installation, Business Administration)</t>
  </si>
  <si>
    <t>Romblon State University (Agricultural Technology, Fisheries Technology, Information Technology)</t>
  </si>
  <si>
    <t>Regional Training Center Calabarzon (Automotive Servicing, Welding, Electrical Installation)</t>
  </si>
  <si>
    <t>Southern Luzon Technological College Foundation (Industrial Technology, Information Technology, Automotive Servicing)</t>
  </si>
  <si>
    <t>Albay</t>
  </si>
  <si>
    <t>SOUTHERN LUZON TECHNOLOGICAL COLLEGE FOUNDATION PILAR INC.</t>
  </si>
  <si>
    <t>Southern Luzon Technological College Foundation Pilar, Inc.</t>
  </si>
  <si>
    <t>Sorsogon</t>
  </si>
  <si>
    <t>SOUTHERN LUZON TECHNOLOGICAL COLLEGE FOUNDATION PIODURAN INCORPORATED</t>
  </si>
  <si>
    <t>This one is the weirdest because it had four names and also three centers. They are in Pilar, Sorsogon; Pio Duran, Albay; and Pasig City, NCR.</t>
  </si>
  <si>
    <t>TVET Landscape EDA &amp; Leads: NCR &amp; Region IV-A (CALABARZON)</t>
  </si>
  <si>
    <t>itemset</t>
  </si>
  <si>
    <t>('Housekeeping NC II',)</t>
  </si>
  <si>
    <t>('Food and Beverage Services NC II',)</t>
  </si>
  <si>
    <t>('Food and Beverage Services NC II', 'Housekeeping NC II')</t>
  </si>
  <si>
    <t>('Trainers Methodology Level I',)</t>
  </si>
  <si>
    <t>('Bartending NC II', 'Food and Beverage Services NC II')</t>
  </si>
  <si>
    <t>('Cookery NC II', 'Food and Beverage Services NC II')</t>
  </si>
  <si>
    <t>('Hilot (Wellness Massage) NC II',)</t>
  </si>
  <si>
    <t>('Bartending NC II', 'Food and Beverage Services NC II', 'Housekeeping NC II')</t>
  </si>
  <si>
    <t>('Bartending NC II', 'Housekeeping NC II')</t>
  </si>
  <si>
    <t>('Cookery NC II', 'Housekeeping NC II')</t>
  </si>
  <si>
    <t>('Housekeeping NC II', 'Trainers Methodology Level I')</t>
  </si>
  <si>
    <t>('Front Office Services NC II', 'Housekeeping NC II')</t>
  </si>
  <si>
    <t>('Events Management Services NC III', 'Food and Beverage Services NC II')</t>
  </si>
  <si>
    <t>('Food and Beverage Services NC II', 'Front Office Services NC II')</t>
  </si>
  <si>
    <t>('Driving NC II', 'Trainers Methodology Level I')</t>
  </si>
  <si>
    <t>('Food and Beverage Services NC II', 'Front Office Services NC II', 'Housekeeping NC II')</t>
  </si>
  <si>
    <t>('Events Management Services NC III', 'Food and Beverage Services NC II', 'Housekeeping NC II')</t>
  </si>
  <si>
    <t>('Electrical Installation and Maintenance NC II',)</t>
  </si>
  <si>
    <t>('Events Management Services NC III', 'Housekeeping NC II')</t>
  </si>
  <si>
    <t>('Mechatronics Servicing NC II',)</t>
  </si>
  <si>
    <t>('Bartending NC II', 'Cookery NC II')</t>
  </si>
  <si>
    <t>('Cookery NC II', 'Food and Beverage Services NC II', 'Housekeeping NC II')</t>
  </si>
  <si>
    <t>('Food and Beverage Services NC II', 'Housekeeping NC II', 'Trainers Methodology Level I')</t>
  </si>
  <si>
    <t>('Food and Beverage Services NC II', 'Trainers Methodology Level I')</t>
  </si>
  <si>
    <t>('Bartending NC II', 'Cookery NC II', 'Food and Beverage Services NC II')</t>
  </si>
  <si>
    <t>('Barista NC II', 'Bartending NC II')</t>
  </si>
  <si>
    <t>('Shielded Metal Arc Welding (SMAW) NC I', 'Shielded Metal Arc Welding (SMAW) NC II')</t>
  </si>
  <si>
    <t>('Bookkeeping NC III', 'Food and Beverage Services NC II')</t>
  </si>
  <si>
    <t>('Bookkeeping NC III', 'Trainers Methodology Level I')</t>
  </si>
  <si>
    <t>('Barista NC II', 'Food and Beverage Services NC II', 'Housekeeping NC II')</t>
  </si>
  <si>
    <t>('Barista NC II', 'Housekeeping NC II')</t>
  </si>
  <si>
    <t>('Driving NC II', 'Electronic Products Assembly and Servicing NC II', 'Trainers Methodology Level I')</t>
  </si>
  <si>
    <t>('Shielded Metal Arc Welding (SMAW) NC I', 'Trainers Methodology Level I')</t>
  </si>
  <si>
    <t>('Electrical Installation and Maintenance NC II', 'Electronic Products Assembly and Servicing NC II')</t>
  </si>
  <si>
    <t>('Electrical Installation and Maintenance NC II', 'Electronic Products Assembly and Servicing NC II', 'Trainers Methodology Level I')</t>
  </si>
  <si>
    <t>('Driving NC II', 'Electronic Products Assembly and Servicing NC II')</t>
  </si>
  <si>
    <t>('Barista NC II', 'Bartending NC II', 'Food and Beverage Services NC II')</t>
  </si>
  <si>
    <t>('Bookkeeping NC III', 'Housekeeping NC II')</t>
  </si>
  <si>
    <t>('Barista NC II', 'Food and Beverage Services NC II')</t>
  </si>
  <si>
    <t>('Electrical Installation and Maintenance NC II', 'Trainers Methodology Level I')</t>
  </si>
  <si>
    <t>('Domestic Work NC II', 'Housekeeping NC II')</t>
  </si>
  <si>
    <t>('Hilot (Wellness Massage) NC II', 'Tile Setting NC II')</t>
  </si>
  <si>
    <t>('Bartending NC II', 'Cookery NC II', 'Food and Beverage Services NC II', 'Housekeeping NC II')</t>
  </si>
  <si>
    <t>('Bartending NC II', 'Cookery NC II', 'Housekeeping NC II')</t>
  </si>
  <si>
    <t>('Bartending NC II', 'Events Management Services NC III', 'Food and Beverage Services NC II', 'Housekeeping NC II')</t>
  </si>
  <si>
    <t>('Bartending NC II', 'Events Management Services NC III', 'Food and Beverage Services NC II')</t>
  </si>
  <si>
    <t>('Bartending NC II', 'Events Management Services NC III', 'Housekeeping NC II')</t>
  </si>
  <si>
    <t>('Domestic Work NC II',)</t>
  </si>
  <si>
    <t>('Bartending NC II', 'Events Management Services NC III')</t>
  </si>
  <si>
    <t>('Barista NC II', 'Bartending NC II', 'Housekeeping NC II')</t>
  </si>
  <si>
    <t>('Barista NC II', 'Bartending NC II', 'Food and Beverage Services NC II', 'Housekeeping NC II')</t>
  </si>
  <si>
    <t>('Bookkeeping NC III', 'Food and Beverage Services NC II', 'Housekeeping NC II')</t>
  </si>
  <si>
    <t>('Driving NC II', 'Shielded Metal Arc Welding (SMAW) NC I', 'Trainers Methodology Level I')</t>
  </si>
  <si>
    <t>('Bookkeeping NC III', 'Electronic Products Assembly and Servicing NC II')</t>
  </si>
  <si>
    <t>('Cookery NC II', 'Electronic Products Assembly and Servicing NC II')</t>
  </si>
  <si>
    <t>('Driving NC II', 'Shielded Metal Arc Welding (SMAW) NC I')</t>
  </si>
  <si>
    <t>('Cookery NC II', 'Electronic Products Assembly and Servicing NC II', 'Housekeeping NC II')</t>
  </si>
  <si>
    <t>('Electrical Installation and Maintenance NC II', 'Shielded Metal Arc Welding (SMAW) NC I', 'Trainers Methodology Level I')</t>
  </si>
  <si>
    <t>('Driving NC II', 'Electrical Installation and Maintenance NC II', 'Electronic Products Assembly and Servicing NC II')</t>
  </si>
  <si>
    <t>('Electrical Installation and Maintenance NC II', 'Shielded Metal Arc Welding (SMAW) NC I')</t>
  </si>
  <si>
    <t>('Cookery NC II', 'Food and Beverage Services NC II', 'Front Office Services NC II', 'Housekeeping NC II')</t>
  </si>
  <si>
    <t>('Cookery NC II', 'Food and Beverage Services NC II', 'Front Office Services NC II')</t>
  </si>
  <si>
    <t>('Cookery NC II', 'Front Office Services NC II', 'Housekeeping NC II')</t>
  </si>
  <si>
    <t>('Cookery NC II', 'Front Office Services NC II')</t>
  </si>
  <si>
    <t>('Housekeeping NC II', 'Shielded Metal Arc Welding (SMAW) NC I')</t>
  </si>
  <si>
    <t>('Electronic Products Assembly and Servicing NC II', 'Housekeeping NC II')</t>
  </si>
  <si>
    <t>('Bartending NC II', 'Bookkeeping NC III', 'Cookery NC II', 'Housekeeping NC II')</t>
  </si>
  <si>
    <t>('Driving NC II', 'Electrical Installation and Maintenance NC II', 'Electronic Products Assembly and Servicing NC II', 'Trainers Methodology Level I')</t>
  </si>
  <si>
    <t>('Bookkeeping NC III', 'Food and Beverage Services NC II', 'Trainers Methodology Level I')</t>
  </si>
  <si>
    <t>('Bartending NC II', 'Food and Beverage Services NC II', 'Housekeeping NC II', 'Trainers Methodology Level I')</t>
  </si>
  <si>
    <t>('Bartending NC II', 'Food and Beverage Services NC II', 'Trainers Methodology Level I')</t>
  </si>
  <si>
    <t>('Bartending NC II', 'Housekeeping NC II', 'Trainers Methodology Level I')</t>
  </si>
  <si>
    <t>('Bartending NC II', 'Trainers Methodology Level I')</t>
  </si>
  <si>
    <t>('Events Management Services NC III', 'Food and Beverage Services NC II', 'Housekeeping NC II', 'Trainers Methodology Level I')</t>
  </si>
  <si>
    <t>('Events Management Services NC III', 'Food and Beverage Services NC II', 'Trainers Methodology Level I')</t>
  </si>
  <si>
    <t>('Events Management Services NC III', 'Housekeeping NC II', 'Trainers Methodology Level I')</t>
  </si>
  <si>
    <t>('Events Management Services NC III', 'Trainers Methodology Level I')</t>
  </si>
  <si>
    <t>('Hilot (Wellness Massage) NC II', 'Housekeeping NC II')</t>
  </si>
  <si>
    <t>('Bookkeeping NC III', 'Food and Beverage Services NC II', 'Housekeeping NC II', 'Trainers Methodology Level I')</t>
  </si>
  <si>
    <t>('Bookkeeping NC III', 'Housekeeping NC II', 'Trainers Methodology Level I')</t>
  </si>
  <si>
    <t>('Bartending NC II', 'Bookkeeping NC III', 'Cookery NC II', 'Food and Beverage Services NC II', 'Housekeeping NC II')</t>
  </si>
  <si>
    <t>('Bookkeeping NC III', 'Events Management Services NC III')</t>
  </si>
  <si>
    <t>('Bookkeeping NC III', 'Cookery NC II', 'Food and Beverage Services NC II', 'Housekeeping NC II')</t>
  </si>
  <si>
    <t>('Bartending NC II', 'Bookkeeping NC III', 'Cookery NC II', 'Food and Beverage Services NC II')</t>
  </si>
  <si>
    <t>('Bartending NC II', 'Food and Beverage Services NC II', 'Front Office Services NC II')</t>
  </si>
  <si>
    <t>('Bookkeeping NC III', 'Cookery NC II', 'Food and Beverage Services NC II')</t>
  </si>
  <si>
    <t>('Bookkeeping NC III', 'Cookery NC II', 'Housekeeping NC II')</t>
  </si>
  <si>
    <t>('Bartending NC II', 'Bookkeeping NC III', 'Cookery NC II')</t>
  </si>
  <si>
    <t>('Bookkeeping NC III', 'Cookery NC II')</t>
  </si>
  <si>
    <t>('Bartending NC II', 'Bookkeeping NC III', 'Food and Beverage Services NC II', 'Housekeeping NC II')</t>
  </si>
  <si>
    <t>('Bartending NC II', 'Bookkeeping NC III', 'Food and Beverage Services NC II')</t>
  </si>
  <si>
    <t>('Bartending NC II', 'Bookkeeping NC III', 'Housekeeping NC II')</t>
  </si>
  <si>
    <t>('Bartending NC II', 'Bookkeeping NC III')</t>
  </si>
  <si>
    <t>('Bartending NC II', 'Food and Beverage Services NC II', 'Front Office Services NC II', 'Housekeeping NC II')</t>
  </si>
  <si>
    <t>('Tile Setting NC II',)</t>
  </si>
  <si>
    <t>('Bartending NC II', 'Front Office Services NC II', 'Housekeeping NC II')</t>
  </si>
  <si>
    <t>('Automotive Servicing NC I', 'Driving NC II', 'Electronic Products Assembly and Servicing NC II')</t>
  </si>
  <si>
    <t>('Dressmaking NC II', 'Electrical Installation and Maintenance NC II', 'Electronic Products Assembly and Servicing NC II', 'Trainers Methodology Level I')</t>
  </si>
  <si>
    <t>('Dressmaking NC II', 'Driving NC II', 'Electronic Products Assembly and Servicing NC II', 'Trainers Methodology Level I')</t>
  </si>
  <si>
    <t>('Automotive Servicing NC I', 'Electronic Products Assembly and Servicing NC II')</t>
  </si>
  <si>
    <t>('Automotive Servicing NC I', 'Shielded Metal Arc Welding (SMAW) NC I')</t>
  </si>
  <si>
    <t>('Automotive Servicing NC I', 'Electrical Installation and Maintenance NC II', 'Shielded Metal Arc Welding (SMAW) NC I')</t>
  </si>
  <si>
    <t>('Automotive Servicing NC I', 'Electrical Installation and Maintenance NC II', 'Electronic Products Assembly and Servicing NC II')</t>
  </si>
  <si>
    <t>('Automotive Servicing NC I', 'Driving NC II', 'Shielded Metal Arc Welding (SMAW) NC I')</t>
  </si>
  <si>
    <t>('Automotive Servicing NC I', 'Driving NC II', 'Trainers Methodology Level I')</t>
  </si>
  <si>
    <t>('Dressmaking NC II', 'Driving NC II', 'Trainers Methodology Level I')</t>
  </si>
  <si>
    <t>('Automotive Servicing NC I', 'Electrical Installation and Maintenance NC II', 'Trainers Methodology Level I')</t>
  </si>
  <si>
    <t>('Automotive Servicing NC I', 'Electrical Installation and Maintenance NC II', 'Shielded Metal Arc Welding (SMAW) NC I', 'Trainers Methodology Level I')</t>
  </si>
  <si>
    <t>('Automotive Servicing NC I', 'Driving NC II', 'Shielded Metal Arc Welding (SMAW) NC I', 'Trainers Methodology Level I')</t>
  </si>
  <si>
    <t>('Automotive Servicing NC I', 'Electrical Installation and Maintenance NC II', 'Electronic Products Assembly and Servicing NC II', 'Trainers Methodology Level I')</t>
  </si>
  <si>
    <t>('Automotive Servicing NC I', 'Driving NC II', 'Electronic Products Assembly and Servicing NC II', 'Trainers Methodology Level I')</t>
  </si>
  <si>
    <t>('Computer Systems Servicing NC II',)</t>
  </si>
  <si>
    <t>('Computer Systems Servicing NC II', 'Cookery NC II')</t>
  </si>
  <si>
    <t>('Dressmaking NC II', 'Electrical Installation and Maintenance NC II', 'Trainers Methodology Level I')</t>
  </si>
  <si>
    <t>('Dressmaking NC II', 'Driving NC II', 'Electronic Products Assembly and Servicing NC II')</t>
  </si>
  <si>
    <t>('Caregiving (Elderly) NC II', 'Events Management Services NC III')</t>
  </si>
  <si>
    <t>('Mechatronics Servicing NC III', 'RAC Servicing (DomRAC) NC II')</t>
  </si>
  <si>
    <t>('Health Care Services NC II',)</t>
  </si>
  <si>
    <t>('Health Care Services NC II', 'Trainers Methodology Level I')</t>
  </si>
  <si>
    <t>('Mechatronics Servicing NC III',)</t>
  </si>
  <si>
    <t>('Mechatronics Servicing NC II', 'Mechatronics Servicing NC III')</t>
  </si>
  <si>
    <t>('Electrical Installation and Maintenance NC III',)</t>
  </si>
  <si>
    <t>('Electrical Installation and Maintenance NC II', 'Electrical Installation and Maintenance NC III')</t>
  </si>
  <si>
    <t>('RAC Servicing (DomRAC) NC II',)</t>
  </si>
  <si>
    <t>('Mechatronics Servicing NC II', 'RAC Servicing (DomRAC) NC II')</t>
  </si>
  <si>
    <t>('Dressmaking NC II', 'Driving NC II')</t>
  </si>
  <si>
    <t>('Mechatronics Servicing NC II', 'Mechatronics Servicing NC III', 'RAC Servicing (DomRAC) NC II')</t>
  </si>
  <si>
    <t>('PV Systems Installation NC II',)</t>
  </si>
  <si>
    <t>('Mechatronics Servicing NC II', 'PV Systems Installation NC II')</t>
  </si>
  <si>
    <t>('Visual Graphic Design NC III',)</t>
  </si>
  <si>
    <t>('Dressmaking NC II', 'Electronic Products Assembly and Servicing NC II')</t>
  </si>
  <si>
    <t>('Dressmaking NC II', 'Electrical Installation and Maintenance NC II')</t>
  </si>
  <si>
    <t>('Dressmaking NC II', 'Electrical Installation and Maintenance NC II', 'Electronic Products Assembly and Servicing NC II')</t>
  </si>
  <si>
    <t>('Caregiving (Elderly) NC II', 'Domestic Work NC II')</t>
  </si>
  <si>
    <t>('Caregiving (Elderly) NC II', 'Housekeeping NC II')</t>
  </si>
  <si>
    <t>('Bartending NC II', 'Front Office Services NC II')</t>
  </si>
  <si>
    <t>('Driving NC II', 'Electrical Installation and Maintenance NC II', 'Trainers Methodology Level I')</t>
  </si>
  <si>
    <t>('Shielded Metal Arc Welding (SMAW) NC II', 'Trainers Methodology Level I')</t>
  </si>
  <si>
    <t>('Shielded Metal Arc Welding (SMAW) NC I', 'Shielded Metal Arc Welding (SMAW) NC II', 'Trainers Methodology Level I')</t>
  </si>
  <si>
    <t>('Housekeeping NC II', 'Shielded Metal Arc Welding (SMAW) NC II')</t>
  </si>
  <si>
    <t>('Housekeeping NC II', 'Shielded Metal Arc Welding (SMAW) NC I', 'Shielded Metal Arc Welding (SMAW) NC II')</t>
  </si>
  <si>
    <t>('Driving NC II', 'Housekeeping NC II')</t>
  </si>
  <si>
    <t>('Driving NC II', 'Housekeeping NC II', 'Trainers Methodology Level I')</t>
  </si>
  <si>
    <t>('Driving NC II', 'Electrical Installation and Maintenance NC II')</t>
  </si>
  <si>
    <t>('Mechatronics Servicing NC II', 'Trainers Methodology Level I')</t>
  </si>
  <si>
    <t>('Caregiving NC II', 'Housekeeping NC II')</t>
  </si>
  <si>
    <t>('Bookkeeping NC III', 'Front Office Services NC II')</t>
  </si>
  <si>
    <t>('Bookkeeping NC III', 'Front Office Services NC II', 'Housekeeping NC II')</t>
  </si>
  <si>
    <t>('Bookkeeping NC III', 'Food and Beverage Services NC II', 'Front Office Services NC II', 'Housekeeping NC II')</t>
  </si>
  <si>
    <t>('Events Management Services NC III', 'Front Office Services NC II')</t>
  </si>
  <si>
    <t>('Events Management Services NC III', 'Front Office Services NC II', 'Housekeeping NC II')</t>
  </si>
  <si>
    <t>('Events Management Services NC III', 'Food and Beverage Services NC II', 'Front Office Services NC II')</t>
  </si>
  <si>
    <t>('Events Management Services NC III', 'Food and Beverage Services NC II', 'Front Office Services NC II', 'Housekeeping NC II')</t>
  </si>
  <si>
    <t>('Caregiving NC II', 'Domestic Work NC II', 'Housekeeping NC II')</t>
  </si>
  <si>
    <t>('Caregiving NC II', 'Events Management Services NC III')</t>
  </si>
  <si>
    <t>('Caregiving (Elderly) NC II', 'Domestic Work NC II', 'Housekeeping NC II')</t>
  </si>
  <si>
    <t>('Barista NC II', 'Bartending NC II', 'Events Management Services NC III', 'Food and Beverage Services NC II', 'Housekeeping NC II')</t>
  </si>
  <si>
    <t>('Barista NC II', 'Events Management Services NC III')</t>
  </si>
  <si>
    <t>('Barista NC II', 'Events Management Services NC III', 'Housekeeping NC II')</t>
  </si>
  <si>
    <t>('Barista NC II', 'Events Management Services NC III', 'Food and Beverage Services NC II')</t>
  </si>
  <si>
    <t>('Barista NC II', 'Bartending NC II', 'Events Management Services NC III')</t>
  </si>
  <si>
    <t>('Barista NC II', 'Events Management Services NC III', 'Food and Beverage Services NC II', 'Housekeeping NC II')</t>
  </si>
  <si>
    <t>('Barista NC II', 'Bartending NC II', 'Events Management Services NC III', 'Housekeeping NC II')</t>
  </si>
  <si>
    <t>('Barista NC II', 'Bartending NC II', 'Events Management Services NC III', 'Food and Beverage Services NC II')</t>
  </si>
  <si>
    <t>('Barista NC II', 'Trainers Methodology Level I')</t>
  </si>
  <si>
    <t>('Caregiving NC II', 'Domestic Work NC II')</t>
  </si>
  <si>
    <t>('Barista NC II', 'Housekeeping NC II', 'Trainers Methodology Level I')</t>
  </si>
  <si>
    <t>('Barista NC II', 'Food and Beverage Services NC II', 'Trainers Methodology Level I')</t>
  </si>
  <si>
    <t>('Barista NC II', 'Bartending NC II', 'Trainers Methodology Level I')</t>
  </si>
  <si>
    <t>('Barista NC II', 'Food and Beverage Services NC II', 'Housekeeping NC II', 'Trainers Methodology Level I')</t>
  </si>
  <si>
    <t>('Barista NC II', 'Bartending NC II', 'Housekeeping NC II', 'Trainers Methodology Level I')</t>
  </si>
  <si>
    <t>('Barista NC II', 'Bartending NC II', 'Food and Beverage Services NC II', 'Trainers Methodology Level I')</t>
  </si>
  <si>
    <t>('Barista NC II', 'Bartending NC II', 'Food and Beverage Services NC II', 'Housekeeping NC II', 'Trainers Methodology Level I')</t>
  </si>
  <si>
    <t>('Bookkeeping NC III', 'Food and Beverage Services NC II', 'Front Office Services NC II')</t>
  </si>
  <si>
    <t>Qualifications</t>
  </si>
  <si>
    <t>{'Commercial Cooking NC III', 'Cookery NC II', 'Commercial Cooking NC IV', 'Bread and Pastry Production NC II'}</t>
  </si>
  <si>
    <t>{'Cookery NC II', 'Food and Beverage Services NC II', 'Bread and Pastry Production NC II'}</t>
  </si>
  <si>
    <t>Sectors</t>
  </si>
  <si>
    <t>Specialized Sector</t>
  </si>
  <si>
    <t>CONSTRUCTION SECTOR</t>
  </si>
  <si>
    <t>HEALTH, SOCIAL, AND OTHER COMMUNITY DEVELOPMENT SERVICES SECTOR</t>
  </si>
  <si>
    <t>TOURISM SECTOR</t>
  </si>
  <si>
    <t>['TOURISM SECTOR', 'TVET SECTOR', 'AUTOMOTIVE AND LAND TRANSPORT SECTOR', 'TOURISM SECTOR', 'TOURISM SECTOR']</t>
  </si>
  <si>
    <t>['ELECTRICAL &amp; ELECTRONICS SECTOR', 'ELECTRICAL &amp; ELECTRONICS SECTOR', 'CONSTRUCTION SECTOR', 'ELECTRICAL &amp; ELECTRONICS SECTOR', 'HEATING, VENTILATION, AIR CONDITIONING AND REFRIGERATION', 'ELECTRICAL &amp; ELECTRONICS SECTOR', 'ELECTRICAL &amp; ELECTRONICS SECTOR', 'ELECTRICAL &amp; ELECTRONICS SECTOR', 'ELECTRICAL &amp; ELECTRONICS SECTOR']</t>
  </si>
  <si>
    <t>ELECTRICAL &amp; ELECTRONICS SECTOR</t>
  </si>
  <si>
    <t>METALS AND ENGINEERING SECTOR</t>
  </si>
  <si>
    <t>['TOURISM SECTOR', 'HEALTH, SOCIAL, AND OTHER COMMUNITY DEVELOPMENT SERVICES SECTOR', 'HEALTH, SOCIAL, AND OTHER COMMUNITY DEVELOPMENT SERVICES SECTOR', 'HEALTH, SOCIAL, AND OTHER COMMUNITY DEVELOPMENT SERVICES SECTOR']</t>
  </si>
  <si>
    <t>['TOURISM SECTOR', 'TOURISM SECTOR', 'TOURISM SECTOR', 'TOURISM SECTOR', 'TOURISM SECTOR', 'TOURISM SECTOR']</t>
  </si>
  <si>
    <t>['TOURISM SECTOR', 'TOURISM SECTOR', 'TOURISM SECTOR', 'TOURISM SECTOR']</t>
  </si>
  <si>
    <t>['TOURISM SECTOR', 'TOURISM SECTOR', 'TOURISM SECTOR']</t>
  </si>
  <si>
    <t>['TOURISM SECTOR', 'TOURISM SECTOR', 'TOURISM SECTOR', 'TOURISM SECTOR', 'TOURISM SECTOR']</t>
  </si>
  <si>
    <t>`</t>
  </si>
  <si>
    <t>Relative Frequency</t>
  </si>
  <si>
    <t>Absolute Frequency</t>
  </si>
  <si>
    <t>Top NC Combinations for 1st Priority Institutions</t>
  </si>
  <si>
    <t>Top Sectors for 1st Priority Institutions</t>
  </si>
  <si>
    <t>https://github.com/BSDSBA-JF/wadwani_intern</t>
  </si>
  <si>
    <t>174 common combinations. Ranked by absolute frequency. NOT computed live. This was just copy and pasted from the Github under 09_LEADS</t>
  </si>
  <si>
    <t>{'Contact Center Services NC II', 'Plumbing NC II', 'Hilot (Wellness Massage) NC II', 'Tile Setting NC II'}</t>
  </si>
  <si>
    <t>{'Housekeeping NC II', 'Trainers Methodology Level I', 'Domestic Work NC II', 'Events Management Services NC III', 'Bartending NC II', 'Barista NC II', 'Bread and Pastry Production NC II', 'Health Care Services NC II', 'Housekeeping NC III', 'Caregiving NC II', 'Caregiving (Elderly) NC II', 'Food and Beverage Services NC II', 'Food and Beverage Services NC III'}</t>
  </si>
  <si>
    <t>{'Housekeeping NC II', 'Trainers Methodology Level I', 'Driving NC II', 'Bread and Pastry Production NC II', 'Food and Beverage Services NC II'}</t>
  </si>
  <si>
    <t>{'Mechatronics Servicing NC II', 'Electrical Installation and Maintenance NC IV', 'PV Systems Installation NC II', 'Instrumentation and Control Servicing NC II', 'RAC Servicing (DomRAC) NC II', 'Electrical Installation and Maintenance NC III', 'Mechatronics Servicing NC III', 'Mechatronics Servicing NC IV', 'Electrical Installation and Maintenance NC II'}</t>
  </si>
  <si>
    <t>{'Housekeeping NC II', 'Trainers Methodology Level I', 'Bookkeeping NC III', 'Domestic Work NC II', 'Events Management Services NC III', 'Bartending NC II', 'Cookery NC II', 'Bread and Pastry Production NC II', 'Barista NC II', 'Health Care Services NC II', 'Front Office Services NC II', 'Caregiving NC II', 'Tourism Promotion Services NC II', 'Caregiving (Elderly) NC II', 'Travel Services NC II', 'Food and Beverage Services NC II'}</t>
  </si>
  <si>
    <t>{'Mechatronics Servicing NC II', 'Visual Graphic Design NC III', 'Trainers Methodology Level I', 'PV Systems Installation NC II', 'Shielded Metal Arc Welding (SMAW) NC I', 'Shielded Metal Arc Welding (SMAW) NC II', 'RAC Servicing (DomRAC) NC II', "Ship's Catering Services NC I", 'Commercial Air-conditioning Installation and Servicing NC III', 'Trainers Methodology Level II', 'Shielded Metal Arc Welding (SMAW) NC III', 'Mechatronics Servicing NC III'}</t>
  </si>
  <si>
    <t>{'Housekeeping NC II', 'Domestic Work NC II', 'Shielded Metal Arc Welding (SMAW) NC I', 'Shielded Metal Arc Welding (SMAW) NC II', 'Bread and Pastry Production NC II', 'Caregiving NC II'}</t>
  </si>
  <si>
    <t>{'Housekeeping NC II', 'Domestic Work NC II', 'Hilot (Wellness Massage) NC II', 'Caregiving (Elderly) NC II'}</t>
  </si>
  <si>
    <t>{'Housekeeping NC II', 'Events Management Services NC III', 'Bartending NC II', 'Bread and Pastry Production NC II', 'Front Office Services NC II', 'Food and Beverage Services NC II'}</t>
  </si>
  <si>
    <t>{'Visual Graphic Design NC III', 'Trainers Methodology Level I', 'Programming (Java) NC III', 'Computer Systems Servicing NC II', 'Hilot (Wellness Massage) NC II', 'Web Development NC III', 'Contact Center Services NC II', 'Massage Therapy NC II'}</t>
  </si>
  <si>
    <t>{'Housekeeping NC II', 'Bookkeeping NC III', 'Trainers Methodology Level I', 'Shielded Metal Arc Welding (SMAW) NC I', 'Driving NC II', 'Bartending NC II', 'Gas Metal Arc Welding (GMAW) NC II', 'Shielded Metal Arc Welding (SMAW) NC II', 'Electronic Products Assembly and Servicing NC II', 'Barista NC II', 'Bread and Pastry Production NC II', 'Cookery NC II', 'Plumbing NC I', 'Plumbing NC II', 'Dressmaking NC II', 'Electrical Installation and Maintenance NC II', 'Food and Beverage Services NC II', 'Automotive Servicing NC I'}</t>
  </si>
  <si>
    <t>{'Mechatronics Servicing NC II', 'Events Management Services NC III', 'Programming (Java) NC III', 'Bread and Pastry Production NC II', 'Hilot (Wellness Massage) NC II'}</t>
  </si>
  <si>
    <t>{'Housekeeping NC II', 'Events Management Services NC III', 'Bartending NC II', 'Barista NC II', 'Bread and Pastry Production NC II', 'Food and Beverage Services NC II'}</t>
  </si>
  <si>
    <t>{'Mechatronics Servicing NC II', 'Bookkeeping NC III', 'PV Systems Installation NC II', 'Shielded Metal Arc Welding (SMAW) NC I', 'Trainers Methodology Level I', 'Driving NC II', 'Pipefitting (Metallic) NC II', 'Gas Metal Arc Welding (GMAW) NC I', 'Electronic Products Assembly and Servicing NC II', 'Bread and Pastry Production NC II', 'Electrical Installation and Maintenance NC III', 'Gas Tungsten Arc Welding (GTAW) NC II', 'Plumbing NC I', 'Shielded Metal Arc Welding (SMAW) NC III', 'Construction Painting NC II', 'Electrical Installation and Maintenance NC II', 'Organic Agriculture Production NC II', 'Automotive Servicing NC I'}</t>
  </si>
  <si>
    <t>{'Bookkeeping NC III', 'Events Management Services NC III', 'Hilot (Wellness Massage) NC II', 'Caregiving NC II', 'Pharmacy Services NC III', 'Caregiving (Elderly) NC II', 'Massage Therapy NC II'}</t>
  </si>
  <si>
    <t>{'Visual Graphic Design NC III', 'Bartending NC II', 'Cookery NC II', 'Bread and Pastry Production NC II', 'Computer Systems Servicing NC II', 'Food and Beverage Services NC II'}</t>
  </si>
  <si>
    <t>{'Housekeeping NC II', 'Trainers Methodology Level I', 'Bookkeeping NC III', 'Events Management Services NC III', 'Hilot (Wellness Massage) NC II', 'Front Office Services NC II', 'Tourism Promotion Services NC II', 'Food and Beverage Services NC II'}</t>
  </si>
  <si>
    <t>{'Housekeeping NC II', 'Visual Graphic Design NC III', 'Bookkeeping NC III', 'Bartending NC II', 'Cookery NC II', 'Electronic Products Assembly and Servicing NC II', 'Computer Systems Servicing NC II', 'Front Office Services NC II', 'Food and Beverage Services NC II'}</t>
  </si>
  <si>
    <t>{'Housekeeping NC II', 'Cookery NC II', 'Bread and Pastry Production NC II', 'Front Office Services NC II', 'Food and Beverage Services NC II'}</t>
  </si>
  <si>
    <t>{'Housekeeping NC II', 'Bartending NC II', 'Cookery NC II', "Ship's Catering Services NC I", 'Bread and Pastry Production NC II', 'Food and Beverage Services NC II', "Ships' Catering (Ships' Cooks) NC III"}</t>
  </si>
  <si>
    <t>{'Housekeeping NC II', 'Motorcycle/Small Engine Servicing NC II', 'Driving NC II', 'Electronic Products Assembly and Servicing NC II', 'Bread and Pastry Production NC II', 'Computer Systems Servicing NC II', 'Mechatronics Servicing NC III', 'Mechatronics Servicing NC II', 'Trainers Methodology Level I', 'Automotive Servicing (Engine Repair) NC II', 'Shielded Metal Arc Welding (SMAW) NC II', 'Carpentry NC II', 'RAC Servicing (DomRAC) NC II', 'Cookery NC II', 'Dressmaking NC II', 'Electrical Installation and Maintenance NC II', 'Automotive Servicing NC I', 'Shielded Metal Arc Welding (SMAW) NC I', 'Hilot (Wellness Massage) NC II'}</t>
  </si>
  <si>
    <t>{'Trainers Methodology Level I', 'Tile Setting NC II', 'Driving NC II', 'Electrical Installation and Maintenance NC III', 'Electronic Products Assembly and Servicing NC II', 'Health Care Services NC II', 'Dressmaking NC II', 'Electrical Installation and Maintenance NC II'}</t>
  </si>
  <si>
    <t>['INFORMATION AND COMMUNICATION TECHNOLOGY (ICT) SECTOR', 'CONSTRUCTION SECTOR', 'HEALTH, SOCIAL, AND OTHER COMMUNITY DEVELOPMENT SERVICES SECTOR', 'CONSTRUCTION SECTOR']</t>
  </si>
  <si>
    <t>['TOURISM SECTOR', 'TVET SECTOR', 'HEALTH, SOCIAL, AND OTHER COMMUNITY DEVELOPMENT SERVICES SECTOR', 'TOURISM SECTOR', 'TOURISM SECTOR', 'TOURISM SECTOR', 'TOURISM SECTOR', 'HEALTH, SOCIAL, AND OTHER COMMUNITY DEVELOPMENT SERVICES SECTOR', 'TOURISM SECTOR', 'HEALTH, SOCIAL, AND OTHER COMMUNITY DEVELOPMENT SERVICES SECTOR', 'HEALTH, SOCIAL, AND OTHER COMMUNITY DEVELOPMENT SERVICES SECTOR', 'TOURISM SECTOR', 'TOURISM SECTOR']</t>
  </si>
  <si>
    <t>['TOURISM SECTOR', 'TVET SECTOR', 'HEALTH, SOCIAL, AND OTHER COMMUNITY DEVELOPMENT SERVICES SECTOR', 'HEALTH, SOCIAL, AND OTHER COMMUNITY DEVELOPMENT SERVICES SECTOR', 'TOURISM SECTOR', 'TOURISM SECTOR', 'TOURISM SECTOR', 'TOURISM SECTOR', 'TOURISM SECTOR', 'HEALTH, SOCIAL, AND OTHER COMMUNITY DEVELOPMENT SERVICES SECTOR', 'TOURISM SECTOR', 'HEALTH, SOCIAL, AND OTHER COMMUNITY DEVELOPMENT SERVICES SECTOR', 'TOURISM SECTOR', 'HEALTH, SOCIAL, AND OTHER COMMUNITY DEVELOPMENT SERVICES SECTOR', 'TOURISM SECTOR', 'TOURISM SECTOR']</t>
  </si>
  <si>
    <t>['ELECTRICAL &amp; ELECTRONICS SECTOR', 'INFORMATION AND COMMUNICATION TECHNOLOGY (ICT) SECTOR', 'TVET SECTOR', 'CONSTRUCTION SECTOR', 'METALS AND ENGINEERING SECTOR', 'METALS AND ENGINEERING SECTOR', 'HEATING, VENTILATION, AIR CONDITIONING AND REFRIGERATION', 'MARITIME SECTOR', 'HEATING, VENTILATION, AIR CONDITIONING AND REFRIGERATION', 'TVET SECTOR', 'METALS AND ENGINEERING SECTOR', 'ELECTRICAL &amp; ELECTRONICS SECTOR']</t>
  </si>
  <si>
    <t>['TOURISM SECTOR', 'HEALTH, SOCIAL, AND OTHER COMMUNITY DEVELOPMENT SERVICES SECTOR', 'METALS AND ENGINEERING SECTOR', 'METALS AND ENGINEERING SECTOR', 'TOURISM SECTOR', 'HEALTH, SOCIAL, AND OTHER COMMUNITY DEVELOPMENT SERVICES SECTOR']</t>
  </si>
  <si>
    <t>['INFORMATION AND COMMUNICATION TECHNOLOGY (ICT) SECTOR', 'TVET SECTOR', 'INFORMATION AND COMMUNICATION TECHNOLOGY (ICT) SECTOR', 'ELECTRICAL &amp; ELECTRONICS SECTOR', 'HEALTH, SOCIAL, AND OTHER COMMUNITY DEVELOPMENT SERVICES SECTOR', 'INFORMATION AND COMMUNICATION TECHNOLOGY (ICT) SECTOR', 'INFORMATION AND COMMUNICATION TECHNOLOGY (ICT) SECTOR', 'HEALTH, SOCIAL, AND OTHER COMMUNITY DEVELOPMENT SERVICES SECTOR']</t>
  </si>
  <si>
    <t>INFORMATION AND COMMUNICATION TECHNOLOGY (ICT) SECTOR</t>
  </si>
  <si>
    <t>['TOURISM SECTOR', 'HEALTH, SOCIAL, AND OTHER COMMUNITY DEVELOPMENT SERVICES SECTOR', 'TVET SECTOR', 'METALS AND ENGINEERING SECTOR', 'AUTOMOTIVE AND LAND TRANSPORT SECTOR', 'TOURISM SECTOR', 'METALS AND ENGINEERING SECTOR', 'METALS AND ENGINEERING SECTOR', 'ELECTRICAL &amp; ELECTRONICS SECTOR', 'TOURISM SECTOR', 'TOURISM SECTOR', 'TOURISM SECTOR', 'CONSTRUCTION SECTOR', 'CONSTRUCTION SECTOR', 'GARMENTS SECTOR', 'ELECTRICAL &amp; ELECTRONICS SECTOR', 'TOURISM SECTOR', 'AUTOMOTIVE AND LAND TRANSPORT SECTOR']</t>
  </si>
  <si>
    <t>['ELECTRICAL &amp; ELECTRONICS SECTOR', 'TOURISM SECTOR', 'INFORMATION AND COMMUNICATION TECHNOLOGY (ICT) SECTOR', 'TOURISM SECTOR', 'HEALTH, SOCIAL, AND OTHER COMMUNITY DEVELOPMENT SERVICES SECTOR']</t>
  </si>
  <si>
    <t>['ELECTRICAL &amp; ELECTRONICS SECTOR', 'HEALTH, SOCIAL, AND OTHER COMMUNITY DEVELOPMENT SERVICES SECTOR', 'CONSTRUCTION SECTOR', 'METALS AND ENGINEERING SECTOR', 'TVET SECTOR', 'AUTOMOTIVE AND LAND TRANSPORT SECTOR', 'CONSTRUCTION SECTOR', 'METALS AND ENGINEERING SECTOR', 'ELECTRICAL &amp; ELECTRONICS SECTOR', 'TOURISM SECTOR', 'ELECTRICAL &amp; ELECTRONICS SECTOR', 'METALS AND ENGINEERING SECTOR', 'CONSTRUCTION SECTOR', 'METALS AND ENGINEERING SECTOR', 'CONSTRUCTION SECTOR', 'ELECTRICAL &amp; ELECTRONICS SECTOR', 'AGRICULTURE, FORESTRY AND FISHERY SECTOR', 'AUTOMOTIVE AND LAND TRANSPORT SECTOR']</t>
  </si>
  <si>
    <t>['HEALTH, SOCIAL, AND OTHER COMMUNITY DEVELOPMENT SERVICES SECTOR', 'TOURISM SECTOR', 'HEALTH, SOCIAL, AND OTHER COMMUNITY DEVELOPMENT SERVICES SECTOR', 'HEALTH, SOCIAL, AND OTHER COMMUNITY DEVELOPMENT SERVICES SECTOR', 'HEALTH, SOCIAL, AND OTHER COMMUNITY DEVELOPMENT SERVICES SECTOR', 'HEALTH, SOCIAL, AND OTHER COMMUNITY DEVELOPMENT SERVICES SECTOR', 'HEALTH, SOCIAL, AND OTHER COMMUNITY DEVELOPMENT SERVICES SECTOR']</t>
  </si>
  <si>
    <t>['INFORMATION AND COMMUNICATION TECHNOLOGY (ICT) SECTOR', 'TOURISM SECTOR', 'TOURISM SECTOR', 'TOURISM SECTOR', 'ELECTRICAL &amp; ELECTRONICS SECTOR', 'TOURISM SECTOR']</t>
  </si>
  <si>
    <t>['TOURISM SECTOR', 'TVET SECTOR', 'HEALTH, SOCIAL, AND OTHER COMMUNITY DEVELOPMENT SERVICES SECTOR', 'TOURISM SECTOR', 'HEALTH, SOCIAL, AND OTHER COMMUNITY DEVELOPMENT SERVICES SECTOR', 'TOURISM SECTOR', 'TOURISM SECTOR', 'TOURISM SECTOR']</t>
  </si>
  <si>
    <t>['TOURISM SECTOR', 'INFORMATION AND COMMUNICATION TECHNOLOGY (ICT) SECTOR', 'HEALTH, SOCIAL, AND OTHER COMMUNITY DEVELOPMENT SERVICES SECTOR', 'TOURISM SECTOR', 'TOURISM SECTOR', 'ELECTRICAL &amp; ELECTRONICS SECTOR', 'ELECTRICAL &amp; ELECTRONICS SECTOR', 'TOURISM SECTOR', 'TOURISM SECTOR']</t>
  </si>
  <si>
    <t>['TOURISM SECTOR', 'TOURISM SECTOR', 'TOURISM SECTOR', 'MARITIME SECTOR', 'TOURISM SECTOR', 'TOURISM SECTOR', 'MARITIME SECTOR']</t>
  </si>
  <si>
    <t>['TOURISM SECTOR', 'AUTOMOTIVE AND LAND TRANSPORT SECTOR', 'AUTOMOTIVE AND LAND TRANSPORT SECTOR', 'ELECTRICAL &amp; ELECTRONICS SECTOR', 'TOURISM SECTOR', 'ELECTRICAL &amp; ELECTRONICS SECTOR', 'ELECTRICAL &amp; ELECTRONICS SECTOR', 'ELECTRICAL &amp; ELECTRONICS SECTOR', 'TVET SECTOR', 'AUTOMOTIVE AND LAND TRANSPORT SECTOR', 'METALS AND ENGINEERING SECTOR', 'CONSTRUCTION SECTOR', 'HEATING, VENTILATION, AIR CONDITIONING AND REFRIGERATION', 'TOURISM SECTOR', 'GARMENTS SECTOR', 'ELECTRICAL &amp; ELECTRONICS SECTOR', 'AUTOMOTIVE AND LAND TRANSPORT SECTOR', 'METALS AND ENGINEERING SECTOR', 'HEALTH, SOCIAL, AND OTHER COMMUNITY DEVELOPMENT SERVICES SECTOR']</t>
  </si>
  <si>
    <t>['TVET SECTOR', 'CONSTRUCTION SECTOR', 'AUTOMOTIVE AND LAND TRANSPORT SECTOR', 'ELECTRICAL &amp; ELECTRONICS SECTOR', 'ELECTRICAL &amp; ELECTRONICS SECTOR', 'HEALTH, SOCIAL, AND OTHER COMMUNITY DEVELOPMENT SERVICES SECTOR', 'GARMENTS SECTOR', 'ELECTRICAL &amp; ELECTRONICS SECTOR']</t>
  </si>
  <si>
    <t xml:space="preserve">24 First Priority Institutions. </t>
  </si>
  <si>
    <t>Top TVET Centers for NCR</t>
  </si>
  <si>
    <t>Top TVET Centers for 4A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</si>
</sst>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3" x14ac:knownFonts="1">
    <font>
      <sz val="11"/>
      <color theme="1"/>
      <name val="Calibri"/>
      <family val="2"/>
      <charset val="1"/>
    </font>
    <font>
      <sz val="10"/>
      <name val="Arial"/>
      <family val="2"/>
    </font>
    <font>
      <b/>
      <sz val="15"/>
      <color rgb="FF1F3864"/>
      <name val="Arial"/>
      <family val="2"/>
    </font>
    <font>
      <i/>
      <sz val="9"/>
      <color rgb="FF595959"/>
      <name val="Arial"/>
      <family val="2"/>
    </font>
    <font>
      <b/>
      <sz val="10"/>
      <color rgb="FF1F3864"/>
      <name val="Arial"/>
      <family val="2"/>
    </font>
    <font>
      <b/>
      <sz val="10"/>
      <color rgb="FFFFFFFF"/>
      <name val="Arial"/>
      <family val="2"/>
    </font>
    <font>
      <b/>
      <sz val="11"/>
      <color rgb="FF1F3864"/>
      <name val="Arial"/>
      <family val="2"/>
    </font>
    <font>
      <sz val="9"/>
      <name val="Arial"/>
      <family val="2"/>
    </font>
    <font>
      <sz val="11"/>
      <color rgb="FFFF0000"/>
      <name val="Calibri"/>
      <family val="2"/>
      <charset val="1"/>
    </font>
    <font>
      <b/>
      <sz val="11"/>
      <color theme="1"/>
      <name val="Calibri"/>
      <family val="2"/>
    </font>
    <font>
      <u/>
      <sz val="11"/>
      <color theme="10"/>
      <name val="Calibri"/>
      <family val="2"/>
      <charset val="1"/>
    </font>
    <font>
      <sz val="10"/>
      <color theme="1"/>
      <name val="Arial"/>
      <family val="2"/>
    </font>
    <font>
      <b/>
      <sz val="10"/>
      <color theme="1"/>
      <name val="Arial"/>
      <family val="2"/>
    </font>
    <font>
      <sz val="10"/>
      <color rgb="FF080809"/>
      <name val="Arial"/>
      <family val="2"/>
    </font>
    <font>
      <sz val="11"/>
      <color theme="1"/>
      <name val="Calibri"/>
      <family val="2"/>
      <charset val="1"/>
    </font>
    <font>
      <sz val="10"/>
      <color rgb="FF000000"/>
      <name val="Arial"/>
      <family val="2"/>
    </font>
    <font>
      <b/>
      <sz val="10"/>
      <color theme="1"/>
      <name val="Helvetica Neue"/>
      <family val="2"/>
    </font>
    <font>
      <b/>
      <u/>
      <sz val="10"/>
      <color theme="1"/>
      <name val="Helvetica Neue"/>
      <family val="2"/>
    </font>
    <font>
      <sz val="10"/>
      <color theme="1"/>
      <name val="Helvetica Neue"/>
      <family val="2"/>
    </font>
    <font>
      <sz val="10"/>
      <color theme="1"/>
      <name val="Aptos"/>
    </font>
    <font>
      <sz val="12"/>
      <color theme="1"/>
      <name val="Aptos"/>
    </font>
    <font>
      <i/>
      <sz val="10"/>
      <color theme="1"/>
      <name val="Helvetica Neue"/>
      <family val="2"/>
    </font>
    <font>
      <i/>
      <u/>
      <sz val="9"/>
      <color theme="10"/>
      <name val="Arial"/>
      <family val="2"/>
    </font>
  </fonts>
  <fills count="12">
    <fill>
      <patternFill patternType="none"/>
    </fill>
    <fill>
      <patternFill patternType="gray125"/>
    </fill>
    <fill>
      <patternFill patternType="solid">
        <fgColor rgb="FF2E5496"/>
        <bgColor rgb="FF1F3864"/>
      </patternFill>
    </fill>
    <fill>
      <patternFill patternType="solid">
        <fgColor rgb="FFF2F5FB"/>
        <bgColor rgb="FFFFFFFF"/>
      </patternFill>
    </fill>
    <fill>
      <patternFill patternType="solid">
        <fgColor rgb="FFC55A11"/>
        <bgColor rgb="FF993300"/>
      </patternFill>
    </fill>
    <fill>
      <patternFill patternType="solid">
        <fgColor rgb="FF1F3864"/>
        <bgColor rgb="FF333333"/>
      </patternFill>
    </fill>
    <fill>
      <patternFill patternType="solid">
        <fgColor rgb="FF548235"/>
        <bgColor rgb="FF339966"/>
      </patternFill>
    </fill>
    <fill>
      <patternFill patternType="solid">
        <fgColor theme="0" tint="-0.14999847407452621"/>
        <bgColor indexed="64"/>
      </patternFill>
    </fill>
    <fill>
      <patternFill patternType="solid">
        <fgColor rgb="FF00B050"/>
        <bgColor indexed="64"/>
      </patternFill>
    </fill>
    <fill>
      <patternFill patternType="solid">
        <fgColor indexed="9"/>
        <bgColor auto="1"/>
      </patternFill>
    </fill>
    <fill>
      <patternFill patternType="solid">
        <fgColor theme="6" tint="0.79998168889431442"/>
        <bgColor indexed="64"/>
      </patternFill>
    </fill>
    <fill>
      <patternFill patternType="solid">
        <fgColor rgb="FF2E5496"/>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top/>
      <bottom/>
      <diagonal/>
    </border>
    <border>
      <left/>
      <right style="thin">
        <color rgb="FFBFBFBF"/>
      </right>
      <top style="thin">
        <color rgb="FFBFBFBF"/>
      </top>
      <bottom style="thin">
        <color rgb="FFBFBFBF"/>
      </bottom>
      <diagonal/>
    </border>
    <border>
      <left style="thin">
        <color indexed="64"/>
      </left>
      <right style="thin">
        <color indexed="64"/>
      </right>
      <top/>
      <bottom style="thin">
        <color indexed="64"/>
      </bottom>
      <diagonal/>
    </border>
    <border>
      <left style="thin">
        <color rgb="FFD3D3D3"/>
      </left>
      <right style="thin">
        <color rgb="FFD3D3D3"/>
      </right>
      <top style="thin">
        <color rgb="FFD3D3D3"/>
      </top>
      <bottom style="thin">
        <color rgb="FFD3D3D3"/>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0"/>
      </top>
      <bottom/>
      <diagonal/>
    </border>
    <border>
      <left/>
      <right style="thin">
        <color rgb="FFBFBFBF"/>
      </right>
      <top style="thin">
        <color rgb="FFBFBFBF"/>
      </top>
      <bottom/>
      <diagonal/>
    </border>
  </borders>
  <cellStyleXfs count="3">
    <xf numFmtId="0" fontId="0" fillId="0" borderId="0"/>
    <xf numFmtId="0" fontId="10" fillId="0" borderId="0" applyNumberFormat="0" applyFill="0" applyBorder="0" applyAlignment="0" applyProtection="0"/>
    <xf numFmtId="9" fontId="14" fillId="0" borderId="0" applyFont="0" applyFill="0" applyBorder="0" applyAlignment="0" applyProtection="0"/>
  </cellStyleXfs>
  <cellXfs count="87">
    <xf numFmtId="0" fontId="0" fillId="0" borderId="0" xfId="0"/>
    <xf numFmtId="0" fontId="2" fillId="0" borderId="0" xfId="0" applyFont="1"/>
    <xf numFmtId="0" fontId="3" fillId="0" borderId="0" xfId="0" applyFont="1"/>
    <xf numFmtId="0" fontId="4" fillId="0" borderId="0" xfId="0" applyFont="1" applyAlignment="1">
      <alignment vertical="top"/>
    </xf>
    <xf numFmtId="0" fontId="5"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xf numFmtId="3" fontId="5" fillId="5" borderId="1" xfId="0" applyNumberFormat="1" applyFont="1" applyFill="1" applyBorder="1" applyAlignment="1">
      <alignment horizontal="right"/>
    </xf>
    <xf numFmtId="0" fontId="6" fillId="0" borderId="0" xfId="0" applyFont="1"/>
    <xf numFmtId="0" fontId="5" fillId="6" borderId="1" xfId="0" applyFont="1" applyFill="1" applyBorder="1" applyAlignment="1">
      <alignment horizontal="center" vertical="center" wrapText="1"/>
    </xf>
    <xf numFmtId="0" fontId="7" fillId="0" borderId="0" xfId="0" applyFont="1"/>
    <xf numFmtId="0" fontId="0" fillId="0" borderId="0" xfId="0" applyAlignment="1">
      <alignment horizontal="left"/>
    </xf>
    <xf numFmtId="0" fontId="5" fillId="4" borderId="1" xfId="0" applyFont="1" applyFill="1" applyBorder="1" applyAlignment="1">
      <alignment horizontal="left" vertical="center" wrapText="1"/>
    </xf>
    <xf numFmtId="0" fontId="1" fillId="3" borderId="1" xfId="0" applyFont="1" applyFill="1" applyBorder="1" applyAlignment="1">
      <alignment horizontal="left"/>
    </xf>
    <xf numFmtId="0" fontId="1" fillId="0" borderId="1" xfId="0" applyFont="1" applyBorder="1" applyAlignment="1">
      <alignment horizontal="center"/>
    </xf>
    <xf numFmtId="0" fontId="1" fillId="0" borderId="1" xfId="0" applyFont="1" applyBorder="1" applyAlignment="1">
      <alignment horizontal="left"/>
    </xf>
    <xf numFmtId="0" fontId="0" fillId="0" borderId="0" xfId="0" applyAlignment="1">
      <alignment horizontal="center"/>
    </xf>
    <xf numFmtId="0" fontId="5" fillId="2" borderId="3" xfId="0" applyFont="1" applyFill="1" applyBorder="1" applyAlignment="1">
      <alignment horizontal="center" vertical="center" wrapText="1"/>
    </xf>
    <xf numFmtId="0" fontId="0" fillId="0" borderId="2" xfId="0" applyBorder="1"/>
    <xf numFmtId="0" fontId="0" fillId="0" borderId="2" xfId="0" applyBorder="1" applyAlignment="1">
      <alignment horizontal="center"/>
    </xf>
    <xf numFmtId="0" fontId="9" fillId="0" borderId="0" xfId="0" applyFont="1"/>
    <xf numFmtId="0" fontId="9" fillId="0" borderId="0" xfId="0" quotePrefix="1" applyFont="1"/>
    <xf numFmtId="3" fontId="9" fillId="0" borderId="0" xfId="0" quotePrefix="1" applyNumberFormat="1" applyFont="1"/>
    <xf numFmtId="0" fontId="1" fillId="0" borderId="0" xfId="0" applyFont="1" applyAlignment="1">
      <alignment vertical="top" wrapText="1"/>
    </xf>
    <xf numFmtId="0" fontId="11" fillId="0" borderId="0" xfId="0" applyFont="1"/>
    <xf numFmtId="0" fontId="12" fillId="0" borderId="0" xfId="0" applyFont="1"/>
    <xf numFmtId="0" fontId="0" fillId="0" borderId="0" xfId="0" applyAlignment="1">
      <alignment vertical="center"/>
    </xf>
    <xf numFmtId="0" fontId="11" fillId="0" borderId="0" xfId="0" applyFont="1" applyAlignment="1">
      <alignment horizontal="left"/>
    </xf>
    <xf numFmtId="0" fontId="11" fillId="0" borderId="0" xfId="0" applyFont="1" applyAlignment="1">
      <alignment vertical="top" wrapText="1" readingOrder="1"/>
    </xf>
    <xf numFmtId="0" fontId="11" fillId="0" borderId="0" xfId="1" applyFont="1" applyFill="1" applyBorder="1" applyAlignment="1">
      <alignment horizontal="center"/>
    </xf>
    <xf numFmtId="0" fontId="11" fillId="0" borderId="0" xfId="1" applyFont="1" applyBorder="1"/>
    <xf numFmtId="0" fontId="5" fillId="2" borderId="5" xfId="0" applyFont="1" applyFill="1" applyBorder="1" applyAlignment="1">
      <alignment horizontal="center" vertical="center" wrapText="1"/>
    </xf>
    <xf numFmtId="0" fontId="11" fillId="0" borderId="0" xfId="1" applyFont="1"/>
    <xf numFmtId="0" fontId="1" fillId="3" borderId="1" xfId="0" applyFont="1" applyFill="1" applyBorder="1" applyAlignment="1">
      <alignment horizontal="center"/>
    </xf>
    <xf numFmtId="3" fontId="1" fillId="3" borderId="1" xfId="0" applyNumberFormat="1" applyFont="1" applyFill="1" applyBorder="1" applyAlignment="1">
      <alignment horizontal="right"/>
    </xf>
    <xf numFmtId="164" fontId="1" fillId="3" borderId="1" xfId="0" applyNumberFormat="1" applyFont="1" applyFill="1" applyBorder="1" applyAlignment="1">
      <alignment horizontal="right"/>
    </xf>
    <xf numFmtId="3" fontId="1" fillId="0" borderId="1" xfId="0" applyNumberFormat="1" applyFont="1" applyBorder="1" applyAlignment="1">
      <alignment horizontal="right"/>
    </xf>
    <xf numFmtId="164" fontId="1" fillId="0" borderId="1" xfId="0" applyNumberFormat="1" applyFont="1" applyBorder="1" applyAlignment="1">
      <alignment horizontal="right"/>
    </xf>
    <xf numFmtId="0" fontId="11" fillId="0" borderId="0" xfId="1" applyFont="1" applyAlignment="1">
      <alignment horizontal="left"/>
    </xf>
    <xf numFmtId="0" fontId="11" fillId="0" borderId="0" xfId="0" applyFont="1" applyAlignment="1">
      <alignment horizontal="left" wrapText="1"/>
    </xf>
    <xf numFmtId="0" fontId="5" fillId="2" borderId="0" xfId="0" applyFont="1" applyFill="1" applyAlignment="1">
      <alignment horizontal="center" vertical="center" wrapText="1"/>
    </xf>
    <xf numFmtId="9" fontId="0" fillId="0" borderId="0" xfId="2" applyFont="1"/>
    <xf numFmtId="0" fontId="5" fillId="2" borderId="6" xfId="0" applyFont="1" applyFill="1" applyBorder="1" applyAlignment="1">
      <alignment horizontal="center" vertical="center" wrapText="1"/>
    </xf>
    <xf numFmtId="0" fontId="1" fillId="3" borderId="6" xfId="0" applyFont="1" applyFill="1" applyBorder="1" applyAlignment="1">
      <alignment horizontal="center"/>
    </xf>
    <xf numFmtId="0" fontId="1" fillId="0" borderId="6" xfId="0" applyFont="1" applyBorder="1" applyAlignment="1">
      <alignment horizontal="center"/>
    </xf>
    <xf numFmtId="0" fontId="5" fillId="2" borderId="4" xfId="0" applyFont="1" applyFill="1" applyBorder="1" applyAlignment="1">
      <alignment horizontal="center" vertical="center" wrapText="1"/>
    </xf>
    <xf numFmtId="3" fontId="0" fillId="0" borderId="0" xfId="0" applyNumberFormat="1"/>
    <xf numFmtId="0" fontId="10" fillId="0" borderId="0" xfId="1" applyBorder="1"/>
    <xf numFmtId="0" fontId="0" fillId="0" borderId="7" xfId="0" applyBorder="1"/>
    <xf numFmtId="0" fontId="0" fillId="0" borderId="7" xfId="0" applyBorder="1" applyAlignment="1">
      <alignment horizontal="center"/>
    </xf>
    <xf numFmtId="0" fontId="0" fillId="0" borderId="0" xfId="0" applyAlignment="1">
      <alignment wrapText="1"/>
    </xf>
    <xf numFmtId="0" fontId="8" fillId="0" borderId="0" xfId="0" applyFont="1"/>
    <xf numFmtId="0" fontId="10" fillId="0" borderId="0" xfId="1" applyBorder="1" applyAlignment="1">
      <alignment horizontal="left" wrapText="1"/>
    </xf>
    <xf numFmtId="0" fontId="10" fillId="0" borderId="0" xfId="1" applyFill="1" applyBorder="1" applyAlignment="1">
      <alignment horizontal="left" wrapText="1"/>
    </xf>
    <xf numFmtId="0" fontId="0" fillId="0" borderId="0" xfId="0" applyAlignment="1">
      <alignment horizontal="left" wrapText="1"/>
    </xf>
    <xf numFmtId="0" fontId="11" fillId="0" borderId="0" xfId="0" applyFont="1" applyAlignment="1">
      <alignment wrapText="1"/>
    </xf>
    <xf numFmtId="0" fontId="13" fillId="0" borderId="0" xfId="0" applyFont="1" applyAlignment="1">
      <alignment wrapText="1"/>
    </xf>
    <xf numFmtId="0" fontId="10" fillId="0" borderId="0" xfId="1"/>
    <xf numFmtId="0" fontId="15" fillId="0" borderId="0" xfId="0" applyFont="1" applyAlignment="1">
      <alignment vertical="top" wrapText="1" readingOrder="1"/>
    </xf>
    <xf numFmtId="0" fontId="0" fillId="0" borderId="8" xfId="0" applyBorder="1"/>
    <xf numFmtId="49" fontId="16" fillId="7" borderId="9" xfId="0" applyNumberFormat="1" applyFont="1" applyFill="1" applyBorder="1" applyAlignment="1">
      <alignment vertical="top"/>
    </xf>
    <xf numFmtId="49" fontId="16" fillId="8" borderId="10" xfId="0" applyNumberFormat="1" applyFont="1" applyFill="1" applyBorder="1" applyAlignment="1">
      <alignment vertical="top"/>
    </xf>
    <xf numFmtId="49" fontId="16" fillId="7" borderId="10" xfId="0" applyNumberFormat="1" applyFont="1" applyFill="1" applyBorder="1" applyAlignment="1">
      <alignment vertical="top"/>
    </xf>
    <xf numFmtId="49" fontId="16" fillId="9" borderId="10" xfId="0" applyNumberFormat="1" applyFont="1" applyFill="1" applyBorder="1" applyAlignment="1">
      <alignment vertical="top"/>
    </xf>
    <xf numFmtId="49" fontId="16" fillId="8" borderId="9" xfId="0" applyNumberFormat="1" applyFont="1" applyFill="1" applyBorder="1" applyAlignment="1">
      <alignment vertical="top"/>
    </xf>
    <xf numFmtId="0" fontId="18" fillId="0" borderId="0" xfId="0" applyFont="1" applyAlignment="1">
      <alignment vertical="top"/>
    </xf>
    <xf numFmtId="49" fontId="19" fillId="0" borderId="0" xfId="0" applyNumberFormat="1" applyFont="1" applyAlignment="1">
      <alignment horizontal="left" vertical="top"/>
    </xf>
    <xf numFmtId="0" fontId="19" fillId="0" borderId="0" xfId="0" applyFont="1" applyAlignment="1">
      <alignment horizontal="left" vertical="top"/>
    </xf>
    <xf numFmtId="0" fontId="18" fillId="0" borderId="0" xfId="0" applyFont="1" applyAlignment="1">
      <alignment horizontal="left" vertical="top"/>
    </xf>
    <xf numFmtId="0" fontId="18" fillId="0" borderId="0" xfId="0" applyFont="1" applyAlignment="1">
      <alignment vertical="top" wrapText="1"/>
    </xf>
    <xf numFmtId="0" fontId="0" fillId="0" borderId="0" xfId="0" applyAlignment="1">
      <alignment vertical="top" wrapText="1"/>
    </xf>
    <xf numFmtId="49" fontId="18" fillId="0" borderId="0" xfId="0" applyNumberFormat="1" applyFont="1" applyAlignment="1">
      <alignment vertical="top"/>
    </xf>
    <xf numFmtId="0" fontId="0" fillId="0" borderId="0" xfId="0" applyAlignment="1">
      <alignment horizontal="left" vertical="top" wrapText="1"/>
    </xf>
    <xf numFmtId="0" fontId="18" fillId="0" borderId="0" xfId="0" applyFont="1" applyAlignment="1">
      <alignment horizontal="left" vertical="top" wrapText="1"/>
    </xf>
    <xf numFmtId="0" fontId="20" fillId="0" borderId="0" xfId="0" applyFont="1" applyAlignment="1">
      <alignment vertical="top" wrapText="1"/>
    </xf>
    <xf numFmtId="0" fontId="21" fillId="0" borderId="0" xfId="0" applyFont="1" applyAlignment="1">
      <alignment horizontal="left" indent="1"/>
    </xf>
    <xf numFmtId="0" fontId="20" fillId="10" borderId="0" xfId="0" applyFont="1" applyFill="1" applyAlignment="1">
      <alignment vertical="top" wrapText="1"/>
    </xf>
    <xf numFmtId="0" fontId="18" fillId="10" borderId="0" xfId="0" applyFont="1" applyFill="1" applyAlignment="1">
      <alignment vertical="top" wrapText="1"/>
    </xf>
    <xf numFmtId="0" fontId="0" fillId="10" borderId="0" xfId="0" applyFill="1" applyAlignment="1">
      <alignment vertical="top" wrapText="1"/>
    </xf>
    <xf numFmtId="0" fontId="0" fillId="10" borderId="0" xfId="0" applyFill="1"/>
    <xf numFmtId="0" fontId="0" fillId="11" borderId="0" xfId="0" applyFill="1"/>
    <xf numFmtId="0" fontId="22" fillId="0" borderId="0" xfId="1" applyFont="1"/>
    <xf numFmtId="0" fontId="1" fillId="0" borderId="11" xfId="0" applyFont="1" applyBorder="1" applyAlignment="1">
      <alignment horizontal="center"/>
    </xf>
    <xf numFmtId="0" fontId="1" fillId="0" borderId="3" xfId="0" applyFont="1" applyBorder="1" applyAlignment="1">
      <alignment horizontal="left"/>
    </xf>
    <xf numFmtId="0" fontId="1" fillId="0" borderId="3" xfId="0" applyFont="1" applyBorder="1" applyAlignment="1">
      <alignment horizontal="center"/>
    </xf>
    <xf numFmtId="3" fontId="1" fillId="0" borderId="3" xfId="0" applyNumberFormat="1" applyFont="1" applyBorder="1" applyAlignment="1">
      <alignment horizontal="right"/>
    </xf>
    <xf numFmtId="164" fontId="1" fillId="0" borderId="3" xfId="0" applyNumberFormat="1" applyFont="1" applyBorder="1" applyAlignment="1">
      <alignment horizontal="right"/>
    </xf>
  </cellXfs>
  <cellStyles count="3">
    <cellStyle name="Hyperlink" xfId="1" builtinId="8"/>
    <cellStyle name="Normal" xfId="0" builtinId="0"/>
    <cellStyle name="Percent" xfId="2" builtinId="5"/>
  </cellStyles>
  <dxfs count="44">
    <dxf>
      <numFmt numFmtId="0" formatCode="General"/>
    </dxf>
    <dxf>
      <fill>
        <patternFill patternType="solid">
          <fgColor indexed="64"/>
          <bgColor rgb="FF2E5496"/>
        </patternFill>
      </fill>
    </dxf>
    <dxf>
      <fill>
        <patternFill patternType="solid">
          <fgColor indexed="64"/>
          <bgColor rgb="FF2E5496"/>
        </patternFill>
      </fill>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164" formatCode="0.0%"/>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3" formatCode="#,##0"/>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lef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alignment horizontal="center" vertical="bottom"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left style="thin">
          <color rgb="FFBFBFBF"/>
        </left>
      </border>
    </dxf>
    <dxf>
      <font>
        <b/>
        <i val="0"/>
        <strike val="0"/>
        <condense val="0"/>
        <extend val="0"/>
        <outline val="0"/>
        <shadow val="0"/>
        <u val="none"/>
        <vertAlign val="baseline"/>
        <sz val="10"/>
        <color rgb="FFFFFFFF"/>
        <name val="Arial"/>
        <family val="2"/>
        <scheme val="none"/>
      </font>
      <fill>
        <patternFill patternType="solid">
          <fgColor rgb="FF1F3864"/>
          <bgColor rgb="FF2E5496"/>
        </patternFill>
      </fill>
      <alignment horizontal="center" vertical="center"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solid">
          <fgColor rgb="FFFFFFFF"/>
          <bgColor rgb="FFF2F5FB"/>
        </patternFill>
      </fill>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164" formatCode="0.0%"/>
      <fill>
        <patternFill patternType="solid">
          <fgColor rgb="FFFFFFFF"/>
          <bgColor rgb="FFF2F5FB"/>
        </patternFill>
      </fill>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3" formatCode="#,##0"/>
      <fill>
        <patternFill patternType="solid">
          <fgColor rgb="FFFFFFFF"/>
          <bgColor rgb="FFF2F5FB"/>
        </patternFill>
      </fill>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3" formatCode="#,##0"/>
      <fill>
        <patternFill patternType="solid">
          <fgColor rgb="FFFFFFFF"/>
          <bgColor rgb="FFF2F5FB"/>
        </patternFill>
      </fill>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3" formatCode="#,##0"/>
      <fill>
        <patternFill patternType="solid">
          <fgColor rgb="FFFFFFFF"/>
          <bgColor rgb="FFF2F5FB"/>
        </patternFill>
      </fill>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3" formatCode="#,##0"/>
      <fill>
        <patternFill patternType="solid">
          <fgColor rgb="FFFFFFFF"/>
          <bgColor rgb="FFF2F5FB"/>
        </patternFill>
      </fill>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3" formatCode="#,##0"/>
      <fill>
        <patternFill patternType="solid">
          <fgColor rgb="FFFFFFFF"/>
          <bgColor rgb="FFF2F5FB"/>
        </patternFill>
      </fill>
      <alignment horizontal="righ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fill>
        <patternFill patternType="solid">
          <fgColor rgb="FFFFFFFF"/>
          <bgColor rgb="FFF2F5FB"/>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fill>
        <patternFill patternType="solid">
          <fgColor rgb="FFFFFFFF"/>
          <bgColor rgb="FFF2F5FB"/>
        </patternFill>
      </fill>
      <alignment horizontal="left"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fill>
        <patternFill patternType="solid">
          <fgColor rgb="FFFFFFFF"/>
          <bgColor rgb="FFF2F5FB"/>
        </patternFill>
      </fill>
      <alignment horizontal="center" vertical="bottom"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left style="thin">
          <color rgb="FFBFBFBF"/>
        </left>
      </border>
    </dxf>
    <dxf>
      <font>
        <b/>
        <i val="0"/>
        <strike val="0"/>
        <condense val="0"/>
        <extend val="0"/>
        <outline val="0"/>
        <shadow val="0"/>
        <u val="none"/>
        <vertAlign val="baseline"/>
        <sz val="10"/>
        <color rgb="FFFFFFFF"/>
        <name val="Arial"/>
        <family val="2"/>
        <scheme val="none"/>
      </font>
      <fill>
        <patternFill patternType="solid">
          <fgColor rgb="FF1F3864"/>
          <bgColor rgb="FF2E5496"/>
        </patternFill>
      </fill>
      <alignment horizontal="center" vertical="center" textRotation="0" wrapText="1" indent="0" justifyLastLine="0" shrinkToFit="0" readingOrder="0"/>
    </dxf>
  </dxfs>
  <tableStyles count="1" defaultTableStyle="TableStyleMedium2" defaultPivotStyle="PivotStyleLight16">
    <tableStyle name="Table Style 1" pivot="0" count="0" xr9:uid="{CC6C7C0F-6998-7544-9D12-82AE16AD7DD5}"/>
  </tableStyles>
  <colors>
    <indexedColors>
      <rgbColor rgb="FF000000"/>
      <rgbColor rgb="FFFFFFFF"/>
      <rgbColor rgb="FFFF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2F5F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55A11"/>
      <rgbColor rgb="FF59595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mruColors>
      <color rgb="FF2E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B85C74-0B00-9648-99F7-936067B198B8}" name="Table2" displayName="Table2" ref="A4:AH550" totalsRowShown="0" headerRowDxfId="43" tableBorderDxfId="42">
  <autoFilter ref="A4:AH550" xr:uid="{21B85C74-0B00-9648-99F7-936067B198B8}">
    <filterColumn colId="2">
      <customFilters>
        <customFilter operator="greaterThanOrEqual" val="3"/>
      </customFilters>
    </filterColumn>
    <filterColumn colId="4">
      <customFilters>
        <customFilter operator="greaterThanOrEqual" val="100"/>
      </customFilters>
    </filterColumn>
    <filterColumn colId="7">
      <customFilters>
        <customFilter operator="greaterThanOrEqual" val="5"/>
      </customFilters>
    </filterColumn>
  </autoFilter>
  <sortState xmlns:xlrd2="http://schemas.microsoft.com/office/spreadsheetml/2017/richdata2" ref="A5:AH550">
    <sortCondition descending="1" ref="D4:D550"/>
  </sortState>
  <tableColumns count="34">
    <tableColumn id="1" xr3:uid="{904B52E4-D3F4-6846-A71C-BF357B875513}" name="Rank" dataDxfId="41"/>
    <tableColumn id="2" xr3:uid="{8D18BE53-A416-0743-B0A4-6A639E9585F3}" name="Institution" dataDxfId="40"/>
    <tableColumn id="3" xr3:uid="{7F4916F1-5FF4-9E43-B1C6-331007A61E63}" name="Quals" dataDxfId="39"/>
    <tableColumn id="4" xr3:uid="{6BCA660D-9853-8D4F-8359-3F7F9798A388}" name="Enrolled" dataDxfId="38"/>
    <tableColumn id="5" xr3:uid="{B9FAD55D-337A-7948-BACF-F54D8E2F5C1C}" name="Graduates" dataDxfId="37"/>
    <tableColumn id="6" xr3:uid="{BAFB57B2-1859-1547-9817-D273948E3DF5}" name="Assessed" dataDxfId="36"/>
    <tableColumn id="7" xr3:uid="{887C90B4-4FF6-E045-BB22-B94BC9126C0F}" name="Certified" dataDxfId="35"/>
    <tableColumn id="8" xr3:uid="{294FE681-4156-AB46-A381-8C664E45D108}" name="Trainers" dataDxfId="34"/>
    <tableColumn id="9" xr3:uid="{D5803BE6-C572-9948-AD69-AF799C0AF08D}" name="Grad Rate" dataDxfId="33">
      <calculatedColumnFormula>IF(D5=0,"-",E5/D5)</calculatedColumnFormula>
    </tableColumn>
    <tableColumn id="10" xr3:uid="{83A903E3-E0F3-CC49-BBDB-50084861E9F8}" name="Cert Rate" dataDxfId="32">
      <calculatedColumnFormula>IF(F5=0,"-",G5/F5)</calculatedColumnFormula>
    </tableColumn>
    <tableColumn id="11" xr3:uid="{49F28106-36D2-7748-BB43-D7B2D896F169}" name="1"/>
    <tableColumn id="12" xr3:uid="{1918E037-6AB5-5D47-8945-AA3BB44F8D2A}" name="Primary Research Notes (JF Inputs)" dataDxfId="31"/>
    <tableColumn id="13" xr3:uid="{514E88EC-F454-324B-929A-A57EC298865C}" name="Updated FB in the Past Year" dataDxfId="30"/>
    <tableColumn id="14" xr3:uid="{243AEE41-41BF-9E46-8567-FE5EDB80EB63}" name="Congratulate their Graduates of the Current Year?" dataDxfId="29"/>
    <tableColumn id="15" xr3:uid="{7572C285-16F3-A244-829D-4F28C3FCC9BC}" name="Updated Google Maps" dataDxfId="28"/>
    <tableColumn id="16" xr3:uid="{114F89EA-9AEB-7F46-8148-BF29C7D321E0}" name="Responded to Student Inquiry?" dataDxfId="27"/>
    <tableColumn id="17" xr3:uid="{A970D1DC-7CCD-774E-907B-F3AF90C91AC2}" name="Website?" dataDxfId="26"/>
    <tableColumn id="18" xr3:uid="{0D0207FB-8E32-C34B-A4C7-96461E730B1E}" name="Website Link" dataDxfId="25"/>
    <tableColumn id="19" xr3:uid="{F39ACC96-10C3-D141-A46E-1CAB66A2C9EA}" name="Decision" dataDxfId="24"/>
    <tableColumn id="31" xr3:uid="{FAD30C2A-CB5F-3C4D-A0EE-2E72977C20D8}" name="First Name" dataDxfId="23"/>
    <tableColumn id="34" xr3:uid="{0E58947F-F456-DA4B-94E4-6947CDB8A223}" name="Last Name" dataDxfId="22"/>
    <tableColumn id="35" xr3:uid="{10DEF4C3-358A-4C45-A292-926DB7CFF54A}" name="Title" dataDxfId="21"/>
    <tableColumn id="33" xr3:uid="{13FEEA07-629C-1D44-A0AE-E5FAA9713C4F}" name="Email of Contact" dataDxfId="20"/>
    <tableColumn id="30" xr3:uid="{69E6E5B6-125B-F64B-B719-6DF96C838A5F}" name="Has a LMS" dataDxfId="19"/>
    <tableColumn id="20" xr3:uid="{1426B687-7868-2941-A0FD-1686C002023C}" name="When is next course starting" dataDxfId="18"/>
    <tableColumn id="21" xr3:uid="{6E393818-1EE5-DC40-BC9E-C7E1972FF5EC}" name="How much is it?" dataDxfId="17"/>
    <tableColumn id="22" xr3:uid="{D70AA92C-ACF8-4746-B390-5D952394FFE0}" name="Can I get scholarship?" dataDxfId="16"/>
    <tableColumn id="23" xr3:uid="{1353B11A-F9DB-5146-A305-39DD1FAA91D8}" name="How do I apply?" dataDxfId="15"/>
    <tableColumn id="24" xr3:uid="{8B344431-450D-0B47-92EC-8645D12A457E}" name="2"/>
    <tableColumn id="25" xr3:uid="{15ABF0DB-219E-6E41-AEBB-0F75E8B4128D}" name="Phone number contact"/>
    <tableColumn id="26" xr3:uid="{AE216BC3-D1E2-DA49-B3D8-DDD56047BFFC}" name="Email Contact"/>
    <tableColumn id="27" xr3:uid="{0A6C1B5E-5F9E-1043-B265-DE43AC7788B2}" name="3"/>
    <tableColumn id="28" xr3:uid="{5B106E5E-21FC-E048-8F1D-5DA9964A8B0A}" name="Number of Yes"/>
    <tableColumn id="29" xr3:uid="{C550D65B-9879-114A-BBCC-F68F0AB1C673}" name="Number of Institutions that have At Least 3 Y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7FD7B0-7B7C-0C4B-941D-7F4772A25643}" name="Table1" displayName="Table1" ref="A5:AD552" totalsRowShown="0" headerRowDxfId="14" tableBorderDxfId="13">
  <autoFilter ref="A5:AD552" xr:uid="{847FD7B0-7B7C-0C4B-941D-7F4772A25643}">
    <filterColumn colId="2">
      <customFilters>
        <customFilter operator="greaterThanOrEqual" val="3"/>
      </customFilters>
    </filterColumn>
    <filterColumn colId="4">
      <customFilters>
        <customFilter operator="greaterThanOrEqual" val="100"/>
      </customFilters>
    </filterColumn>
    <filterColumn colId="7">
      <customFilters>
        <customFilter operator="greaterThanOrEqual" val="5"/>
      </customFilters>
    </filterColumn>
  </autoFilter>
  <sortState xmlns:xlrd2="http://schemas.microsoft.com/office/spreadsheetml/2017/richdata2" ref="A6:AD548">
    <sortCondition descending="1" ref="E5:E548"/>
  </sortState>
  <tableColumns count="30">
    <tableColumn id="1" xr3:uid="{6948F136-7068-D64C-AA35-E2D6039C27E0}" name="Rank" dataDxfId="12"/>
    <tableColumn id="2" xr3:uid="{C1EFFFFD-F3EC-304B-AA66-01C85C0C7820}" name="Institution" dataDxfId="11"/>
    <tableColumn id="3" xr3:uid="{9C8D8A91-4800-A746-8AA2-598D61175B73}" name="Quals" dataDxfId="10"/>
    <tableColumn id="4" xr3:uid="{FB3C1E9A-9F37-2841-821D-8AF8F3EAB8D2}" name="Enrolled" dataDxfId="9"/>
    <tableColumn id="5" xr3:uid="{803C6AF9-BA09-F641-9F0C-09A6539B75B5}" name="Graduates" dataDxfId="8"/>
    <tableColumn id="6" xr3:uid="{2B7D5C84-9F04-D644-B52E-8B1E0A25C75B}" name="Assessed" dataDxfId="7"/>
    <tableColumn id="7" xr3:uid="{60942E1A-975F-734D-A841-AA8E4CFB7DD6}" name="Certified" dataDxfId="6"/>
    <tableColumn id="8" xr3:uid="{096490F4-1B75-7649-84DD-DF99B7695980}" name="Trainers" dataDxfId="5"/>
    <tableColumn id="9" xr3:uid="{B392C687-30C0-7C4B-B4CB-2E0C737905DB}" name="Grad Rate" dataDxfId="4">
      <calculatedColumnFormula>IF(D6=0,"-",E6/D6)</calculatedColumnFormula>
    </tableColumn>
    <tableColumn id="10" xr3:uid="{97E93C08-72D4-7C40-A075-C95DE24DBDF4}" name="Cert Rate" dataDxfId="3">
      <calculatedColumnFormula>IF(F6=0,"-",G6/F6)</calculatedColumnFormula>
    </tableColumn>
    <tableColumn id="11" xr3:uid="{3E9F582E-51FE-6D42-B692-A9E3F23433AF}" name="1"/>
    <tableColumn id="12" xr3:uid="{E4C47F56-68D7-2847-A1C6-2BD7071CA7B1}" name="Primary Research Notes (JF Inputs)"/>
    <tableColumn id="13" xr3:uid="{98D2A7C9-9616-354D-BA3E-8BAFBA03E4AE}" name="Updated FB in the Past Year"/>
    <tableColumn id="29" xr3:uid="{0E77CB05-3335-8244-BFA1-0A89EF7A8F70}" name="Congratulate their Graduates of the Current Year?"/>
    <tableColumn id="14" xr3:uid="{3C65B203-6824-BE4C-99AD-5413940018BA}" name="Updated Google Maps"/>
    <tableColumn id="15" xr3:uid="{06DF1FDB-A1FA-964C-A2FF-DFC76D659399}" name="Responded to Student Inquiry?"/>
    <tableColumn id="27" xr3:uid="{C593BEE6-B8C3-1943-803D-D59044EFD6BA}" name="Website?"/>
    <tableColumn id="28" xr3:uid="{84BFE3AD-B067-E241-8A2B-8F6E27B3AC36}" name="Website Link"/>
    <tableColumn id="30" xr3:uid="{8753BDFC-CFF8-7E48-90A9-78EAD32B51D4}" name="Decision"/>
    <tableColumn id="16" xr3:uid="{8052B7FC-0EBD-5944-A7F7-38ADCFD3900E}" name="2"/>
    <tableColumn id="17" xr3:uid="{95981EB2-113A-AD4A-B6F1-8E9BF07472D3}" name="When is next course starting"/>
    <tableColumn id="18" xr3:uid="{0AD0DDA8-F50E-804A-B578-F213EAC723D1}" name="How much is it?"/>
    <tableColumn id="19" xr3:uid="{558813F1-E890-E849-B4A2-78FA23F2D172}" name="Can I get scholarship?"/>
    <tableColumn id="20" xr3:uid="{40D0CCA9-366C-E041-B6C1-29992997876A}" name="How do I apply?"/>
    <tableColumn id="21" xr3:uid="{56D01416-BD14-314C-AE84-64411503A8C1}" name="3"/>
    <tableColumn id="22" xr3:uid="{B5627191-AC23-4246-AD0D-88710177FE1B}" name="Phone number contact"/>
    <tableColumn id="23" xr3:uid="{442430AB-9F93-C946-8F6C-924BA8E4E0F2}" name="Email Contact"/>
    <tableColumn id="24" xr3:uid="{3C080268-DB3F-0845-8404-D5D924A34711}" name="4"/>
    <tableColumn id="25" xr3:uid="{B13DDE50-EF9D-BE42-AF27-C51AB73ABB62}" name="Number of Yes"/>
    <tableColumn id="26" xr3:uid="{3B385EBD-B155-A148-B52F-7F5B49B46808}" name="Number of Institutions that have At Least 3 Yes"/>
  </tableColumns>
  <tableStyleInfo name="TableStyleMedium2"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1000F02-0B1A-0F45-B915-D4B3A611AD90}" name="Table3" displayName="Table3" ref="A5:C179" totalsRowShown="0" headerRowDxfId="2">
  <autoFilter ref="A5:C179" xr:uid="{51000F02-0B1A-0F45-B915-D4B3A611AD90}"/>
  <tableColumns count="3">
    <tableColumn id="1" xr3:uid="{0F6203C3-1CF6-0E4A-B16C-D6A70015DC8D}" name="itemset"/>
    <tableColumn id="2" xr3:uid="{1BB2CFB0-F437-1A45-AEAE-1252A4F26189}" name="Absolute Frequency"/>
    <tableColumn id="3" xr3:uid="{59CF2E21-085A-F84D-8D59-46E552340574}" name="Relative Frequenc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1F3066-57C1-C548-9788-E721A6E6D6F9}" name="Table4" displayName="Table4" ref="A5:E29" totalsRowShown="0" headerRowDxfId="1">
  <autoFilter ref="A5:E29" xr:uid="{DC1F3066-57C1-C548-9788-E721A6E6D6F9}"/>
  <sortState xmlns:xlrd2="http://schemas.microsoft.com/office/spreadsheetml/2017/richdata2" ref="A6:E29">
    <sortCondition descending="1" ref="E5:E29"/>
  </sortState>
  <tableColumns count="5">
    <tableColumn id="1" xr3:uid="{3A6350C0-D236-444A-A5D4-1BAAE55DD4DD}" name="Institution"/>
    <tableColumn id="2" xr3:uid="{1E3F6799-D07A-2543-BA47-7A72F39CF5CB}" name="Qualifications"/>
    <tableColumn id="3" xr3:uid="{CE5BD5B0-FFE0-A74C-AFC5-BEDCB43FD072}" name="Sectors"/>
    <tableColumn id="4" xr3:uid="{8F553616-8355-1F4B-906B-9E474816264A}" name="Specialized Sector"/>
    <tableColumn id="5" xr3:uid="{28F8B2F5-0664-EE4D-A3EF-D260511EC3C0}" name="Graduates" dataDxfId="0">
      <calculatedColumnFormula array="1">IFERROR(
    _xlfn.XLOOKUP(TRUE,
        EXACT(Table4[[#This Row],[Institution]], 'Top Centers - NCR'!B:B),
        'Top Centers - NCR'!E:E
    ),
    _xlfn.XLOOKUP(TRUE,
        EXACT(Table4[[#This Row],[Institution]], 'Top Centers - 4A'!B:B),
        'Top Centers - 4A'!E:E
    )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B08B73-F905-8044-B8C9-CD43D05F9F93}">
  <we:reference id="a2a4692c-ecd3-4c3d-bc1e-2c407a976176" version="25.0.2.0" store="EXCatalog" storeType="EXCatalog"/>
  <we:alternateReferences>
    <we:reference id="WA200000019" version="25.0.2.0" store="en-US"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PSIFORECAST</we:customFunctionIds>
        <we:customFunctionIds>PSIPREDICT</we:customFunctionIds>
        <we:customFunctionIds>PSIPOSTERIORS</we:customFunctionIds>
        <we:customFunctionIds>PSITRANSFORM</we:customFunctionIds>
      </we:customFunctionIdList>
    </a:ext>
  </we:extLst>
</we:webextension>
</file>

<file path=xl/worksheets/_rels/sheet2.xml.rels><?xml version="1.0" encoding="UTF-8" standalone="yes"?>
<Relationships xmlns="http://schemas.openxmlformats.org/package/2006/relationships"><Relationship Id="rId13" Type="http://schemas.openxmlformats.org/officeDocument/2006/relationships/hyperlink" Target="https://mtivalenzuela.wordpress.com/?fbclid=IwY2xjawS79edleHRuA2FlbQIxMABicmlkETF5V0pSQ3Y2RzltTzJOcnVnc3J0YwZhcHBfaWQQMjIyMDM5MTc4ODIwMDg5MgABHt0O_Y9j0jQTXKv1oxd1Fu3dQssYM3hmiiWsYsvMSxal3hLrXq4TLgvaa0DH_aem_LJ0TYP3wfSv9mKSm77KLSQ" TargetMode="External"/><Relationship Id="rId18" Type="http://schemas.openxmlformats.org/officeDocument/2006/relationships/hyperlink" Target="https://www.mechatronicstechnologiescorp.com/?fbclid=IwY2xjawS7-FRleHRuA2FlbQIxMABicmlkETF5V0pSQ3Y2RzltTzJOcnVnc3J0YwZhcHBfaWQQMjIyMDM5MTc4ODIwMDg5MgABHgOEcKonPcyX34lk0-T79l9To5TiXmsiLxDTW94WhhoSFaJ87Uav6eHa-KJj_aem_4cikKUbg9_O5qQenqa8UCg" TargetMode="External"/><Relationship Id="rId26" Type="http://schemas.openxmlformats.org/officeDocument/2006/relationships/hyperlink" Target="https://pasig.sltcfi.com/" TargetMode="External"/><Relationship Id="rId3" Type="http://schemas.openxmlformats.org/officeDocument/2006/relationships/hyperlink" Target="mailto:donboscoyouthcentertvet@gmail.com?subject=Don%20Bosco%20Youth%20Center%20Tondo%20TVET" TargetMode="External"/><Relationship Id="rId21" Type="http://schemas.openxmlformats.org/officeDocument/2006/relationships/hyperlink" Target="https://www.rightfocustrainingcenter.com/" TargetMode="External"/><Relationship Id="rId34" Type="http://schemas.openxmlformats.org/officeDocument/2006/relationships/table" Target="../tables/table1.xml"/><Relationship Id="rId7" Type="http://schemas.openxmlformats.org/officeDocument/2006/relationships/hyperlink" Target="mailto:plmarikina2003@yahoo.com.ph" TargetMode="External"/><Relationship Id="rId12" Type="http://schemas.openxmlformats.org/officeDocument/2006/relationships/hyperlink" Target="https://www.umtc.com.ph/" TargetMode="External"/><Relationship Id="rId17" Type="http://schemas.openxmlformats.org/officeDocument/2006/relationships/hyperlink" Target="https://www.donboscoyouthcenter.online/" TargetMode="External"/><Relationship Id="rId25" Type="http://schemas.openxmlformats.org/officeDocument/2006/relationships/hyperlink" Target="https://www.sista.com.ph/" TargetMode="External"/><Relationship Id="rId33" Type="http://schemas.openxmlformats.org/officeDocument/2006/relationships/hyperlink" Target="mailto:gdbalbin@tesda.gov.ph" TargetMode="External"/><Relationship Id="rId2" Type="http://schemas.openxmlformats.org/officeDocument/2006/relationships/hyperlink" Target="tel:0285538078" TargetMode="External"/><Relationship Id="rId16" Type="http://schemas.openxmlformats.org/officeDocument/2006/relationships/hyperlink" Target="https://centerforasianculinarystudies.com/" TargetMode="External"/><Relationship Id="rId20" Type="http://schemas.openxmlformats.org/officeDocument/2006/relationships/hyperlink" Target="https://finetraining.co/" TargetMode="External"/><Relationship Id="rId29" Type="http://schemas.openxmlformats.org/officeDocument/2006/relationships/hyperlink" Target="https://plmar.edu.ph/" TargetMode="External"/><Relationship Id="rId1" Type="http://schemas.openxmlformats.org/officeDocument/2006/relationships/hyperlink" Target="mailto:twc@tesda.gov.ph" TargetMode="External"/><Relationship Id="rId6" Type="http://schemas.openxmlformats.org/officeDocument/2006/relationships/hyperlink" Target="mailto:seamactraining@yahoo.com" TargetMode="External"/><Relationship Id="rId11" Type="http://schemas.openxmlformats.org/officeDocument/2006/relationships/hyperlink" Target="https://powerlink3.wixsite.com/powerlinkgroup" TargetMode="External"/><Relationship Id="rId24" Type="http://schemas.openxmlformats.org/officeDocument/2006/relationships/hyperlink" Target="https://www.lsgh.edu.ph/" TargetMode="External"/><Relationship Id="rId32" Type="http://schemas.openxmlformats.org/officeDocument/2006/relationships/hyperlink" Target="https://www.rcti-elearning.com/?fbclid=IwY2xjawS8M1lleHRuA2FlbQIxMABicmlkETF1MlN4bjJpVkN6a2xHNENDc3J0YwZhcHBfaWQQMjIyMDM5MTc4ODIwMDg5MgABHsse20a-kx8qQZzgBEtMPjDQWQVaDKiODPt1be4_bNNBVzZ_htwzsLhcjn6F_aem_BpN-2npgquSQzmI1bA_K7A" TargetMode="External"/><Relationship Id="rId5" Type="http://schemas.openxmlformats.org/officeDocument/2006/relationships/hyperlink" Target="mailto:cpdcorp@gmail.com" TargetMode="External"/><Relationship Id="rId15" Type="http://schemas.openxmlformats.org/officeDocument/2006/relationships/hyperlink" Target="https://smitracked.cloud/" TargetMode="External"/><Relationship Id="rId23" Type="http://schemas.openxmlformats.org/officeDocument/2006/relationships/hyperlink" Target="https://centerforbarista.com/" TargetMode="External"/><Relationship Id="rId28" Type="http://schemas.openxmlformats.org/officeDocument/2006/relationships/hyperlink" Target="https://seamactraining.com/" TargetMode="External"/><Relationship Id="rId10" Type="http://schemas.openxmlformats.org/officeDocument/2006/relationships/hyperlink" Target="https://psaamanilatvet.com/" TargetMode="External"/><Relationship Id="rId19" Type="http://schemas.openxmlformats.org/officeDocument/2006/relationships/hyperlink" Target="http://www.qtekcenter.com/site/page/content" TargetMode="External"/><Relationship Id="rId31" Type="http://schemas.openxmlformats.org/officeDocument/2006/relationships/hyperlink" Target="https://astoriaculinaryandhospitalityinstitute.com/" TargetMode="External"/><Relationship Id="rId4" Type="http://schemas.openxmlformats.org/officeDocument/2006/relationships/hyperlink" Target="mailto:is.apae@lsgh.edu.ph" TargetMode="External"/><Relationship Id="rId9" Type="http://schemas.openxmlformats.org/officeDocument/2006/relationships/hyperlink" Target="https://twc.tesda.gov.ph/" TargetMode="External"/><Relationship Id="rId14" Type="http://schemas.openxmlformats.org/officeDocument/2006/relationships/hyperlink" Target="https://rtcncr.com/" TargetMode="External"/><Relationship Id="rId22" Type="http://schemas.openxmlformats.org/officeDocument/2006/relationships/hyperlink" Target="https://itchi-asia.com/" TargetMode="External"/><Relationship Id="rId27" Type="http://schemas.openxmlformats.org/officeDocument/2006/relationships/hyperlink" Target="http://academyasia.ph/" TargetMode="External"/><Relationship Id="rId30" Type="http://schemas.openxmlformats.org/officeDocument/2006/relationships/hyperlink" Target="https://www.asiasourceicollege.edu.ph/" TargetMode="External"/><Relationship Id="rId8" Type="http://schemas.openxmlformats.org/officeDocument/2006/relationships/hyperlink" Target="mailto:lakewoodschoolofalabang@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sanbenildo.edu.ph/tesda" TargetMode="External"/><Relationship Id="rId13" Type="http://schemas.openxmlformats.org/officeDocument/2006/relationships/hyperlink" Target="https://tesdartccalabarzon.com/" TargetMode="External"/><Relationship Id="rId18" Type="http://schemas.openxmlformats.org/officeDocument/2006/relationships/hyperlink" Target="https://bec.edu.ph/" TargetMode="External"/><Relationship Id="rId3" Type="http://schemas.openxmlformats.org/officeDocument/2006/relationships/hyperlink" Target="mailto:colegiodesantocristodeburgos@gmail.com" TargetMode="External"/><Relationship Id="rId21" Type="http://schemas.openxmlformats.org/officeDocument/2006/relationships/table" Target="../tables/table2.xml"/><Relationship Id="rId7" Type="http://schemas.openxmlformats.org/officeDocument/2006/relationships/hyperlink" Target="mailto:ptccainta@tesda.gov.ph" TargetMode="External"/><Relationship Id="rId12" Type="http://schemas.openxmlformats.org/officeDocument/2006/relationships/hyperlink" Target="https://www.jzgmsat.edu.ph/" TargetMode="External"/><Relationship Id="rId17" Type="http://schemas.openxmlformats.org/officeDocument/2006/relationships/hyperlink" Target="https://anihan.edu.ph/" TargetMode="External"/><Relationship Id="rId2" Type="http://schemas.openxmlformats.org/officeDocument/2006/relationships/hyperlink" Target="mailto:registration@qnas.edu.ph" TargetMode="External"/><Relationship Id="rId16" Type="http://schemas.openxmlformats.org/officeDocument/2006/relationships/hyperlink" Target="https://cdscdb.edu.ph/" TargetMode="External"/><Relationship Id="rId20" Type="http://schemas.openxmlformats.org/officeDocument/2006/relationships/hyperlink" Target="https://www.theforkstasi.com/" TargetMode="External"/><Relationship Id="rId1" Type="http://schemas.openxmlformats.org/officeDocument/2006/relationships/hyperlink" Target="mailto:jzgmsat@tesda.gov.ph" TargetMode="External"/><Relationship Id="rId6" Type="http://schemas.openxmlformats.org/officeDocument/2006/relationships/hyperlink" Target="mailto:beacon@bec.edu.ph" TargetMode="External"/><Relationship Id="rId11" Type="http://schemas.openxmlformats.org/officeDocument/2006/relationships/hyperlink" Target="https://baldestamon2004.neocities.org/" TargetMode="External"/><Relationship Id="rId5" Type="http://schemas.openxmlformats.org/officeDocument/2006/relationships/hyperlink" Target="mailto:autozone.trainingcenter@gmail.com" TargetMode="External"/><Relationship Id="rId15" Type="http://schemas.openxmlformats.org/officeDocument/2006/relationships/hyperlink" Target="https://qnas.edu.ph/" TargetMode="External"/><Relationship Id="rId10" Type="http://schemas.openxmlformats.org/officeDocument/2006/relationships/hyperlink" Target="https://autozone.driving.com.ph/" TargetMode="External"/><Relationship Id="rId19" Type="http://schemas.openxmlformats.org/officeDocument/2006/relationships/hyperlink" Target="https://www.spcastro.com/" TargetMode="External"/><Relationship Id="rId4" Type="http://schemas.openxmlformats.org/officeDocument/2006/relationships/hyperlink" Target="mailto:kamelo.batangas@gmail.com" TargetMode="External"/><Relationship Id="rId9" Type="http://schemas.openxmlformats.org/officeDocument/2006/relationships/hyperlink" Target="https://rptesdccainta.com/about" TargetMode="External"/><Relationship Id="rId14" Type="http://schemas.openxmlformats.org/officeDocument/2006/relationships/hyperlink" Target="https://learnatrsst.org/home.php"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mailto:info@itchi-asia.com" TargetMode="External"/><Relationship Id="rId18" Type="http://schemas.openxmlformats.org/officeDocument/2006/relationships/hyperlink" Target="mailto:jzgmsat@tesda.gov.ph" TargetMode="External"/><Relationship Id="rId26" Type="http://schemas.openxmlformats.org/officeDocument/2006/relationships/hyperlink" Target="mailto:colegiodesantocristodeburgos@gmail.com" TargetMode="External"/><Relationship Id="rId3" Type="http://schemas.openxmlformats.org/officeDocument/2006/relationships/hyperlink" Target="http://by.id/" TargetMode="External"/><Relationship Id="rId21" Type="http://schemas.openxmlformats.org/officeDocument/2006/relationships/hyperlink" Target="mailto:trainingcenter@sanbenildo.edu.ph" TargetMode="External"/><Relationship Id="rId34" Type="http://schemas.openxmlformats.org/officeDocument/2006/relationships/hyperlink" Target="mailto:theforksbatangas@yahoo.com" TargetMode="External"/><Relationship Id="rId7" Type="http://schemas.openxmlformats.org/officeDocument/2006/relationships/hyperlink" Target="mailto:wilfredo.luna@abbott.com" TargetMode="External"/><Relationship Id="rId12" Type="http://schemas.openxmlformats.org/officeDocument/2006/relationships/hyperlink" Target="mailto:rftc.socmed@gmail.com" TargetMode="External"/><Relationship Id="rId17" Type="http://schemas.openxmlformats.org/officeDocument/2006/relationships/hyperlink" Target="mailto:info@umtc.com.ph" TargetMode="External"/><Relationship Id="rId25" Type="http://schemas.openxmlformats.org/officeDocument/2006/relationships/hyperlink" Target="mailto:thebigfivetraining2018@gmail.com" TargetMode="External"/><Relationship Id="rId33" Type="http://schemas.openxmlformats.org/officeDocument/2006/relationships/hyperlink" Target="mailto:spcastroconstruction@gmail.com" TargetMode="External"/><Relationship Id="rId2" Type="http://schemas.openxmlformats.org/officeDocument/2006/relationships/hyperlink" Target="http://by.id/" TargetMode="External"/><Relationship Id="rId16" Type="http://schemas.openxmlformats.org/officeDocument/2006/relationships/hyperlink" Target="mailto:tvetoffice@sltcfi.com%20/" TargetMode="External"/><Relationship Id="rId20" Type="http://schemas.openxmlformats.org/officeDocument/2006/relationships/hyperlink" Target="mailto:trainingcenter@sanbenildo.edu.ph" TargetMode="External"/><Relationship Id="rId29" Type="http://schemas.openxmlformats.org/officeDocument/2006/relationships/hyperlink" Target="mailto:senen.olmos@anihan.edu.ph" TargetMode="External"/><Relationship Id="rId1" Type="http://schemas.openxmlformats.org/officeDocument/2006/relationships/hyperlink" Target="http://owner.id/" TargetMode="External"/><Relationship Id="rId6" Type="http://schemas.openxmlformats.org/officeDocument/2006/relationships/hyperlink" Target="http://deal.id/" TargetMode="External"/><Relationship Id="rId11" Type="http://schemas.openxmlformats.org/officeDocument/2006/relationships/hyperlink" Target="mailto:techvoc_skills.incorporated@yahoo.com" TargetMode="External"/><Relationship Id="rId24" Type="http://schemas.openxmlformats.org/officeDocument/2006/relationships/hyperlink" Target="mailto:renaissance_techvoc@yahoo.com.ph" TargetMode="External"/><Relationship Id="rId32" Type="http://schemas.openxmlformats.org/officeDocument/2006/relationships/hyperlink" Target="mailto:ptccainta@tesda.gov.ph" TargetMode="External"/><Relationship Id="rId5" Type="http://schemas.openxmlformats.org/officeDocument/2006/relationships/hyperlink" Target="http://contact.id/" TargetMode="External"/><Relationship Id="rId15" Type="http://schemas.openxmlformats.org/officeDocument/2006/relationships/hyperlink" Target="mailto:sociointerskillstvi@gmail.com" TargetMode="External"/><Relationship Id="rId23" Type="http://schemas.openxmlformats.org/officeDocument/2006/relationships/hyperlink" Target="mailto:LucenaTech@gmail.com" TargetMode="External"/><Relationship Id="rId28" Type="http://schemas.openxmlformats.org/officeDocument/2006/relationships/hyperlink" Target="mailto:lordyahwehmaritime@gmail.com" TargetMode="External"/><Relationship Id="rId10" Type="http://schemas.openxmlformats.org/officeDocument/2006/relationships/hyperlink" Target="mailto:techvoc.lakewood@gmail.com" TargetMode="External"/><Relationship Id="rId19" Type="http://schemas.openxmlformats.org/officeDocument/2006/relationships/hyperlink" Target="mailto:rtcbatangas@tesda.gov.ph" TargetMode="External"/><Relationship Id="rId31" Type="http://schemas.openxmlformats.org/officeDocument/2006/relationships/hyperlink" Target="mailto:divinemercyinstitute@gmail.com" TargetMode="External"/><Relationship Id="rId4" Type="http://schemas.openxmlformats.org/officeDocument/2006/relationships/hyperlink" Target="http://account.id/" TargetMode="External"/><Relationship Id="rId9" Type="http://schemas.openxmlformats.org/officeDocument/2006/relationships/hyperlink" Target="mailto:milestone.camanava2022@gmail.com%20/" TargetMode="External"/><Relationship Id="rId14" Type="http://schemas.openxmlformats.org/officeDocument/2006/relationships/hyperlink" Target="mailto:rcticorp@yahoo.com" TargetMode="External"/><Relationship Id="rId22" Type="http://schemas.openxmlformats.org/officeDocument/2006/relationships/hyperlink" Target="mailto:adaolearninginstituteinc@gmail.com" TargetMode="External"/><Relationship Id="rId27" Type="http://schemas.openxmlformats.org/officeDocument/2006/relationships/hyperlink" Target="mailto:lagunacollege.edu@gmail.com" TargetMode="External"/><Relationship Id="rId30" Type="http://schemas.openxmlformats.org/officeDocument/2006/relationships/hyperlink" Target="mailto:bec_registrar@yahoo.com" TargetMode="External"/><Relationship Id="rId8" Type="http://schemas.openxmlformats.org/officeDocument/2006/relationships/hyperlink" Target="mailto:seagem629@gmail.com"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github.com/BSDSBA-JF/wadwani_intern"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github.com/BSDSBA-JF/wadwani_inter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showGridLines="0" zoomScaleNormal="100" workbookViewId="0">
      <selection activeCell="B12" sqref="B12"/>
    </sheetView>
  </sheetViews>
  <sheetFormatPr baseColWidth="10" defaultColWidth="8.6640625" defaultRowHeight="15" x14ac:dyDescent="0.2"/>
  <cols>
    <col min="1" max="1" width="22" customWidth="1"/>
    <col min="2" max="2" width="95" customWidth="1"/>
  </cols>
  <sheetData>
    <row r="1" spans="1:2" ht="19" x14ac:dyDescent="0.2">
      <c r="A1" s="1" t="s">
        <v>2026</v>
      </c>
    </row>
    <row r="2" spans="1:2" x14ac:dyDescent="0.2">
      <c r="A2" s="2" t="s">
        <v>0</v>
      </c>
    </row>
    <row r="4" spans="1:2" x14ac:dyDescent="0.2">
      <c r="A4" s="3"/>
      <c r="B4" s="23"/>
    </row>
    <row r="5" spans="1:2" x14ac:dyDescent="0.2">
      <c r="A5" s="3" t="s">
        <v>1</v>
      </c>
      <c r="B5" s="23"/>
    </row>
    <row r="6" spans="1:2" x14ac:dyDescent="0.2">
      <c r="A6" s="3" t="s">
        <v>2</v>
      </c>
      <c r="B6" s="23" t="s">
        <v>3</v>
      </c>
    </row>
    <row r="7" spans="1:2" ht="28" x14ac:dyDescent="0.2">
      <c r="A7" s="3" t="s">
        <v>4</v>
      </c>
      <c r="B7" s="23" t="s">
        <v>5</v>
      </c>
    </row>
    <row r="8" spans="1:2" x14ac:dyDescent="0.2">
      <c r="A8" s="3" t="s">
        <v>6</v>
      </c>
      <c r="B8" s="23" t="s">
        <v>7</v>
      </c>
    </row>
    <row r="9" spans="1:2" x14ac:dyDescent="0.2">
      <c r="A9" s="3"/>
      <c r="B9" s="23"/>
    </row>
    <row r="10" spans="1:2" x14ac:dyDescent="0.2">
      <c r="A10" s="3" t="s">
        <v>8</v>
      </c>
      <c r="B10" s="23"/>
    </row>
    <row r="11" spans="1:2" ht="28" x14ac:dyDescent="0.2">
      <c r="A11" s="3" t="s">
        <v>9</v>
      </c>
      <c r="B11" s="23" t="s">
        <v>10</v>
      </c>
    </row>
    <row r="12" spans="1:2" ht="42" x14ac:dyDescent="0.2">
      <c r="A12" s="3" t="s">
        <v>11</v>
      </c>
      <c r="B12" s="23" t="s">
        <v>12</v>
      </c>
    </row>
    <row r="13" spans="1:2" x14ac:dyDescent="0.2">
      <c r="A13" s="3"/>
      <c r="B13" s="23"/>
    </row>
    <row r="14" spans="1:2" x14ac:dyDescent="0.2">
      <c r="A14" s="3" t="s">
        <v>13</v>
      </c>
      <c r="B14" s="23"/>
    </row>
    <row r="15" spans="1:2" x14ac:dyDescent="0.2">
      <c r="A15" s="3" t="s">
        <v>14</v>
      </c>
      <c r="B15" s="23" t="s">
        <v>15</v>
      </c>
    </row>
    <row r="16" spans="1:2" ht="28" x14ac:dyDescent="0.2">
      <c r="A16" s="3" t="s">
        <v>16</v>
      </c>
      <c r="B16" s="23" t="s">
        <v>17</v>
      </c>
    </row>
    <row r="17" spans="1:2" x14ac:dyDescent="0.2">
      <c r="A17" s="3"/>
      <c r="B17" s="23"/>
    </row>
    <row r="18" spans="1:2" x14ac:dyDescent="0.2">
      <c r="A18" s="3" t="s">
        <v>18</v>
      </c>
      <c r="B18" s="23"/>
    </row>
    <row r="19" spans="1:2" ht="28" x14ac:dyDescent="0.2">
      <c r="A19" s="3" t="s">
        <v>19</v>
      </c>
      <c r="B19" s="23" t="s">
        <v>20</v>
      </c>
    </row>
    <row r="20" spans="1:2" ht="28" x14ac:dyDescent="0.2">
      <c r="A20" s="3" t="s">
        <v>21</v>
      </c>
      <c r="B20" s="23" t="s">
        <v>22</v>
      </c>
    </row>
    <row r="21" spans="1:2" ht="28" x14ac:dyDescent="0.2">
      <c r="A21" s="3" t="s">
        <v>23</v>
      </c>
      <c r="B21" s="23" t="s">
        <v>24</v>
      </c>
    </row>
    <row r="22" spans="1:2" ht="42" x14ac:dyDescent="0.2">
      <c r="A22" s="3" t="s">
        <v>25</v>
      </c>
      <c r="B22" s="23" t="s">
        <v>26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560"/>
  <sheetViews>
    <sheetView showGridLines="0" zoomScale="93" zoomScaleNormal="130" workbookViewId="0">
      <pane xSplit="2" ySplit="4" topLeftCell="M56" activePane="bottomRight" state="frozen"/>
      <selection pane="topRight" activeCell="C1" sqref="C1"/>
      <selection pane="bottomLeft" activeCell="A5" sqref="A5"/>
      <selection pane="bottomRight" activeCell="I552" sqref="I552"/>
    </sheetView>
  </sheetViews>
  <sheetFormatPr baseColWidth="10" defaultColWidth="8.6640625" defaultRowHeight="15" x14ac:dyDescent="0.2"/>
  <cols>
    <col min="1" max="1" width="7.83203125" customWidth="1"/>
    <col min="2" max="2" width="70.33203125" customWidth="1"/>
    <col min="3" max="3" width="8.1640625" customWidth="1"/>
    <col min="4" max="4" width="11" customWidth="1"/>
    <col min="5" max="5" width="12" customWidth="1"/>
    <col min="6" max="6" width="11.33203125" customWidth="1"/>
    <col min="7" max="7" width="11" customWidth="1"/>
    <col min="8" max="8" width="10.1640625" customWidth="1"/>
    <col min="9" max="9" width="11.83203125" customWidth="1"/>
    <col min="10" max="10" width="11.33203125" customWidth="1"/>
    <col min="11" max="11" width="10" customWidth="1"/>
    <col min="12" max="12" width="72" customWidth="1"/>
    <col min="13" max="13" width="26.6640625" style="16" customWidth="1"/>
    <col min="14" max="14" width="25.83203125" style="16" customWidth="1"/>
    <col min="15" max="15" width="22" style="16" customWidth="1"/>
    <col min="16" max="16" width="29.83203125" style="16" customWidth="1"/>
    <col min="17" max="17" width="20.6640625" customWidth="1"/>
    <col min="18" max="18" width="78" customWidth="1"/>
    <col min="19" max="19" width="37.5" customWidth="1"/>
    <col min="20" max="20" width="22.83203125" bestFit="1" customWidth="1"/>
    <col min="21" max="23" width="22.83203125" customWidth="1"/>
    <col min="24" max="24" width="20.6640625" customWidth="1"/>
    <col min="25" max="25" width="27.1640625" style="16" customWidth="1"/>
    <col min="26" max="26" width="20.6640625" style="16" customWidth="1"/>
    <col min="27" max="27" width="22" style="16" customWidth="1"/>
    <col min="28" max="28" width="20.6640625" style="16" customWidth="1"/>
    <col min="29" max="29" width="10" customWidth="1"/>
    <col min="30" max="30" width="22.5" style="24" customWidth="1"/>
    <col min="31" max="31" width="19.1640625" style="24" customWidth="1"/>
    <col min="32" max="32" width="10" customWidth="1"/>
    <col min="33" max="33" width="15.83203125" customWidth="1"/>
    <col min="34" max="34" width="42.5" customWidth="1"/>
  </cols>
  <sheetData>
    <row r="1" spans="1:34" ht="19" x14ac:dyDescent="0.2">
      <c r="A1" s="1" t="s">
        <v>2266</v>
      </c>
      <c r="C1" s="20" t="s">
        <v>1424</v>
      </c>
    </row>
    <row r="2" spans="1:34" x14ac:dyDescent="0.2">
      <c r="A2" s="2" t="s">
        <v>1425</v>
      </c>
      <c r="C2" s="21" t="s">
        <v>1426</v>
      </c>
      <c r="D2" s="20"/>
      <c r="E2" s="22" t="s">
        <v>1427</v>
      </c>
      <c r="F2" s="20"/>
      <c r="G2" s="20"/>
      <c r="H2" s="22" t="s">
        <v>1428</v>
      </c>
    </row>
    <row r="3" spans="1:34" x14ac:dyDescent="0.2">
      <c r="AD3" s="25"/>
    </row>
    <row r="4" spans="1:34" ht="28" x14ac:dyDescent="0.2">
      <c r="A4" s="42" t="s">
        <v>1429</v>
      </c>
      <c r="B4" s="4" t="s">
        <v>1430</v>
      </c>
      <c r="C4" s="4" t="s">
        <v>1431</v>
      </c>
      <c r="D4" s="4" t="s">
        <v>37</v>
      </c>
      <c r="E4" s="4" t="s">
        <v>38</v>
      </c>
      <c r="F4" s="4" t="s">
        <v>40</v>
      </c>
      <c r="G4" s="4" t="s">
        <v>41</v>
      </c>
      <c r="H4" s="4" t="s">
        <v>1432</v>
      </c>
      <c r="I4" s="4" t="s">
        <v>1433</v>
      </c>
      <c r="J4" s="4" t="s">
        <v>1434</v>
      </c>
      <c r="K4" t="s">
        <v>19</v>
      </c>
      <c r="L4" s="17" t="s">
        <v>1435</v>
      </c>
      <c r="M4" s="17" t="s">
        <v>1436</v>
      </c>
      <c r="N4" s="17" t="s">
        <v>1437</v>
      </c>
      <c r="O4" s="17" t="s">
        <v>1438</v>
      </c>
      <c r="P4" s="17" t="s">
        <v>1439</v>
      </c>
      <c r="Q4" s="45" t="s">
        <v>1440</v>
      </c>
      <c r="R4" s="31" t="s">
        <v>1441</v>
      </c>
      <c r="S4" s="31" t="s">
        <v>1442</v>
      </c>
      <c r="T4" s="31" t="s">
        <v>1443</v>
      </c>
      <c r="U4" s="31" t="s">
        <v>1444</v>
      </c>
      <c r="V4" s="31" t="s">
        <v>1445</v>
      </c>
      <c r="W4" s="31" t="s">
        <v>1446</v>
      </c>
      <c r="X4" s="31" t="s">
        <v>1447</v>
      </c>
      <c r="Y4" s="31" t="s">
        <v>1448</v>
      </c>
      <c r="Z4" s="31" t="s">
        <v>1449</v>
      </c>
      <c r="AA4" s="31" t="s">
        <v>1450</v>
      </c>
      <c r="AB4" s="40" t="s">
        <v>1451</v>
      </c>
      <c r="AC4" t="s">
        <v>21</v>
      </c>
      <c r="AD4" s="17" t="s">
        <v>1452</v>
      </c>
      <c r="AE4" s="17" t="s">
        <v>1453</v>
      </c>
      <c r="AF4" t="s">
        <v>23</v>
      </c>
      <c r="AG4" s="31" t="s">
        <v>1454</v>
      </c>
      <c r="AH4" s="31" t="s">
        <v>1455</v>
      </c>
    </row>
    <row r="5" spans="1:34" x14ac:dyDescent="0.2">
      <c r="A5" s="44">
        <v>1</v>
      </c>
      <c r="B5" s="15" t="s">
        <v>42</v>
      </c>
      <c r="C5" s="14">
        <v>3</v>
      </c>
      <c r="D5" s="36">
        <v>2741</v>
      </c>
      <c r="E5" s="36">
        <v>3191</v>
      </c>
      <c r="F5" s="36">
        <v>0</v>
      </c>
      <c r="G5" s="36">
        <v>0</v>
      </c>
      <c r="H5" s="36">
        <v>20</v>
      </c>
      <c r="I5" s="37">
        <f t="shared" ref="I5:I36" si="0">IF(D5=0,"-",E5/D5)</f>
        <v>1.1641736592484495</v>
      </c>
      <c r="J5" s="37" t="str">
        <f t="shared" ref="J5:J36" si="1">IF(F5=0,"-",G5/F5)</f>
        <v>-</v>
      </c>
      <c r="K5">
        <v>1</v>
      </c>
      <c r="L5" t="s">
        <v>1456</v>
      </c>
      <c r="M5" s="16" t="s">
        <v>1457</v>
      </c>
      <c r="N5" s="16" t="s">
        <v>1457</v>
      </c>
      <c r="O5" s="16" t="s">
        <v>1457</v>
      </c>
      <c r="P5" s="16" t="s">
        <v>1457</v>
      </c>
      <c r="Q5" s="16" t="s">
        <v>1457</v>
      </c>
      <c r="R5" s="54"/>
      <c r="AD5" s="28"/>
      <c r="AG5" cm="1">
        <f t="array" ref="AG5">SUMPRODUCT(--(M5:Q5="YES"))</f>
        <v>0</v>
      </c>
      <c r="AH5">
        <f>COUNTIF($AG$5:AG5, "&gt;=3")</f>
        <v>0</v>
      </c>
    </row>
    <row r="6" spans="1:34" ht="16" x14ac:dyDescent="0.2">
      <c r="A6" s="43">
        <v>2</v>
      </c>
      <c r="B6" s="13" t="s">
        <v>182</v>
      </c>
      <c r="C6" s="33">
        <v>18</v>
      </c>
      <c r="D6" s="34">
        <v>2422</v>
      </c>
      <c r="E6" s="34">
        <v>2491</v>
      </c>
      <c r="F6" s="34">
        <v>0</v>
      </c>
      <c r="G6" s="34">
        <v>0</v>
      </c>
      <c r="H6" s="34">
        <v>25</v>
      </c>
      <c r="I6" s="35">
        <f t="shared" si="0"/>
        <v>1.0284888521882742</v>
      </c>
      <c r="J6" s="35" t="str">
        <f t="shared" si="1"/>
        <v>-</v>
      </c>
      <c r="K6">
        <v>1</v>
      </c>
      <c r="L6" t="s">
        <v>1458</v>
      </c>
      <c r="M6" s="16" t="s">
        <v>1459</v>
      </c>
      <c r="N6" s="16" t="s">
        <v>1459</v>
      </c>
      <c r="O6" s="16" t="s">
        <v>1459</v>
      </c>
      <c r="P6" s="16" t="s">
        <v>1459</v>
      </c>
      <c r="Q6" s="16" t="s">
        <v>1459</v>
      </c>
      <c r="R6" s="52" t="s">
        <v>1460</v>
      </c>
      <c r="S6" s="11" t="s">
        <v>1459</v>
      </c>
      <c r="T6" s="11" t="s">
        <v>1461</v>
      </c>
      <c r="U6" s="11" t="s">
        <v>1462</v>
      </c>
      <c r="V6" s="11" t="s">
        <v>1463</v>
      </c>
      <c r="W6" s="57" t="s">
        <v>1464</v>
      </c>
      <c r="X6" t="s">
        <v>1459</v>
      </c>
      <c r="Y6" s="16" t="s">
        <v>1465</v>
      </c>
      <c r="Z6" s="16" t="s">
        <v>1465</v>
      </c>
      <c r="AA6" s="16" t="s">
        <v>1465</v>
      </c>
      <c r="AB6" s="16" t="s">
        <v>1465</v>
      </c>
      <c r="AD6" s="27" t="s">
        <v>1466</v>
      </c>
      <c r="AE6" s="29" t="s">
        <v>1467</v>
      </c>
      <c r="AG6" cm="1">
        <f t="array" ref="AG6">SUMPRODUCT(--(M6:Q6="YES"))</f>
        <v>5</v>
      </c>
      <c r="AH6">
        <f>COUNTIF($AG$5:AG6, "&gt;=3")</f>
        <v>1</v>
      </c>
    </row>
    <row r="7" spans="1:34" ht="16" x14ac:dyDescent="0.2">
      <c r="A7" s="44">
        <v>3</v>
      </c>
      <c r="B7" s="15" t="s">
        <v>529</v>
      </c>
      <c r="C7" s="14">
        <v>7</v>
      </c>
      <c r="D7" s="36">
        <v>2126</v>
      </c>
      <c r="E7" s="36">
        <v>325</v>
      </c>
      <c r="F7" s="36">
        <v>5627</v>
      </c>
      <c r="G7" s="36">
        <v>5549</v>
      </c>
      <c r="H7" s="36">
        <v>16</v>
      </c>
      <c r="I7" s="37">
        <f t="shared" si="0"/>
        <v>0.15286923800564439</v>
      </c>
      <c r="J7" s="37">
        <f t="shared" si="1"/>
        <v>0.98613826195130616</v>
      </c>
      <c r="K7">
        <v>1</v>
      </c>
      <c r="L7" t="s">
        <v>1468</v>
      </c>
      <c r="M7" s="16" t="s">
        <v>1457</v>
      </c>
      <c r="N7" s="16" t="s">
        <v>1457</v>
      </c>
      <c r="O7" s="16" t="s">
        <v>1459</v>
      </c>
      <c r="P7" s="16" t="s">
        <v>1459</v>
      </c>
      <c r="Q7" s="16" t="s">
        <v>1459</v>
      </c>
      <c r="R7" s="53" t="s">
        <v>1469</v>
      </c>
      <c r="S7" t="s">
        <v>1459</v>
      </c>
      <c r="Y7" t="s">
        <v>1470</v>
      </c>
      <c r="Z7" s="16" t="s">
        <v>1471</v>
      </c>
      <c r="AA7" s="16" t="s">
        <v>1472</v>
      </c>
      <c r="AB7" s="16" t="s">
        <v>1473</v>
      </c>
      <c r="AG7" cm="1">
        <f t="array" ref="AG7">SUMPRODUCT(--(M7:Q7="YES"))</f>
        <v>3</v>
      </c>
      <c r="AH7">
        <f>COUNTIF($AG$5:AG7, "&gt;=3")</f>
        <v>2</v>
      </c>
    </row>
    <row r="8" spans="1:34" x14ac:dyDescent="0.2">
      <c r="A8" s="43">
        <v>4</v>
      </c>
      <c r="B8" s="13" t="s">
        <v>57</v>
      </c>
      <c r="C8" s="33">
        <v>3</v>
      </c>
      <c r="D8" s="34">
        <v>2114</v>
      </c>
      <c r="E8" s="34">
        <v>2193</v>
      </c>
      <c r="F8" s="34">
        <v>1221</v>
      </c>
      <c r="G8" s="34">
        <v>1205</v>
      </c>
      <c r="H8" s="34">
        <v>19</v>
      </c>
      <c r="I8" s="35">
        <f t="shared" si="0"/>
        <v>1.0373699148533586</v>
      </c>
      <c r="J8" s="35">
        <f t="shared" si="1"/>
        <v>0.9868959868959869</v>
      </c>
      <c r="K8">
        <v>1</v>
      </c>
      <c r="L8" t="s">
        <v>1474</v>
      </c>
      <c r="M8" s="16" t="s">
        <v>1457</v>
      </c>
      <c r="N8" s="16" t="s">
        <v>1457</v>
      </c>
      <c r="O8" s="16" t="s">
        <v>1459</v>
      </c>
      <c r="P8" s="16" t="s">
        <v>1457</v>
      </c>
      <c r="Q8" s="16" t="s">
        <v>1457</v>
      </c>
      <c r="R8" s="54"/>
      <c r="AG8" cm="1">
        <f t="array" ref="AG8">SUMPRODUCT(--(M8:Q8="YES"))</f>
        <v>1</v>
      </c>
      <c r="AH8">
        <f>COUNTIF($AG$5:AG8, "&gt;=3")</f>
        <v>2</v>
      </c>
    </row>
    <row r="9" spans="1:34" x14ac:dyDescent="0.2">
      <c r="A9" s="44">
        <v>5</v>
      </c>
      <c r="B9" s="15" t="s">
        <v>66</v>
      </c>
      <c r="C9" s="14">
        <v>4</v>
      </c>
      <c r="D9" s="36">
        <v>2028</v>
      </c>
      <c r="E9" s="36">
        <v>1917</v>
      </c>
      <c r="F9" s="36">
        <v>817</v>
      </c>
      <c r="G9" s="36">
        <v>812</v>
      </c>
      <c r="H9" s="36">
        <v>12</v>
      </c>
      <c r="I9" s="37">
        <f t="shared" si="0"/>
        <v>0.94526627218934911</v>
      </c>
      <c r="J9" s="37">
        <f t="shared" si="1"/>
        <v>0.99388004895960835</v>
      </c>
      <c r="K9">
        <v>1</v>
      </c>
      <c r="L9" t="s">
        <v>1475</v>
      </c>
      <c r="M9" s="16" t="s">
        <v>1459</v>
      </c>
      <c r="N9" s="16" t="s">
        <v>1459</v>
      </c>
      <c r="O9" s="16" t="s">
        <v>1459</v>
      </c>
      <c r="P9" s="16" t="s">
        <v>1459</v>
      </c>
      <c r="Q9" s="16" t="s">
        <v>1457</v>
      </c>
      <c r="R9" s="54"/>
      <c r="S9" t="s">
        <v>1459</v>
      </c>
      <c r="T9" t="s">
        <v>1476</v>
      </c>
      <c r="U9" t="s">
        <v>1477</v>
      </c>
      <c r="V9" t="s">
        <v>1478</v>
      </c>
      <c r="Y9" s="16" t="s">
        <v>1465</v>
      </c>
      <c r="Z9" s="16" t="s">
        <v>1465</v>
      </c>
      <c r="AA9" s="16" t="s">
        <v>1465</v>
      </c>
      <c r="AB9" s="16" t="s">
        <v>1465</v>
      </c>
      <c r="AD9" s="24" t="s">
        <v>1465</v>
      </c>
      <c r="AE9" s="24" t="s">
        <v>1479</v>
      </c>
      <c r="AG9" cm="1">
        <f t="array" ref="AG9">SUMPRODUCT(--(M9:Q9="YES"))</f>
        <v>4</v>
      </c>
      <c r="AH9">
        <f>COUNTIF($AG$5:AG9, "&gt;=3")</f>
        <v>3</v>
      </c>
    </row>
    <row r="10" spans="1:34" x14ac:dyDescent="0.2">
      <c r="A10" s="43">
        <v>6</v>
      </c>
      <c r="B10" s="13" t="s">
        <v>135</v>
      </c>
      <c r="C10" s="33">
        <v>12</v>
      </c>
      <c r="D10" s="34">
        <v>1831</v>
      </c>
      <c r="E10" s="34">
        <v>1972</v>
      </c>
      <c r="F10" s="34">
        <v>1666</v>
      </c>
      <c r="G10" s="34">
        <v>1658</v>
      </c>
      <c r="H10" s="34">
        <v>9</v>
      </c>
      <c r="I10" s="35">
        <f t="shared" si="0"/>
        <v>1.0770070999453851</v>
      </c>
      <c r="J10" s="35">
        <f t="shared" si="1"/>
        <v>0.99519807923169268</v>
      </c>
      <c r="K10">
        <v>1</v>
      </c>
      <c r="L10" t="s">
        <v>1480</v>
      </c>
      <c r="M10" s="16" t="s">
        <v>1459</v>
      </c>
      <c r="N10" s="16" t="s">
        <v>1459</v>
      </c>
      <c r="O10" s="16" t="s">
        <v>1459</v>
      </c>
      <c r="P10" s="16" t="s">
        <v>1457</v>
      </c>
      <c r="Q10" s="16" t="s">
        <v>1457</v>
      </c>
      <c r="R10" s="54"/>
      <c r="AC10" s="26"/>
      <c r="AG10" cm="1">
        <f t="array" ref="AG10">SUMPRODUCT(--(M10:Q10="YES"))</f>
        <v>3</v>
      </c>
      <c r="AH10">
        <f>COUNTIF($AG$5:AG10, "&gt;=3")</f>
        <v>4</v>
      </c>
    </row>
    <row r="11" spans="1:34" x14ac:dyDescent="0.2">
      <c r="A11" s="44">
        <v>7</v>
      </c>
      <c r="B11" s="15" t="s">
        <v>84</v>
      </c>
      <c r="C11" s="14">
        <v>13</v>
      </c>
      <c r="D11" s="36">
        <v>1722</v>
      </c>
      <c r="E11" s="36">
        <v>1703</v>
      </c>
      <c r="F11" s="36">
        <v>1978</v>
      </c>
      <c r="G11" s="36">
        <v>1935</v>
      </c>
      <c r="H11" s="36">
        <v>27</v>
      </c>
      <c r="I11" s="37">
        <f t="shared" si="0"/>
        <v>0.9889663182346109</v>
      </c>
      <c r="J11" s="37">
        <f t="shared" si="1"/>
        <v>0.97826086956521741</v>
      </c>
      <c r="L11" t="s">
        <v>1481</v>
      </c>
      <c r="M11" s="16" t="s">
        <v>1459</v>
      </c>
      <c r="N11" s="16" t="s">
        <v>1459</v>
      </c>
      <c r="O11" s="16" t="s">
        <v>1459</v>
      </c>
      <c r="P11" s="16" t="s">
        <v>1459</v>
      </c>
      <c r="Q11" s="16" t="s">
        <v>1457</v>
      </c>
      <c r="R11" s="54"/>
      <c r="S11" t="s">
        <v>1459</v>
      </c>
      <c r="Y11" s="24" t="s">
        <v>1482</v>
      </c>
      <c r="Z11" s="16" t="s">
        <v>1483</v>
      </c>
      <c r="AA11" s="16" t="s">
        <v>1484</v>
      </c>
      <c r="AB11" s="24" t="s">
        <v>1485</v>
      </c>
      <c r="AD11" s="24" t="s">
        <v>1486</v>
      </c>
      <c r="AE11" s="24" t="s">
        <v>1487</v>
      </c>
      <c r="AG11" cm="1">
        <f t="array" ref="AG11">SUMPRODUCT(--(M11:Q11="YES"))</f>
        <v>4</v>
      </c>
      <c r="AH11">
        <f>COUNTIF($AG$5:AG11, "&gt;=3")</f>
        <v>5</v>
      </c>
    </row>
    <row r="12" spans="1:34" ht="16" x14ac:dyDescent="0.2">
      <c r="A12" s="43">
        <v>8</v>
      </c>
      <c r="B12" s="13" t="s">
        <v>150</v>
      </c>
      <c r="C12" s="33">
        <v>16</v>
      </c>
      <c r="D12" s="34">
        <v>1476</v>
      </c>
      <c r="E12" s="34">
        <v>1169</v>
      </c>
      <c r="F12" s="34">
        <v>3929</v>
      </c>
      <c r="G12" s="34">
        <v>3894</v>
      </c>
      <c r="H12" s="34">
        <v>20</v>
      </c>
      <c r="I12" s="35">
        <f t="shared" si="0"/>
        <v>0.79200542005420049</v>
      </c>
      <c r="J12" s="35">
        <f t="shared" si="1"/>
        <v>0.99109188088572153</v>
      </c>
      <c r="K12">
        <v>1</v>
      </c>
      <c r="L12" t="s">
        <v>1488</v>
      </c>
      <c r="M12" s="16" t="s">
        <v>1459</v>
      </c>
      <c r="N12" s="16" t="s">
        <v>1459</v>
      </c>
      <c r="O12" s="16" t="s">
        <v>1459</v>
      </c>
      <c r="P12" s="16" t="s">
        <v>1459</v>
      </c>
      <c r="Q12" s="16" t="s">
        <v>1459</v>
      </c>
      <c r="R12" s="52" t="s">
        <v>1489</v>
      </c>
      <c r="S12" s="11" t="s">
        <v>1459</v>
      </c>
      <c r="T12" s="11" t="s">
        <v>1490</v>
      </c>
      <c r="U12" s="11" t="s">
        <v>1491</v>
      </c>
      <c r="V12" s="11" t="s">
        <v>1492</v>
      </c>
      <c r="W12" s="11" t="s">
        <v>1465</v>
      </c>
      <c r="X12" s="16"/>
      <c r="Y12" s="16" t="s">
        <v>1465</v>
      </c>
      <c r="Z12" s="16" t="s">
        <v>1465</v>
      </c>
      <c r="AA12" s="16" t="s">
        <v>1465</v>
      </c>
      <c r="AB12" s="16" t="s">
        <v>1465</v>
      </c>
      <c r="AD12" s="24" t="s">
        <v>1493</v>
      </c>
      <c r="AE12" s="24" t="s">
        <v>1494</v>
      </c>
      <c r="AG12" cm="1">
        <f t="array" ref="AG12">SUMPRODUCT(--(M12:Q12="YES"))</f>
        <v>5</v>
      </c>
      <c r="AH12">
        <f>COUNTIF($AG$5:AG12, "&gt;=3")</f>
        <v>6</v>
      </c>
    </row>
    <row r="13" spans="1:34" ht="16" x14ac:dyDescent="0.2">
      <c r="A13" s="44">
        <v>9</v>
      </c>
      <c r="B13" s="15" t="s">
        <v>148</v>
      </c>
      <c r="C13" s="14">
        <v>5</v>
      </c>
      <c r="D13" s="36">
        <v>1468</v>
      </c>
      <c r="E13" s="36">
        <v>1214</v>
      </c>
      <c r="F13" s="36">
        <v>0</v>
      </c>
      <c r="G13" s="36">
        <v>0</v>
      </c>
      <c r="H13" s="36">
        <v>19</v>
      </c>
      <c r="I13" s="37">
        <f t="shared" si="0"/>
        <v>0.82697547683923711</v>
      </c>
      <c r="J13" s="37" t="str">
        <f t="shared" si="1"/>
        <v>-</v>
      </c>
      <c r="K13">
        <v>1</v>
      </c>
      <c r="L13" t="s">
        <v>1495</v>
      </c>
      <c r="M13" s="16" t="s">
        <v>1459</v>
      </c>
      <c r="N13" s="16" t="s">
        <v>1457</v>
      </c>
      <c r="O13" s="16" t="s">
        <v>1459</v>
      </c>
      <c r="P13" s="16" t="s">
        <v>1459</v>
      </c>
      <c r="Q13" s="16" t="s">
        <v>1459</v>
      </c>
      <c r="R13" s="53" t="s">
        <v>1496</v>
      </c>
      <c r="S13" t="s">
        <v>1497</v>
      </c>
      <c r="Y13" t="s">
        <v>1470</v>
      </c>
      <c r="Z13" t="s">
        <v>1482</v>
      </c>
      <c r="AA13" s="16" t="s">
        <v>1484</v>
      </c>
      <c r="AB13" s="24" t="s">
        <v>1485</v>
      </c>
      <c r="AD13" s="24" t="s">
        <v>1498</v>
      </c>
      <c r="AE13" s="24" t="s">
        <v>1499</v>
      </c>
      <c r="AG13" cm="1">
        <f t="array" ref="AG13">SUMPRODUCT(--(M13:Q13="YES"))</f>
        <v>4</v>
      </c>
      <c r="AH13">
        <f>COUNTIF($AG$5:AG13, "&gt;=3")</f>
        <v>7</v>
      </c>
    </row>
    <row r="14" spans="1:34" x14ac:dyDescent="0.2">
      <c r="A14" s="44">
        <v>11</v>
      </c>
      <c r="B14" s="15" t="s">
        <v>129</v>
      </c>
      <c r="C14" s="14">
        <v>4</v>
      </c>
      <c r="D14" s="36">
        <v>1384</v>
      </c>
      <c r="E14" s="36">
        <v>1675</v>
      </c>
      <c r="F14" s="36">
        <v>0</v>
      </c>
      <c r="G14" s="36">
        <v>0</v>
      </c>
      <c r="H14" s="36">
        <v>15</v>
      </c>
      <c r="I14" s="37">
        <f t="shared" si="0"/>
        <v>1.2102601156069364</v>
      </c>
      <c r="J14" s="37" t="str">
        <f t="shared" si="1"/>
        <v>-</v>
      </c>
      <c r="K14">
        <v>1</v>
      </c>
      <c r="L14" s="51" t="s">
        <v>1500</v>
      </c>
      <c r="M14" s="16" t="s">
        <v>1459</v>
      </c>
      <c r="N14" s="16" t="s">
        <v>1459</v>
      </c>
      <c r="O14" s="16" t="s">
        <v>1459</v>
      </c>
      <c r="P14" s="16" t="s">
        <v>1459</v>
      </c>
      <c r="Q14" s="16" t="s">
        <v>1457</v>
      </c>
      <c r="R14" s="54"/>
      <c r="S14" t="s">
        <v>1465</v>
      </c>
      <c r="Y14" s="16" t="s">
        <v>1465</v>
      </c>
      <c r="Z14" s="16" t="s">
        <v>1465</v>
      </c>
      <c r="AA14" s="16" t="s">
        <v>1465</v>
      </c>
      <c r="AB14" s="16" t="s">
        <v>1465</v>
      </c>
      <c r="AG14" cm="1">
        <f t="array" ref="AG14">SUMPRODUCT(--(M14:Q14="YES"))</f>
        <v>4</v>
      </c>
      <c r="AH14">
        <f>COUNTIF($AG$5:AG14, "&gt;=3")</f>
        <v>8</v>
      </c>
    </row>
    <row r="15" spans="1:34" x14ac:dyDescent="0.2">
      <c r="A15" s="43">
        <v>12</v>
      </c>
      <c r="B15" s="13" t="s">
        <v>71</v>
      </c>
      <c r="C15" s="33">
        <v>3</v>
      </c>
      <c r="D15" s="34">
        <v>1377</v>
      </c>
      <c r="E15" s="34">
        <v>1318</v>
      </c>
      <c r="F15" s="34">
        <v>1012</v>
      </c>
      <c r="G15" s="34">
        <v>1010</v>
      </c>
      <c r="H15" s="34">
        <v>6</v>
      </c>
      <c r="I15" s="35">
        <f t="shared" si="0"/>
        <v>0.95715323166303556</v>
      </c>
      <c r="J15" s="35">
        <f t="shared" si="1"/>
        <v>0.99802371541501977</v>
      </c>
      <c r="L15" t="s">
        <v>1501</v>
      </c>
      <c r="M15" s="16" t="s">
        <v>1459</v>
      </c>
      <c r="N15" s="16" t="s">
        <v>1459</v>
      </c>
      <c r="O15" s="16" t="s">
        <v>1459</v>
      </c>
      <c r="P15" s="16" t="s">
        <v>1459</v>
      </c>
      <c r="Q15" s="16" t="s">
        <v>1457</v>
      </c>
      <c r="R15" s="54"/>
      <c r="Y15" s="24" t="s">
        <v>1482</v>
      </c>
      <c r="Z15" t="s">
        <v>1502</v>
      </c>
      <c r="AA15" s="16" t="s">
        <v>1484</v>
      </c>
      <c r="AB15" t="s">
        <v>1503</v>
      </c>
      <c r="AD15" s="24" t="s">
        <v>1504</v>
      </c>
      <c r="AE15" s="24" t="s">
        <v>1505</v>
      </c>
      <c r="AG15" cm="1">
        <f t="array" ref="AG15">SUMPRODUCT(--(M15:Q15="YES"))</f>
        <v>4</v>
      </c>
      <c r="AH15">
        <f>COUNTIF($AG$5:AG15, "&gt;=3")</f>
        <v>9</v>
      </c>
    </row>
    <row r="16" spans="1:34" x14ac:dyDescent="0.2">
      <c r="A16" s="44">
        <v>13</v>
      </c>
      <c r="B16" s="15" t="s">
        <v>118</v>
      </c>
      <c r="C16" s="14">
        <v>5</v>
      </c>
      <c r="D16" s="36">
        <v>1369</v>
      </c>
      <c r="E16" s="36">
        <v>1006</v>
      </c>
      <c r="F16" s="36">
        <v>1294</v>
      </c>
      <c r="G16" s="36">
        <v>1289</v>
      </c>
      <c r="H16" s="36">
        <v>12</v>
      </c>
      <c r="I16" s="37">
        <f t="shared" si="0"/>
        <v>0.7348429510591673</v>
      </c>
      <c r="J16" s="37">
        <f t="shared" si="1"/>
        <v>0.99613601236476046</v>
      </c>
      <c r="K16">
        <v>1</v>
      </c>
      <c r="L16" t="s">
        <v>1506</v>
      </c>
      <c r="M16" s="16" t="s">
        <v>1457</v>
      </c>
      <c r="N16" s="16" t="s">
        <v>1457</v>
      </c>
      <c r="O16" s="16" t="s">
        <v>1459</v>
      </c>
      <c r="P16" s="16" t="s">
        <v>1457</v>
      </c>
      <c r="Q16" s="16" t="s">
        <v>1457</v>
      </c>
      <c r="R16" s="54"/>
      <c r="AG16" cm="1">
        <f t="array" ref="AG16">SUMPRODUCT(--(M16:Q16="YES"))</f>
        <v>1</v>
      </c>
      <c r="AH16">
        <f>COUNTIF($AG$5:AG16, "&gt;=3")</f>
        <v>9</v>
      </c>
    </row>
    <row r="17" spans="1:34" x14ac:dyDescent="0.2">
      <c r="A17" s="43">
        <v>14</v>
      </c>
      <c r="B17" s="13" t="s">
        <v>69</v>
      </c>
      <c r="C17" s="33">
        <v>3</v>
      </c>
      <c r="D17" s="34">
        <v>1311</v>
      </c>
      <c r="E17" s="34">
        <v>1374</v>
      </c>
      <c r="F17" s="34">
        <v>0</v>
      </c>
      <c r="G17" s="34">
        <v>0</v>
      </c>
      <c r="H17" s="34">
        <v>11</v>
      </c>
      <c r="I17" s="35">
        <f t="shared" si="0"/>
        <v>1.0480549199084668</v>
      </c>
      <c r="J17" s="35" t="str">
        <f t="shared" si="1"/>
        <v>-</v>
      </c>
      <c r="K17">
        <v>1</v>
      </c>
      <c r="L17" t="s">
        <v>1507</v>
      </c>
      <c r="M17" s="16" t="s">
        <v>1457</v>
      </c>
      <c r="N17" s="16" t="s">
        <v>1457</v>
      </c>
      <c r="O17" s="16" t="s">
        <v>1457</v>
      </c>
      <c r="P17" s="16" t="s">
        <v>1457</v>
      </c>
      <c r="Q17" s="16" t="s">
        <v>1457</v>
      </c>
      <c r="R17" s="54"/>
      <c r="AC17" s="26"/>
      <c r="AG17" cm="1">
        <f t="array" ref="AG17">SUMPRODUCT(--(M17:Q17="YES"))</f>
        <v>0</v>
      </c>
      <c r="AH17">
        <f>COUNTIF($AG$5:AG17, "&gt;=3")</f>
        <v>9</v>
      </c>
    </row>
    <row r="18" spans="1:34" x14ac:dyDescent="0.2">
      <c r="A18" s="43">
        <v>16</v>
      </c>
      <c r="B18" s="13" t="s">
        <v>152</v>
      </c>
      <c r="C18" s="33">
        <v>4</v>
      </c>
      <c r="D18" s="34">
        <v>1231</v>
      </c>
      <c r="E18" s="34">
        <v>1026</v>
      </c>
      <c r="F18" s="34">
        <v>0</v>
      </c>
      <c r="G18" s="34">
        <v>0</v>
      </c>
      <c r="H18" s="34">
        <v>13</v>
      </c>
      <c r="I18" s="35">
        <f t="shared" si="0"/>
        <v>0.8334687246141349</v>
      </c>
      <c r="J18" s="35" t="str">
        <f t="shared" si="1"/>
        <v>-</v>
      </c>
      <c r="K18">
        <v>1</v>
      </c>
      <c r="L18" t="s">
        <v>1508</v>
      </c>
      <c r="M18" s="16" t="s">
        <v>1457</v>
      </c>
      <c r="N18" s="16" t="s">
        <v>1457</v>
      </c>
      <c r="O18" s="16" t="s">
        <v>1459</v>
      </c>
      <c r="P18" s="16" t="s">
        <v>1457</v>
      </c>
      <c r="Q18" s="16" t="s">
        <v>1457</v>
      </c>
      <c r="R18" s="54"/>
      <c r="AG18" cm="1">
        <f t="array" ref="AG18">SUMPRODUCT(--(M18:Q18="YES"))</f>
        <v>1</v>
      </c>
      <c r="AH18">
        <f>COUNTIF($AG$5:AG18, "&gt;=3")</f>
        <v>9</v>
      </c>
    </row>
    <row r="19" spans="1:34" x14ac:dyDescent="0.2">
      <c r="A19" s="44">
        <v>17</v>
      </c>
      <c r="B19" s="15" t="s">
        <v>208</v>
      </c>
      <c r="C19" s="14">
        <v>4</v>
      </c>
      <c r="D19" s="36">
        <v>1227</v>
      </c>
      <c r="E19" s="36">
        <v>345</v>
      </c>
      <c r="F19" s="36">
        <v>4261</v>
      </c>
      <c r="G19" s="36">
        <v>4254</v>
      </c>
      <c r="H19" s="36">
        <v>6</v>
      </c>
      <c r="I19" s="37">
        <f t="shared" si="0"/>
        <v>0.28117359413202936</v>
      </c>
      <c r="J19" s="37">
        <f t="shared" si="1"/>
        <v>0.99835719314714855</v>
      </c>
      <c r="K19">
        <v>1</v>
      </c>
      <c r="R19" s="54"/>
      <c r="AG19" cm="1">
        <f t="array" ref="AG19">SUMPRODUCT(--(M19:Q19="YES"))</f>
        <v>0</v>
      </c>
      <c r="AH19">
        <f>COUNTIF($AG$5:AG19, "&gt;=3")</f>
        <v>9</v>
      </c>
    </row>
    <row r="20" spans="1:34" x14ac:dyDescent="0.2">
      <c r="A20" s="44">
        <v>19</v>
      </c>
      <c r="B20" s="15" t="s">
        <v>101</v>
      </c>
      <c r="C20" s="14">
        <v>7</v>
      </c>
      <c r="D20" s="36">
        <v>1178</v>
      </c>
      <c r="E20" s="36">
        <v>1446</v>
      </c>
      <c r="F20" s="36">
        <v>1372</v>
      </c>
      <c r="G20" s="36">
        <v>1334</v>
      </c>
      <c r="H20" s="36">
        <v>9</v>
      </c>
      <c r="I20" s="37">
        <f t="shared" si="0"/>
        <v>1.2275042444821731</v>
      </c>
      <c r="J20" s="37">
        <f t="shared" si="1"/>
        <v>0.9723032069970845</v>
      </c>
      <c r="K20">
        <v>1</v>
      </c>
      <c r="L20" t="s">
        <v>1509</v>
      </c>
      <c r="M20" s="16" t="s">
        <v>1459</v>
      </c>
      <c r="N20" s="16" t="s">
        <v>1459</v>
      </c>
      <c r="O20" s="16" t="s">
        <v>1459</v>
      </c>
      <c r="P20" s="16" t="s">
        <v>1457</v>
      </c>
      <c r="Q20" s="16" t="s">
        <v>1457</v>
      </c>
      <c r="R20" s="54"/>
      <c r="T20" s="59"/>
      <c r="AC20" s="26"/>
      <c r="AD20" s="24" t="s">
        <v>1510</v>
      </c>
      <c r="AE20" s="24" t="s">
        <v>1511</v>
      </c>
      <c r="AG20" cm="1">
        <f t="array" ref="AG20">SUMPRODUCT(--(M20:Q20="YES"))</f>
        <v>3</v>
      </c>
      <c r="AH20">
        <f>COUNTIF($AG$5:AG20, "&gt;=3")</f>
        <v>10</v>
      </c>
    </row>
    <row r="21" spans="1:34" ht="48" x14ac:dyDescent="0.2">
      <c r="A21" s="44">
        <v>21</v>
      </c>
      <c r="B21" s="15" t="s">
        <v>221</v>
      </c>
      <c r="C21" s="14">
        <v>5</v>
      </c>
      <c r="D21" s="36">
        <v>1089</v>
      </c>
      <c r="E21" s="36">
        <v>970</v>
      </c>
      <c r="F21" s="36">
        <v>0</v>
      </c>
      <c r="G21" s="36">
        <v>0</v>
      </c>
      <c r="H21" s="36">
        <v>14</v>
      </c>
      <c r="I21" s="37">
        <f t="shared" si="0"/>
        <v>0.89072543617998168</v>
      </c>
      <c r="J21" s="37" t="str">
        <f t="shared" si="1"/>
        <v>-</v>
      </c>
      <c r="K21">
        <v>1</v>
      </c>
      <c r="L21" t="s">
        <v>1512</v>
      </c>
      <c r="M21" s="16" t="s">
        <v>1459</v>
      </c>
      <c r="N21" s="16" t="s">
        <v>1459</v>
      </c>
      <c r="O21" s="16" t="s">
        <v>1459</v>
      </c>
      <c r="P21" s="16" t="s">
        <v>1459</v>
      </c>
      <c r="Q21" s="16" t="s">
        <v>1459</v>
      </c>
      <c r="R21" s="53" t="s">
        <v>1513</v>
      </c>
      <c r="S21" t="s">
        <v>1459</v>
      </c>
      <c r="T21" s="11"/>
      <c r="U21" s="11"/>
      <c r="V21" s="11"/>
      <c r="W21" s="11"/>
      <c r="X21" t="s">
        <v>1459</v>
      </c>
      <c r="Y21" s="24" t="s">
        <v>1482</v>
      </c>
      <c r="Z21" s="24" t="s">
        <v>1482</v>
      </c>
      <c r="AA21" s="24" t="s">
        <v>1472</v>
      </c>
      <c r="AB21" t="s">
        <v>1514</v>
      </c>
      <c r="AD21" s="30" t="s">
        <v>1515</v>
      </c>
      <c r="AE21" s="24" t="s">
        <v>1516</v>
      </c>
      <c r="AG21" cm="1">
        <f t="array" ref="AG21">SUMPRODUCT(--(M21:Q21="YES"))</f>
        <v>5</v>
      </c>
      <c r="AH21">
        <f>COUNTIF($AG$5:AG21, "&gt;=3")</f>
        <v>11</v>
      </c>
    </row>
    <row r="22" spans="1:34" ht="16" x14ac:dyDescent="0.2">
      <c r="A22" s="43">
        <v>22</v>
      </c>
      <c r="B22" s="13" t="s">
        <v>154</v>
      </c>
      <c r="C22" s="33">
        <v>12</v>
      </c>
      <c r="D22" s="34">
        <v>1059</v>
      </c>
      <c r="E22" s="34">
        <v>1438</v>
      </c>
      <c r="F22" s="34">
        <v>1405</v>
      </c>
      <c r="G22" s="34">
        <v>1346</v>
      </c>
      <c r="H22" s="34">
        <v>12</v>
      </c>
      <c r="I22" s="35">
        <f t="shared" si="0"/>
        <v>1.3578847969782815</v>
      </c>
      <c r="J22" s="35">
        <f t="shared" si="1"/>
        <v>0.95800711743772238</v>
      </c>
      <c r="K22">
        <v>1</v>
      </c>
      <c r="L22" t="s">
        <v>1517</v>
      </c>
      <c r="M22" s="16" t="s">
        <v>1459</v>
      </c>
      <c r="N22" s="16" t="s">
        <v>1457</v>
      </c>
      <c r="O22" s="16" t="s">
        <v>1459</v>
      </c>
      <c r="P22" s="16" t="s">
        <v>1459</v>
      </c>
      <c r="Q22" s="16" t="s">
        <v>1459</v>
      </c>
      <c r="R22" s="53" t="s">
        <v>1518</v>
      </c>
      <c r="S22" t="s">
        <v>1459</v>
      </c>
      <c r="T22" t="s">
        <v>1519</v>
      </c>
      <c r="U22" t="s">
        <v>1520</v>
      </c>
      <c r="V22" t="s">
        <v>1521</v>
      </c>
      <c r="Y22" s="16" t="s">
        <v>1465</v>
      </c>
      <c r="Z22" s="16" t="s">
        <v>1465</v>
      </c>
      <c r="AA22" s="16" t="s">
        <v>1465</v>
      </c>
      <c r="AB22" s="16" t="s">
        <v>1465</v>
      </c>
      <c r="AD22" s="24" t="s">
        <v>1522</v>
      </c>
      <c r="AE22" s="24" t="s">
        <v>1523</v>
      </c>
      <c r="AG22" cm="1">
        <f t="array" ref="AG22">SUMPRODUCT(--(M22:Q22="YES"))</f>
        <v>4</v>
      </c>
      <c r="AH22">
        <f>COUNTIF($AG$5:AG22, "&gt;=3")</f>
        <v>12</v>
      </c>
    </row>
    <row r="23" spans="1:34" ht="16" x14ac:dyDescent="0.2">
      <c r="A23" s="44">
        <v>23</v>
      </c>
      <c r="B23" s="15" t="s">
        <v>198</v>
      </c>
      <c r="C23" s="14">
        <v>5</v>
      </c>
      <c r="D23" s="36">
        <v>1048</v>
      </c>
      <c r="E23" s="36">
        <v>906</v>
      </c>
      <c r="F23" s="36">
        <v>492</v>
      </c>
      <c r="G23" s="36">
        <v>487</v>
      </c>
      <c r="H23" s="36">
        <v>11</v>
      </c>
      <c r="I23" s="37">
        <f t="shared" si="0"/>
        <v>0.8645038167938931</v>
      </c>
      <c r="J23" s="37">
        <f t="shared" si="1"/>
        <v>0.98983739837398377</v>
      </c>
      <c r="K23">
        <v>1</v>
      </c>
      <c r="L23" t="s">
        <v>1524</v>
      </c>
      <c r="M23" s="16" t="s">
        <v>1459</v>
      </c>
      <c r="N23" s="16" t="s">
        <v>1459</v>
      </c>
      <c r="O23" s="16" t="s">
        <v>1459</v>
      </c>
      <c r="P23" s="16" t="s">
        <v>1459</v>
      </c>
      <c r="Q23" s="16" t="s">
        <v>1459</v>
      </c>
      <c r="R23" s="53" t="s">
        <v>1525</v>
      </c>
      <c r="S23" t="s">
        <v>1526</v>
      </c>
      <c r="Y23" s="16" t="s">
        <v>1465</v>
      </c>
      <c r="Z23" s="16" t="s">
        <v>1465</v>
      </c>
      <c r="AA23" s="16" t="s">
        <v>1465</v>
      </c>
      <c r="AB23" s="16" t="s">
        <v>1465</v>
      </c>
      <c r="AC23" s="26"/>
      <c r="AD23" s="24" t="s">
        <v>1527</v>
      </c>
      <c r="AE23" s="24" t="s">
        <v>1528</v>
      </c>
      <c r="AG23" cm="1">
        <f t="array" ref="AG23">SUMPRODUCT(--(M23:Q23="YES"))</f>
        <v>5</v>
      </c>
      <c r="AH23">
        <f>COUNTIF($AG$5:AG23, "&gt;=3")</f>
        <v>13</v>
      </c>
    </row>
    <row r="24" spans="1:34" ht="64" x14ac:dyDescent="0.2">
      <c r="A24" s="44">
        <v>25</v>
      </c>
      <c r="B24" s="15" t="s">
        <v>131</v>
      </c>
      <c r="C24" s="14">
        <v>9</v>
      </c>
      <c r="D24" s="36">
        <v>992</v>
      </c>
      <c r="E24" s="36">
        <v>957</v>
      </c>
      <c r="F24" s="36">
        <v>1187</v>
      </c>
      <c r="G24" s="36">
        <v>1149</v>
      </c>
      <c r="H24" s="36">
        <v>11</v>
      </c>
      <c r="I24" s="37">
        <f t="shared" si="0"/>
        <v>0.96471774193548387</v>
      </c>
      <c r="J24" s="37">
        <f t="shared" si="1"/>
        <v>0.96798652064026958</v>
      </c>
      <c r="K24">
        <v>1</v>
      </c>
      <c r="L24" t="s">
        <v>1529</v>
      </c>
      <c r="M24" s="16" t="s">
        <v>1459</v>
      </c>
      <c r="N24" s="16" t="s">
        <v>1459</v>
      </c>
      <c r="O24" s="16" t="s">
        <v>1459</v>
      </c>
      <c r="P24" s="16" t="s">
        <v>1459</v>
      </c>
      <c r="Q24" s="16" t="s">
        <v>1459</v>
      </c>
      <c r="R24" s="53" t="s">
        <v>1530</v>
      </c>
      <c r="S24" t="s">
        <v>1459</v>
      </c>
      <c r="T24" t="s">
        <v>1531</v>
      </c>
      <c r="U24" t="s">
        <v>1532</v>
      </c>
      <c r="V24" t="s">
        <v>1533</v>
      </c>
      <c r="W24" t="s">
        <v>1465</v>
      </c>
      <c r="X24" t="s">
        <v>1457</v>
      </c>
      <c r="Y24" s="16" t="s">
        <v>1465</v>
      </c>
      <c r="Z24" s="16" t="s">
        <v>1465</v>
      </c>
      <c r="AA24" s="16" t="s">
        <v>1465</v>
      </c>
      <c r="AB24" s="16" t="s">
        <v>1465</v>
      </c>
      <c r="AC24" s="26"/>
      <c r="AD24" s="24" t="s">
        <v>1534</v>
      </c>
      <c r="AE24" s="24" t="s">
        <v>1535</v>
      </c>
      <c r="AG24" cm="1">
        <f t="array" ref="AG24">SUMPRODUCT(--(M24:Q24="YES"))</f>
        <v>5</v>
      </c>
      <c r="AH24">
        <f>COUNTIF($AG$5:AG24, "&gt;=3")</f>
        <v>14</v>
      </c>
    </row>
    <row r="25" spans="1:34" ht="16" x14ac:dyDescent="0.2">
      <c r="A25" s="43">
        <v>26</v>
      </c>
      <c r="B25" s="13" t="s">
        <v>290</v>
      </c>
      <c r="C25" s="33">
        <v>9</v>
      </c>
      <c r="D25" s="34">
        <v>991</v>
      </c>
      <c r="E25" s="34">
        <v>1117</v>
      </c>
      <c r="F25" s="34">
        <v>0</v>
      </c>
      <c r="G25" s="34">
        <v>0</v>
      </c>
      <c r="H25" s="34">
        <v>11</v>
      </c>
      <c r="I25" s="35">
        <f t="shared" si="0"/>
        <v>1.1271442986881937</v>
      </c>
      <c r="J25" s="35" t="str">
        <f t="shared" si="1"/>
        <v>-</v>
      </c>
      <c r="K25">
        <v>1</v>
      </c>
      <c r="L25" t="s">
        <v>1536</v>
      </c>
      <c r="M25" s="16" t="s">
        <v>1459</v>
      </c>
      <c r="N25" s="16" t="s">
        <v>1459</v>
      </c>
      <c r="O25" s="16" t="s">
        <v>1459</v>
      </c>
      <c r="P25" s="16" t="s">
        <v>1457</v>
      </c>
      <c r="Q25" s="16" t="s">
        <v>1459</v>
      </c>
      <c r="R25" s="53" t="s">
        <v>1537</v>
      </c>
      <c r="S25" t="s">
        <v>1465</v>
      </c>
      <c r="AC25" s="26"/>
      <c r="AD25" s="24" t="s">
        <v>1538</v>
      </c>
      <c r="AE25" s="30" t="s">
        <v>1539</v>
      </c>
      <c r="AG25" cm="1">
        <f t="array" ref="AG25">SUMPRODUCT(--(M25:Q25="YES"))</f>
        <v>4</v>
      </c>
      <c r="AH25">
        <f>COUNTIF($AG$5:AG25, "&gt;=3")</f>
        <v>15</v>
      </c>
    </row>
    <row r="26" spans="1:34" ht="16" x14ac:dyDescent="0.2">
      <c r="A26" s="44">
        <v>27</v>
      </c>
      <c r="B26" s="15" t="s">
        <v>161</v>
      </c>
      <c r="C26" s="14">
        <v>4</v>
      </c>
      <c r="D26" s="36">
        <v>988</v>
      </c>
      <c r="E26" s="36">
        <v>841</v>
      </c>
      <c r="F26" s="36">
        <v>802</v>
      </c>
      <c r="G26" s="36">
        <v>801</v>
      </c>
      <c r="H26" s="36">
        <v>7</v>
      </c>
      <c r="I26" s="37">
        <f t="shared" si="0"/>
        <v>0.85121457489878538</v>
      </c>
      <c r="J26" s="37">
        <f t="shared" si="1"/>
        <v>0.99875311720698257</v>
      </c>
      <c r="K26">
        <v>1</v>
      </c>
      <c r="L26" t="s">
        <v>1540</v>
      </c>
      <c r="M26" s="16" t="s">
        <v>1459</v>
      </c>
      <c r="N26" s="16" t="s">
        <v>1459</v>
      </c>
      <c r="O26" s="16" t="s">
        <v>1459</v>
      </c>
      <c r="P26" s="16" t="s">
        <v>1457</v>
      </c>
      <c r="Q26" s="16" t="s">
        <v>1459</v>
      </c>
      <c r="R26" s="53" t="s">
        <v>1541</v>
      </c>
      <c r="S26" t="s">
        <v>1459</v>
      </c>
      <c r="Y26"/>
      <c r="Z26"/>
      <c r="AA26"/>
      <c r="AB26"/>
      <c r="AD26" s="24" t="s">
        <v>1542</v>
      </c>
      <c r="AE26" s="24" t="s">
        <v>1543</v>
      </c>
      <c r="AG26" cm="1">
        <f t="array" ref="AG26">SUMPRODUCT(--(M26:Q26="YES"))</f>
        <v>4</v>
      </c>
      <c r="AH26">
        <f>COUNTIF($AG$5:AG26, "&gt;=3")</f>
        <v>16</v>
      </c>
    </row>
    <row r="27" spans="1:34" x14ac:dyDescent="0.2">
      <c r="A27" s="43">
        <v>28</v>
      </c>
      <c r="B27" s="13" t="s">
        <v>145</v>
      </c>
      <c r="C27" s="33">
        <v>3</v>
      </c>
      <c r="D27" s="34">
        <v>963</v>
      </c>
      <c r="E27" s="34">
        <v>897</v>
      </c>
      <c r="F27" s="34">
        <v>0</v>
      </c>
      <c r="G27" s="34">
        <v>0</v>
      </c>
      <c r="H27" s="34">
        <v>10</v>
      </c>
      <c r="I27" s="35">
        <f t="shared" si="0"/>
        <v>0.93146417445482865</v>
      </c>
      <c r="J27" s="35" t="str">
        <f t="shared" si="1"/>
        <v>-</v>
      </c>
      <c r="K27">
        <v>1</v>
      </c>
      <c r="L27" t="s">
        <v>1544</v>
      </c>
      <c r="M27" s="16" t="s">
        <v>1459</v>
      </c>
      <c r="N27" s="16" t="s">
        <v>1457</v>
      </c>
      <c r="O27" s="16" t="s">
        <v>1459</v>
      </c>
      <c r="P27" s="16" t="s">
        <v>1459</v>
      </c>
      <c r="Q27" s="16" t="s">
        <v>1457</v>
      </c>
      <c r="R27" s="54"/>
      <c r="Y27" s="16" t="s">
        <v>1465</v>
      </c>
      <c r="Z27" s="16" t="s">
        <v>1465</v>
      </c>
      <c r="AA27" s="16" t="s">
        <v>1465</v>
      </c>
      <c r="AB27" t="s">
        <v>1545</v>
      </c>
      <c r="AC27" s="26"/>
      <c r="AD27" s="24" t="s">
        <v>1546</v>
      </c>
      <c r="AE27" s="24" t="s">
        <v>1547</v>
      </c>
      <c r="AG27" cm="1">
        <f t="array" ref="AG27">SUMPRODUCT(--(M27:Q27="YES"))</f>
        <v>3</v>
      </c>
      <c r="AH27">
        <f>COUNTIF($AG$5:AG27, "&gt;=3")</f>
        <v>17</v>
      </c>
    </row>
    <row r="28" spans="1:34" x14ac:dyDescent="0.2">
      <c r="A28" s="44">
        <v>29</v>
      </c>
      <c r="B28" s="15" t="s">
        <v>235</v>
      </c>
      <c r="C28" s="14">
        <v>3</v>
      </c>
      <c r="D28" s="36">
        <v>900</v>
      </c>
      <c r="E28" s="36">
        <v>731</v>
      </c>
      <c r="F28" s="36">
        <v>0</v>
      </c>
      <c r="G28" s="36">
        <v>0</v>
      </c>
      <c r="H28" s="36">
        <v>6</v>
      </c>
      <c r="I28" s="37">
        <f t="shared" si="0"/>
        <v>0.81222222222222218</v>
      </c>
      <c r="J28" s="37" t="str">
        <f t="shared" si="1"/>
        <v>-</v>
      </c>
      <c r="K28">
        <v>1</v>
      </c>
      <c r="R28" s="54"/>
      <c r="AG28" cm="1">
        <f t="array" ref="AG28">SUMPRODUCT(--(M28:Q28="YES"))</f>
        <v>0</v>
      </c>
      <c r="AH28">
        <f>COUNTIF($AG$5:AG28, "&gt;=3")</f>
        <v>17</v>
      </c>
    </row>
    <row r="29" spans="1:34" x14ac:dyDescent="0.2">
      <c r="A29" s="43">
        <v>30</v>
      </c>
      <c r="B29" s="13" t="s">
        <v>215</v>
      </c>
      <c r="C29" s="33">
        <v>3</v>
      </c>
      <c r="D29" s="34">
        <v>900</v>
      </c>
      <c r="E29" s="34">
        <v>668</v>
      </c>
      <c r="F29" s="34">
        <v>0</v>
      </c>
      <c r="G29" s="34">
        <v>0</v>
      </c>
      <c r="H29" s="34">
        <v>6</v>
      </c>
      <c r="I29" s="35">
        <f t="shared" si="0"/>
        <v>0.74222222222222223</v>
      </c>
      <c r="J29" s="35" t="str">
        <f t="shared" si="1"/>
        <v>-</v>
      </c>
      <c r="K29">
        <v>1</v>
      </c>
      <c r="R29" s="54"/>
      <c r="AG29" cm="1">
        <f t="array" ref="AG29">SUMPRODUCT(--(M29:Q29="YES"))</f>
        <v>0</v>
      </c>
      <c r="AH29">
        <f>COUNTIF($AG$5:AG29, "&gt;=3")</f>
        <v>17</v>
      </c>
    </row>
    <row r="30" spans="1:34" x14ac:dyDescent="0.2">
      <c r="A30" s="44">
        <v>31</v>
      </c>
      <c r="B30" s="15" t="s">
        <v>82</v>
      </c>
      <c r="C30" s="14">
        <v>6</v>
      </c>
      <c r="D30" s="36">
        <v>882</v>
      </c>
      <c r="E30" s="36">
        <v>868</v>
      </c>
      <c r="F30" s="36">
        <v>0</v>
      </c>
      <c r="G30" s="36">
        <v>0</v>
      </c>
      <c r="H30" s="36">
        <v>10</v>
      </c>
      <c r="I30" s="37">
        <f t="shared" si="0"/>
        <v>0.98412698412698407</v>
      </c>
      <c r="J30" s="37" t="str">
        <f t="shared" si="1"/>
        <v>-</v>
      </c>
      <c r="K30">
        <v>1</v>
      </c>
      <c r="L30" t="s">
        <v>1548</v>
      </c>
      <c r="M30" s="16" t="s">
        <v>1457</v>
      </c>
      <c r="N30" s="16" t="s">
        <v>1457</v>
      </c>
      <c r="O30" s="16" t="s">
        <v>1459</v>
      </c>
      <c r="P30" s="16" t="s">
        <v>1457</v>
      </c>
      <c r="Q30" s="16" t="s">
        <v>1457</v>
      </c>
      <c r="R30" s="54"/>
      <c r="AC30" s="26"/>
      <c r="AG30" cm="1">
        <f t="array" ref="AG30">SUMPRODUCT(--(M30:Q30="YES"))</f>
        <v>1</v>
      </c>
      <c r="AH30">
        <f>COUNTIF($AG$5:AG30, "&gt;=3")</f>
        <v>17</v>
      </c>
    </row>
    <row r="31" spans="1:34" x14ac:dyDescent="0.2">
      <c r="A31" s="43">
        <v>32</v>
      </c>
      <c r="B31" s="13" t="s">
        <v>120</v>
      </c>
      <c r="C31" s="33">
        <v>8</v>
      </c>
      <c r="D31" s="34">
        <v>859</v>
      </c>
      <c r="E31" s="34">
        <v>895</v>
      </c>
      <c r="F31" s="34">
        <v>1770</v>
      </c>
      <c r="G31" s="34">
        <v>1756</v>
      </c>
      <c r="H31" s="34">
        <v>7</v>
      </c>
      <c r="I31" s="35">
        <f t="shared" si="0"/>
        <v>1.0419091967403957</v>
      </c>
      <c r="J31" s="35">
        <f t="shared" si="1"/>
        <v>0.99209039548022604</v>
      </c>
      <c r="K31">
        <v>1</v>
      </c>
      <c r="L31" t="s">
        <v>1549</v>
      </c>
      <c r="M31" s="16" t="s">
        <v>1459</v>
      </c>
      <c r="N31" s="16" t="s">
        <v>1459</v>
      </c>
      <c r="O31" s="16" t="s">
        <v>1459</v>
      </c>
      <c r="P31" s="16" t="s">
        <v>1457</v>
      </c>
      <c r="Q31" s="16" t="s">
        <v>1457</v>
      </c>
      <c r="R31" s="54"/>
      <c r="Y31"/>
      <c r="Z31"/>
      <c r="AA31"/>
      <c r="AB31"/>
      <c r="AD31" s="24" t="s">
        <v>1550</v>
      </c>
      <c r="AE31" s="24" t="s">
        <v>1551</v>
      </c>
      <c r="AG31" cm="1">
        <f t="array" ref="AG31">SUMPRODUCT(--(M31:Q31="YES"))</f>
        <v>3</v>
      </c>
      <c r="AH31">
        <f>COUNTIF($AG$5:AG31, "&gt;=3")</f>
        <v>18</v>
      </c>
    </row>
    <row r="32" spans="1:34" x14ac:dyDescent="0.2">
      <c r="A32" s="43">
        <v>34</v>
      </c>
      <c r="B32" s="13" t="s">
        <v>106</v>
      </c>
      <c r="C32" s="33">
        <v>5</v>
      </c>
      <c r="D32" s="34">
        <v>833</v>
      </c>
      <c r="E32" s="34">
        <v>844</v>
      </c>
      <c r="F32" s="34">
        <v>0</v>
      </c>
      <c r="G32" s="34">
        <v>0</v>
      </c>
      <c r="H32" s="34">
        <v>8</v>
      </c>
      <c r="I32" s="35">
        <f t="shared" si="0"/>
        <v>1.0132052821128452</v>
      </c>
      <c r="J32" s="35" t="str">
        <f t="shared" si="1"/>
        <v>-</v>
      </c>
      <c r="K32">
        <v>1</v>
      </c>
      <c r="L32" t="s">
        <v>1552</v>
      </c>
      <c r="M32" s="16" t="s">
        <v>1459</v>
      </c>
      <c r="N32" s="16" t="s">
        <v>1459</v>
      </c>
      <c r="O32" s="16" t="s">
        <v>1459</v>
      </c>
      <c r="P32" s="16" t="s">
        <v>1457</v>
      </c>
      <c r="Q32" s="16" t="s">
        <v>1457</v>
      </c>
      <c r="R32" s="54"/>
      <c r="AC32" s="26"/>
      <c r="AD32" s="24" t="s">
        <v>1553</v>
      </c>
      <c r="AE32" s="24" t="s">
        <v>1554</v>
      </c>
      <c r="AG32" cm="1">
        <f t="array" ref="AG32">SUMPRODUCT(--(M32:Q32="YES"))</f>
        <v>3</v>
      </c>
      <c r="AH32">
        <f>COUNTIF($AG$5:AG32, "&gt;=3")</f>
        <v>19</v>
      </c>
    </row>
    <row r="33" spans="1:34" ht="16" x14ac:dyDescent="0.2">
      <c r="A33" s="44">
        <v>35</v>
      </c>
      <c r="B33" s="15" t="s">
        <v>156</v>
      </c>
      <c r="C33" s="14">
        <v>6</v>
      </c>
      <c r="D33" s="36">
        <v>821</v>
      </c>
      <c r="E33" s="36">
        <v>764</v>
      </c>
      <c r="F33" s="36">
        <v>547</v>
      </c>
      <c r="G33" s="36">
        <v>543</v>
      </c>
      <c r="H33" s="36">
        <v>8</v>
      </c>
      <c r="I33" s="37">
        <f t="shared" si="0"/>
        <v>0.93057247259439713</v>
      </c>
      <c r="J33" s="37">
        <f t="shared" si="1"/>
        <v>0.99268738574040216</v>
      </c>
      <c r="K33">
        <v>1</v>
      </c>
      <c r="L33" t="s">
        <v>1555</v>
      </c>
      <c r="M33" s="16" t="s">
        <v>1459</v>
      </c>
      <c r="N33" s="16" t="s">
        <v>1459</v>
      </c>
      <c r="O33" s="16" t="s">
        <v>1459</v>
      </c>
      <c r="P33" s="16" t="s">
        <v>1457</v>
      </c>
      <c r="Q33" s="16" t="s">
        <v>1459</v>
      </c>
      <c r="R33" s="52" t="s">
        <v>1556</v>
      </c>
      <c r="S33" t="s">
        <v>1459</v>
      </c>
      <c r="AC33" s="26"/>
      <c r="AD33" s="24" t="s">
        <v>1557</v>
      </c>
      <c r="AE33" s="24" t="s">
        <v>1558</v>
      </c>
      <c r="AG33" cm="1">
        <f t="array" ref="AG33">SUMPRODUCT(--(M33:Q33="YES"))</f>
        <v>4</v>
      </c>
      <c r="AH33">
        <f>COUNTIF($AG$5:AG33, "&gt;=3")</f>
        <v>20</v>
      </c>
    </row>
    <row r="34" spans="1:34" x14ac:dyDescent="0.2">
      <c r="A34" s="43">
        <v>36</v>
      </c>
      <c r="B34" s="13" t="s">
        <v>103</v>
      </c>
      <c r="C34" s="33">
        <v>6</v>
      </c>
      <c r="D34" s="34">
        <v>812</v>
      </c>
      <c r="E34" s="34">
        <v>1035</v>
      </c>
      <c r="F34" s="34">
        <v>1018</v>
      </c>
      <c r="G34" s="34">
        <v>976</v>
      </c>
      <c r="H34" s="34">
        <v>10</v>
      </c>
      <c r="I34" s="35">
        <f t="shared" si="0"/>
        <v>1.2746305418719213</v>
      </c>
      <c r="J34" s="35">
        <f t="shared" si="1"/>
        <v>0.95874263261296655</v>
      </c>
      <c r="K34">
        <v>1</v>
      </c>
      <c r="L34" t="s">
        <v>1559</v>
      </c>
      <c r="M34" s="16" t="s">
        <v>1459</v>
      </c>
      <c r="N34" s="16" t="s">
        <v>1457</v>
      </c>
      <c r="O34" s="16" t="s">
        <v>1459</v>
      </c>
      <c r="P34" s="16" t="s">
        <v>1457</v>
      </c>
      <c r="Q34" s="16" t="s">
        <v>1457</v>
      </c>
      <c r="R34" s="54"/>
      <c r="AC34" s="26"/>
      <c r="AD34" s="27" t="s">
        <v>1560</v>
      </c>
      <c r="AE34" s="24" t="s">
        <v>1561</v>
      </c>
      <c r="AG34" cm="1">
        <f t="array" ref="AG34">SUMPRODUCT(--(M34:Q34="YES"))</f>
        <v>2</v>
      </c>
      <c r="AH34">
        <f>COUNTIF($AG$5:AG34, "&gt;=3")</f>
        <v>20</v>
      </c>
    </row>
    <row r="35" spans="1:34" x14ac:dyDescent="0.2">
      <c r="A35" s="44">
        <v>37</v>
      </c>
      <c r="B35" s="15" t="s">
        <v>217</v>
      </c>
      <c r="C35" s="14">
        <v>11</v>
      </c>
      <c r="D35" s="36">
        <v>811</v>
      </c>
      <c r="E35" s="36">
        <v>983</v>
      </c>
      <c r="F35" s="36">
        <v>791</v>
      </c>
      <c r="G35" s="36">
        <v>782</v>
      </c>
      <c r="H35" s="36">
        <v>10</v>
      </c>
      <c r="I35" s="37">
        <f t="shared" si="0"/>
        <v>1.2120838471023427</v>
      </c>
      <c r="J35" s="37">
        <f t="shared" si="1"/>
        <v>0.98862199747155499</v>
      </c>
      <c r="K35">
        <v>1</v>
      </c>
      <c r="L35" t="s">
        <v>1562</v>
      </c>
      <c r="M35" s="16" t="s">
        <v>1459</v>
      </c>
      <c r="N35" s="16" t="s">
        <v>1457</v>
      </c>
      <c r="O35" s="16" t="s">
        <v>1459</v>
      </c>
      <c r="P35" s="16" t="s">
        <v>1457</v>
      </c>
      <c r="Q35" s="16" t="s">
        <v>1457</v>
      </c>
      <c r="R35" s="54"/>
      <c r="AC35" s="26"/>
      <c r="AD35" s="24" t="s">
        <v>1563</v>
      </c>
      <c r="AE35" s="24" t="s">
        <v>1564</v>
      </c>
      <c r="AG35" cm="1">
        <f t="array" ref="AG35">SUMPRODUCT(--(M35:Q35="YES"))</f>
        <v>2</v>
      </c>
      <c r="AH35">
        <f>COUNTIF($AG$5:AG35, "&gt;=3")</f>
        <v>20</v>
      </c>
    </row>
    <row r="36" spans="1:34" x14ac:dyDescent="0.2">
      <c r="A36" s="43">
        <v>38</v>
      </c>
      <c r="B36" s="13" t="s">
        <v>144</v>
      </c>
      <c r="C36" s="33">
        <v>6</v>
      </c>
      <c r="D36" s="34">
        <v>788</v>
      </c>
      <c r="E36" s="34">
        <v>695</v>
      </c>
      <c r="F36" s="34">
        <v>2801</v>
      </c>
      <c r="G36" s="34">
        <v>2801</v>
      </c>
      <c r="H36" s="34">
        <v>5</v>
      </c>
      <c r="I36" s="35">
        <f t="shared" si="0"/>
        <v>0.88197969543147203</v>
      </c>
      <c r="J36" s="35">
        <f t="shared" si="1"/>
        <v>1</v>
      </c>
      <c r="K36">
        <v>1</v>
      </c>
      <c r="R36" s="54"/>
      <c r="AG36" cm="1">
        <f t="array" ref="AG36">SUMPRODUCT(--(M36:Q36="YES"))</f>
        <v>0</v>
      </c>
      <c r="AH36">
        <f>COUNTIF($AG$5:AG36, "&gt;=3")</f>
        <v>20</v>
      </c>
    </row>
    <row r="37" spans="1:34" x14ac:dyDescent="0.2">
      <c r="A37" s="44">
        <v>39</v>
      </c>
      <c r="B37" s="15" t="s">
        <v>181</v>
      </c>
      <c r="C37" s="14">
        <v>3</v>
      </c>
      <c r="D37" s="36">
        <v>777</v>
      </c>
      <c r="E37" s="36">
        <v>727</v>
      </c>
      <c r="F37" s="36">
        <v>0</v>
      </c>
      <c r="G37" s="36">
        <v>0</v>
      </c>
      <c r="H37" s="36">
        <v>9</v>
      </c>
      <c r="I37" s="37">
        <f t="shared" ref="I37:I68" si="2">IF(D37=0,"-",E37/D37)</f>
        <v>0.9356499356499357</v>
      </c>
      <c r="J37" s="37" t="str">
        <f t="shared" ref="J37:J68" si="3">IF(F37=0,"-",G37/F37)</f>
        <v>-</v>
      </c>
      <c r="K37">
        <v>1</v>
      </c>
      <c r="L37" t="s">
        <v>1565</v>
      </c>
      <c r="M37" s="16" t="s">
        <v>1459</v>
      </c>
      <c r="N37" s="16" t="s">
        <v>1457</v>
      </c>
      <c r="O37" s="16" t="s">
        <v>1459</v>
      </c>
      <c r="P37" s="16" t="s">
        <v>1459</v>
      </c>
      <c r="Q37" s="16" t="s">
        <v>1457</v>
      </c>
      <c r="R37" s="54"/>
      <c r="Y37" s="16" t="s">
        <v>1465</v>
      </c>
      <c r="Z37" s="16" t="s">
        <v>1465</v>
      </c>
      <c r="AA37" s="16" t="s">
        <v>1465</v>
      </c>
      <c r="AB37" s="24" t="s">
        <v>1485</v>
      </c>
      <c r="AC37" s="26"/>
      <c r="AD37" s="24" t="s">
        <v>1566</v>
      </c>
      <c r="AE37" s="24" t="s">
        <v>1465</v>
      </c>
      <c r="AG37" cm="1">
        <f t="array" ref="AG37">SUMPRODUCT(--(M37:Q37="YES"))</f>
        <v>3</v>
      </c>
      <c r="AH37">
        <f>COUNTIF($AG$5:AG37, "&gt;=3")</f>
        <v>21</v>
      </c>
    </row>
    <row r="38" spans="1:34" x14ac:dyDescent="0.2">
      <c r="A38" s="43">
        <v>42</v>
      </c>
      <c r="B38" s="13" t="s">
        <v>201</v>
      </c>
      <c r="C38" s="33">
        <v>4</v>
      </c>
      <c r="D38" s="34">
        <v>761</v>
      </c>
      <c r="E38" s="34">
        <v>719</v>
      </c>
      <c r="F38" s="34">
        <v>0</v>
      </c>
      <c r="G38" s="34">
        <v>0</v>
      </c>
      <c r="H38" s="34">
        <v>6</v>
      </c>
      <c r="I38" s="35">
        <f t="shared" si="2"/>
        <v>0.94480946123521681</v>
      </c>
      <c r="J38" s="35" t="str">
        <f t="shared" si="3"/>
        <v>-</v>
      </c>
      <c r="K38">
        <v>1</v>
      </c>
      <c r="R38" s="54"/>
      <c r="AG38" cm="1">
        <f t="array" ref="AG38">SUMPRODUCT(--(M38:Q38="YES"))</f>
        <v>0</v>
      </c>
      <c r="AH38">
        <f>COUNTIF($AG$5:AG38, "&gt;=3")</f>
        <v>21</v>
      </c>
    </row>
    <row r="39" spans="1:34" x14ac:dyDescent="0.2">
      <c r="A39" s="44">
        <v>43</v>
      </c>
      <c r="B39" s="15" t="s">
        <v>149</v>
      </c>
      <c r="C39" s="14">
        <v>3</v>
      </c>
      <c r="D39" s="36">
        <v>757</v>
      </c>
      <c r="E39" s="36">
        <v>661</v>
      </c>
      <c r="F39" s="36">
        <v>204</v>
      </c>
      <c r="G39" s="36">
        <v>204</v>
      </c>
      <c r="H39" s="36">
        <v>6</v>
      </c>
      <c r="I39" s="37">
        <f t="shared" si="2"/>
        <v>0.87318361955085866</v>
      </c>
      <c r="J39" s="37">
        <f t="shared" si="3"/>
        <v>1</v>
      </c>
      <c r="K39">
        <v>1</v>
      </c>
      <c r="R39" s="54"/>
      <c r="AG39" cm="1">
        <f t="array" ref="AG39">SUMPRODUCT(--(M39:Q39="YES"))</f>
        <v>0</v>
      </c>
      <c r="AH39">
        <f>COUNTIF($AG$5:AG39, "&gt;=3")</f>
        <v>21</v>
      </c>
    </row>
    <row r="40" spans="1:34" x14ac:dyDescent="0.2">
      <c r="A40" s="43">
        <v>44</v>
      </c>
      <c r="B40" s="13" t="s">
        <v>370</v>
      </c>
      <c r="C40" s="33">
        <v>4</v>
      </c>
      <c r="D40" s="34">
        <v>751</v>
      </c>
      <c r="E40" s="34">
        <v>251</v>
      </c>
      <c r="F40" s="34">
        <v>214</v>
      </c>
      <c r="G40" s="34">
        <v>214</v>
      </c>
      <c r="H40" s="34">
        <v>9</v>
      </c>
      <c r="I40" s="35">
        <f t="shared" si="2"/>
        <v>0.33422103861517977</v>
      </c>
      <c r="J40" s="35">
        <f t="shared" si="3"/>
        <v>1</v>
      </c>
      <c r="K40">
        <v>1</v>
      </c>
      <c r="L40" t="s">
        <v>1567</v>
      </c>
      <c r="M40" s="16" t="s">
        <v>1459</v>
      </c>
      <c r="N40" s="16" t="s">
        <v>1459</v>
      </c>
      <c r="O40" s="16" t="s">
        <v>1459</v>
      </c>
      <c r="P40" s="16" t="s">
        <v>1457</v>
      </c>
      <c r="Q40" s="16" t="s">
        <v>1457</v>
      </c>
      <c r="R40" s="54"/>
      <c r="AC40" s="26"/>
      <c r="AD40" s="24" t="s">
        <v>1568</v>
      </c>
      <c r="AE40" s="24" t="s">
        <v>1569</v>
      </c>
      <c r="AG40" cm="1">
        <f t="array" ref="AG40">SUMPRODUCT(--(M40:Q40="YES"))</f>
        <v>3</v>
      </c>
      <c r="AH40">
        <f>COUNTIF($AG$5:AG40, "&gt;=3")</f>
        <v>22</v>
      </c>
    </row>
    <row r="41" spans="1:34" ht="16" x14ac:dyDescent="0.2">
      <c r="A41" s="43">
        <v>48</v>
      </c>
      <c r="B41" s="13" t="s">
        <v>292</v>
      </c>
      <c r="C41" s="33">
        <v>6</v>
      </c>
      <c r="D41" s="34">
        <v>720</v>
      </c>
      <c r="E41" s="34">
        <v>644</v>
      </c>
      <c r="F41" s="34">
        <v>0</v>
      </c>
      <c r="G41" s="34">
        <v>0</v>
      </c>
      <c r="H41" s="34">
        <v>7</v>
      </c>
      <c r="I41" s="35">
        <f t="shared" si="2"/>
        <v>0.89444444444444449</v>
      </c>
      <c r="J41" s="35" t="str">
        <f t="shared" si="3"/>
        <v>-</v>
      </c>
      <c r="K41">
        <v>1</v>
      </c>
      <c r="L41" t="s">
        <v>1570</v>
      </c>
      <c r="M41" s="16" t="s">
        <v>1459</v>
      </c>
      <c r="N41" s="16" t="s">
        <v>1459</v>
      </c>
      <c r="O41" s="16" t="s">
        <v>1459</v>
      </c>
      <c r="P41" s="16" t="s">
        <v>1459</v>
      </c>
      <c r="Q41" s="16" t="s">
        <v>1459</v>
      </c>
      <c r="R41" s="52" t="s">
        <v>1571</v>
      </c>
      <c r="S41" t="s">
        <v>1459</v>
      </c>
      <c r="T41" t="s">
        <v>1465</v>
      </c>
      <c r="U41" t="s">
        <v>1465</v>
      </c>
      <c r="V41" t="s">
        <v>1465</v>
      </c>
      <c r="W41" t="s">
        <v>1465</v>
      </c>
      <c r="Y41" s="24" t="s">
        <v>1482</v>
      </c>
      <c r="Z41" t="s">
        <v>1572</v>
      </c>
      <c r="AA41" s="16" t="s">
        <v>1484</v>
      </c>
      <c r="AB41" t="s">
        <v>1573</v>
      </c>
      <c r="AD41" s="24" t="s">
        <v>1574</v>
      </c>
      <c r="AE41" s="24" t="s">
        <v>1575</v>
      </c>
      <c r="AG41" cm="1">
        <f t="array" ref="AG41">SUMPRODUCT(--(M41:Q41="YES"))</f>
        <v>5</v>
      </c>
      <c r="AH41">
        <f>COUNTIF($AG$5:AG41, "&gt;=3")</f>
        <v>23</v>
      </c>
    </row>
    <row r="42" spans="1:34" ht="80" x14ac:dyDescent="0.2">
      <c r="A42" s="43">
        <v>50</v>
      </c>
      <c r="B42" s="13" t="s">
        <v>134</v>
      </c>
      <c r="C42" s="33">
        <v>7</v>
      </c>
      <c r="D42" s="34">
        <v>717</v>
      </c>
      <c r="E42" s="34">
        <v>633</v>
      </c>
      <c r="F42" s="34">
        <v>2356</v>
      </c>
      <c r="G42" s="34">
        <v>2349</v>
      </c>
      <c r="H42" s="34">
        <v>8</v>
      </c>
      <c r="I42" s="35">
        <f t="shared" si="2"/>
        <v>0.88284518828451886</v>
      </c>
      <c r="J42" s="35">
        <f t="shared" si="3"/>
        <v>0.99702886247877764</v>
      </c>
      <c r="K42">
        <v>1</v>
      </c>
      <c r="L42" s="50" t="s">
        <v>1576</v>
      </c>
      <c r="M42" s="16" t="s">
        <v>1459</v>
      </c>
      <c r="N42" s="16" t="s">
        <v>1459</v>
      </c>
      <c r="O42" s="16" t="s">
        <v>1459</v>
      </c>
      <c r="P42" s="16" t="s">
        <v>1459</v>
      </c>
      <c r="Q42" s="16" t="s">
        <v>1459</v>
      </c>
      <c r="R42" s="52" t="s">
        <v>1577</v>
      </c>
      <c r="S42" t="s">
        <v>1578</v>
      </c>
      <c r="X42" t="s">
        <v>1459</v>
      </c>
      <c r="AA42" s="16" t="s">
        <v>1579</v>
      </c>
      <c r="AG42" cm="1">
        <f t="array" ref="AG42">SUMPRODUCT(--(M42:Q42="YES"))</f>
        <v>5</v>
      </c>
      <c r="AH42">
        <f>COUNTIF($AG$5:AG42, "&gt;=3")</f>
        <v>24</v>
      </c>
    </row>
    <row r="43" spans="1:34" ht="16" x14ac:dyDescent="0.2">
      <c r="A43" s="44">
        <v>49</v>
      </c>
      <c r="B43" s="15" t="s">
        <v>278</v>
      </c>
      <c r="C43" s="14">
        <v>7</v>
      </c>
      <c r="D43" s="36">
        <v>717</v>
      </c>
      <c r="E43" s="36">
        <v>620</v>
      </c>
      <c r="F43" s="36">
        <v>858</v>
      </c>
      <c r="G43" s="36">
        <v>835</v>
      </c>
      <c r="H43" s="36">
        <v>11</v>
      </c>
      <c r="I43" s="37">
        <f t="shared" si="2"/>
        <v>0.86471408647140868</v>
      </c>
      <c r="J43" s="37">
        <f t="shared" si="3"/>
        <v>0.97319347319347316</v>
      </c>
      <c r="K43">
        <v>1</v>
      </c>
      <c r="L43" t="s">
        <v>1580</v>
      </c>
      <c r="M43" s="16" t="s">
        <v>1459</v>
      </c>
      <c r="N43" s="16" t="s">
        <v>1459</v>
      </c>
      <c r="O43" s="16" t="s">
        <v>1459</v>
      </c>
      <c r="P43" s="16" t="s">
        <v>1457</v>
      </c>
      <c r="Q43" s="16" t="s">
        <v>1459</v>
      </c>
      <c r="R43" s="52" t="s">
        <v>1581</v>
      </c>
      <c r="S43" t="s">
        <v>1459</v>
      </c>
      <c r="T43" t="s">
        <v>1465</v>
      </c>
      <c r="U43" t="s">
        <v>1465</v>
      </c>
      <c r="V43" t="s">
        <v>1465</v>
      </c>
      <c r="X43" t="s">
        <v>1459</v>
      </c>
      <c r="AC43" s="16"/>
      <c r="AD43" s="24" t="s">
        <v>1582</v>
      </c>
      <c r="AE43" s="24" t="s">
        <v>1583</v>
      </c>
      <c r="AG43" cm="1">
        <f t="array" ref="AG43">SUMPRODUCT(--(M43:Q43="YES"))</f>
        <v>4</v>
      </c>
      <c r="AH43">
        <f>COUNTIF($AG$5:AG43, "&gt;=3")</f>
        <v>25</v>
      </c>
    </row>
    <row r="44" spans="1:34" x14ac:dyDescent="0.2">
      <c r="A44" s="44">
        <v>51</v>
      </c>
      <c r="B44" s="15" t="s">
        <v>176</v>
      </c>
      <c r="C44" s="14">
        <v>6</v>
      </c>
      <c r="D44" s="36">
        <v>714</v>
      </c>
      <c r="E44" s="36">
        <v>930</v>
      </c>
      <c r="F44" s="36">
        <v>706</v>
      </c>
      <c r="G44" s="36">
        <v>704</v>
      </c>
      <c r="H44" s="36">
        <v>13</v>
      </c>
      <c r="I44" s="37">
        <f t="shared" si="2"/>
        <v>1.3025210084033614</v>
      </c>
      <c r="J44" s="37">
        <f t="shared" si="3"/>
        <v>0.99716713881019825</v>
      </c>
      <c r="K44">
        <v>1</v>
      </c>
      <c r="L44" t="s">
        <v>1584</v>
      </c>
      <c r="M44" s="16" t="s">
        <v>1459</v>
      </c>
      <c r="N44" s="16" t="s">
        <v>1459</v>
      </c>
      <c r="O44" s="16" t="s">
        <v>1459</v>
      </c>
      <c r="P44" s="16" t="s">
        <v>1457</v>
      </c>
      <c r="Q44" s="16" t="s">
        <v>1457</v>
      </c>
      <c r="R44" s="54"/>
      <c r="AD44" s="24" t="s">
        <v>1585</v>
      </c>
      <c r="AE44" s="24" t="s">
        <v>1586</v>
      </c>
      <c r="AG44" cm="1">
        <f t="array" ref="AG44">SUMPRODUCT(--(M44:Q44="YES"))</f>
        <v>3</v>
      </c>
      <c r="AH44">
        <f>COUNTIF($AG$5:AG44, "&gt;=3")</f>
        <v>26</v>
      </c>
    </row>
    <row r="45" spans="1:34" ht="16" x14ac:dyDescent="0.2">
      <c r="A45" s="43">
        <v>52</v>
      </c>
      <c r="B45" s="13" t="s">
        <v>239</v>
      </c>
      <c r="C45" s="33">
        <v>6</v>
      </c>
      <c r="D45" s="34">
        <v>645</v>
      </c>
      <c r="E45" s="34">
        <v>749</v>
      </c>
      <c r="F45" s="34">
        <v>0</v>
      </c>
      <c r="G45" s="34">
        <v>0</v>
      </c>
      <c r="H45" s="34">
        <v>12</v>
      </c>
      <c r="I45" s="35">
        <f t="shared" si="2"/>
        <v>1.1612403100775195</v>
      </c>
      <c r="J45" s="35" t="str">
        <f t="shared" si="3"/>
        <v>-</v>
      </c>
      <c r="K45">
        <v>1</v>
      </c>
      <c r="L45" t="s">
        <v>1587</v>
      </c>
      <c r="M45" s="16" t="s">
        <v>1459</v>
      </c>
      <c r="N45" s="16" t="s">
        <v>1459</v>
      </c>
      <c r="O45" s="16" t="s">
        <v>1459</v>
      </c>
      <c r="P45" s="16" t="s">
        <v>1457</v>
      </c>
      <c r="Q45" s="16" t="s">
        <v>1459</v>
      </c>
      <c r="R45" s="52" t="s">
        <v>1588</v>
      </c>
      <c r="S45" t="s">
        <v>1459</v>
      </c>
      <c r="T45" s="58" t="s">
        <v>1589</v>
      </c>
      <c r="U45" t="s">
        <v>1590</v>
      </c>
      <c r="V45" t="s">
        <v>1465</v>
      </c>
      <c r="AE45" s="24" t="s">
        <v>1591</v>
      </c>
      <c r="AG45" cm="1">
        <f t="array" ref="AG45">SUMPRODUCT(--(M45:Q45="YES"))</f>
        <v>4</v>
      </c>
      <c r="AH45">
        <f>COUNTIF($AG$5:AG45, "&gt;=3")</f>
        <v>27</v>
      </c>
    </row>
    <row r="46" spans="1:34" x14ac:dyDescent="0.2">
      <c r="A46" s="44">
        <v>53</v>
      </c>
      <c r="B46" s="15" t="s">
        <v>185</v>
      </c>
      <c r="C46" s="14">
        <v>4</v>
      </c>
      <c r="D46" s="36">
        <v>625</v>
      </c>
      <c r="E46" s="36">
        <v>588</v>
      </c>
      <c r="F46" s="36">
        <v>0</v>
      </c>
      <c r="G46" s="36">
        <v>0</v>
      </c>
      <c r="H46" s="36">
        <v>5</v>
      </c>
      <c r="I46" s="37">
        <f t="shared" si="2"/>
        <v>0.94079999999999997</v>
      </c>
      <c r="J46" s="37" t="str">
        <f t="shared" si="3"/>
        <v>-</v>
      </c>
      <c r="K46">
        <v>1</v>
      </c>
      <c r="R46" s="54"/>
      <c r="AG46" cm="1">
        <f t="array" ref="AG46">SUMPRODUCT(--(M46:Q46="YES"))</f>
        <v>0</v>
      </c>
      <c r="AH46">
        <f>COUNTIF($AG$5:AG46, "&gt;=3")</f>
        <v>27</v>
      </c>
    </row>
    <row r="47" spans="1:34" x14ac:dyDescent="0.2">
      <c r="A47" s="43">
        <v>56</v>
      </c>
      <c r="B47" s="13" t="s">
        <v>399</v>
      </c>
      <c r="C47" s="33">
        <v>4</v>
      </c>
      <c r="D47" s="34">
        <v>597</v>
      </c>
      <c r="E47" s="34">
        <v>492</v>
      </c>
      <c r="F47" s="34">
        <v>0</v>
      </c>
      <c r="G47" s="34">
        <v>0</v>
      </c>
      <c r="H47" s="34">
        <v>11</v>
      </c>
      <c r="I47" s="35">
        <f t="shared" si="2"/>
        <v>0.82412060301507539</v>
      </c>
      <c r="J47" s="35" t="str">
        <f t="shared" si="3"/>
        <v>-</v>
      </c>
      <c r="K47">
        <v>1</v>
      </c>
      <c r="L47" t="s">
        <v>1592</v>
      </c>
      <c r="M47" s="16" t="s">
        <v>1459</v>
      </c>
      <c r="N47" s="16" t="s">
        <v>1459</v>
      </c>
      <c r="O47" s="16" t="s">
        <v>1459</v>
      </c>
      <c r="P47" s="16" t="s">
        <v>1459</v>
      </c>
      <c r="Q47" s="16" t="s">
        <v>1457</v>
      </c>
      <c r="R47" s="54"/>
      <c r="S47" t="s">
        <v>1578</v>
      </c>
      <c r="Y47" s="16" t="s">
        <v>1465</v>
      </c>
      <c r="Z47" s="16" t="s">
        <v>1465</v>
      </c>
      <c r="AA47" s="16" t="s">
        <v>1465</v>
      </c>
      <c r="AB47" s="24" t="s">
        <v>1485</v>
      </c>
      <c r="AC47" s="26"/>
      <c r="AD47" s="24" t="s">
        <v>1593</v>
      </c>
      <c r="AG47" cm="1">
        <f t="array" ref="AG47">SUMPRODUCT(--(M47:Q47="YES"))</f>
        <v>4</v>
      </c>
      <c r="AH47">
        <f>COUNTIF($AG$5:AG47, "&gt;=3")</f>
        <v>28</v>
      </c>
    </row>
    <row r="48" spans="1:34" x14ac:dyDescent="0.2">
      <c r="A48" s="44">
        <v>57</v>
      </c>
      <c r="B48" s="15" t="s">
        <v>304</v>
      </c>
      <c r="C48" s="14">
        <v>8</v>
      </c>
      <c r="D48" s="36">
        <v>550</v>
      </c>
      <c r="E48" s="36">
        <v>584</v>
      </c>
      <c r="F48" s="36">
        <v>648</v>
      </c>
      <c r="G48" s="36">
        <v>610</v>
      </c>
      <c r="H48" s="36">
        <v>9</v>
      </c>
      <c r="I48" s="37">
        <f t="shared" si="2"/>
        <v>1.0618181818181818</v>
      </c>
      <c r="J48" s="37">
        <f t="shared" si="3"/>
        <v>0.94135802469135799</v>
      </c>
      <c r="K48">
        <v>1</v>
      </c>
      <c r="L48" t="s">
        <v>1594</v>
      </c>
      <c r="M48" s="16" t="s">
        <v>1457</v>
      </c>
      <c r="N48" s="16" t="s">
        <v>1457</v>
      </c>
      <c r="O48" s="16" t="s">
        <v>1459</v>
      </c>
      <c r="P48" s="16" t="s">
        <v>1457</v>
      </c>
      <c r="Q48" s="16" t="s">
        <v>1457</v>
      </c>
      <c r="R48" s="54"/>
      <c r="AC48" s="26"/>
      <c r="AG48" cm="1">
        <f t="array" ref="AG48">SUMPRODUCT(--(M48:Q48="YES"))</f>
        <v>1</v>
      </c>
      <c r="AH48">
        <f>COUNTIF($AG$5:AG48, "&gt;=3")</f>
        <v>28</v>
      </c>
    </row>
    <row r="49" spans="1:34" ht="16" x14ac:dyDescent="0.2">
      <c r="A49" s="43">
        <v>58</v>
      </c>
      <c r="B49" s="13" t="s">
        <v>174</v>
      </c>
      <c r="C49" s="33">
        <v>6</v>
      </c>
      <c r="D49" s="34">
        <v>540</v>
      </c>
      <c r="E49" s="34">
        <v>663</v>
      </c>
      <c r="F49" s="34">
        <v>1222</v>
      </c>
      <c r="G49" s="34">
        <v>1212</v>
      </c>
      <c r="H49" s="34">
        <v>8</v>
      </c>
      <c r="I49" s="35">
        <f t="shared" si="2"/>
        <v>1.2277777777777779</v>
      </c>
      <c r="J49" s="35">
        <f t="shared" si="3"/>
        <v>0.99181669394435357</v>
      </c>
      <c r="K49">
        <v>1</v>
      </c>
      <c r="L49" t="s">
        <v>1595</v>
      </c>
      <c r="M49" s="16" t="s">
        <v>1459</v>
      </c>
      <c r="N49" s="16" t="s">
        <v>1459</v>
      </c>
      <c r="O49" s="16" t="s">
        <v>1459</v>
      </c>
      <c r="P49" s="16" t="s">
        <v>1459</v>
      </c>
      <c r="R49" s="53" t="s">
        <v>1596</v>
      </c>
      <c r="S49" t="s">
        <v>1459</v>
      </c>
      <c r="Y49" s="16" t="s">
        <v>1470</v>
      </c>
      <c r="Z49" t="s">
        <v>1597</v>
      </c>
      <c r="AA49" t="s">
        <v>1598</v>
      </c>
      <c r="AB49" t="s">
        <v>1599</v>
      </c>
      <c r="AD49" s="24" t="s">
        <v>1600</v>
      </c>
      <c r="AE49" s="24" t="s">
        <v>1601</v>
      </c>
      <c r="AG49" cm="1">
        <f t="array" ref="AG49">SUMPRODUCT(--(M49:Q49="YES"))</f>
        <v>4</v>
      </c>
      <c r="AH49">
        <f>COUNTIF($AG$5:AG49, "&gt;=3")</f>
        <v>29</v>
      </c>
    </row>
    <row r="50" spans="1:34" ht="16" x14ac:dyDescent="0.2">
      <c r="A50" s="44">
        <v>59</v>
      </c>
      <c r="B50" s="15" t="s">
        <v>263</v>
      </c>
      <c r="C50" s="14">
        <v>8</v>
      </c>
      <c r="D50" s="36">
        <v>536</v>
      </c>
      <c r="E50" s="36">
        <v>476</v>
      </c>
      <c r="F50" s="36">
        <v>1025</v>
      </c>
      <c r="G50" s="36">
        <v>1013</v>
      </c>
      <c r="H50" s="36">
        <v>7</v>
      </c>
      <c r="I50" s="37">
        <f t="shared" si="2"/>
        <v>0.88805970149253732</v>
      </c>
      <c r="J50" s="37">
        <f t="shared" si="3"/>
        <v>0.98829268292682926</v>
      </c>
      <c r="K50">
        <v>1</v>
      </c>
      <c r="L50" t="s">
        <v>1602</v>
      </c>
      <c r="M50" s="16" t="s">
        <v>1459</v>
      </c>
      <c r="N50" s="16" t="s">
        <v>1459</v>
      </c>
      <c r="O50" s="16" t="s">
        <v>1459</v>
      </c>
      <c r="P50" s="16" t="s">
        <v>1459</v>
      </c>
      <c r="Q50" s="16" t="s">
        <v>1459</v>
      </c>
      <c r="R50" s="53" t="s">
        <v>1603</v>
      </c>
      <c r="S50" t="s">
        <v>1578</v>
      </c>
      <c r="T50" t="s">
        <v>1465</v>
      </c>
      <c r="U50" t="s">
        <v>1465</v>
      </c>
      <c r="V50" t="s">
        <v>1465</v>
      </c>
      <c r="W50" t="s">
        <v>1465</v>
      </c>
      <c r="X50" t="s">
        <v>1457</v>
      </c>
      <c r="Y50" t="s">
        <v>1604</v>
      </c>
      <c r="Z50" t="s">
        <v>1605</v>
      </c>
      <c r="AA50" t="s">
        <v>1606</v>
      </c>
      <c r="AB50" t="s">
        <v>1607</v>
      </c>
      <c r="AD50" s="24" t="s">
        <v>1608</v>
      </c>
      <c r="AE50" s="30" t="s">
        <v>1609</v>
      </c>
      <c r="AG50" cm="1">
        <f t="array" ref="AG50">SUMPRODUCT(--(M50:Q50="YES"))</f>
        <v>5</v>
      </c>
      <c r="AH50">
        <f>COUNTIF($AG$5:AG50, "&gt;=3")</f>
        <v>30</v>
      </c>
    </row>
    <row r="51" spans="1:34" x14ac:dyDescent="0.2">
      <c r="A51" s="43">
        <v>62</v>
      </c>
      <c r="B51" s="13" t="s">
        <v>369</v>
      </c>
      <c r="C51" s="33">
        <v>5</v>
      </c>
      <c r="D51" s="34">
        <v>526</v>
      </c>
      <c r="E51" s="34">
        <v>571</v>
      </c>
      <c r="F51" s="34">
        <v>0</v>
      </c>
      <c r="G51" s="34">
        <v>0</v>
      </c>
      <c r="H51" s="34">
        <v>6</v>
      </c>
      <c r="I51" s="35">
        <f t="shared" si="2"/>
        <v>1.085551330798479</v>
      </c>
      <c r="J51" s="35" t="str">
        <f t="shared" si="3"/>
        <v>-</v>
      </c>
      <c r="K51">
        <v>1</v>
      </c>
      <c r="R51" s="54"/>
      <c r="AG51" cm="1">
        <f t="array" ref="AG51">SUMPRODUCT(--(M51:Q51="YES"))</f>
        <v>0</v>
      </c>
      <c r="AH51">
        <f>COUNTIF($AG$5:AG51, "&gt;=3")</f>
        <v>30</v>
      </c>
    </row>
    <row r="52" spans="1:34" x14ac:dyDescent="0.2">
      <c r="A52" s="44">
        <v>63</v>
      </c>
      <c r="B52" s="15" t="s">
        <v>426</v>
      </c>
      <c r="C52" s="14">
        <v>4</v>
      </c>
      <c r="D52" s="36">
        <v>516</v>
      </c>
      <c r="E52" s="36">
        <v>427</v>
      </c>
      <c r="F52" s="36">
        <v>0</v>
      </c>
      <c r="G52" s="36">
        <v>0</v>
      </c>
      <c r="H52" s="36">
        <v>6</v>
      </c>
      <c r="I52" s="37">
        <f t="shared" si="2"/>
        <v>0.82751937984496127</v>
      </c>
      <c r="J52" s="37" t="str">
        <f t="shared" si="3"/>
        <v>-</v>
      </c>
      <c r="K52">
        <v>1</v>
      </c>
      <c r="R52" s="54"/>
      <c r="AG52" cm="1">
        <f t="array" ref="AG52">SUMPRODUCT(--(M52:Q52="YES"))</f>
        <v>0</v>
      </c>
      <c r="AH52">
        <f>COUNTIF($AG$5:AG52, "&gt;=3")</f>
        <v>30</v>
      </c>
    </row>
    <row r="53" spans="1:34" x14ac:dyDescent="0.2">
      <c r="A53" s="44">
        <v>67</v>
      </c>
      <c r="B53" s="15" t="s">
        <v>203</v>
      </c>
      <c r="C53" s="14">
        <v>11</v>
      </c>
      <c r="D53" s="36">
        <v>498</v>
      </c>
      <c r="E53" s="36">
        <v>730</v>
      </c>
      <c r="F53" s="36">
        <v>0</v>
      </c>
      <c r="G53" s="36">
        <v>0</v>
      </c>
      <c r="H53" s="36">
        <v>12</v>
      </c>
      <c r="I53" s="37">
        <f t="shared" si="2"/>
        <v>1.4658634538152611</v>
      </c>
      <c r="J53" s="37" t="str">
        <f t="shared" si="3"/>
        <v>-</v>
      </c>
      <c r="K53">
        <v>1</v>
      </c>
      <c r="L53" t="s">
        <v>1610</v>
      </c>
      <c r="M53" s="16" t="s">
        <v>1459</v>
      </c>
      <c r="N53" s="16" t="s">
        <v>1457</v>
      </c>
      <c r="O53" s="16" t="s">
        <v>1459</v>
      </c>
      <c r="P53" s="16" t="s">
        <v>1459</v>
      </c>
      <c r="Q53" s="16" t="s">
        <v>1457</v>
      </c>
      <c r="R53" s="54"/>
      <c r="Y53" s="16" t="s">
        <v>1465</v>
      </c>
      <c r="Z53" s="16" t="s">
        <v>1465</v>
      </c>
      <c r="AA53" s="16" t="s">
        <v>1465</v>
      </c>
      <c r="AB53" s="24" t="s">
        <v>1485</v>
      </c>
      <c r="AC53" s="26"/>
      <c r="AD53" s="24" t="s">
        <v>1611</v>
      </c>
      <c r="AE53" s="24" t="s">
        <v>1612</v>
      </c>
      <c r="AG53" cm="1">
        <f t="array" ref="AG53">SUMPRODUCT(--(M53:Q53="YES"))</f>
        <v>3</v>
      </c>
      <c r="AH53">
        <f>COUNTIF($AG$5:AG53, "&gt;=3")</f>
        <v>31</v>
      </c>
    </row>
    <row r="54" spans="1:34" ht="16" x14ac:dyDescent="0.2">
      <c r="A54" s="44">
        <v>69</v>
      </c>
      <c r="B54" s="15" t="s">
        <v>227</v>
      </c>
      <c r="C54" s="14">
        <v>4</v>
      </c>
      <c r="D54" s="36">
        <v>497</v>
      </c>
      <c r="E54" s="36">
        <v>521</v>
      </c>
      <c r="F54" s="36">
        <v>0</v>
      </c>
      <c r="G54" s="36">
        <v>0</v>
      </c>
      <c r="H54" s="36">
        <v>8</v>
      </c>
      <c r="I54" s="37">
        <f t="shared" si="2"/>
        <v>1.0482897384305836</v>
      </c>
      <c r="J54" s="37" t="str">
        <f t="shared" si="3"/>
        <v>-</v>
      </c>
      <c r="K54">
        <v>1</v>
      </c>
      <c r="L54" t="s">
        <v>1613</v>
      </c>
      <c r="M54" s="16" t="s">
        <v>1459</v>
      </c>
      <c r="N54" s="16" t="s">
        <v>1459</v>
      </c>
      <c r="O54" s="16" t="s">
        <v>1459</v>
      </c>
      <c r="P54" s="16" t="s">
        <v>1459</v>
      </c>
      <c r="Q54" s="16" t="s">
        <v>1459</v>
      </c>
      <c r="R54" s="53" t="s">
        <v>1614</v>
      </c>
      <c r="S54" t="s">
        <v>1578</v>
      </c>
      <c r="T54" t="s">
        <v>1615</v>
      </c>
      <c r="U54" t="s">
        <v>1616</v>
      </c>
      <c r="V54" t="s">
        <v>1617</v>
      </c>
      <c r="X54" t="s">
        <v>1459</v>
      </c>
      <c r="Y54" t="s">
        <v>1618</v>
      </c>
      <c r="Z54" t="s">
        <v>1619</v>
      </c>
      <c r="AA54" t="s">
        <v>1598</v>
      </c>
      <c r="AB54" t="s">
        <v>1620</v>
      </c>
      <c r="AD54" s="24" t="s">
        <v>1621</v>
      </c>
      <c r="AE54" s="24" t="s">
        <v>1622</v>
      </c>
      <c r="AG54" cm="1">
        <f t="array" ref="AG54">SUMPRODUCT(--(M54:Q54="YES"))</f>
        <v>5</v>
      </c>
      <c r="AH54">
        <f>COUNTIF($AG$5:AG54, "&gt;=3")</f>
        <v>32</v>
      </c>
    </row>
    <row r="55" spans="1:34" x14ac:dyDescent="0.2">
      <c r="A55" s="44">
        <v>71</v>
      </c>
      <c r="B55" s="15" t="s">
        <v>337</v>
      </c>
      <c r="C55" s="14">
        <v>6</v>
      </c>
      <c r="D55" s="36">
        <v>480</v>
      </c>
      <c r="E55" s="36">
        <v>581</v>
      </c>
      <c r="F55" s="36">
        <v>0</v>
      </c>
      <c r="G55" s="36">
        <v>0</v>
      </c>
      <c r="H55" s="36">
        <v>10</v>
      </c>
      <c r="I55" s="37">
        <f t="shared" si="2"/>
        <v>1.2104166666666667</v>
      </c>
      <c r="J55" s="37" t="str">
        <f t="shared" si="3"/>
        <v>-</v>
      </c>
      <c r="K55">
        <v>1</v>
      </c>
      <c r="L55" t="s">
        <v>1623</v>
      </c>
      <c r="M55" s="16" t="s">
        <v>1459</v>
      </c>
      <c r="N55" s="16" t="s">
        <v>1457</v>
      </c>
      <c r="O55" s="16" t="s">
        <v>1459</v>
      </c>
      <c r="P55" s="16" t="s">
        <v>1457</v>
      </c>
      <c r="Q55" s="16" t="s">
        <v>1457</v>
      </c>
      <c r="R55" s="54"/>
      <c r="AC55" s="16"/>
      <c r="AD55" s="24" t="s">
        <v>1624</v>
      </c>
      <c r="AE55" s="24" t="s">
        <v>1625</v>
      </c>
      <c r="AG55" cm="1">
        <f t="array" ref="AG55">SUMPRODUCT(--(M55:Q55="YES"))</f>
        <v>2</v>
      </c>
      <c r="AH55">
        <f>COUNTIF($AG$5:AG55, "&gt;=3")</f>
        <v>32</v>
      </c>
    </row>
    <row r="56" spans="1:34" ht="160" x14ac:dyDescent="0.2">
      <c r="A56" s="43">
        <v>72</v>
      </c>
      <c r="B56" s="13" t="s">
        <v>228</v>
      </c>
      <c r="C56" s="33">
        <v>3</v>
      </c>
      <c r="D56" s="34">
        <v>477</v>
      </c>
      <c r="E56" s="34">
        <v>555</v>
      </c>
      <c r="F56" s="34">
        <v>0</v>
      </c>
      <c r="G56" s="34">
        <v>0</v>
      </c>
      <c r="H56" s="34">
        <v>7</v>
      </c>
      <c r="I56" s="35">
        <f t="shared" si="2"/>
        <v>1.1635220125786163</v>
      </c>
      <c r="J56" s="35" t="str">
        <f t="shared" si="3"/>
        <v>-</v>
      </c>
      <c r="K56">
        <v>1</v>
      </c>
      <c r="L56" s="50" t="s">
        <v>1626</v>
      </c>
      <c r="M56" s="16" t="s">
        <v>1459</v>
      </c>
      <c r="N56" s="16" t="s">
        <v>1459</v>
      </c>
      <c r="O56" s="16" t="s">
        <v>1459</v>
      </c>
      <c r="P56" s="16" t="s">
        <v>1459</v>
      </c>
      <c r="Q56" s="16" t="s">
        <v>1457</v>
      </c>
      <c r="R56" s="54"/>
      <c r="Y56" t="s">
        <v>1627</v>
      </c>
      <c r="Z56" t="s">
        <v>1628</v>
      </c>
      <c r="AA56" s="16" t="s">
        <v>1484</v>
      </c>
      <c r="AB56" s="24" t="s">
        <v>1485</v>
      </c>
      <c r="AD56" s="24" t="s">
        <v>1629</v>
      </c>
      <c r="AE56" s="30" t="s">
        <v>1630</v>
      </c>
      <c r="AG56" cm="1">
        <f t="array" ref="AG56">SUMPRODUCT(--(M56:Q56="YES"))</f>
        <v>4</v>
      </c>
      <c r="AH56">
        <f>COUNTIF($AG$5:AG56, "&gt;=3")</f>
        <v>33</v>
      </c>
    </row>
    <row r="57" spans="1:34" x14ac:dyDescent="0.2">
      <c r="A57" s="44">
        <v>73</v>
      </c>
      <c r="B57" s="15" t="s">
        <v>209</v>
      </c>
      <c r="C57" s="14">
        <v>9</v>
      </c>
      <c r="D57" s="36">
        <v>465</v>
      </c>
      <c r="E57" s="36">
        <v>637</v>
      </c>
      <c r="F57" s="36">
        <v>1125</v>
      </c>
      <c r="G57" s="36">
        <v>1120</v>
      </c>
      <c r="H57" s="36">
        <v>6</v>
      </c>
      <c r="I57" s="37">
        <f t="shared" si="2"/>
        <v>1.3698924731182796</v>
      </c>
      <c r="J57" s="37">
        <f t="shared" si="3"/>
        <v>0.99555555555555553</v>
      </c>
      <c r="K57">
        <v>1</v>
      </c>
      <c r="R57" s="54"/>
      <c r="AG57" cm="1">
        <f t="array" ref="AG57">SUMPRODUCT(--(M57:Q57="YES"))</f>
        <v>0</v>
      </c>
      <c r="AH57">
        <f>COUNTIF($AG$5:AG57, "&gt;=3")</f>
        <v>33</v>
      </c>
    </row>
    <row r="58" spans="1:34" x14ac:dyDescent="0.2">
      <c r="A58" s="43">
        <v>74</v>
      </c>
      <c r="B58" s="13" t="s">
        <v>300</v>
      </c>
      <c r="C58" s="33">
        <v>4</v>
      </c>
      <c r="D58" s="34">
        <v>454</v>
      </c>
      <c r="E58" s="34">
        <v>399</v>
      </c>
      <c r="F58" s="34">
        <v>0</v>
      </c>
      <c r="G58" s="34">
        <v>0</v>
      </c>
      <c r="H58" s="34">
        <v>5</v>
      </c>
      <c r="I58" s="35">
        <f t="shared" si="2"/>
        <v>0.87885462555066074</v>
      </c>
      <c r="J58" s="35" t="str">
        <f t="shared" si="3"/>
        <v>-</v>
      </c>
      <c r="K58">
        <v>1</v>
      </c>
      <c r="R58" s="54"/>
      <c r="AG58" cm="1">
        <f t="array" ref="AG58">SUMPRODUCT(--(M58:Q58="YES"))</f>
        <v>0</v>
      </c>
      <c r="AH58">
        <f>COUNTIF($AG$5:AG58, "&gt;=3")</f>
        <v>33</v>
      </c>
    </row>
    <row r="59" spans="1:34" x14ac:dyDescent="0.2">
      <c r="A59" s="43">
        <v>76</v>
      </c>
      <c r="B59" s="13" t="s">
        <v>213</v>
      </c>
      <c r="C59" s="33">
        <v>3</v>
      </c>
      <c r="D59" s="34">
        <v>452</v>
      </c>
      <c r="E59" s="34">
        <v>491</v>
      </c>
      <c r="F59" s="34">
        <v>0</v>
      </c>
      <c r="G59" s="34">
        <v>0</v>
      </c>
      <c r="H59" s="34">
        <v>5</v>
      </c>
      <c r="I59" s="35">
        <f t="shared" si="2"/>
        <v>1.086283185840708</v>
      </c>
      <c r="J59" s="35" t="str">
        <f t="shared" si="3"/>
        <v>-</v>
      </c>
      <c r="K59">
        <v>1</v>
      </c>
      <c r="R59" s="54"/>
      <c r="AG59" cm="1">
        <f t="array" ref="AG59">SUMPRODUCT(--(M59:Q59="YES"))</f>
        <v>0</v>
      </c>
      <c r="AH59">
        <f>COUNTIF($AG$5:AG59, "&gt;=3")</f>
        <v>33</v>
      </c>
    </row>
    <row r="60" spans="1:34" ht="16" x14ac:dyDescent="0.2">
      <c r="A60" s="44">
        <v>77</v>
      </c>
      <c r="B60" s="15" t="s">
        <v>179</v>
      </c>
      <c r="C60" s="14">
        <v>8</v>
      </c>
      <c r="D60" s="36">
        <v>451</v>
      </c>
      <c r="E60" s="36">
        <v>838</v>
      </c>
      <c r="F60" s="36">
        <v>678</v>
      </c>
      <c r="G60" s="36">
        <v>592</v>
      </c>
      <c r="H60" s="36">
        <v>7</v>
      </c>
      <c r="I60" s="37">
        <f t="shared" si="2"/>
        <v>1.8580931263858094</v>
      </c>
      <c r="J60" s="37">
        <f t="shared" si="3"/>
        <v>0.87315634218289084</v>
      </c>
      <c r="K60">
        <v>1</v>
      </c>
      <c r="L60" t="s">
        <v>1631</v>
      </c>
      <c r="M60" s="16" t="s">
        <v>1459</v>
      </c>
      <c r="N60" s="16" t="s">
        <v>1459</v>
      </c>
      <c r="O60" s="16" t="s">
        <v>1459</v>
      </c>
      <c r="P60" s="16" t="s">
        <v>1457</v>
      </c>
      <c r="Q60" s="16" t="s">
        <v>1459</v>
      </c>
      <c r="R60" s="52" t="s">
        <v>1632</v>
      </c>
      <c r="S60" t="s">
        <v>1459</v>
      </c>
      <c r="AD60" s="24" t="s">
        <v>1633</v>
      </c>
      <c r="AE60" s="24" t="s">
        <v>1634</v>
      </c>
      <c r="AG60" cm="1">
        <f t="array" ref="AG60">SUMPRODUCT(--(M60:Q60="YES"))</f>
        <v>4</v>
      </c>
      <c r="AH60">
        <f>COUNTIF($AG$5:AG60, "&gt;=3")</f>
        <v>34</v>
      </c>
    </row>
    <row r="61" spans="1:34" ht="16" x14ac:dyDescent="0.2">
      <c r="A61" s="43">
        <v>82</v>
      </c>
      <c r="B61" s="13" t="s">
        <v>510</v>
      </c>
      <c r="C61" s="33">
        <v>5</v>
      </c>
      <c r="D61" s="34">
        <v>431</v>
      </c>
      <c r="E61" s="34">
        <v>310</v>
      </c>
      <c r="F61" s="34">
        <v>0</v>
      </c>
      <c r="G61" s="34">
        <v>0</v>
      </c>
      <c r="H61" s="34">
        <v>7</v>
      </c>
      <c r="I61" s="35">
        <f t="shared" si="2"/>
        <v>0.71925754060324831</v>
      </c>
      <c r="J61" s="35" t="str">
        <f t="shared" si="3"/>
        <v>-</v>
      </c>
      <c r="K61">
        <v>1</v>
      </c>
      <c r="L61" t="s">
        <v>1635</v>
      </c>
      <c r="M61" s="16" t="s">
        <v>1459</v>
      </c>
      <c r="N61" s="16" t="s">
        <v>1459</v>
      </c>
      <c r="O61" s="16" t="s">
        <v>1459</v>
      </c>
      <c r="P61" s="16" t="s">
        <v>1457</v>
      </c>
      <c r="Q61" s="16" t="s">
        <v>1459</v>
      </c>
      <c r="R61" s="53" t="s">
        <v>1636</v>
      </c>
      <c r="S61" t="s">
        <v>1459</v>
      </c>
      <c r="X61" t="s">
        <v>1459</v>
      </c>
      <c r="AD61" s="24" t="s">
        <v>1637</v>
      </c>
      <c r="AE61" s="24" t="s">
        <v>1638</v>
      </c>
      <c r="AG61" cm="1">
        <f t="array" ref="AG61">SUMPRODUCT(--(M61:Q61="YES"))</f>
        <v>4</v>
      </c>
      <c r="AH61">
        <f>COUNTIF($AG$5:AG61, "&gt;=3")</f>
        <v>35</v>
      </c>
    </row>
    <row r="62" spans="1:34" x14ac:dyDescent="0.2">
      <c r="A62" s="44">
        <v>83</v>
      </c>
      <c r="B62" s="15" t="s">
        <v>450</v>
      </c>
      <c r="C62" s="14">
        <v>5</v>
      </c>
      <c r="D62" s="36">
        <v>430</v>
      </c>
      <c r="E62" s="36">
        <v>302</v>
      </c>
      <c r="F62" s="36">
        <v>0</v>
      </c>
      <c r="G62" s="36">
        <v>0</v>
      </c>
      <c r="H62" s="36">
        <v>7</v>
      </c>
      <c r="I62" s="37">
        <f t="shared" si="2"/>
        <v>0.70232558139534884</v>
      </c>
      <c r="J62" s="37" t="str">
        <f t="shared" si="3"/>
        <v>-</v>
      </c>
      <c r="K62">
        <v>1</v>
      </c>
      <c r="R62" s="54"/>
      <c r="AG62" cm="1">
        <f t="array" ref="AG62">SUMPRODUCT(--(M62:Q62="YES"))</f>
        <v>0</v>
      </c>
      <c r="AH62">
        <f>COUNTIF($AG$5:AG62, "&gt;=3")</f>
        <v>35</v>
      </c>
    </row>
    <row r="63" spans="1:34" x14ac:dyDescent="0.2">
      <c r="A63" s="44">
        <v>85</v>
      </c>
      <c r="B63" s="15" t="s">
        <v>143</v>
      </c>
      <c r="C63" s="14">
        <v>3</v>
      </c>
      <c r="D63" s="36">
        <v>426</v>
      </c>
      <c r="E63" s="36">
        <v>489</v>
      </c>
      <c r="F63" s="36">
        <v>0</v>
      </c>
      <c r="G63" s="36">
        <v>0</v>
      </c>
      <c r="H63" s="36">
        <v>6</v>
      </c>
      <c r="I63" s="37">
        <f t="shared" si="2"/>
        <v>1.147887323943662</v>
      </c>
      <c r="J63" s="37" t="str">
        <f t="shared" si="3"/>
        <v>-</v>
      </c>
      <c r="K63">
        <v>1</v>
      </c>
      <c r="R63" s="54"/>
      <c r="AG63" cm="1">
        <f t="array" ref="AG63">SUMPRODUCT(--(M63:Q63="YES"))</f>
        <v>0</v>
      </c>
      <c r="AH63">
        <f>COUNTIF($AG$5:AG63, "&gt;=3")</f>
        <v>35</v>
      </c>
    </row>
    <row r="64" spans="1:34" ht="16" x14ac:dyDescent="0.2">
      <c r="A64" s="44">
        <v>87</v>
      </c>
      <c r="B64" s="15" t="s">
        <v>326</v>
      </c>
      <c r="C64" s="14">
        <v>3</v>
      </c>
      <c r="D64" s="36">
        <v>415</v>
      </c>
      <c r="E64" s="36">
        <v>329</v>
      </c>
      <c r="F64" s="36">
        <v>0</v>
      </c>
      <c r="G64" s="36">
        <v>0</v>
      </c>
      <c r="H64" s="36">
        <v>7</v>
      </c>
      <c r="I64" s="37">
        <f t="shared" si="2"/>
        <v>0.79277108433734944</v>
      </c>
      <c r="J64" s="37" t="str">
        <f t="shared" si="3"/>
        <v>-</v>
      </c>
      <c r="K64">
        <v>1</v>
      </c>
      <c r="L64" t="s">
        <v>1639</v>
      </c>
      <c r="M64" s="16" t="s">
        <v>1459</v>
      </c>
      <c r="N64" s="16" t="s">
        <v>1459</v>
      </c>
      <c r="O64" s="16" t="s">
        <v>1459</v>
      </c>
      <c r="P64" s="16" t="s">
        <v>1459</v>
      </c>
      <c r="Q64" s="16" t="s">
        <v>1459</v>
      </c>
      <c r="R64" s="53" t="s">
        <v>1640</v>
      </c>
      <c r="S64" t="s">
        <v>1578</v>
      </c>
      <c r="T64" t="s">
        <v>1641</v>
      </c>
      <c r="U64" t="s">
        <v>1642</v>
      </c>
      <c r="V64" t="s">
        <v>1643</v>
      </c>
      <c r="W64" t="s">
        <v>1465</v>
      </c>
      <c r="Y64" t="s">
        <v>1470</v>
      </c>
      <c r="Z64" t="s">
        <v>1644</v>
      </c>
      <c r="AA64" t="s">
        <v>1598</v>
      </c>
      <c r="AB64" t="s">
        <v>1645</v>
      </c>
      <c r="AD64" s="24" t="s">
        <v>1646</v>
      </c>
      <c r="AE64" s="24" t="s">
        <v>1647</v>
      </c>
      <c r="AG64" cm="1">
        <f t="array" ref="AG64">SUMPRODUCT(--(M64:Q64="YES"))</f>
        <v>5</v>
      </c>
      <c r="AH64">
        <f>COUNTIF($AG$5:AG64, "&gt;=3")</f>
        <v>36</v>
      </c>
    </row>
    <row r="65" spans="1:34" x14ac:dyDescent="0.2">
      <c r="A65" s="43">
        <v>92</v>
      </c>
      <c r="B65" s="13" t="s">
        <v>324</v>
      </c>
      <c r="C65" s="33">
        <v>7</v>
      </c>
      <c r="D65" s="34">
        <v>388</v>
      </c>
      <c r="E65" s="34">
        <v>552</v>
      </c>
      <c r="F65" s="34">
        <v>999</v>
      </c>
      <c r="G65" s="34">
        <v>997</v>
      </c>
      <c r="H65" s="34">
        <v>5</v>
      </c>
      <c r="I65" s="35">
        <f t="shared" si="2"/>
        <v>1.4226804123711341</v>
      </c>
      <c r="J65" s="35">
        <f t="shared" si="3"/>
        <v>0.99799799799799804</v>
      </c>
      <c r="K65">
        <v>1</v>
      </c>
      <c r="R65" s="54"/>
      <c r="AG65" cm="1">
        <f t="array" ref="AG65">SUMPRODUCT(--(M65:Q65="YES"))</f>
        <v>0</v>
      </c>
      <c r="AH65">
        <f>COUNTIF($AG$5:AG65, "&gt;=3")</f>
        <v>36</v>
      </c>
    </row>
    <row r="66" spans="1:34" ht="16" x14ac:dyDescent="0.2">
      <c r="A66" s="43">
        <v>96</v>
      </c>
      <c r="B66" s="13" t="s">
        <v>372</v>
      </c>
      <c r="C66" s="33">
        <v>6</v>
      </c>
      <c r="D66" s="34">
        <v>376</v>
      </c>
      <c r="E66" s="34">
        <v>337</v>
      </c>
      <c r="F66" s="34">
        <v>0</v>
      </c>
      <c r="G66" s="34">
        <v>0</v>
      </c>
      <c r="H66" s="34">
        <v>8</v>
      </c>
      <c r="I66" s="35">
        <f t="shared" si="2"/>
        <v>0.89627659574468088</v>
      </c>
      <c r="J66" s="35" t="str">
        <f t="shared" si="3"/>
        <v>-</v>
      </c>
      <c r="K66">
        <v>1</v>
      </c>
      <c r="L66" t="s">
        <v>1648</v>
      </c>
      <c r="M66" s="16" t="s">
        <v>1459</v>
      </c>
      <c r="N66" s="16" t="s">
        <v>1459</v>
      </c>
      <c r="O66" s="16" t="s">
        <v>1459</v>
      </c>
      <c r="P66" s="16" t="s">
        <v>1457</v>
      </c>
      <c r="Q66" s="16" t="s">
        <v>1459</v>
      </c>
      <c r="R66" s="52" t="s">
        <v>1649</v>
      </c>
      <c r="S66" t="s">
        <v>1497</v>
      </c>
      <c r="AD66" s="24" t="s">
        <v>1650</v>
      </c>
      <c r="AE66" s="30" t="s">
        <v>1651</v>
      </c>
      <c r="AG66" cm="1">
        <f t="array" ref="AG66">SUMPRODUCT(--(M66:Q66="YES"))</f>
        <v>4</v>
      </c>
      <c r="AH66">
        <f>COUNTIF($AG$5:AG66, "&gt;=3")</f>
        <v>37</v>
      </c>
    </row>
    <row r="67" spans="1:34" x14ac:dyDescent="0.2">
      <c r="A67" s="44">
        <v>97</v>
      </c>
      <c r="B67" s="15" t="s">
        <v>306</v>
      </c>
      <c r="C67" s="14">
        <v>3</v>
      </c>
      <c r="D67" s="36">
        <v>373</v>
      </c>
      <c r="E67" s="36">
        <v>367</v>
      </c>
      <c r="F67" s="36">
        <v>0</v>
      </c>
      <c r="G67" s="36">
        <v>0</v>
      </c>
      <c r="H67" s="36">
        <v>5</v>
      </c>
      <c r="I67" s="37">
        <f t="shared" si="2"/>
        <v>0.98391420911528149</v>
      </c>
      <c r="J67" s="37" t="str">
        <f t="shared" si="3"/>
        <v>-</v>
      </c>
      <c r="K67">
        <v>1</v>
      </c>
      <c r="R67" s="54"/>
      <c r="AG67" cm="1">
        <f t="array" ref="AG67">SUMPRODUCT(--(M67:Q67="YES"))</f>
        <v>0</v>
      </c>
      <c r="AH67">
        <f>COUNTIF($AG$5:AG67, "&gt;=3")</f>
        <v>37</v>
      </c>
    </row>
    <row r="68" spans="1:34" x14ac:dyDescent="0.2">
      <c r="A68" s="44">
        <v>99</v>
      </c>
      <c r="B68" s="15" t="s">
        <v>322</v>
      </c>
      <c r="C68" s="14">
        <v>4</v>
      </c>
      <c r="D68" s="36">
        <v>369</v>
      </c>
      <c r="E68" s="36">
        <v>287</v>
      </c>
      <c r="F68" s="36">
        <v>0</v>
      </c>
      <c r="G68" s="36">
        <v>0</v>
      </c>
      <c r="H68" s="36">
        <v>6</v>
      </c>
      <c r="I68" s="37">
        <f t="shared" si="2"/>
        <v>0.77777777777777779</v>
      </c>
      <c r="J68" s="37" t="str">
        <f t="shared" si="3"/>
        <v>-</v>
      </c>
      <c r="K68">
        <v>1</v>
      </c>
      <c r="R68" s="54"/>
      <c r="AG68" cm="1">
        <f t="array" ref="AG68">SUMPRODUCT(--(M68:Q68="YES"))</f>
        <v>0</v>
      </c>
      <c r="AH68">
        <f>COUNTIF($AG$5:AG68, "&gt;=3")</f>
        <v>37</v>
      </c>
    </row>
    <row r="69" spans="1:34" x14ac:dyDescent="0.2">
      <c r="A69" s="44">
        <v>101</v>
      </c>
      <c r="B69" s="15" t="s">
        <v>184</v>
      </c>
      <c r="C69" s="14">
        <v>3</v>
      </c>
      <c r="D69" s="36">
        <v>357</v>
      </c>
      <c r="E69" s="36">
        <v>449</v>
      </c>
      <c r="F69" s="36">
        <v>0</v>
      </c>
      <c r="G69" s="36">
        <v>0</v>
      </c>
      <c r="H69" s="36">
        <v>5</v>
      </c>
      <c r="I69" s="37">
        <f t="shared" ref="I69:I88" si="4">IF(D69=0,"-",E69/D69)</f>
        <v>1.257703081232493</v>
      </c>
      <c r="J69" s="37" t="str">
        <f t="shared" ref="J69:J88" si="5">IF(F69=0,"-",G69/F69)</f>
        <v>-</v>
      </c>
      <c r="K69">
        <v>1</v>
      </c>
      <c r="R69" s="54"/>
      <c r="AG69" cm="1">
        <f t="array" ref="AG69">SUMPRODUCT(--(M69:Q69="YES"))</f>
        <v>0</v>
      </c>
      <c r="AH69">
        <f>COUNTIF($AG$5:AG69, "&gt;=3")</f>
        <v>37</v>
      </c>
    </row>
    <row r="70" spans="1:34" x14ac:dyDescent="0.2">
      <c r="A70" s="44">
        <v>105</v>
      </c>
      <c r="B70" s="15" t="s">
        <v>1579</v>
      </c>
      <c r="C70" s="14">
        <v>9</v>
      </c>
      <c r="D70" s="36">
        <v>327</v>
      </c>
      <c r="E70" s="36">
        <v>199</v>
      </c>
      <c r="F70" s="36">
        <v>54</v>
      </c>
      <c r="G70" s="36">
        <v>54</v>
      </c>
      <c r="H70" s="36">
        <v>9</v>
      </c>
      <c r="I70" s="37">
        <f t="shared" si="4"/>
        <v>0.60856269113149852</v>
      </c>
      <c r="J70" s="37">
        <f t="shared" si="5"/>
        <v>1</v>
      </c>
      <c r="K70">
        <v>1</v>
      </c>
      <c r="L70" t="s">
        <v>1465</v>
      </c>
      <c r="M70" s="16" t="s">
        <v>1457</v>
      </c>
      <c r="N70" s="16" t="s">
        <v>1457</v>
      </c>
      <c r="O70" s="16" t="s">
        <v>1457</v>
      </c>
      <c r="P70" s="16" t="s">
        <v>1457</v>
      </c>
      <c r="R70" s="54"/>
      <c r="AC70" s="26"/>
      <c r="AG70" cm="1">
        <f t="array" ref="AG70">SUMPRODUCT(--(M70:Q70="YES"))</f>
        <v>0</v>
      </c>
      <c r="AH70">
        <f>COUNTIF($AG$5:AG70, "&gt;=3")</f>
        <v>37</v>
      </c>
    </row>
    <row r="71" spans="1:34" ht="16" x14ac:dyDescent="0.2">
      <c r="A71" s="44">
        <v>107</v>
      </c>
      <c r="B71" s="15" t="s">
        <v>353</v>
      </c>
      <c r="C71" s="14">
        <v>4</v>
      </c>
      <c r="D71" s="36">
        <v>320</v>
      </c>
      <c r="E71" s="36">
        <v>341</v>
      </c>
      <c r="F71" s="36">
        <v>215</v>
      </c>
      <c r="G71" s="36">
        <v>215</v>
      </c>
      <c r="H71" s="36">
        <v>12</v>
      </c>
      <c r="I71" s="37">
        <f t="shared" si="4"/>
        <v>1.065625</v>
      </c>
      <c r="J71" s="37">
        <f t="shared" si="5"/>
        <v>1</v>
      </c>
      <c r="K71">
        <v>1</v>
      </c>
      <c r="L71" t="s">
        <v>1652</v>
      </c>
      <c r="M71" s="16" t="s">
        <v>1459</v>
      </c>
      <c r="N71" s="16" t="s">
        <v>1459</v>
      </c>
      <c r="O71" s="16" t="s">
        <v>1459</v>
      </c>
      <c r="P71" s="16" t="s">
        <v>1459</v>
      </c>
      <c r="Q71" s="16" t="s">
        <v>1459</v>
      </c>
      <c r="R71" s="52" t="s">
        <v>1653</v>
      </c>
      <c r="S71" t="s">
        <v>1459</v>
      </c>
      <c r="T71" t="s">
        <v>1654</v>
      </c>
      <c r="U71" t="s">
        <v>1655</v>
      </c>
      <c r="V71" t="s">
        <v>1656</v>
      </c>
      <c r="W71" t="s">
        <v>1465</v>
      </c>
      <c r="X71" t="s">
        <v>1457</v>
      </c>
      <c r="Y71" s="16" t="s">
        <v>1465</v>
      </c>
      <c r="Z71" s="16" t="s">
        <v>1657</v>
      </c>
      <c r="AA71" s="16" t="s">
        <v>1658</v>
      </c>
      <c r="AB71" t="s">
        <v>1659</v>
      </c>
      <c r="AC71" s="26"/>
      <c r="AD71" s="24" t="s">
        <v>1660</v>
      </c>
      <c r="AE71" s="24" t="s">
        <v>1661</v>
      </c>
      <c r="AG71" cm="1">
        <f t="array" ref="AG71">SUMPRODUCT(--(M71:Q71="YES"))</f>
        <v>5</v>
      </c>
      <c r="AH71">
        <f>COUNTIF($AG$5:AG71, "&gt;=3")</f>
        <v>38</v>
      </c>
    </row>
    <row r="72" spans="1:34" x14ac:dyDescent="0.2">
      <c r="A72" s="44">
        <v>113</v>
      </c>
      <c r="B72" s="15" t="s">
        <v>463</v>
      </c>
      <c r="C72" s="14">
        <v>5</v>
      </c>
      <c r="D72" s="36">
        <v>295</v>
      </c>
      <c r="E72" s="36">
        <v>346</v>
      </c>
      <c r="F72" s="36">
        <v>0</v>
      </c>
      <c r="G72" s="36">
        <v>0</v>
      </c>
      <c r="H72" s="36">
        <v>6</v>
      </c>
      <c r="I72" s="37">
        <f t="shared" si="4"/>
        <v>1.1728813559322033</v>
      </c>
      <c r="J72" s="37" t="str">
        <f t="shared" si="5"/>
        <v>-</v>
      </c>
      <c r="K72">
        <v>1</v>
      </c>
      <c r="R72" s="54"/>
      <c r="AG72" cm="1">
        <f t="array" ref="AG72">SUMPRODUCT(--(M72:Q72="YES"))</f>
        <v>0</v>
      </c>
      <c r="AH72">
        <f>COUNTIF($AG$5:AG72, "&gt;=3")</f>
        <v>38</v>
      </c>
    </row>
    <row r="73" spans="1:34" x14ac:dyDescent="0.2">
      <c r="A73" s="43">
        <v>114</v>
      </c>
      <c r="B73" s="13" t="s">
        <v>323</v>
      </c>
      <c r="C73" s="33">
        <v>4</v>
      </c>
      <c r="D73" s="34">
        <v>292</v>
      </c>
      <c r="E73" s="34">
        <v>278</v>
      </c>
      <c r="F73" s="34">
        <v>172</v>
      </c>
      <c r="G73" s="34">
        <v>170</v>
      </c>
      <c r="H73" s="34">
        <v>5</v>
      </c>
      <c r="I73" s="35">
        <f t="shared" si="4"/>
        <v>0.95205479452054798</v>
      </c>
      <c r="J73" s="35">
        <f t="shared" si="5"/>
        <v>0.98837209302325579</v>
      </c>
      <c r="K73">
        <v>1</v>
      </c>
      <c r="R73" s="54"/>
      <c r="AG73" cm="1">
        <f t="array" ref="AG73">SUMPRODUCT(--(M73:Q73="YES"))</f>
        <v>0</v>
      </c>
      <c r="AH73">
        <f>COUNTIF($AG$5:AG73, "&gt;=3")</f>
        <v>38</v>
      </c>
    </row>
    <row r="74" spans="1:34" ht="16" x14ac:dyDescent="0.2">
      <c r="A74" s="44">
        <v>115</v>
      </c>
      <c r="B74" s="15" t="s">
        <v>355</v>
      </c>
      <c r="C74" s="14">
        <v>4</v>
      </c>
      <c r="D74" s="36">
        <v>291</v>
      </c>
      <c r="E74" s="36">
        <v>452</v>
      </c>
      <c r="F74" s="36">
        <v>0</v>
      </c>
      <c r="G74" s="36">
        <v>0</v>
      </c>
      <c r="H74" s="36">
        <v>7</v>
      </c>
      <c r="I74" s="37">
        <f t="shared" si="4"/>
        <v>1.5532646048109966</v>
      </c>
      <c r="J74" s="37" t="str">
        <f t="shared" si="5"/>
        <v>-</v>
      </c>
      <c r="K74">
        <v>1</v>
      </c>
      <c r="L74" t="s">
        <v>1662</v>
      </c>
      <c r="M74" s="16" t="s">
        <v>1459</v>
      </c>
      <c r="N74" s="16" t="s">
        <v>1457</v>
      </c>
      <c r="O74" s="16" t="s">
        <v>1459</v>
      </c>
      <c r="P74" s="16" t="s">
        <v>1457</v>
      </c>
      <c r="Q74" s="16" t="s">
        <v>1459</v>
      </c>
      <c r="R74" s="53" t="s">
        <v>1663</v>
      </c>
      <c r="AD74" s="24" t="s">
        <v>1664</v>
      </c>
      <c r="AE74" s="32" t="s">
        <v>1665</v>
      </c>
      <c r="AG74" cm="1">
        <f t="array" ref="AG74">SUMPRODUCT(--(M74:Q74="YES"))</f>
        <v>3</v>
      </c>
      <c r="AH74">
        <f>COUNTIF($AG$5:AG74, "&gt;=3")</f>
        <v>39</v>
      </c>
    </row>
    <row r="75" spans="1:34" x14ac:dyDescent="0.2">
      <c r="A75" s="43">
        <v>122</v>
      </c>
      <c r="B75" s="13" t="s">
        <v>605</v>
      </c>
      <c r="C75" s="33">
        <v>3</v>
      </c>
      <c r="D75" s="34">
        <v>270</v>
      </c>
      <c r="E75" s="34">
        <v>161</v>
      </c>
      <c r="F75" s="34">
        <v>0</v>
      </c>
      <c r="G75" s="34">
        <v>0</v>
      </c>
      <c r="H75" s="34">
        <v>6</v>
      </c>
      <c r="I75" s="35">
        <f t="shared" si="4"/>
        <v>0.59629629629629632</v>
      </c>
      <c r="J75" s="35" t="str">
        <f t="shared" si="5"/>
        <v>-</v>
      </c>
      <c r="K75">
        <v>1</v>
      </c>
      <c r="R75" s="54"/>
      <c r="AG75" cm="1">
        <f t="array" ref="AG75">SUMPRODUCT(--(M75:Q75="YES"))</f>
        <v>0</v>
      </c>
      <c r="AH75">
        <f>COUNTIF($AG$5:AG75, "&gt;=3")</f>
        <v>39</v>
      </c>
    </row>
    <row r="76" spans="1:34" x14ac:dyDescent="0.2">
      <c r="A76" s="44">
        <v>123</v>
      </c>
      <c r="B76" s="15" t="s">
        <v>194</v>
      </c>
      <c r="C76" s="14">
        <v>4</v>
      </c>
      <c r="D76" s="36">
        <v>268</v>
      </c>
      <c r="E76" s="36">
        <v>417</v>
      </c>
      <c r="F76" s="36">
        <v>1174</v>
      </c>
      <c r="G76" s="36">
        <v>1173</v>
      </c>
      <c r="H76" s="36">
        <v>6</v>
      </c>
      <c r="I76" s="37">
        <f t="shared" si="4"/>
        <v>1.5559701492537314</v>
      </c>
      <c r="J76" s="37">
        <f t="shared" si="5"/>
        <v>0.99914821124361164</v>
      </c>
      <c r="K76">
        <v>1</v>
      </c>
      <c r="R76" s="54"/>
      <c r="AG76" cm="1">
        <f t="array" ref="AG76">SUMPRODUCT(--(M76:Q76="YES"))</f>
        <v>0</v>
      </c>
      <c r="AH76">
        <f>COUNTIF($AG$5:AG76, "&gt;=3")</f>
        <v>39</v>
      </c>
    </row>
    <row r="77" spans="1:34" x14ac:dyDescent="0.2">
      <c r="A77" s="43">
        <v>124</v>
      </c>
      <c r="B77" s="13" t="s">
        <v>466</v>
      </c>
      <c r="C77" s="33">
        <v>4</v>
      </c>
      <c r="D77" s="34">
        <v>267</v>
      </c>
      <c r="E77" s="34">
        <v>215</v>
      </c>
      <c r="F77" s="34">
        <v>160</v>
      </c>
      <c r="G77" s="34">
        <v>143</v>
      </c>
      <c r="H77" s="34">
        <v>5</v>
      </c>
      <c r="I77" s="35">
        <f t="shared" si="4"/>
        <v>0.80524344569288386</v>
      </c>
      <c r="J77" s="35">
        <f t="shared" si="5"/>
        <v>0.89375000000000004</v>
      </c>
      <c r="K77">
        <v>1</v>
      </c>
      <c r="R77" s="54"/>
      <c r="AG77" cm="1">
        <f t="array" ref="AG77">SUMPRODUCT(--(M77:Q77="YES"))</f>
        <v>0</v>
      </c>
      <c r="AH77">
        <f>COUNTIF($AG$5:AG77, "&gt;=3")</f>
        <v>39</v>
      </c>
    </row>
    <row r="78" spans="1:34" x14ac:dyDescent="0.2">
      <c r="A78" s="44">
        <v>127</v>
      </c>
      <c r="B78" s="15" t="s">
        <v>594</v>
      </c>
      <c r="C78" s="14">
        <v>3</v>
      </c>
      <c r="D78" s="36">
        <v>253</v>
      </c>
      <c r="E78" s="36">
        <v>215</v>
      </c>
      <c r="F78" s="36">
        <v>0</v>
      </c>
      <c r="G78" s="36">
        <v>0</v>
      </c>
      <c r="H78" s="36">
        <v>6</v>
      </c>
      <c r="I78" s="37">
        <f t="shared" si="4"/>
        <v>0.84980237154150196</v>
      </c>
      <c r="J78" s="37" t="str">
        <f t="shared" si="5"/>
        <v>-</v>
      </c>
      <c r="K78">
        <v>1</v>
      </c>
      <c r="R78" s="54"/>
      <c r="AG78" cm="1">
        <f t="array" ref="AG78">SUMPRODUCT(--(M78:Q78="YES"))</f>
        <v>0</v>
      </c>
      <c r="AH78">
        <f>COUNTIF($AG$5:AG78, "&gt;=3")</f>
        <v>39</v>
      </c>
    </row>
    <row r="79" spans="1:34" x14ac:dyDescent="0.2">
      <c r="A79" s="43">
        <v>126</v>
      </c>
      <c r="B79" s="13" t="s">
        <v>691</v>
      </c>
      <c r="C79" s="33">
        <v>17</v>
      </c>
      <c r="D79" s="34">
        <v>253</v>
      </c>
      <c r="E79" s="34">
        <v>223</v>
      </c>
      <c r="F79" s="34">
        <v>5730</v>
      </c>
      <c r="G79" s="34">
        <v>5675</v>
      </c>
      <c r="H79" s="34">
        <v>5</v>
      </c>
      <c r="I79" s="35">
        <f t="shared" si="4"/>
        <v>0.88142292490118579</v>
      </c>
      <c r="J79" s="35">
        <f t="shared" si="5"/>
        <v>0.99040139616055844</v>
      </c>
      <c r="K79">
        <v>1</v>
      </c>
      <c r="R79" s="54"/>
      <c r="AG79" cm="1">
        <f t="array" ref="AG79">SUMPRODUCT(--(M79:Q79="YES"))</f>
        <v>0</v>
      </c>
      <c r="AH79">
        <f>COUNTIF($AG$5:AG79, "&gt;=3")</f>
        <v>39</v>
      </c>
    </row>
    <row r="80" spans="1:34" x14ac:dyDescent="0.2">
      <c r="A80" s="43">
        <v>142</v>
      </c>
      <c r="B80" s="13" t="s">
        <v>550</v>
      </c>
      <c r="C80" s="33">
        <v>6</v>
      </c>
      <c r="D80" s="34">
        <v>230</v>
      </c>
      <c r="E80" s="34">
        <v>180</v>
      </c>
      <c r="F80" s="34">
        <v>273</v>
      </c>
      <c r="G80" s="34">
        <v>272</v>
      </c>
      <c r="H80" s="34">
        <v>6</v>
      </c>
      <c r="I80" s="35">
        <f t="shared" si="4"/>
        <v>0.78260869565217395</v>
      </c>
      <c r="J80" s="35">
        <f t="shared" si="5"/>
        <v>0.99633699633699635</v>
      </c>
      <c r="K80">
        <v>1</v>
      </c>
      <c r="R80" s="54"/>
      <c r="AG80" cm="1">
        <f t="array" ref="AG80">SUMPRODUCT(--(M80:Q80="YES"))</f>
        <v>0</v>
      </c>
      <c r="AH80">
        <f>COUNTIF($AG$5:AG80, "&gt;=3")</f>
        <v>39</v>
      </c>
    </row>
    <row r="81" spans="1:34" x14ac:dyDescent="0.2">
      <c r="A81" s="44">
        <v>145</v>
      </c>
      <c r="B81" s="15" t="s">
        <v>630</v>
      </c>
      <c r="C81" s="14">
        <v>4</v>
      </c>
      <c r="D81" s="36">
        <v>228</v>
      </c>
      <c r="E81" s="36">
        <v>255</v>
      </c>
      <c r="F81" s="36">
        <v>0</v>
      </c>
      <c r="G81" s="36">
        <v>0</v>
      </c>
      <c r="H81" s="36">
        <v>5</v>
      </c>
      <c r="I81" s="37">
        <f t="shared" si="4"/>
        <v>1.118421052631579</v>
      </c>
      <c r="J81" s="37" t="str">
        <f t="shared" si="5"/>
        <v>-</v>
      </c>
      <c r="K81">
        <v>1</v>
      </c>
      <c r="R81" s="54"/>
      <c r="AG81" cm="1">
        <f t="array" ref="AG81">SUMPRODUCT(--(M81:Q81="YES"))</f>
        <v>0</v>
      </c>
      <c r="AH81">
        <f>COUNTIF($AG$5:AG81, "&gt;=3")</f>
        <v>39</v>
      </c>
    </row>
    <row r="82" spans="1:34" x14ac:dyDescent="0.2">
      <c r="A82" s="44">
        <v>153</v>
      </c>
      <c r="B82" s="15" t="s">
        <v>661</v>
      </c>
      <c r="C82" s="14">
        <v>6</v>
      </c>
      <c r="D82" s="36">
        <v>215</v>
      </c>
      <c r="E82" s="36">
        <v>213</v>
      </c>
      <c r="F82" s="36">
        <v>762</v>
      </c>
      <c r="G82" s="36">
        <v>762</v>
      </c>
      <c r="H82" s="36">
        <v>5</v>
      </c>
      <c r="I82" s="37">
        <f t="shared" si="4"/>
        <v>0.99069767441860468</v>
      </c>
      <c r="J82" s="37">
        <f t="shared" si="5"/>
        <v>1</v>
      </c>
      <c r="K82">
        <v>1</v>
      </c>
      <c r="R82" s="54"/>
      <c r="AG82" cm="1">
        <f t="array" ref="AG82">SUMPRODUCT(--(M82:Q82="YES"))</f>
        <v>0</v>
      </c>
      <c r="AH82">
        <f>COUNTIF($AG$5:AG82, "&gt;=3")</f>
        <v>39</v>
      </c>
    </row>
    <row r="83" spans="1:34" x14ac:dyDescent="0.2">
      <c r="A83" s="43">
        <v>164</v>
      </c>
      <c r="B83" s="13" t="s">
        <v>596</v>
      </c>
      <c r="C83" s="33">
        <v>7</v>
      </c>
      <c r="D83" s="34">
        <v>202</v>
      </c>
      <c r="E83" s="34">
        <v>240</v>
      </c>
      <c r="F83" s="34">
        <v>0</v>
      </c>
      <c r="G83" s="34">
        <v>0</v>
      </c>
      <c r="H83" s="34">
        <v>9</v>
      </c>
      <c r="I83" s="35">
        <f t="shared" si="4"/>
        <v>1.1881188118811881</v>
      </c>
      <c r="J83" s="35" t="str">
        <f t="shared" si="5"/>
        <v>-</v>
      </c>
      <c r="K83">
        <v>1</v>
      </c>
      <c r="L83" t="s">
        <v>1666</v>
      </c>
      <c r="M83" s="16" t="s">
        <v>1459</v>
      </c>
      <c r="N83" s="16" t="s">
        <v>1459</v>
      </c>
      <c r="O83" s="16" t="s">
        <v>1459</v>
      </c>
      <c r="P83" s="16" t="s">
        <v>1459</v>
      </c>
      <c r="Q83" s="16" t="s">
        <v>1457</v>
      </c>
      <c r="R83" s="54"/>
      <c r="S83" t="s">
        <v>1578</v>
      </c>
      <c r="Y83" s="16" t="s">
        <v>1465</v>
      </c>
      <c r="Z83" s="16" t="s">
        <v>1465</v>
      </c>
      <c r="AA83" s="16" t="s">
        <v>1465</v>
      </c>
      <c r="AB83" t="s">
        <v>1667</v>
      </c>
      <c r="AC83" s="26"/>
      <c r="AD83" s="24" t="s">
        <v>1668</v>
      </c>
      <c r="AE83" s="30" t="s">
        <v>1669</v>
      </c>
      <c r="AG83" cm="1">
        <f t="array" ref="AG83">SUMPRODUCT(--(M83:Q83="YES"))</f>
        <v>4</v>
      </c>
      <c r="AH83">
        <f>COUNTIF($AG$5:AG83, "&gt;=3")</f>
        <v>40</v>
      </c>
    </row>
    <row r="84" spans="1:34" x14ac:dyDescent="0.2">
      <c r="A84" s="44">
        <v>173</v>
      </c>
      <c r="B84" s="15" t="s">
        <v>390</v>
      </c>
      <c r="C84" s="14">
        <v>3</v>
      </c>
      <c r="D84" s="36">
        <v>180</v>
      </c>
      <c r="E84" s="36">
        <v>328</v>
      </c>
      <c r="F84" s="36">
        <v>0</v>
      </c>
      <c r="G84" s="36">
        <v>0</v>
      </c>
      <c r="H84" s="36">
        <v>5</v>
      </c>
      <c r="I84" s="37">
        <f t="shared" si="4"/>
        <v>1.8222222222222222</v>
      </c>
      <c r="J84" s="37" t="str">
        <f t="shared" si="5"/>
        <v>-</v>
      </c>
      <c r="K84">
        <v>1</v>
      </c>
      <c r="R84" s="54"/>
      <c r="AG84" cm="1">
        <f t="array" ref="AG84">SUMPRODUCT(--(M84:Q84="YES"))</f>
        <v>0</v>
      </c>
      <c r="AH84">
        <f>COUNTIF($AG$5:AG84, "&gt;=3")</f>
        <v>40</v>
      </c>
    </row>
    <row r="85" spans="1:34" x14ac:dyDescent="0.2">
      <c r="A85" s="44">
        <v>175</v>
      </c>
      <c r="B85" s="15" t="s">
        <v>655</v>
      </c>
      <c r="C85" s="14">
        <v>5</v>
      </c>
      <c r="D85" s="36">
        <v>179</v>
      </c>
      <c r="E85" s="36">
        <v>182</v>
      </c>
      <c r="F85" s="36">
        <v>0</v>
      </c>
      <c r="G85" s="36">
        <v>0</v>
      </c>
      <c r="H85" s="36">
        <v>5</v>
      </c>
      <c r="I85" s="37">
        <f t="shared" si="4"/>
        <v>1.0167597765363128</v>
      </c>
      <c r="J85" s="37" t="str">
        <f t="shared" si="5"/>
        <v>-</v>
      </c>
      <c r="K85">
        <v>1</v>
      </c>
      <c r="R85" s="54"/>
      <c r="AG85" cm="1">
        <f t="array" ref="AG85">SUMPRODUCT(--(M85:Q85="YES"))</f>
        <v>0</v>
      </c>
      <c r="AH85">
        <f>COUNTIF($AG$5:AG85, "&gt;=3")</f>
        <v>40</v>
      </c>
    </row>
    <row r="86" spans="1:34" x14ac:dyDescent="0.2">
      <c r="A86" s="43">
        <v>178</v>
      </c>
      <c r="B86" s="13" t="s">
        <v>675</v>
      </c>
      <c r="C86" s="33">
        <v>4</v>
      </c>
      <c r="D86" s="34">
        <v>177</v>
      </c>
      <c r="E86" s="34">
        <v>119</v>
      </c>
      <c r="F86" s="34">
        <v>0</v>
      </c>
      <c r="G86" s="34">
        <v>0</v>
      </c>
      <c r="H86" s="34">
        <v>5</v>
      </c>
      <c r="I86" s="35">
        <f t="shared" si="4"/>
        <v>0.67231638418079098</v>
      </c>
      <c r="J86" s="35" t="str">
        <f t="shared" si="5"/>
        <v>-</v>
      </c>
      <c r="K86">
        <v>1</v>
      </c>
      <c r="L86" s="51" t="s">
        <v>1500</v>
      </c>
      <c r="R86" s="54"/>
      <c r="AG86" cm="1">
        <f t="array" ref="AG86">SUMPRODUCT(--(M86:Q86="YES"))</f>
        <v>0</v>
      </c>
      <c r="AH86">
        <f>COUNTIF($AG$5:AG86, "&gt;=3")</f>
        <v>40</v>
      </c>
    </row>
    <row r="87" spans="1:34" x14ac:dyDescent="0.2">
      <c r="A87" s="44">
        <v>199</v>
      </c>
      <c r="B87" s="15" t="s">
        <v>464</v>
      </c>
      <c r="C87" s="14">
        <v>5</v>
      </c>
      <c r="D87" s="36">
        <v>148</v>
      </c>
      <c r="E87" s="36">
        <v>156</v>
      </c>
      <c r="F87" s="36">
        <v>43</v>
      </c>
      <c r="G87" s="36">
        <v>43</v>
      </c>
      <c r="H87" s="36">
        <v>5</v>
      </c>
      <c r="I87" s="37">
        <f t="shared" si="4"/>
        <v>1.0540540540540539</v>
      </c>
      <c r="J87" s="37">
        <f t="shared" si="5"/>
        <v>1</v>
      </c>
      <c r="K87">
        <v>1</v>
      </c>
      <c r="R87" s="54"/>
      <c r="AG87" cm="1">
        <f t="array" ref="AG87">SUMPRODUCT(--(M87:Q87="YES"))</f>
        <v>0</v>
      </c>
      <c r="AH87">
        <f>COUNTIF($AG$5:AG87, "&gt;=3")</f>
        <v>40</v>
      </c>
    </row>
    <row r="88" spans="1:34" x14ac:dyDescent="0.2">
      <c r="A88" s="44">
        <v>213</v>
      </c>
      <c r="B88" s="15" t="s">
        <v>753</v>
      </c>
      <c r="C88" s="14">
        <v>4</v>
      </c>
      <c r="D88" s="36">
        <v>128</v>
      </c>
      <c r="E88" s="36">
        <v>101</v>
      </c>
      <c r="F88" s="36">
        <v>0</v>
      </c>
      <c r="G88" s="36">
        <v>0</v>
      </c>
      <c r="H88" s="36">
        <v>6</v>
      </c>
      <c r="I88" s="37">
        <f t="shared" si="4"/>
        <v>0.7890625</v>
      </c>
      <c r="J88" s="37" t="str">
        <f t="shared" si="5"/>
        <v>-</v>
      </c>
      <c r="K88">
        <v>1</v>
      </c>
      <c r="R88" s="54"/>
      <c r="AG88" cm="1">
        <f t="array" ref="AG88">SUMPRODUCT(--(M88:Q88="YES"))</f>
        <v>0</v>
      </c>
      <c r="AH88">
        <f>COUNTIF($AG$5:AG88, "&gt;=3")</f>
        <v>40</v>
      </c>
    </row>
    <row r="89" spans="1:34" hidden="1" x14ac:dyDescent="0.2">
      <c r="A89" s="43">
        <v>40</v>
      </c>
      <c r="B89" s="13" t="s">
        <v>270</v>
      </c>
      <c r="C89" s="33">
        <v>2</v>
      </c>
      <c r="D89" s="34">
        <v>766</v>
      </c>
      <c r="E89" s="34">
        <v>445</v>
      </c>
      <c r="F89" s="34">
        <v>0</v>
      </c>
      <c r="G89" s="34">
        <v>0</v>
      </c>
      <c r="H89" s="34">
        <v>12</v>
      </c>
      <c r="I89" s="35">
        <f t="shared" ref="I89:I132" si="6">IF(D89=0,"-",E89/D89)</f>
        <v>0.58093994778067881</v>
      </c>
      <c r="J89" s="35" t="str">
        <f t="shared" ref="J89:J132" si="7">IF(F89=0,"-",G89/F89)</f>
        <v>-</v>
      </c>
      <c r="L89" s="48"/>
      <c r="M89" s="49"/>
      <c r="N89" s="49"/>
      <c r="O89" s="49"/>
      <c r="P89" s="49"/>
      <c r="Q89" s="16"/>
      <c r="R89" s="16"/>
      <c r="S89" s="16"/>
      <c r="T89" s="16"/>
      <c r="U89" s="16"/>
      <c r="V89" s="16"/>
      <c r="W89" s="16"/>
      <c r="X89" s="16"/>
      <c r="AD89"/>
      <c r="AE89"/>
      <c r="AH89">
        <f>COUNTIF($AG$5:AG89, "&gt;=3")</f>
        <v>40</v>
      </c>
    </row>
    <row r="90" spans="1:34" hidden="1" x14ac:dyDescent="0.2">
      <c r="A90" s="44">
        <v>117</v>
      </c>
      <c r="B90" s="15" t="s">
        <v>1402</v>
      </c>
      <c r="C90" s="14">
        <v>4</v>
      </c>
      <c r="D90" s="36">
        <v>287</v>
      </c>
      <c r="E90" s="36">
        <v>0</v>
      </c>
      <c r="F90" s="36">
        <v>0</v>
      </c>
      <c r="G90" s="36">
        <v>0</v>
      </c>
      <c r="H90" s="36">
        <v>9</v>
      </c>
      <c r="I90" s="37">
        <f t="shared" si="6"/>
        <v>0</v>
      </c>
      <c r="J90" s="37" t="str">
        <f t="shared" si="7"/>
        <v>-</v>
      </c>
      <c r="L90" s="18"/>
      <c r="M90" s="19"/>
      <c r="N90" s="19"/>
      <c r="O90" s="19"/>
      <c r="P90" s="19"/>
      <c r="Q90" s="16"/>
      <c r="R90" s="16"/>
      <c r="S90" s="16"/>
      <c r="T90" s="16"/>
      <c r="U90" s="16"/>
      <c r="V90" s="16"/>
      <c r="W90" s="16"/>
      <c r="X90" s="16"/>
      <c r="AD90"/>
      <c r="AE90"/>
      <c r="AH90">
        <f>COUNTIF($AG$5:AG90, "&gt;=3")</f>
        <v>40</v>
      </c>
    </row>
    <row r="91" spans="1:34" hidden="1" x14ac:dyDescent="0.2">
      <c r="A91" s="43">
        <v>18</v>
      </c>
      <c r="B91" s="13" t="s">
        <v>62</v>
      </c>
      <c r="C91" s="33">
        <v>2</v>
      </c>
      <c r="D91" s="34">
        <v>1200</v>
      </c>
      <c r="E91" s="34">
        <v>1169</v>
      </c>
      <c r="F91" s="34">
        <v>0</v>
      </c>
      <c r="G91" s="34">
        <v>0</v>
      </c>
      <c r="H91" s="34">
        <v>8</v>
      </c>
      <c r="I91" s="35">
        <f t="shared" si="6"/>
        <v>0.97416666666666663</v>
      </c>
      <c r="J91" s="35" t="str">
        <f t="shared" si="7"/>
        <v>-</v>
      </c>
      <c r="L91" s="18"/>
      <c r="M91" s="19"/>
      <c r="N91" s="19"/>
      <c r="O91" s="19"/>
      <c r="P91" s="19"/>
      <c r="Q91" s="16"/>
      <c r="R91" s="16"/>
      <c r="S91" s="16"/>
      <c r="T91" s="16"/>
      <c r="U91" s="16"/>
      <c r="V91" s="16"/>
      <c r="W91" s="16"/>
      <c r="X91" s="16"/>
      <c r="AD91"/>
      <c r="AE91"/>
      <c r="AH91">
        <f>COUNTIF($AG$5:AG91, "&gt;=3")</f>
        <v>40</v>
      </c>
    </row>
    <row r="92" spans="1:34" hidden="1" x14ac:dyDescent="0.2">
      <c r="A92" s="44">
        <v>33</v>
      </c>
      <c r="B92" s="15" t="s">
        <v>147</v>
      </c>
      <c r="C92" s="14">
        <v>2</v>
      </c>
      <c r="D92" s="36">
        <v>858</v>
      </c>
      <c r="E92" s="36">
        <v>782</v>
      </c>
      <c r="F92" s="36">
        <v>0</v>
      </c>
      <c r="G92" s="36">
        <v>0</v>
      </c>
      <c r="H92" s="36">
        <v>7</v>
      </c>
      <c r="I92" s="37">
        <f t="shared" si="6"/>
        <v>0.91142191142191142</v>
      </c>
      <c r="J92" s="37" t="str">
        <f t="shared" si="7"/>
        <v>-</v>
      </c>
      <c r="L92" s="18"/>
      <c r="M92" s="19"/>
      <c r="N92" s="19"/>
      <c r="O92" s="19"/>
      <c r="P92" s="19"/>
      <c r="Q92" s="16"/>
      <c r="R92" s="16"/>
      <c r="S92" s="16"/>
      <c r="T92" s="16"/>
      <c r="U92" s="16"/>
      <c r="V92" s="16"/>
      <c r="W92" s="16"/>
      <c r="X92" s="16"/>
      <c r="AD92"/>
      <c r="AE92"/>
      <c r="AH92">
        <f>COUNTIF($AG$5:AG92, "&gt;=3")</f>
        <v>40</v>
      </c>
    </row>
    <row r="93" spans="1:34" hidden="1" x14ac:dyDescent="0.2">
      <c r="A93" s="43">
        <v>64</v>
      </c>
      <c r="B93" s="13" t="s">
        <v>87</v>
      </c>
      <c r="C93" s="33">
        <v>2</v>
      </c>
      <c r="D93" s="34">
        <v>507</v>
      </c>
      <c r="E93" s="34">
        <v>757</v>
      </c>
      <c r="F93" s="34">
        <v>0</v>
      </c>
      <c r="G93" s="34">
        <v>0</v>
      </c>
      <c r="H93" s="34">
        <v>7</v>
      </c>
      <c r="I93" s="35">
        <f t="shared" si="6"/>
        <v>1.4930966469428009</v>
      </c>
      <c r="J93" s="35" t="str">
        <f t="shared" si="7"/>
        <v>-</v>
      </c>
      <c r="L93" s="18"/>
      <c r="M93" s="19"/>
      <c r="N93" s="19"/>
      <c r="O93" s="19"/>
      <c r="P93" s="19"/>
      <c r="Q93" s="16"/>
      <c r="R93" s="16"/>
      <c r="S93" s="16"/>
      <c r="T93" s="16"/>
      <c r="U93" s="16"/>
      <c r="V93" s="16"/>
      <c r="W93" s="16"/>
      <c r="X93" s="16"/>
      <c r="AD93"/>
      <c r="AE93"/>
      <c r="AH93">
        <f>COUNTIF($AG$5:AG93, "&gt;=3")</f>
        <v>40</v>
      </c>
    </row>
    <row r="94" spans="1:34" hidden="1" x14ac:dyDescent="0.2">
      <c r="A94" s="43">
        <v>128</v>
      </c>
      <c r="B94" s="13" t="s">
        <v>515</v>
      </c>
      <c r="C94" s="33">
        <v>2</v>
      </c>
      <c r="D94" s="34">
        <v>252</v>
      </c>
      <c r="E94" s="34">
        <v>173</v>
      </c>
      <c r="F94" s="34">
        <v>0</v>
      </c>
      <c r="G94" s="34">
        <v>0</v>
      </c>
      <c r="H94" s="34">
        <v>7</v>
      </c>
      <c r="I94" s="35">
        <f t="shared" si="6"/>
        <v>0.68650793650793651</v>
      </c>
      <c r="J94" s="35" t="str">
        <f t="shared" si="7"/>
        <v>-</v>
      </c>
      <c r="L94" s="18"/>
      <c r="M94" s="19"/>
      <c r="N94" s="19"/>
      <c r="O94" s="19"/>
      <c r="P94" s="19"/>
      <c r="Q94" s="16"/>
      <c r="R94" s="16"/>
      <c r="S94" s="16"/>
      <c r="T94" s="16"/>
      <c r="U94" s="16"/>
      <c r="V94" s="16"/>
      <c r="W94" s="16"/>
      <c r="X94" s="16"/>
      <c r="AD94"/>
      <c r="AE94"/>
      <c r="AH94">
        <f>COUNTIF($AG$5:AG94, "&gt;=3")</f>
        <v>40</v>
      </c>
    </row>
    <row r="95" spans="1:34" hidden="1" x14ac:dyDescent="0.2">
      <c r="A95" s="44">
        <v>15</v>
      </c>
      <c r="B95" s="15" t="s">
        <v>54</v>
      </c>
      <c r="C95" s="14">
        <v>1</v>
      </c>
      <c r="D95" s="36">
        <v>1256</v>
      </c>
      <c r="E95" s="36">
        <v>1238</v>
      </c>
      <c r="F95" s="36">
        <v>969</v>
      </c>
      <c r="G95" s="36">
        <v>908</v>
      </c>
      <c r="H95" s="36">
        <v>6</v>
      </c>
      <c r="I95" s="37">
        <f t="shared" si="6"/>
        <v>0.98566878980891715</v>
      </c>
      <c r="J95" s="37">
        <f t="shared" si="7"/>
        <v>0.93704850361197112</v>
      </c>
      <c r="L95" s="18"/>
      <c r="M95" s="19"/>
      <c r="N95" s="19"/>
      <c r="O95" s="19"/>
      <c r="P95" s="19"/>
      <c r="Q95" s="16"/>
      <c r="R95" s="16"/>
      <c r="S95" s="16"/>
      <c r="T95" s="16"/>
      <c r="U95" s="16"/>
      <c r="V95" s="16"/>
      <c r="W95" s="16"/>
      <c r="X95" s="16"/>
      <c r="AD95"/>
      <c r="AE95"/>
      <c r="AH95">
        <f>COUNTIF($AG$5:AG95, "&gt;=3")</f>
        <v>40</v>
      </c>
    </row>
    <row r="96" spans="1:34" hidden="1" x14ac:dyDescent="0.2">
      <c r="A96" s="43">
        <v>20</v>
      </c>
      <c r="B96" s="13" t="s">
        <v>76</v>
      </c>
      <c r="C96" s="33">
        <v>2</v>
      </c>
      <c r="D96" s="34">
        <v>1149</v>
      </c>
      <c r="E96" s="34">
        <v>1298</v>
      </c>
      <c r="F96" s="34">
        <v>1108</v>
      </c>
      <c r="G96" s="34">
        <v>1100</v>
      </c>
      <c r="H96" s="34">
        <v>6</v>
      </c>
      <c r="I96" s="35">
        <f t="shared" si="6"/>
        <v>1.1296779808529156</v>
      </c>
      <c r="J96" s="35">
        <f t="shared" si="7"/>
        <v>0.99277978339350181</v>
      </c>
      <c r="L96" s="18"/>
      <c r="M96" s="19"/>
      <c r="N96" s="19"/>
      <c r="O96" s="19"/>
      <c r="P96" s="19"/>
      <c r="Q96" s="16"/>
      <c r="R96" s="16"/>
      <c r="S96" s="16"/>
      <c r="T96" s="16"/>
      <c r="U96" s="16"/>
      <c r="V96" s="16"/>
      <c r="W96" s="16"/>
      <c r="X96" s="16"/>
      <c r="AD96"/>
      <c r="AE96"/>
      <c r="AH96">
        <f>COUNTIF($AG$5:AG96, "&gt;=3")</f>
        <v>40</v>
      </c>
    </row>
    <row r="97" spans="1:34" hidden="1" x14ac:dyDescent="0.2">
      <c r="A97" s="43">
        <v>24</v>
      </c>
      <c r="B97" s="13" t="s">
        <v>124</v>
      </c>
      <c r="C97" s="33">
        <v>2</v>
      </c>
      <c r="D97" s="34">
        <v>1021</v>
      </c>
      <c r="E97" s="34">
        <v>913</v>
      </c>
      <c r="F97" s="34">
        <v>0</v>
      </c>
      <c r="G97" s="34">
        <v>0</v>
      </c>
      <c r="H97" s="34">
        <v>6</v>
      </c>
      <c r="I97" s="35">
        <f t="shared" si="6"/>
        <v>0.89422135161606264</v>
      </c>
      <c r="J97" s="35" t="str">
        <f t="shared" si="7"/>
        <v>-</v>
      </c>
      <c r="L97" s="18"/>
      <c r="M97" s="19"/>
      <c r="N97" s="19"/>
      <c r="O97" s="19"/>
      <c r="P97" s="19"/>
      <c r="Q97" s="16"/>
      <c r="R97" s="16"/>
      <c r="S97" s="16"/>
      <c r="T97" s="16"/>
      <c r="U97" s="16"/>
      <c r="V97" s="16"/>
      <c r="W97" s="16"/>
      <c r="X97" s="16"/>
      <c r="AD97"/>
      <c r="AE97"/>
      <c r="AH97">
        <f>COUNTIF($AG$5:AG97, "&gt;=3")</f>
        <v>40</v>
      </c>
    </row>
    <row r="98" spans="1:34" hidden="1" x14ac:dyDescent="0.2">
      <c r="A98" s="44">
        <v>47</v>
      </c>
      <c r="B98" s="15" t="s">
        <v>142</v>
      </c>
      <c r="C98" s="14">
        <v>2</v>
      </c>
      <c r="D98" s="36">
        <v>727</v>
      </c>
      <c r="E98" s="36">
        <v>685</v>
      </c>
      <c r="F98" s="36">
        <v>0</v>
      </c>
      <c r="G98" s="36">
        <v>0</v>
      </c>
      <c r="H98" s="36">
        <v>6</v>
      </c>
      <c r="I98" s="37">
        <f t="shared" si="6"/>
        <v>0.94222833562585973</v>
      </c>
      <c r="J98" s="37" t="str">
        <f t="shared" si="7"/>
        <v>-</v>
      </c>
      <c r="L98" s="18"/>
      <c r="M98" s="19"/>
      <c r="N98" s="19"/>
      <c r="O98" s="19"/>
      <c r="P98" s="19"/>
      <c r="Q98" s="16"/>
      <c r="R98" s="16"/>
      <c r="S98" s="16"/>
      <c r="T98" s="16"/>
      <c r="U98" s="16"/>
      <c r="V98" s="16"/>
      <c r="W98" s="16"/>
      <c r="X98" s="16"/>
      <c r="AD98"/>
      <c r="AE98"/>
      <c r="AH98">
        <f>COUNTIF($AG$5:AG98, "&gt;=3")</f>
        <v>40</v>
      </c>
    </row>
    <row r="99" spans="1:34" hidden="1" x14ac:dyDescent="0.2">
      <c r="A99" s="43">
        <v>60</v>
      </c>
      <c r="B99" s="13" t="s">
        <v>225</v>
      </c>
      <c r="C99" s="33">
        <v>2</v>
      </c>
      <c r="D99" s="34">
        <v>528</v>
      </c>
      <c r="E99" s="34">
        <v>477</v>
      </c>
      <c r="F99" s="34">
        <v>456</v>
      </c>
      <c r="G99" s="34">
        <v>455</v>
      </c>
      <c r="H99" s="34">
        <v>6</v>
      </c>
      <c r="I99" s="35">
        <f t="shared" si="6"/>
        <v>0.90340909090909094</v>
      </c>
      <c r="J99" s="35">
        <f t="shared" si="7"/>
        <v>0.9978070175438597</v>
      </c>
      <c r="L99" s="18"/>
      <c r="M99" s="19"/>
      <c r="N99" s="19"/>
      <c r="O99" s="19"/>
      <c r="P99" s="19"/>
      <c r="Q99" s="16"/>
      <c r="R99" s="16"/>
      <c r="S99" s="16"/>
      <c r="T99" s="16"/>
      <c r="U99" s="16"/>
      <c r="V99" s="16"/>
      <c r="W99" s="16"/>
      <c r="X99" s="16"/>
      <c r="AD99"/>
      <c r="AE99"/>
      <c r="AH99">
        <f>COUNTIF($AG$5:AG99, "&gt;=3")</f>
        <v>40</v>
      </c>
    </row>
    <row r="100" spans="1:34" hidden="1" x14ac:dyDescent="0.2">
      <c r="A100" s="44">
        <v>65</v>
      </c>
      <c r="B100" s="15" t="s">
        <v>202</v>
      </c>
      <c r="C100" s="14">
        <v>2</v>
      </c>
      <c r="D100" s="36">
        <v>503</v>
      </c>
      <c r="E100" s="36">
        <v>460</v>
      </c>
      <c r="F100" s="36">
        <v>0</v>
      </c>
      <c r="G100" s="36">
        <v>0</v>
      </c>
      <c r="H100" s="36">
        <v>6</v>
      </c>
      <c r="I100" s="37">
        <f t="shared" si="6"/>
        <v>0.91451292246520877</v>
      </c>
      <c r="J100" s="37" t="str">
        <f t="shared" si="7"/>
        <v>-</v>
      </c>
      <c r="L100" s="18"/>
      <c r="M100" s="19"/>
      <c r="N100" s="19"/>
      <c r="O100" s="19"/>
      <c r="P100" s="19"/>
      <c r="Q100" s="16"/>
      <c r="R100" s="16"/>
      <c r="S100" s="16"/>
      <c r="T100" s="16"/>
      <c r="U100" s="16"/>
      <c r="V100" s="16"/>
      <c r="W100" s="16"/>
      <c r="X100" s="16"/>
      <c r="AD100"/>
      <c r="AE100"/>
      <c r="AH100">
        <f>COUNTIF($AG$5:AG100, "&gt;=3")</f>
        <v>40</v>
      </c>
    </row>
    <row r="101" spans="1:34" hidden="1" x14ac:dyDescent="0.2">
      <c r="A101" s="44">
        <v>75</v>
      </c>
      <c r="B101" s="15" t="s">
        <v>229</v>
      </c>
      <c r="C101" s="14">
        <v>2</v>
      </c>
      <c r="D101" s="36">
        <v>454</v>
      </c>
      <c r="E101" s="36">
        <v>386</v>
      </c>
      <c r="F101" s="36">
        <v>0</v>
      </c>
      <c r="G101" s="36">
        <v>0</v>
      </c>
      <c r="H101" s="36">
        <v>6</v>
      </c>
      <c r="I101" s="37">
        <f t="shared" si="6"/>
        <v>0.85022026431718056</v>
      </c>
      <c r="J101" s="37" t="str">
        <f t="shared" si="7"/>
        <v>-</v>
      </c>
      <c r="L101" s="18"/>
      <c r="M101" s="19"/>
      <c r="N101" s="19"/>
      <c r="O101" s="19"/>
      <c r="P101" s="19"/>
      <c r="Q101" s="16"/>
      <c r="R101" s="16"/>
      <c r="S101" s="16"/>
      <c r="T101" s="16"/>
      <c r="U101" s="16"/>
      <c r="V101" s="16"/>
      <c r="W101" s="16"/>
      <c r="X101" s="16"/>
      <c r="AD101"/>
      <c r="AE101"/>
      <c r="AH101">
        <f>COUNTIF($AG$5:AG101, "&gt;=3")</f>
        <v>40</v>
      </c>
    </row>
    <row r="102" spans="1:34" hidden="1" x14ac:dyDescent="0.2">
      <c r="A102" s="43">
        <v>88</v>
      </c>
      <c r="B102" s="13" t="s">
        <v>216</v>
      </c>
      <c r="C102" s="33">
        <v>2</v>
      </c>
      <c r="D102" s="34">
        <v>410</v>
      </c>
      <c r="E102" s="34">
        <v>416</v>
      </c>
      <c r="F102" s="34">
        <v>0</v>
      </c>
      <c r="G102" s="34">
        <v>0</v>
      </c>
      <c r="H102" s="34">
        <v>6</v>
      </c>
      <c r="I102" s="35">
        <f t="shared" si="6"/>
        <v>1.0146341463414634</v>
      </c>
      <c r="J102" s="35" t="str">
        <f t="shared" si="7"/>
        <v>-</v>
      </c>
      <c r="L102" s="18"/>
      <c r="M102" s="19"/>
      <c r="N102" s="19"/>
      <c r="O102" s="19"/>
      <c r="P102" s="19"/>
      <c r="Q102" s="16"/>
      <c r="R102" s="16"/>
      <c r="S102" s="16"/>
      <c r="T102" s="16"/>
      <c r="U102" s="16"/>
      <c r="V102" s="16"/>
      <c r="W102" s="16"/>
      <c r="X102" s="16"/>
      <c r="AD102"/>
      <c r="AE102"/>
      <c r="AH102">
        <f>COUNTIF($AG$5:AG102, "&gt;=3")</f>
        <v>40</v>
      </c>
    </row>
    <row r="103" spans="1:34" hidden="1" x14ac:dyDescent="0.2">
      <c r="A103" s="43">
        <v>98</v>
      </c>
      <c r="B103" s="13" t="s">
        <v>200</v>
      </c>
      <c r="C103" s="33">
        <v>2</v>
      </c>
      <c r="D103" s="34">
        <v>372</v>
      </c>
      <c r="E103" s="34">
        <v>510</v>
      </c>
      <c r="F103" s="34">
        <v>0</v>
      </c>
      <c r="G103" s="34">
        <v>0</v>
      </c>
      <c r="H103" s="34">
        <v>6</v>
      </c>
      <c r="I103" s="35">
        <f t="shared" si="6"/>
        <v>1.3709677419354838</v>
      </c>
      <c r="J103" s="35" t="str">
        <f t="shared" si="7"/>
        <v>-</v>
      </c>
      <c r="L103" s="18"/>
      <c r="M103" s="19"/>
      <c r="N103" s="19"/>
      <c r="O103" s="19"/>
      <c r="P103" s="19"/>
      <c r="Q103" s="16"/>
      <c r="R103" s="16"/>
      <c r="S103" s="16"/>
      <c r="T103" s="16"/>
      <c r="U103" s="16"/>
      <c r="V103" s="16"/>
      <c r="W103" s="16"/>
      <c r="X103" s="16"/>
      <c r="AD103"/>
      <c r="AE103"/>
      <c r="AH103">
        <f>COUNTIF($AG$5:AG103, "&gt;=3")</f>
        <v>40</v>
      </c>
    </row>
    <row r="104" spans="1:34" hidden="1" x14ac:dyDescent="0.2">
      <c r="A104" s="44">
        <v>111</v>
      </c>
      <c r="B104" s="15" t="s">
        <v>352</v>
      </c>
      <c r="C104" s="14">
        <v>2</v>
      </c>
      <c r="D104" s="36">
        <v>300</v>
      </c>
      <c r="E104" s="36">
        <v>271</v>
      </c>
      <c r="F104" s="36">
        <v>0</v>
      </c>
      <c r="G104" s="36">
        <v>0</v>
      </c>
      <c r="H104" s="36">
        <v>6</v>
      </c>
      <c r="I104" s="37">
        <f t="shared" si="6"/>
        <v>0.90333333333333332</v>
      </c>
      <c r="J104" s="37" t="str">
        <f t="shared" si="7"/>
        <v>-</v>
      </c>
      <c r="L104" s="18"/>
      <c r="M104" s="19"/>
      <c r="N104" s="19"/>
      <c r="O104" s="19"/>
      <c r="P104" s="19"/>
      <c r="Q104" s="16"/>
      <c r="R104" s="16"/>
      <c r="S104" s="16"/>
      <c r="T104" s="16"/>
      <c r="U104" s="16"/>
      <c r="V104" s="16"/>
      <c r="W104" s="16"/>
      <c r="X104" s="16"/>
      <c r="AD104"/>
      <c r="AE104"/>
      <c r="AH104">
        <f>COUNTIF($AG$5:AG104, "&gt;=3")</f>
        <v>40</v>
      </c>
    </row>
    <row r="105" spans="1:34" hidden="1" x14ac:dyDescent="0.2">
      <c r="A105" s="44">
        <v>125</v>
      </c>
      <c r="B105" s="15" t="s">
        <v>478</v>
      </c>
      <c r="C105" s="14">
        <v>2</v>
      </c>
      <c r="D105" s="36">
        <v>255</v>
      </c>
      <c r="E105" s="36">
        <v>189</v>
      </c>
      <c r="F105" s="36">
        <v>0</v>
      </c>
      <c r="G105" s="36">
        <v>0</v>
      </c>
      <c r="H105" s="36">
        <v>6</v>
      </c>
      <c r="I105" s="37">
        <f t="shared" si="6"/>
        <v>0.74117647058823533</v>
      </c>
      <c r="J105" s="37" t="str">
        <f t="shared" si="7"/>
        <v>-</v>
      </c>
      <c r="L105" s="18"/>
      <c r="M105" s="19"/>
      <c r="N105" s="19"/>
      <c r="O105" s="19"/>
      <c r="P105" s="19"/>
      <c r="Q105" s="16"/>
      <c r="R105" s="16"/>
      <c r="S105" s="16"/>
      <c r="T105" s="16"/>
      <c r="U105" s="16"/>
      <c r="V105" s="16"/>
      <c r="W105" s="16"/>
      <c r="X105" s="16"/>
      <c r="AD105"/>
      <c r="AE105"/>
      <c r="AH105">
        <f>COUNTIF($AG$5:AG105, "&gt;=3")</f>
        <v>40</v>
      </c>
    </row>
    <row r="106" spans="1:34" hidden="1" x14ac:dyDescent="0.2">
      <c r="A106" s="44">
        <v>41</v>
      </c>
      <c r="B106" s="15" t="s">
        <v>210</v>
      </c>
      <c r="C106" s="14">
        <v>2</v>
      </c>
      <c r="D106" s="36">
        <v>762</v>
      </c>
      <c r="E106" s="36">
        <v>592</v>
      </c>
      <c r="F106" s="36">
        <v>0</v>
      </c>
      <c r="G106" s="36">
        <v>0</v>
      </c>
      <c r="H106" s="36">
        <v>5</v>
      </c>
      <c r="I106" s="37">
        <f t="shared" si="6"/>
        <v>0.7769028871391076</v>
      </c>
      <c r="J106" s="37" t="str">
        <f t="shared" si="7"/>
        <v>-</v>
      </c>
      <c r="L106" s="18"/>
      <c r="M106" s="19"/>
      <c r="N106" s="19"/>
      <c r="O106" s="19"/>
      <c r="P106" s="19"/>
      <c r="Q106" s="16"/>
      <c r="R106" s="16"/>
      <c r="S106" s="16"/>
      <c r="T106" s="16"/>
      <c r="U106" s="16"/>
      <c r="V106" s="16"/>
      <c r="W106" s="16"/>
      <c r="X106" s="16"/>
      <c r="AD106"/>
      <c r="AE106"/>
      <c r="AH106">
        <f>COUNTIF($AG$5:AG106, "&gt;=3")</f>
        <v>40</v>
      </c>
    </row>
    <row r="107" spans="1:34" hidden="1" x14ac:dyDescent="0.2">
      <c r="A107" s="43">
        <v>66</v>
      </c>
      <c r="B107" s="13" t="s">
        <v>189</v>
      </c>
      <c r="C107" s="33">
        <v>2</v>
      </c>
      <c r="D107" s="34">
        <v>500</v>
      </c>
      <c r="E107" s="34">
        <v>474</v>
      </c>
      <c r="F107" s="34">
        <v>393</v>
      </c>
      <c r="G107" s="34">
        <v>390</v>
      </c>
      <c r="H107" s="34">
        <v>5</v>
      </c>
      <c r="I107" s="35">
        <f t="shared" si="6"/>
        <v>0.94799999999999995</v>
      </c>
      <c r="J107" s="35">
        <f t="shared" si="7"/>
        <v>0.99236641221374045</v>
      </c>
      <c r="L107" s="18"/>
      <c r="M107" s="19"/>
      <c r="N107" s="19"/>
      <c r="O107" s="19"/>
      <c r="P107" s="19"/>
      <c r="Q107" s="16"/>
      <c r="R107" s="16"/>
      <c r="S107" s="16"/>
      <c r="T107" s="16"/>
      <c r="U107" s="16"/>
      <c r="V107" s="16"/>
      <c r="W107" s="16"/>
      <c r="X107" s="16"/>
      <c r="AD107"/>
      <c r="AE107"/>
      <c r="AH107">
        <f>COUNTIF($AG$5:AG107, "&gt;=3")</f>
        <v>40</v>
      </c>
    </row>
    <row r="108" spans="1:34" hidden="1" x14ac:dyDescent="0.2">
      <c r="A108" s="43">
        <v>84</v>
      </c>
      <c r="B108" s="13" t="s">
        <v>77</v>
      </c>
      <c r="C108" s="33">
        <v>1</v>
      </c>
      <c r="D108" s="34">
        <v>427</v>
      </c>
      <c r="E108" s="34">
        <v>367</v>
      </c>
      <c r="F108" s="34">
        <v>0</v>
      </c>
      <c r="G108" s="34">
        <v>0</v>
      </c>
      <c r="H108" s="34">
        <v>5</v>
      </c>
      <c r="I108" s="35">
        <f t="shared" si="6"/>
        <v>0.85948477751756436</v>
      </c>
      <c r="J108" s="35" t="str">
        <f t="shared" si="7"/>
        <v>-</v>
      </c>
      <c r="L108" s="18"/>
      <c r="M108" s="19"/>
      <c r="N108" s="19"/>
      <c r="O108" s="19"/>
      <c r="P108" s="19"/>
      <c r="Q108" s="16"/>
      <c r="R108" s="16"/>
      <c r="S108" s="16"/>
      <c r="T108" s="16"/>
      <c r="U108" s="16"/>
      <c r="V108" s="16"/>
      <c r="W108" s="16"/>
      <c r="X108" s="16"/>
      <c r="AD108"/>
      <c r="AE108"/>
      <c r="AH108">
        <f>COUNTIF($AG$5:AG108, "&gt;=3")</f>
        <v>40</v>
      </c>
    </row>
    <row r="109" spans="1:34" hidden="1" x14ac:dyDescent="0.2">
      <c r="A109" s="44">
        <v>135</v>
      </c>
      <c r="B109" s="15" t="s">
        <v>328</v>
      </c>
      <c r="C109" s="14">
        <v>1</v>
      </c>
      <c r="D109" s="36">
        <v>241</v>
      </c>
      <c r="E109" s="36">
        <v>179</v>
      </c>
      <c r="F109" s="36">
        <v>0</v>
      </c>
      <c r="G109" s="36">
        <v>0</v>
      </c>
      <c r="H109" s="36">
        <v>5</v>
      </c>
      <c r="I109" s="37">
        <f t="shared" si="6"/>
        <v>0.74273858921161828</v>
      </c>
      <c r="J109" s="37" t="str">
        <f t="shared" si="7"/>
        <v>-</v>
      </c>
      <c r="L109" s="18"/>
      <c r="M109" s="19"/>
      <c r="N109" s="19"/>
      <c r="O109" s="19"/>
      <c r="P109" s="19"/>
      <c r="Q109" s="16"/>
      <c r="R109" s="16"/>
      <c r="S109" s="16"/>
      <c r="T109" s="16"/>
      <c r="U109" s="16"/>
      <c r="V109" s="16"/>
      <c r="W109" s="16"/>
      <c r="X109" s="16"/>
      <c r="AD109"/>
      <c r="AE109"/>
      <c r="AH109">
        <f>COUNTIF($AG$5:AG109, "&gt;=3")</f>
        <v>40</v>
      </c>
    </row>
    <row r="110" spans="1:34" hidden="1" x14ac:dyDescent="0.2">
      <c r="A110" s="43">
        <v>146</v>
      </c>
      <c r="B110" s="13" t="s">
        <v>471</v>
      </c>
      <c r="C110" s="33">
        <v>2</v>
      </c>
      <c r="D110" s="34">
        <v>228</v>
      </c>
      <c r="E110" s="34">
        <v>210</v>
      </c>
      <c r="F110" s="34">
        <v>0</v>
      </c>
      <c r="G110" s="34">
        <v>0</v>
      </c>
      <c r="H110" s="34">
        <v>5</v>
      </c>
      <c r="I110" s="35">
        <f t="shared" si="6"/>
        <v>0.92105263157894735</v>
      </c>
      <c r="J110" s="35" t="str">
        <f t="shared" si="7"/>
        <v>-</v>
      </c>
      <c r="L110" s="18"/>
      <c r="M110" s="19"/>
      <c r="N110" s="19"/>
      <c r="O110" s="19"/>
      <c r="P110" s="19"/>
      <c r="Q110" s="16"/>
      <c r="R110" s="16"/>
      <c r="S110" s="16"/>
      <c r="T110" s="16"/>
      <c r="U110" s="16"/>
      <c r="V110" s="16"/>
      <c r="W110" s="16"/>
      <c r="X110" s="16"/>
      <c r="AD110"/>
      <c r="AE110"/>
      <c r="AH110">
        <f>COUNTIF($AG$5:AG110, "&gt;=3")</f>
        <v>40</v>
      </c>
    </row>
    <row r="111" spans="1:34" hidden="1" x14ac:dyDescent="0.2">
      <c r="A111" s="43">
        <v>248</v>
      </c>
      <c r="B111" s="13" t="s">
        <v>659</v>
      </c>
      <c r="C111" s="33">
        <v>3</v>
      </c>
      <c r="D111" s="34">
        <v>98</v>
      </c>
      <c r="E111" s="34">
        <v>93</v>
      </c>
      <c r="F111" s="34">
        <v>109</v>
      </c>
      <c r="G111" s="34">
        <v>102</v>
      </c>
      <c r="H111" s="34">
        <v>5</v>
      </c>
      <c r="I111" s="35">
        <f t="shared" si="6"/>
        <v>0.94897959183673475</v>
      </c>
      <c r="J111" s="35">
        <f t="shared" si="7"/>
        <v>0.93577981651376152</v>
      </c>
      <c r="L111" s="18"/>
      <c r="M111" s="19"/>
      <c r="N111" s="19"/>
      <c r="O111" s="19"/>
      <c r="P111" s="19"/>
      <c r="Q111" s="16"/>
      <c r="R111" s="16"/>
      <c r="S111" s="16"/>
      <c r="T111" s="16"/>
      <c r="U111" s="16"/>
      <c r="V111" s="16"/>
      <c r="W111" s="16"/>
      <c r="X111" s="16"/>
      <c r="AD111"/>
      <c r="AE111"/>
      <c r="AH111">
        <f>COUNTIF($AG$5:AG111, "&gt;=3")</f>
        <v>40</v>
      </c>
    </row>
    <row r="112" spans="1:34" hidden="1" x14ac:dyDescent="0.2">
      <c r="A112" s="43">
        <v>10</v>
      </c>
      <c r="B112" s="13" t="s">
        <v>68</v>
      </c>
      <c r="C112" s="33">
        <v>2</v>
      </c>
      <c r="D112" s="34">
        <v>1408</v>
      </c>
      <c r="E112" s="34">
        <v>1572</v>
      </c>
      <c r="F112" s="34">
        <v>0</v>
      </c>
      <c r="G112" s="34">
        <v>0</v>
      </c>
      <c r="H112" s="34">
        <v>4</v>
      </c>
      <c r="I112" s="35">
        <f t="shared" si="6"/>
        <v>1.1164772727272727</v>
      </c>
      <c r="J112" s="35" t="str">
        <f t="shared" si="7"/>
        <v>-</v>
      </c>
      <c r="L112" s="18"/>
      <c r="M112" s="19"/>
      <c r="N112" s="19"/>
      <c r="O112" s="19"/>
      <c r="P112" s="19"/>
      <c r="Q112" s="16"/>
      <c r="R112" s="16"/>
      <c r="S112" s="16"/>
      <c r="T112" s="16"/>
      <c r="U112" s="16"/>
      <c r="V112" s="16"/>
      <c r="W112" s="16"/>
      <c r="X112" s="16"/>
      <c r="AD112"/>
      <c r="AE112"/>
      <c r="AH112">
        <f>COUNTIF($AG$5:AG112, "&gt;=3")</f>
        <v>40</v>
      </c>
    </row>
    <row r="113" spans="1:34" hidden="1" x14ac:dyDescent="0.2">
      <c r="A113" s="43">
        <v>46</v>
      </c>
      <c r="B113" s="13" t="s">
        <v>166</v>
      </c>
      <c r="C113" s="33">
        <v>2</v>
      </c>
      <c r="D113" s="34">
        <v>734</v>
      </c>
      <c r="E113" s="34">
        <v>705</v>
      </c>
      <c r="F113" s="34">
        <v>0</v>
      </c>
      <c r="G113" s="34">
        <v>0</v>
      </c>
      <c r="H113" s="34">
        <v>4</v>
      </c>
      <c r="I113" s="35">
        <f t="shared" si="6"/>
        <v>0.96049046321525888</v>
      </c>
      <c r="J113" s="35" t="str">
        <f t="shared" si="7"/>
        <v>-</v>
      </c>
      <c r="L113" s="18"/>
      <c r="M113" s="19"/>
      <c r="N113" s="19"/>
      <c r="O113" s="19"/>
      <c r="P113" s="19"/>
      <c r="Q113" s="16"/>
      <c r="R113" s="16"/>
      <c r="S113" s="16"/>
      <c r="T113" s="16"/>
      <c r="U113" s="16"/>
      <c r="V113" s="16"/>
      <c r="W113" s="16"/>
      <c r="X113" s="16"/>
      <c r="AD113"/>
      <c r="AE113"/>
      <c r="AH113">
        <f>COUNTIF($AG$5:AG113, "&gt;=3")</f>
        <v>40</v>
      </c>
    </row>
    <row r="114" spans="1:34" hidden="1" x14ac:dyDescent="0.2">
      <c r="A114" s="43">
        <v>70</v>
      </c>
      <c r="B114" s="13" t="s">
        <v>211</v>
      </c>
      <c r="C114" s="33">
        <v>2</v>
      </c>
      <c r="D114" s="34">
        <v>496</v>
      </c>
      <c r="E114" s="34">
        <v>454</v>
      </c>
      <c r="F114" s="34">
        <v>0</v>
      </c>
      <c r="G114" s="34">
        <v>0</v>
      </c>
      <c r="H114" s="34">
        <v>4</v>
      </c>
      <c r="I114" s="35">
        <f t="shared" si="6"/>
        <v>0.91532258064516125</v>
      </c>
      <c r="J114" s="35" t="str">
        <f t="shared" si="7"/>
        <v>-</v>
      </c>
      <c r="L114" s="18"/>
      <c r="M114" s="19"/>
      <c r="N114" s="19"/>
      <c r="O114" s="19"/>
      <c r="P114" s="19"/>
      <c r="Q114" s="16"/>
      <c r="R114" s="16"/>
      <c r="S114" s="16"/>
      <c r="T114" s="16"/>
      <c r="U114" s="16"/>
      <c r="V114" s="16"/>
      <c r="W114" s="16"/>
      <c r="X114" s="16"/>
      <c r="AD114"/>
      <c r="AE114"/>
      <c r="AH114">
        <f>COUNTIF($AG$5:AG114, "&gt;=3")</f>
        <v>40</v>
      </c>
    </row>
    <row r="115" spans="1:34" hidden="1" x14ac:dyDescent="0.2">
      <c r="A115" s="43">
        <v>78</v>
      </c>
      <c r="B115" s="13" t="s">
        <v>114</v>
      </c>
      <c r="C115" s="33">
        <v>1</v>
      </c>
      <c r="D115" s="34">
        <v>447</v>
      </c>
      <c r="E115" s="34">
        <v>480</v>
      </c>
      <c r="F115" s="34">
        <v>0</v>
      </c>
      <c r="G115" s="34">
        <v>0</v>
      </c>
      <c r="H115" s="34">
        <v>4</v>
      </c>
      <c r="I115" s="35">
        <f t="shared" si="6"/>
        <v>1.0738255033557047</v>
      </c>
      <c r="J115" s="35" t="str">
        <f t="shared" si="7"/>
        <v>-</v>
      </c>
      <c r="L115" s="18"/>
      <c r="M115" s="19"/>
      <c r="N115" s="19"/>
      <c r="O115" s="19"/>
      <c r="P115" s="19"/>
      <c r="Q115" s="16"/>
      <c r="R115" s="16"/>
      <c r="S115" s="16"/>
      <c r="T115" s="16"/>
      <c r="U115" s="16"/>
      <c r="V115" s="16"/>
      <c r="W115" s="16"/>
      <c r="X115" s="16"/>
      <c r="AD115"/>
      <c r="AE115"/>
      <c r="AH115">
        <f>COUNTIF($AG$5:AG115, "&gt;=3")</f>
        <v>40</v>
      </c>
    </row>
    <row r="116" spans="1:34" hidden="1" x14ac:dyDescent="0.2">
      <c r="A116" s="44">
        <v>79</v>
      </c>
      <c r="B116" s="15" t="s">
        <v>309</v>
      </c>
      <c r="C116" s="14">
        <v>4</v>
      </c>
      <c r="D116" s="36">
        <v>442</v>
      </c>
      <c r="E116" s="36">
        <v>548</v>
      </c>
      <c r="F116" s="36">
        <v>0</v>
      </c>
      <c r="G116" s="36">
        <v>0</v>
      </c>
      <c r="H116" s="36">
        <v>4</v>
      </c>
      <c r="I116" s="37">
        <f t="shared" si="6"/>
        <v>1.2398190045248869</v>
      </c>
      <c r="J116" s="37" t="str">
        <f t="shared" si="7"/>
        <v>-</v>
      </c>
      <c r="L116" s="18"/>
      <c r="M116" s="19"/>
      <c r="N116" s="19"/>
      <c r="O116" s="19"/>
      <c r="P116" s="19"/>
      <c r="Q116" s="16"/>
      <c r="R116" s="16"/>
      <c r="S116" s="16"/>
      <c r="T116" s="16"/>
      <c r="U116" s="16"/>
      <c r="V116" s="16"/>
      <c r="W116" s="16"/>
      <c r="X116" s="16"/>
      <c r="AD116"/>
      <c r="AE116"/>
      <c r="AH116">
        <f>COUNTIF($AG$5:AG116, "&gt;=3")</f>
        <v>40</v>
      </c>
    </row>
    <row r="117" spans="1:34" hidden="1" x14ac:dyDescent="0.2">
      <c r="A117" s="43">
        <v>80</v>
      </c>
      <c r="B117" s="13" t="s">
        <v>408</v>
      </c>
      <c r="C117" s="33">
        <v>3</v>
      </c>
      <c r="D117" s="34">
        <v>442</v>
      </c>
      <c r="E117" s="34">
        <v>424</v>
      </c>
      <c r="F117" s="34">
        <v>231</v>
      </c>
      <c r="G117" s="34">
        <v>231</v>
      </c>
      <c r="H117" s="34">
        <v>4</v>
      </c>
      <c r="I117" s="35">
        <f t="shared" si="6"/>
        <v>0.95927601809954754</v>
      </c>
      <c r="J117" s="35">
        <f t="shared" si="7"/>
        <v>1</v>
      </c>
      <c r="L117" s="18"/>
      <c r="M117" s="19"/>
      <c r="N117" s="19"/>
      <c r="O117" s="19"/>
      <c r="P117" s="19"/>
      <c r="Q117" s="16"/>
      <c r="R117" s="16"/>
      <c r="S117" s="16"/>
      <c r="T117" s="16"/>
      <c r="U117" s="16"/>
      <c r="V117" s="16"/>
      <c r="W117" s="16"/>
      <c r="X117" s="16"/>
      <c r="AD117"/>
      <c r="AE117"/>
      <c r="AH117">
        <f>COUNTIF($AG$5:AG117, "&gt;=3")</f>
        <v>40</v>
      </c>
    </row>
    <row r="118" spans="1:34" hidden="1" x14ac:dyDescent="0.2">
      <c r="A118" s="44">
        <v>81</v>
      </c>
      <c r="B118" s="15" t="s">
        <v>254</v>
      </c>
      <c r="C118" s="14">
        <v>2</v>
      </c>
      <c r="D118" s="36">
        <v>437</v>
      </c>
      <c r="E118" s="36">
        <v>365</v>
      </c>
      <c r="F118" s="36">
        <v>48</v>
      </c>
      <c r="G118" s="36">
        <v>45</v>
      </c>
      <c r="H118" s="36">
        <v>4</v>
      </c>
      <c r="I118" s="37">
        <f t="shared" si="6"/>
        <v>0.83524027459954231</v>
      </c>
      <c r="J118" s="37">
        <f t="shared" si="7"/>
        <v>0.9375</v>
      </c>
      <c r="L118" s="18"/>
      <c r="M118" s="19"/>
      <c r="N118" s="19"/>
      <c r="O118" s="19"/>
      <c r="P118" s="19"/>
      <c r="Q118" s="16"/>
      <c r="R118" s="16"/>
      <c r="S118" s="16"/>
      <c r="T118" s="16"/>
      <c r="U118" s="16"/>
      <c r="V118" s="16"/>
      <c r="W118" s="16"/>
      <c r="X118" s="16"/>
      <c r="AD118"/>
      <c r="AE118"/>
      <c r="AH118">
        <f>COUNTIF($AG$5:AG118, "&gt;=3")</f>
        <v>40</v>
      </c>
    </row>
    <row r="119" spans="1:34" hidden="1" x14ac:dyDescent="0.2">
      <c r="A119" s="44">
        <v>89</v>
      </c>
      <c r="B119" s="15" t="s">
        <v>315</v>
      </c>
      <c r="C119" s="14">
        <v>4</v>
      </c>
      <c r="D119" s="36">
        <v>402</v>
      </c>
      <c r="E119" s="36">
        <v>380</v>
      </c>
      <c r="F119" s="36">
        <v>0</v>
      </c>
      <c r="G119" s="36">
        <v>0</v>
      </c>
      <c r="H119" s="36">
        <v>4</v>
      </c>
      <c r="I119" s="37">
        <f t="shared" si="6"/>
        <v>0.94527363184079605</v>
      </c>
      <c r="J119" s="37" t="str">
        <f t="shared" si="7"/>
        <v>-</v>
      </c>
      <c r="L119" s="18"/>
      <c r="M119" s="19"/>
      <c r="N119" s="19"/>
      <c r="O119" s="19"/>
      <c r="P119" s="19"/>
      <c r="Q119" s="16"/>
      <c r="R119" s="16"/>
      <c r="S119" s="16"/>
      <c r="T119" s="16"/>
      <c r="U119" s="16"/>
      <c r="V119" s="16"/>
      <c r="W119" s="16"/>
      <c r="X119" s="16"/>
      <c r="AD119"/>
      <c r="AE119"/>
      <c r="AH119">
        <f>COUNTIF($AG$5:AG119, "&gt;=3")</f>
        <v>40</v>
      </c>
    </row>
    <row r="120" spans="1:34" hidden="1" x14ac:dyDescent="0.2">
      <c r="A120" s="44">
        <v>91</v>
      </c>
      <c r="B120" s="15" t="s">
        <v>171</v>
      </c>
      <c r="C120" s="14">
        <v>2</v>
      </c>
      <c r="D120" s="36">
        <v>391</v>
      </c>
      <c r="E120" s="36">
        <v>447</v>
      </c>
      <c r="F120" s="36">
        <v>0</v>
      </c>
      <c r="G120" s="36">
        <v>0</v>
      </c>
      <c r="H120" s="36">
        <v>4</v>
      </c>
      <c r="I120" s="37">
        <f t="shared" si="6"/>
        <v>1.1432225063938619</v>
      </c>
      <c r="J120" s="37" t="str">
        <f t="shared" si="7"/>
        <v>-</v>
      </c>
      <c r="L120" s="18"/>
      <c r="M120" s="19"/>
      <c r="N120" s="19"/>
      <c r="O120" s="19"/>
      <c r="P120" s="19"/>
      <c r="Q120" s="16"/>
      <c r="R120" s="16"/>
      <c r="S120" s="16"/>
      <c r="T120" s="16"/>
      <c r="U120" s="16"/>
      <c r="V120" s="16"/>
      <c r="W120" s="16"/>
      <c r="X120" s="16"/>
      <c r="AD120"/>
      <c r="AE120"/>
      <c r="AH120">
        <f>COUNTIF($AG$5:AG120, "&gt;=3")</f>
        <v>40</v>
      </c>
    </row>
    <row r="121" spans="1:34" hidden="1" x14ac:dyDescent="0.2">
      <c r="A121" s="44">
        <v>103</v>
      </c>
      <c r="B121" s="15" t="s">
        <v>259</v>
      </c>
      <c r="C121" s="14">
        <v>1</v>
      </c>
      <c r="D121" s="36">
        <v>349</v>
      </c>
      <c r="E121" s="36">
        <v>235</v>
      </c>
      <c r="F121" s="36">
        <v>0</v>
      </c>
      <c r="G121" s="36">
        <v>0</v>
      </c>
      <c r="H121" s="36">
        <v>4</v>
      </c>
      <c r="I121" s="37">
        <f t="shared" si="6"/>
        <v>0.67335243553008595</v>
      </c>
      <c r="J121" s="37" t="str">
        <f t="shared" si="7"/>
        <v>-</v>
      </c>
      <c r="L121" s="18"/>
      <c r="M121" s="19"/>
      <c r="N121" s="19"/>
      <c r="O121" s="19"/>
      <c r="P121" s="19"/>
      <c r="Q121" s="16"/>
      <c r="R121" s="16"/>
      <c r="S121" s="16"/>
      <c r="T121" s="16"/>
      <c r="U121" s="16"/>
      <c r="V121" s="16"/>
      <c r="W121" s="16"/>
      <c r="X121" s="16"/>
      <c r="AD121"/>
      <c r="AE121"/>
      <c r="AH121">
        <f>COUNTIF($AG$5:AG121, "&gt;=3")</f>
        <v>40</v>
      </c>
    </row>
    <row r="122" spans="1:34" hidden="1" x14ac:dyDescent="0.2">
      <c r="A122" s="43">
        <v>106</v>
      </c>
      <c r="B122" s="13" t="s">
        <v>284</v>
      </c>
      <c r="C122" s="33">
        <v>3</v>
      </c>
      <c r="D122" s="34">
        <v>323</v>
      </c>
      <c r="E122" s="34">
        <v>355</v>
      </c>
      <c r="F122" s="34">
        <v>0</v>
      </c>
      <c r="G122" s="34">
        <v>0</v>
      </c>
      <c r="H122" s="34">
        <v>4</v>
      </c>
      <c r="I122" s="35">
        <f t="shared" si="6"/>
        <v>1.0990712074303406</v>
      </c>
      <c r="J122" s="35" t="str">
        <f t="shared" si="7"/>
        <v>-</v>
      </c>
      <c r="L122" s="18"/>
      <c r="M122" s="19"/>
      <c r="N122" s="19"/>
      <c r="O122" s="19"/>
      <c r="P122" s="19"/>
      <c r="Q122" s="16"/>
      <c r="R122" s="16"/>
      <c r="S122" s="16"/>
      <c r="T122" s="16"/>
      <c r="U122" s="16"/>
      <c r="V122" s="16"/>
      <c r="W122" s="16"/>
      <c r="X122" s="16"/>
      <c r="AD122"/>
      <c r="AE122"/>
      <c r="AH122">
        <f>COUNTIF($AG$5:AG122, "&gt;=3")</f>
        <v>40</v>
      </c>
    </row>
    <row r="123" spans="1:34" hidden="1" x14ac:dyDescent="0.2">
      <c r="A123" s="43">
        <v>112</v>
      </c>
      <c r="B123" s="13" t="s">
        <v>329</v>
      </c>
      <c r="C123" s="33">
        <v>2</v>
      </c>
      <c r="D123" s="34">
        <v>297</v>
      </c>
      <c r="E123" s="34">
        <v>231</v>
      </c>
      <c r="F123" s="34">
        <v>214</v>
      </c>
      <c r="G123" s="34">
        <v>214</v>
      </c>
      <c r="H123" s="34">
        <v>4</v>
      </c>
      <c r="I123" s="35">
        <f t="shared" si="6"/>
        <v>0.77777777777777779</v>
      </c>
      <c r="J123" s="35">
        <f t="shared" si="7"/>
        <v>1</v>
      </c>
      <c r="L123" s="18"/>
      <c r="M123" s="19"/>
      <c r="N123" s="19"/>
      <c r="O123" s="19"/>
      <c r="P123" s="19"/>
      <c r="Q123" s="16"/>
      <c r="R123" s="16"/>
      <c r="S123" s="16"/>
      <c r="T123" s="16"/>
      <c r="U123" s="16"/>
      <c r="V123" s="16"/>
      <c r="W123" s="16"/>
      <c r="X123" s="16"/>
      <c r="AD123"/>
      <c r="AE123"/>
      <c r="AH123">
        <f>COUNTIF($AG$5:AG123, "&gt;=3")</f>
        <v>40</v>
      </c>
    </row>
    <row r="124" spans="1:34" hidden="1" x14ac:dyDescent="0.2">
      <c r="A124" s="44">
        <v>119</v>
      </c>
      <c r="B124" s="15" t="s">
        <v>391</v>
      </c>
      <c r="C124" s="14">
        <v>4</v>
      </c>
      <c r="D124" s="36">
        <v>278</v>
      </c>
      <c r="E124" s="36">
        <v>282</v>
      </c>
      <c r="F124" s="36">
        <v>0</v>
      </c>
      <c r="G124" s="36">
        <v>0</v>
      </c>
      <c r="H124" s="36">
        <v>4</v>
      </c>
      <c r="I124" s="37">
        <f t="shared" si="6"/>
        <v>1.014388489208633</v>
      </c>
      <c r="J124" s="37" t="str">
        <f t="shared" si="7"/>
        <v>-</v>
      </c>
      <c r="L124" s="18"/>
      <c r="M124" s="19"/>
      <c r="N124" s="19"/>
      <c r="O124" s="19"/>
      <c r="P124" s="19"/>
      <c r="Q124" s="16"/>
      <c r="R124" s="16"/>
      <c r="S124" s="16"/>
      <c r="T124" s="16"/>
      <c r="U124" s="16"/>
      <c r="V124" s="16"/>
      <c r="W124" s="16"/>
      <c r="X124" s="16"/>
      <c r="AD124"/>
      <c r="AE124"/>
      <c r="AH124">
        <f>COUNTIF($AG$5:AG124, "&gt;=3")</f>
        <v>40</v>
      </c>
    </row>
    <row r="125" spans="1:34" hidden="1" x14ac:dyDescent="0.2">
      <c r="A125" s="43">
        <v>130</v>
      </c>
      <c r="B125" s="13" t="s">
        <v>388</v>
      </c>
      <c r="C125" s="33">
        <v>2</v>
      </c>
      <c r="D125" s="34">
        <v>249</v>
      </c>
      <c r="E125" s="34">
        <v>243</v>
      </c>
      <c r="F125" s="34">
        <v>0</v>
      </c>
      <c r="G125" s="34">
        <v>0</v>
      </c>
      <c r="H125" s="34">
        <v>4</v>
      </c>
      <c r="I125" s="35">
        <f t="shared" si="6"/>
        <v>0.97590361445783136</v>
      </c>
      <c r="J125" s="35" t="str">
        <f t="shared" si="7"/>
        <v>-</v>
      </c>
      <c r="L125" s="18"/>
      <c r="M125" s="19"/>
      <c r="N125" s="19"/>
      <c r="O125" s="19"/>
      <c r="P125" s="19"/>
      <c r="Q125" s="16"/>
      <c r="R125" s="16"/>
      <c r="S125" s="16"/>
      <c r="T125" s="16"/>
      <c r="U125" s="16"/>
      <c r="V125" s="16"/>
      <c r="W125" s="16"/>
      <c r="X125" s="16"/>
      <c r="AD125"/>
      <c r="AE125"/>
      <c r="AH125">
        <f>COUNTIF($AG$5:AG125, "&gt;=3")</f>
        <v>40</v>
      </c>
    </row>
    <row r="126" spans="1:34" hidden="1" x14ac:dyDescent="0.2">
      <c r="A126" s="44">
        <v>133</v>
      </c>
      <c r="B126" s="15" t="s">
        <v>557</v>
      </c>
      <c r="C126" s="14">
        <v>3</v>
      </c>
      <c r="D126" s="36">
        <v>244</v>
      </c>
      <c r="E126" s="36">
        <v>217</v>
      </c>
      <c r="F126" s="36">
        <v>450</v>
      </c>
      <c r="G126" s="36">
        <v>442</v>
      </c>
      <c r="H126" s="36">
        <v>4</v>
      </c>
      <c r="I126" s="37">
        <f t="shared" si="6"/>
        <v>0.88934426229508201</v>
      </c>
      <c r="J126" s="37">
        <f t="shared" si="7"/>
        <v>0.98222222222222222</v>
      </c>
      <c r="L126" s="18"/>
      <c r="M126" s="19"/>
      <c r="N126" s="19"/>
      <c r="O126" s="19"/>
      <c r="P126" s="19"/>
      <c r="Q126" s="16"/>
      <c r="R126" s="16"/>
      <c r="S126" s="16"/>
      <c r="T126" s="16"/>
      <c r="U126" s="16"/>
      <c r="V126" s="16"/>
      <c r="W126" s="16"/>
      <c r="X126" s="16"/>
      <c r="AD126"/>
      <c r="AE126"/>
      <c r="AH126">
        <f>COUNTIF($AG$5:AG126, "&gt;=3")</f>
        <v>40</v>
      </c>
    </row>
    <row r="127" spans="1:34" hidden="1" x14ac:dyDescent="0.2">
      <c r="A127" s="43">
        <v>134</v>
      </c>
      <c r="B127" s="13" t="s">
        <v>314</v>
      </c>
      <c r="C127" s="33">
        <v>2</v>
      </c>
      <c r="D127" s="34">
        <v>243</v>
      </c>
      <c r="E127" s="34">
        <v>188</v>
      </c>
      <c r="F127" s="34">
        <v>0</v>
      </c>
      <c r="G127" s="34">
        <v>0</v>
      </c>
      <c r="H127" s="34">
        <v>4</v>
      </c>
      <c r="I127" s="35">
        <f t="shared" si="6"/>
        <v>0.77366255144032925</v>
      </c>
      <c r="J127" s="35" t="str">
        <f t="shared" si="7"/>
        <v>-</v>
      </c>
      <c r="L127" s="18"/>
      <c r="M127" s="19"/>
      <c r="N127" s="19"/>
      <c r="O127" s="19"/>
      <c r="P127" s="19"/>
      <c r="Q127" s="16"/>
      <c r="R127" s="16"/>
      <c r="S127" s="16"/>
      <c r="T127" s="16"/>
      <c r="U127" s="16"/>
      <c r="V127" s="16"/>
      <c r="W127" s="16"/>
      <c r="X127" s="16"/>
      <c r="AD127"/>
      <c r="AE127"/>
      <c r="AH127">
        <f>COUNTIF($AG$5:AG127, "&gt;=3")</f>
        <v>40</v>
      </c>
    </row>
    <row r="128" spans="1:34" hidden="1" x14ac:dyDescent="0.2">
      <c r="A128" s="43">
        <v>138</v>
      </c>
      <c r="B128" s="13" t="s">
        <v>394</v>
      </c>
      <c r="C128" s="33">
        <v>2</v>
      </c>
      <c r="D128" s="34">
        <v>235</v>
      </c>
      <c r="E128" s="34">
        <v>203</v>
      </c>
      <c r="F128" s="34">
        <v>0</v>
      </c>
      <c r="G128" s="34">
        <v>0</v>
      </c>
      <c r="H128" s="34">
        <v>4</v>
      </c>
      <c r="I128" s="35">
        <f t="shared" si="6"/>
        <v>0.86382978723404258</v>
      </c>
      <c r="J128" s="35" t="str">
        <f t="shared" si="7"/>
        <v>-</v>
      </c>
      <c r="L128" s="18"/>
      <c r="M128" s="19"/>
      <c r="N128" s="19"/>
      <c r="O128" s="19"/>
      <c r="P128" s="19"/>
      <c r="Q128" s="16"/>
      <c r="R128" s="16"/>
      <c r="S128" s="16"/>
      <c r="T128" s="16"/>
      <c r="U128" s="16"/>
      <c r="V128" s="16"/>
      <c r="W128" s="16"/>
      <c r="X128" s="16"/>
      <c r="AD128"/>
      <c r="AE128"/>
      <c r="AH128">
        <f>COUNTIF($AG$5:AG128, "&gt;=3")</f>
        <v>40</v>
      </c>
    </row>
    <row r="129" spans="1:34" hidden="1" x14ac:dyDescent="0.2">
      <c r="A129" s="44">
        <v>139</v>
      </c>
      <c r="B129" s="15" t="s">
        <v>445</v>
      </c>
      <c r="C129" s="14">
        <v>3</v>
      </c>
      <c r="D129" s="36">
        <v>235</v>
      </c>
      <c r="E129" s="36">
        <v>234</v>
      </c>
      <c r="F129" s="36">
        <v>230</v>
      </c>
      <c r="G129" s="36">
        <v>230</v>
      </c>
      <c r="H129" s="36">
        <v>4</v>
      </c>
      <c r="I129" s="37">
        <f t="shared" si="6"/>
        <v>0.99574468085106382</v>
      </c>
      <c r="J129" s="37">
        <f t="shared" si="7"/>
        <v>1</v>
      </c>
      <c r="L129" s="18"/>
      <c r="M129" s="19"/>
      <c r="N129" s="19"/>
      <c r="O129" s="19"/>
      <c r="P129" s="19"/>
      <c r="Q129" s="16"/>
      <c r="R129" s="16"/>
      <c r="S129" s="16"/>
      <c r="T129" s="16"/>
      <c r="U129" s="16"/>
      <c r="V129" s="16"/>
      <c r="W129" s="16"/>
      <c r="X129" s="16"/>
      <c r="AD129"/>
      <c r="AE129"/>
      <c r="AH129">
        <f>COUNTIF($AG$5:AG129, "&gt;=3")</f>
        <v>40</v>
      </c>
    </row>
    <row r="130" spans="1:34" hidden="1" x14ac:dyDescent="0.2">
      <c r="A130" s="43">
        <v>140</v>
      </c>
      <c r="B130" s="13" t="s">
        <v>356</v>
      </c>
      <c r="C130" s="33">
        <v>5</v>
      </c>
      <c r="D130" s="34">
        <v>231</v>
      </c>
      <c r="E130" s="34">
        <v>165</v>
      </c>
      <c r="F130" s="34">
        <v>0</v>
      </c>
      <c r="G130" s="34">
        <v>0</v>
      </c>
      <c r="H130" s="34">
        <v>4</v>
      </c>
      <c r="I130" s="35">
        <f t="shared" si="6"/>
        <v>0.7142857142857143</v>
      </c>
      <c r="J130" s="35" t="str">
        <f t="shared" si="7"/>
        <v>-</v>
      </c>
      <c r="L130" s="18"/>
      <c r="M130" s="19"/>
      <c r="N130" s="19"/>
      <c r="O130" s="19"/>
      <c r="P130" s="19"/>
      <c r="Q130" s="16"/>
      <c r="R130" s="16"/>
      <c r="S130" s="16"/>
      <c r="T130" s="16"/>
      <c r="U130" s="16"/>
      <c r="V130" s="16"/>
      <c r="W130" s="16"/>
      <c r="X130" s="16"/>
      <c r="AD130"/>
      <c r="AE130"/>
      <c r="AH130">
        <f>COUNTIF($AG$5:AG130, "&gt;=3")</f>
        <v>40</v>
      </c>
    </row>
    <row r="131" spans="1:34" hidden="1" x14ac:dyDescent="0.2">
      <c r="A131" s="43">
        <v>154</v>
      </c>
      <c r="B131" s="13" t="s">
        <v>495</v>
      </c>
      <c r="C131" s="33">
        <v>15</v>
      </c>
      <c r="D131" s="34">
        <v>215</v>
      </c>
      <c r="E131" s="34">
        <v>210</v>
      </c>
      <c r="F131" s="34">
        <v>3037</v>
      </c>
      <c r="G131" s="34">
        <v>2997</v>
      </c>
      <c r="H131" s="34">
        <v>4</v>
      </c>
      <c r="I131" s="35">
        <f t="shared" si="6"/>
        <v>0.97674418604651159</v>
      </c>
      <c r="J131" s="35">
        <f t="shared" si="7"/>
        <v>0.98682910767204479</v>
      </c>
      <c r="L131" s="18"/>
      <c r="M131" s="19"/>
      <c r="N131" s="19"/>
      <c r="O131" s="19"/>
      <c r="P131" s="19"/>
      <c r="Q131" s="16"/>
      <c r="R131" s="16"/>
      <c r="S131" s="16"/>
      <c r="T131" s="16"/>
      <c r="U131" s="16"/>
      <c r="V131" s="16"/>
      <c r="W131" s="16"/>
      <c r="X131" s="16"/>
      <c r="AD131"/>
      <c r="AE131"/>
      <c r="AH131">
        <f>COUNTIF($AG$5:AG131, "&gt;=3")</f>
        <v>40</v>
      </c>
    </row>
    <row r="132" spans="1:34" hidden="1" x14ac:dyDescent="0.2">
      <c r="A132" s="43">
        <v>156</v>
      </c>
      <c r="B132" s="13" t="s">
        <v>619</v>
      </c>
      <c r="C132" s="33">
        <v>4</v>
      </c>
      <c r="D132" s="34">
        <v>211</v>
      </c>
      <c r="E132" s="34">
        <v>153</v>
      </c>
      <c r="F132" s="34">
        <v>1416</v>
      </c>
      <c r="G132" s="34">
        <v>1395</v>
      </c>
      <c r="H132" s="34">
        <v>4</v>
      </c>
      <c r="I132" s="35">
        <f t="shared" si="6"/>
        <v>0.72511848341232232</v>
      </c>
      <c r="J132" s="35">
        <f t="shared" si="7"/>
        <v>0.98516949152542377</v>
      </c>
      <c r="L132" s="18"/>
      <c r="M132" s="19"/>
      <c r="N132" s="19"/>
      <c r="O132" s="19"/>
      <c r="P132" s="19"/>
      <c r="Q132" s="16"/>
      <c r="R132" s="16"/>
      <c r="S132" s="16"/>
      <c r="T132" s="16"/>
      <c r="U132" s="16"/>
      <c r="V132" s="16"/>
      <c r="W132" s="16"/>
      <c r="X132" s="16"/>
      <c r="AD132"/>
      <c r="AE132"/>
      <c r="AH132">
        <f>COUNTIF($AG$5:AG132, "&gt;=3")</f>
        <v>40</v>
      </c>
    </row>
    <row r="133" spans="1:34" hidden="1" x14ac:dyDescent="0.2">
      <c r="A133" s="44">
        <v>157</v>
      </c>
      <c r="B133" s="15" t="s">
        <v>307</v>
      </c>
      <c r="C133" s="14">
        <v>9</v>
      </c>
      <c r="D133" s="36">
        <v>209</v>
      </c>
      <c r="E133" s="36">
        <v>197</v>
      </c>
      <c r="F133" s="36">
        <v>907</v>
      </c>
      <c r="G133" s="36">
        <v>808</v>
      </c>
      <c r="H133" s="36">
        <v>4</v>
      </c>
      <c r="I133" s="37">
        <f t="shared" ref="I133:I196" si="8">IF(D133=0,"-",E133/D133)</f>
        <v>0.9425837320574163</v>
      </c>
      <c r="J133" s="37">
        <f t="shared" ref="J133:J196" si="9">IF(F133=0,"-",G133/F133)</f>
        <v>0.8908489525909592</v>
      </c>
      <c r="L133" s="18"/>
      <c r="M133" s="19"/>
      <c r="N133" s="19"/>
      <c r="O133" s="19"/>
      <c r="P133" s="19"/>
      <c r="Q133" s="16"/>
      <c r="R133" s="16"/>
      <c r="S133" s="16"/>
      <c r="T133" s="16"/>
      <c r="U133" s="16"/>
      <c r="V133" s="16"/>
      <c r="W133" s="16"/>
      <c r="X133" s="16"/>
      <c r="AD133"/>
      <c r="AE133"/>
      <c r="AH133">
        <f>COUNTIF($AG$5:AG133, "&gt;=3")</f>
        <v>40</v>
      </c>
    </row>
    <row r="134" spans="1:34" hidden="1" x14ac:dyDescent="0.2">
      <c r="A134" s="43">
        <v>158</v>
      </c>
      <c r="B134" s="13" t="s">
        <v>421</v>
      </c>
      <c r="C134" s="33">
        <v>2</v>
      </c>
      <c r="D134" s="34">
        <v>208</v>
      </c>
      <c r="E134" s="34">
        <v>169</v>
      </c>
      <c r="F134" s="34">
        <v>0</v>
      </c>
      <c r="G134" s="34">
        <v>0</v>
      </c>
      <c r="H134" s="34">
        <v>4</v>
      </c>
      <c r="I134" s="35">
        <f t="shared" si="8"/>
        <v>0.8125</v>
      </c>
      <c r="J134" s="35" t="str">
        <f t="shared" si="9"/>
        <v>-</v>
      </c>
      <c r="L134" s="18"/>
      <c r="M134" s="19"/>
      <c r="N134" s="19"/>
      <c r="O134" s="19"/>
      <c r="P134" s="19"/>
      <c r="Q134" s="16"/>
      <c r="R134" s="16"/>
      <c r="S134" s="16"/>
      <c r="T134" s="16"/>
      <c r="U134" s="16"/>
      <c r="V134" s="16"/>
      <c r="W134" s="16"/>
      <c r="X134" s="16"/>
      <c r="AD134"/>
      <c r="AE134"/>
      <c r="AH134">
        <f>COUNTIF($AG$5:AG134, "&gt;=3")</f>
        <v>40</v>
      </c>
    </row>
    <row r="135" spans="1:34" hidden="1" x14ac:dyDescent="0.2">
      <c r="A135" s="43">
        <v>160</v>
      </c>
      <c r="B135" s="13" t="s">
        <v>512</v>
      </c>
      <c r="C135" s="33">
        <v>3</v>
      </c>
      <c r="D135" s="34">
        <v>206</v>
      </c>
      <c r="E135" s="34">
        <v>206</v>
      </c>
      <c r="F135" s="34">
        <v>105</v>
      </c>
      <c r="G135" s="34">
        <v>105</v>
      </c>
      <c r="H135" s="34">
        <v>4</v>
      </c>
      <c r="I135" s="35">
        <f t="shared" si="8"/>
        <v>1</v>
      </c>
      <c r="J135" s="35">
        <f t="shared" si="9"/>
        <v>1</v>
      </c>
      <c r="L135" s="18"/>
      <c r="M135" s="19"/>
      <c r="N135" s="19"/>
      <c r="O135" s="19"/>
      <c r="P135" s="19"/>
      <c r="Q135" s="16"/>
      <c r="R135" s="16"/>
      <c r="S135" s="16"/>
      <c r="T135" s="16"/>
      <c r="U135" s="16"/>
      <c r="V135" s="16"/>
      <c r="W135" s="16"/>
      <c r="X135" s="16"/>
      <c r="AD135"/>
      <c r="AE135"/>
      <c r="AH135">
        <f>COUNTIF($AG$5:AG135, "&gt;=3")</f>
        <v>40</v>
      </c>
    </row>
    <row r="136" spans="1:34" hidden="1" x14ac:dyDescent="0.2">
      <c r="A136" s="44">
        <v>163</v>
      </c>
      <c r="B136" s="15" t="s">
        <v>589</v>
      </c>
      <c r="C136" s="14">
        <v>3</v>
      </c>
      <c r="D136" s="36">
        <v>204</v>
      </c>
      <c r="E136" s="36">
        <v>127</v>
      </c>
      <c r="F136" s="36">
        <v>0</v>
      </c>
      <c r="G136" s="36">
        <v>0</v>
      </c>
      <c r="H136" s="36">
        <v>4</v>
      </c>
      <c r="I136" s="37">
        <f t="shared" si="8"/>
        <v>0.62254901960784315</v>
      </c>
      <c r="J136" s="37" t="str">
        <f t="shared" si="9"/>
        <v>-</v>
      </c>
      <c r="L136" s="18"/>
      <c r="M136" s="19"/>
      <c r="N136" s="19"/>
      <c r="O136" s="19"/>
      <c r="P136" s="19"/>
      <c r="Q136" s="16"/>
      <c r="R136" s="16"/>
      <c r="S136" s="16"/>
      <c r="T136" s="16"/>
      <c r="U136" s="16"/>
      <c r="V136" s="16"/>
      <c r="W136" s="16"/>
      <c r="X136" s="16"/>
      <c r="AD136"/>
      <c r="AE136"/>
      <c r="AH136">
        <f>COUNTIF($AG$5:AG136, "&gt;=3")</f>
        <v>40</v>
      </c>
    </row>
    <row r="137" spans="1:34" hidden="1" x14ac:dyDescent="0.2">
      <c r="A137" s="43">
        <v>166</v>
      </c>
      <c r="B137" s="13" t="s">
        <v>336</v>
      </c>
      <c r="C137" s="33">
        <v>2</v>
      </c>
      <c r="D137" s="34">
        <v>198</v>
      </c>
      <c r="E137" s="34">
        <v>213</v>
      </c>
      <c r="F137" s="34">
        <v>0</v>
      </c>
      <c r="G137" s="34">
        <v>0</v>
      </c>
      <c r="H137" s="34">
        <v>4</v>
      </c>
      <c r="I137" s="35">
        <f t="shared" si="8"/>
        <v>1.0757575757575757</v>
      </c>
      <c r="J137" s="35" t="str">
        <f t="shared" si="9"/>
        <v>-</v>
      </c>
      <c r="L137" s="18"/>
      <c r="M137" s="19"/>
      <c r="N137" s="19"/>
      <c r="O137" s="19"/>
      <c r="P137" s="19"/>
      <c r="Q137" s="16"/>
      <c r="R137" s="16"/>
      <c r="S137" s="16"/>
      <c r="T137" s="16"/>
      <c r="U137" s="16"/>
      <c r="V137" s="16"/>
      <c r="W137" s="16"/>
      <c r="X137" s="16"/>
      <c r="AD137"/>
      <c r="AE137"/>
      <c r="AH137">
        <f>COUNTIF($AG$5:AG137, "&gt;=3")</f>
        <v>40</v>
      </c>
    </row>
    <row r="138" spans="1:34" hidden="1" x14ac:dyDescent="0.2">
      <c r="A138" s="44">
        <v>167</v>
      </c>
      <c r="B138" s="15" t="s">
        <v>701</v>
      </c>
      <c r="C138" s="14">
        <v>4</v>
      </c>
      <c r="D138" s="36">
        <v>198</v>
      </c>
      <c r="E138" s="36">
        <v>113</v>
      </c>
      <c r="F138" s="36">
        <v>0</v>
      </c>
      <c r="G138" s="36">
        <v>0</v>
      </c>
      <c r="H138" s="36">
        <v>4</v>
      </c>
      <c r="I138" s="37">
        <f t="shared" si="8"/>
        <v>0.57070707070707072</v>
      </c>
      <c r="J138" s="37" t="str">
        <f t="shared" si="9"/>
        <v>-</v>
      </c>
      <c r="L138" s="18"/>
      <c r="M138" s="19"/>
      <c r="N138" s="19"/>
      <c r="O138" s="19"/>
      <c r="P138" s="19"/>
      <c r="Q138" s="16"/>
      <c r="R138" s="16"/>
      <c r="S138" s="16"/>
      <c r="T138" s="16"/>
      <c r="U138" s="16"/>
      <c r="V138" s="16"/>
      <c r="W138" s="16"/>
      <c r="X138" s="16"/>
      <c r="AD138"/>
      <c r="AE138"/>
      <c r="AH138">
        <f>COUNTIF($AG$5:AG138, "&gt;=3")</f>
        <v>40</v>
      </c>
    </row>
    <row r="139" spans="1:34" hidden="1" x14ac:dyDescent="0.2">
      <c r="A139" s="43">
        <v>174</v>
      </c>
      <c r="B139" s="13" t="s">
        <v>627</v>
      </c>
      <c r="C139" s="33">
        <v>2</v>
      </c>
      <c r="D139" s="34">
        <v>179</v>
      </c>
      <c r="E139" s="34">
        <v>145</v>
      </c>
      <c r="F139" s="34">
        <v>0</v>
      </c>
      <c r="G139" s="34">
        <v>0</v>
      </c>
      <c r="H139" s="34">
        <v>4</v>
      </c>
      <c r="I139" s="35">
        <f t="shared" si="8"/>
        <v>0.81005586592178769</v>
      </c>
      <c r="J139" s="35" t="str">
        <f t="shared" si="9"/>
        <v>-</v>
      </c>
      <c r="L139" s="18"/>
      <c r="M139" s="19"/>
      <c r="N139" s="19"/>
      <c r="O139" s="19"/>
      <c r="P139" s="19"/>
      <c r="Q139" s="16"/>
      <c r="R139" s="16"/>
      <c r="S139" s="16"/>
      <c r="T139" s="16"/>
      <c r="U139" s="16"/>
      <c r="V139" s="16"/>
      <c r="W139" s="16"/>
      <c r="X139" s="16"/>
      <c r="AD139"/>
      <c r="AE139"/>
      <c r="AH139">
        <f>COUNTIF($AG$5:AG139, "&gt;=3")</f>
        <v>40</v>
      </c>
    </row>
    <row r="140" spans="1:34" hidden="1" x14ac:dyDescent="0.2">
      <c r="A140" s="43">
        <v>180</v>
      </c>
      <c r="B140" s="13" t="s">
        <v>451</v>
      </c>
      <c r="C140" s="33">
        <v>2</v>
      </c>
      <c r="D140" s="34">
        <v>173</v>
      </c>
      <c r="E140" s="34">
        <v>164</v>
      </c>
      <c r="F140" s="34">
        <v>0</v>
      </c>
      <c r="G140" s="34">
        <v>0</v>
      </c>
      <c r="H140" s="34">
        <v>4</v>
      </c>
      <c r="I140" s="35">
        <f t="shared" si="8"/>
        <v>0.94797687861271673</v>
      </c>
      <c r="J140" s="35" t="str">
        <f t="shared" si="9"/>
        <v>-</v>
      </c>
      <c r="L140" s="18"/>
      <c r="M140" s="19"/>
      <c r="N140" s="19"/>
      <c r="O140" s="19"/>
      <c r="P140" s="19"/>
      <c r="Q140" s="16"/>
      <c r="R140" s="16"/>
      <c r="S140" s="16"/>
      <c r="T140" s="16"/>
      <c r="U140" s="16"/>
      <c r="V140" s="16"/>
      <c r="W140" s="16"/>
      <c r="X140" s="16"/>
      <c r="AD140"/>
      <c r="AE140"/>
      <c r="AH140">
        <f>COUNTIF($AG$5:AG140, "&gt;=3")</f>
        <v>40</v>
      </c>
    </row>
    <row r="141" spans="1:34" hidden="1" x14ac:dyDescent="0.2">
      <c r="A141" s="43">
        <v>182</v>
      </c>
      <c r="B141" s="13" t="s">
        <v>427</v>
      </c>
      <c r="C141" s="33">
        <v>2</v>
      </c>
      <c r="D141" s="34">
        <v>168</v>
      </c>
      <c r="E141" s="34">
        <v>182</v>
      </c>
      <c r="F141" s="34">
        <v>0</v>
      </c>
      <c r="G141" s="34">
        <v>0</v>
      </c>
      <c r="H141" s="34">
        <v>4</v>
      </c>
      <c r="I141" s="35">
        <f t="shared" si="8"/>
        <v>1.0833333333333333</v>
      </c>
      <c r="J141" s="35" t="str">
        <f t="shared" si="9"/>
        <v>-</v>
      </c>
      <c r="L141" s="18"/>
      <c r="M141" s="19"/>
      <c r="N141" s="19"/>
      <c r="O141" s="19"/>
      <c r="P141" s="19"/>
      <c r="Q141" s="16"/>
      <c r="R141" s="16"/>
      <c r="S141" s="16"/>
      <c r="T141" s="16"/>
      <c r="U141" s="16"/>
      <c r="V141" s="16"/>
      <c r="W141" s="16"/>
      <c r="X141" s="16"/>
      <c r="AD141"/>
      <c r="AE141"/>
      <c r="AH141">
        <f>COUNTIF($AG$5:AG141, "&gt;=3")</f>
        <v>40</v>
      </c>
    </row>
    <row r="142" spans="1:34" hidden="1" x14ac:dyDescent="0.2">
      <c r="A142" s="44">
        <v>185</v>
      </c>
      <c r="B142" s="15" t="s">
        <v>870</v>
      </c>
      <c r="C142" s="14">
        <v>2</v>
      </c>
      <c r="D142" s="36">
        <v>162</v>
      </c>
      <c r="E142" s="36">
        <v>68</v>
      </c>
      <c r="F142" s="36">
        <v>16</v>
      </c>
      <c r="G142" s="36">
        <v>16</v>
      </c>
      <c r="H142" s="36">
        <v>4</v>
      </c>
      <c r="I142" s="37">
        <f t="shared" si="8"/>
        <v>0.41975308641975306</v>
      </c>
      <c r="J142" s="37">
        <f t="shared" si="9"/>
        <v>1</v>
      </c>
      <c r="L142" s="18"/>
      <c r="M142" s="19"/>
      <c r="N142" s="19"/>
      <c r="O142" s="19"/>
      <c r="P142" s="19"/>
      <c r="Q142" s="16"/>
      <c r="R142" s="16"/>
      <c r="S142" s="16"/>
      <c r="T142" s="16"/>
      <c r="U142" s="16"/>
      <c r="V142" s="16"/>
      <c r="W142" s="16"/>
      <c r="X142" s="16"/>
      <c r="AD142"/>
      <c r="AE142"/>
      <c r="AH142">
        <f>COUNTIF($AG$5:AG142, "&gt;=3")</f>
        <v>40</v>
      </c>
    </row>
    <row r="143" spans="1:34" hidden="1" x14ac:dyDescent="0.2">
      <c r="A143" s="43">
        <v>186</v>
      </c>
      <c r="B143" s="13" t="s">
        <v>581</v>
      </c>
      <c r="C143" s="33">
        <v>2</v>
      </c>
      <c r="D143" s="34">
        <v>160</v>
      </c>
      <c r="E143" s="34">
        <v>81</v>
      </c>
      <c r="F143" s="34">
        <v>0</v>
      </c>
      <c r="G143" s="34">
        <v>0</v>
      </c>
      <c r="H143" s="34">
        <v>4</v>
      </c>
      <c r="I143" s="35">
        <f t="shared" si="8"/>
        <v>0.50624999999999998</v>
      </c>
      <c r="J143" s="35" t="str">
        <f t="shared" si="9"/>
        <v>-</v>
      </c>
      <c r="L143" s="18"/>
      <c r="M143" s="19"/>
      <c r="N143" s="19"/>
      <c r="O143" s="19"/>
      <c r="P143" s="19"/>
      <c r="Q143" s="16"/>
      <c r="R143" s="16"/>
      <c r="S143" s="16"/>
      <c r="T143" s="16"/>
      <c r="U143" s="16"/>
      <c r="V143" s="16"/>
      <c r="W143" s="16"/>
      <c r="X143" s="16"/>
      <c r="AD143"/>
      <c r="AE143"/>
      <c r="AH143">
        <f>COUNTIF($AG$5:AG143, "&gt;=3")</f>
        <v>40</v>
      </c>
    </row>
    <row r="144" spans="1:34" hidden="1" x14ac:dyDescent="0.2">
      <c r="A144" s="44">
        <v>189</v>
      </c>
      <c r="B144" s="15" t="s">
        <v>578</v>
      </c>
      <c r="C144" s="14">
        <v>4</v>
      </c>
      <c r="D144" s="36">
        <v>158</v>
      </c>
      <c r="E144" s="36">
        <v>148</v>
      </c>
      <c r="F144" s="36">
        <v>79</v>
      </c>
      <c r="G144" s="36">
        <v>79</v>
      </c>
      <c r="H144" s="36">
        <v>4</v>
      </c>
      <c r="I144" s="37">
        <f t="shared" si="8"/>
        <v>0.93670886075949367</v>
      </c>
      <c r="J144" s="37">
        <f t="shared" si="9"/>
        <v>1</v>
      </c>
      <c r="L144" s="18"/>
      <c r="M144" s="19"/>
      <c r="N144" s="19"/>
      <c r="O144" s="19"/>
      <c r="P144" s="19"/>
      <c r="Q144" s="16"/>
      <c r="R144" s="16"/>
      <c r="S144" s="16"/>
      <c r="T144" s="16"/>
      <c r="U144" s="16"/>
      <c r="V144" s="16"/>
      <c r="W144" s="16"/>
      <c r="X144" s="16"/>
      <c r="AD144"/>
      <c r="AE144"/>
      <c r="AH144">
        <f>COUNTIF($AG$5:AG144, "&gt;=3")</f>
        <v>40</v>
      </c>
    </row>
    <row r="145" spans="1:34" hidden="1" x14ac:dyDescent="0.2">
      <c r="A145" s="43">
        <v>202</v>
      </c>
      <c r="B145" s="13" t="s">
        <v>524</v>
      </c>
      <c r="C145" s="33">
        <v>3</v>
      </c>
      <c r="D145" s="34">
        <v>145</v>
      </c>
      <c r="E145" s="34">
        <v>181</v>
      </c>
      <c r="F145" s="34">
        <v>0</v>
      </c>
      <c r="G145" s="34">
        <v>0</v>
      </c>
      <c r="H145" s="34">
        <v>4</v>
      </c>
      <c r="I145" s="35">
        <f t="shared" si="8"/>
        <v>1.2482758620689656</v>
      </c>
      <c r="J145" s="35" t="str">
        <f t="shared" si="9"/>
        <v>-</v>
      </c>
      <c r="L145" s="18"/>
      <c r="M145" s="19"/>
      <c r="N145" s="19"/>
      <c r="O145" s="19"/>
      <c r="P145" s="19"/>
      <c r="Q145" s="16"/>
      <c r="R145" s="16"/>
      <c r="S145" s="16"/>
      <c r="T145" s="16"/>
      <c r="U145" s="16"/>
      <c r="V145" s="16"/>
      <c r="W145" s="16"/>
      <c r="X145" s="16"/>
      <c r="AD145"/>
      <c r="AE145"/>
      <c r="AH145">
        <f>COUNTIF($AG$5:AG145, "&gt;=3")</f>
        <v>40</v>
      </c>
    </row>
    <row r="146" spans="1:34" hidden="1" x14ac:dyDescent="0.2">
      <c r="A146" s="44">
        <v>217</v>
      </c>
      <c r="B146" s="15" t="s">
        <v>637</v>
      </c>
      <c r="C146" s="14">
        <v>3</v>
      </c>
      <c r="D146" s="36">
        <v>123</v>
      </c>
      <c r="E146" s="36">
        <v>80</v>
      </c>
      <c r="F146" s="36">
        <v>0</v>
      </c>
      <c r="G146" s="36">
        <v>0</v>
      </c>
      <c r="H146" s="36">
        <v>4</v>
      </c>
      <c r="I146" s="37">
        <f t="shared" si="8"/>
        <v>0.65040650406504064</v>
      </c>
      <c r="J146" s="37" t="str">
        <f t="shared" si="9"/>
        <v>-</v>
      </c>
      <c r="L146" s="18"/>
      <c r="M146" s="19"/>
      <c r="N146" s="19"/>
      <c r="O146" s="19"/>
      <c r="P146" s="19"/>
      <c r="Q146" s="16"/>
      <c r="R146" s="16"/>
      <c r="S146" s="16"/>
      <c r="T146" s="16"/>
      <c r="U146" s="16"/>
      <c r="V146" s="16"/>
      <c r="W146" s="16"/>
      <c r="X146" s="16"/>
      <c r="AD146"/>
      <c r="AE146"/>
      <c r="AH146">
        <f>COUNTIF($AG$5:AG146, "&gt;=3")</f>
        <v>40</v>
      </c>
    </row>
    <row r="147" spans="1:34" hidden="1" x14ac:dyDescent="0.2">
      <c r="A147" s="43">
        <v>232</v>
      </c>
      <c r="B147" s="13" t="s">
        <v>435</v>
      </c>
      <c r="C147" s="33">
        <v>2</v>
      </c>
      <c r="D147" s="34">
        <v>112</v>
      </c>
      <c r="E147" s="34">
        <v>126</v>
      </c>
      <c r="F147" s="34">
        <v>0</v>
      </c>
      <c r="G147" s="34">
        <v>0</v>
      </c>
      <c r="H147" s="34">
        <v>4</v>
      </c>
      <c r="I147" s="35">
        <f t="shared" si="8"/>
        <v>1.125</v>
      </c>
      <c r="J147" s="35" t="str">
        <f t="shared" si="9"/>
        <v>-</v>
      </c>
      <c r="L147" s="18"/>
      <c r="M147" s="19"/>
      <c r="N147" s="19"/>
      <c r="O147" s="19"/>
      <c r="P147" s="19"/>
      <c r="Q147" s="16"/>
      <c r="R147" s="16"/>
      <c r="S147" s="16"/>
      <c r="T147" s="16"/>
      <c r="U147" s="16"/>
      <c r="V147" s="16"/>
      <c r="W147" s="16"/>
      <c r="X147" s="16"/>
      <c r="AD147"/>
      <c r="AE147"/>
      <c r="AH147">
        <f>COUNTIF($AG$5:AG147, "&gt;=3")</f>
        <v>40</v>
      </c>
    </row>
    <row r="148" spans="1:34" hidden="1" x14ac:dyDescent="0.2">
      <c r="A148" s="44">
        <v>237</v>
      </c>
      <c r="B148" s="15" t="s">
        <v>785</v>
      </c>
      <c r="C148" s="14">
        <v>2</v>
      </c>
      <c r="D148" s="36">
        <v>109</v>
      </c>
      <c r="E148" s="36">
        <v>86</v>
      </c>
      <c r="F148" s="36">
        <v>0</v>
      </c>
      <c r="G148" s="36">
        <v>0</v>
      </c>
      <c r="H148" s="36">
        <v>4</v>
      </c>
      <c r="I148" s="37">
        <f t="shared" si="8"/>
        <v>0.78899082568807344</v>
      </c>
      <c r="J148" s="37" t="str">
        <f t="shared" si="9"/>
        <v>-</v>
      </c>
      <c r="L148" s="18"/>
      <c r="M148" s="19"/>
      <c r="N148" s="19"/>
      <c r="O148" s="19"/>
      <c r="P148" s="19"/>
      <c r="Q148" s="16"/>
      <c r="R148" s="16"/>
      <c r="S148" s="16"/>
      <c r="T148" s="16"/>
      <c r="U148" s="16"/>
      <c r="V148" s="16"/>
      <c r="W148" s="16"/>
      <c r="X148" s="16"/>
      <c r="AD148"/>
      <c r="AE148"/>
      <c r="AH148">
        <f>COUNTIF($AG$5:AG148, "&gt;=3")</f>
        <v>40</v>
      </c>
    </row>
    <row r="149" spans="1:34" hidden="1" x14ac:dyDescent="0.2">
      <c r="A149" s="44">
        <v>243</v>
      </c>
      <c r="B149" s="15" t="s">
        <v>707</v>
      </c>
      <c r="C149" s="14">
        <v>5</v>
      </c>
      <c r="D149" s="36">
        <v>103</v>
      </c>
      <c r="E149" s="36">
        <v>103</v>
      </c>
      <c r="F149" s="36">
        <v>326</v>
      </c>
      <c r="G149" s="36">
        <v>292</v>
      </c>
      <c r="H149" s="36">
        <v>4</v>
      </c>
      <c r="I149" s="37">
        <f t="shared" si="8"/>
        <v>1</v>
      </c>
      <c r="J149" s="37">
        <f t="shared" si="9"/>
        <v>0.89570552147239269</v>
      </c>
      <c r="L149" s="18"/>
      <c r="M149" s="19"/>
      <c r="N149" s="19"/>
      <c r="O149" s="19"/>
      <c r="P149" s="19"/>
      <c r="Q149" s="16"/>
      <c r="R149" s="16"/>
      <c r="S149" s="16"/>
      <c r="T149" s="16"/>
      <c r="U149" s="16"/>
      <c r="V149" s="16"/>
      <c r="W149" s="16"/>
      <c r="X149" s="16"/>
      <c r="AD149"/>
      <c r="AE149"/>
      <c r="AH149">
        <f>COUNTIF($AG$5:AG149, "&gt;=3")</f>
        <v>40</v>
      </c>
    </row>
    <row r="150" spans="1:34" hidden="1" x14ac:dyDescent="0.2">
      <c r="A150" s="44">
        <v>247</v>
      </c>
      <c r="B150" s="15" t="s">
        <v>582</v>
      </c>
      <c r="C150" s="14">
        <v>1</v>
      </c>
      <c r="D150" s="36">
        <v>98</v>
      </c>
      <c r="E150" s="36">
        <v>81</v>
      </c>
      <c r="F150" s="36">
        <v>0</v>
      </c>
      <c r="G150" s="36">
        <v>0</v>
      </c>
      <c r="H150" s="36">
        <v>4</v>
      </c>
      <c r="I150" s="37">
        <f t="shared" si="8"/>
        <v>0.82653061224489799</v>
      </c>
      <c r="J150" s="37" t="str">
        <f t="shared" si="9"/>
        <v>-</v>
      </c>
      <c r="L150" s="18"/>
      <c r="M150" s="19"/>
      <c r="N150" s="19"/>
      <c r="O150" s="19"/>
      <c r="P150" s="19"/>
      <c r="Q150" s="16"/>
      <c r="R150" s="16"/>
      <c r="S150" s="16"/>
      <c r="T150" s="16"/>
      <c r="U150" s="16"/>
      <c r="V150" s="16"/>
      <c r="W150" s="16"/>
      <c r="X150" s="16"/>
      <c r="AD150"/>
      <c r="AE150"/>
      <c r="AH150">
        <f>COUNTIF($AG$5:AG150, "&gt;=3")</f>
        <v>40</v>
      </c>
    </row>
    <row r="151" spans="1:34" hidden="1" x14ac:dyDescent="0.2">
      <c r="A151" s="44">
        <v>253</v>
      </c>
      <c r="B151" s="15" t="s">
        <v>597</v>
      </c>
      <c r="C151" s="14">
        <v>2</v>
      </c>
      <c r="D151" s="36">
        <v>86</v>
      </c>
      <c r="E151" s="36">
        <v>111</v>
      </c>
      <c r="F151" s="36">
        <v>0</v>
      </c>
      <c r="G151" s="36">
        <v>0</v>
      </c>
      <c r="H151" s="36">
        <v>4</v>
      </c>
      <c r="I151" s="37">
        <f t="shared" si="8"/>
        <v>1.2906976744186047</v>
      </c>
      <c r="J151" s="37" t="str">
        <f t="shared" si="9"/>
        <v>-</v>
      </c>
      <c r="L151" s="18"/>
      <c r="M151" s="19"/>
      <c r="N151" s="19"/>
      <c r="O151" s="19"/>
      <c r="P151" s="19"/>
      <c r="Q151" s="16"/>
      <c r="R151" s="16"/>
      <c r="S151" s="16"/>
      <c r="T151" s="16"/>
      <c r="U151" s="16"/>
      <c r="V151" s="16"/>
      <c r="W151" s="16"/>
      <c r="X151" s="16"/>
      <c r="AD151"/>
      <c r="AE151"/>
      <c r="AH151">
        <f>COUNTIF($AG$5:AG151, "&gt;=3")</f>
        <v>40</v>
      </c>
    </row>
    <row r="152" spans="1:34" hidden="1" x14ac:dyDescent="0.2">
      <c r="A152" s="44">
        <v>45</v>
      </c>
      <c r="B152" s="15" t="s">
        <v>93</v>
      </c>
      <c r="C152" s="14">
        <v>1</v>
      </c>
      <c r="D152" s="36">
        <v>738</v>
      </c>
      <c r="E152" s="36">
        <v>556</v>
      </c>
      <c r="F152" s="36">
        <v>196</v>
      </c>
      <c r="G152" s="36">
        <v>196</v>
      </c>
      <c r="H152" s="36">
        <v>3</v>
      </c>
      <c r="I152" s="37">
        <f t="shared" si="8"/>
        <v>0.75338753387533874</v>
      </c>
      <c r="J152" s="37">
        <f t="shared" si="9"/>
        <v>1</v>
      </c>
      <c r="L152" s="18"/>
      <c r="M152" s="19"/>
      <c r="N152" s="19"/>
      <c r="O152" s="19"/>
      <c r="P152" s="19"/>
      <c r="Q152" s="16"/>
      <c r="R152" s="16"/>
      <c r="S152" s="16"/>
      <c r="T152" s="16"/>
      <c r="U152" s="16"/>
      <c r="V152" s="16"/>
      <c r="W152" s="16"/>
      <c r="X152" s="16"/>
      <c r="AD152"/>
      <c r="AE152"/>
      <c r="AH152">
        <f>COUNTIF($AG$5:AG152, "&gt;=3")</f>
        <v>40</v>
      </c>
    </row>
    <row r="153" spans="1:34" hidden="1" x14ac:dyDescent="0.2">
      <c r="A153" s="43">
        <v>54</v>
      </c>
      <c r="B153" s="13" t="s">
        <v>86</v>
      </c>
      <c r="C153" s="33">
        <v>1</v>
      </c>
      <c r="D153" s="34">
        <v>616</v>
      </c>
      <c r="E153" s="34">
        <v>614</v>
      </c>
      <c r="F153" s="34">
        <v>0</v>
      </c>
      <c r="G153" s="34">
        <v>0</v>
      </c>
      <c r="H153" s="34">
        <v>3</v>
      </c>
      <c r="I153" s="35">
        <f t="shared" si="8"/>
        <v>0.99675324675324672</v>
      </c>
      <c r="J153" s="35" t="str">
        <f t="shared" si="9"/>
        <v>-</v>
      </c>
      <c r="L153" s="18"/>
      <c r="M153" s="19"/>
      <c r="N153" s="19"/>
      <c r="O153" s="19"/>
      <c r="P153" s="19"/>
      <c r="Q153" s="16"/>
      <c r="R153" s="16"/>
      <c r="S153" s="16"/>
      <c r="T153" s="16"/>
      <c r="U153" s="16"/>
      <c r="V153" s="16"/>
      <c r="W153" s="16"/>
      <c r="X153" s="16"/>
      <c r="AD153"/>
      <c r="AE153"/>
      <c r="AH153">
        <f>COUNTIF($AG$5:AG153, "&gt;=3")</f>
        <v>40</v>
      </c>
    </row>
    <row r="154" spans="1:34" hidden="1" x14ac:dyDescent="0.2">
      <c r="A154" s="44">
        <v>55</v>
      </c>
      <c r="B154" s="15" t="s">
        <v>159</v>
      </c>
      <c r="C154" s="14">
        <v>2</v>
      </c>
      <c r="D154" s="36">
        <v>601</v>
      </c>
      <c r="E154" s="36">
        <v>607</v>
      </c>
      <c r="F154" s="36">
        <v>0</v>
      </c>
      <c r="G154" s="36">
        <v>0</v>
      </c>
      <c r="H154" s="36">
        <v>3</v>
      </c>
      <c r="I154" s="37">
        <f t="shared" si="8"/>
        <v>1.0099833610648918</v>
      </c>
      <c r="J154" s="37" t="str">
        <f t="shared" si="9"/>
        <v>-</v>
      </c>
      <c r="L154" s="18"/>
      <c r="M154" s="19"/>
      <c r="N154" s="19"/>
      <c r="O154" s="19"/>
      <c r="P154" s="19"/>
      <c r="Q154" s="16"/>
      <c r="R154" s="16"/>
      <c r="S154" s="16"/>
      <c r="T154" s="16"/>
      <c r="U154" s="16"/>
      <c r="V154" s="16"/>
      <c r="W154" s="16"/>
      <c r="X154" s="16"/>
      <c r="AD154"/>
      <c r="AE154"/>
      <c r="AH154">
        <f>COUNTIF($AG$5:AG154, "&gt;=3")</f>
        <v>40</v>
      </c>
    </row>
    <row r="155" spans="1:34" hidden="1" x14ac:dyDescent="0.2">
      <c r="A155" s="44">
        <v>61</v>
      </c>
      <c r="B155" s="15" t="s">
        <v>253</v>
      </c>
      <c r="C155" s="14">
        <v>2</v>
      </c>
      <c r="D155" s="36">
        <v>527</v>
      </c>
      <c r="E155" s="36">
        <v>426</v>
      </c>
      <c r="F155" s="36">
        <v>0</v>
      </c>
      <c r="G155" s="36">
        <v>0</v>
      </c>
      <c r="H155" s="36">
        <v>3</v>
      </c>
      <c r="I155" s="37">
        <f t="shared" si="8"/>
        <v>0.80834914611005693</v>
      </c>
      <c r="J155" s="37" t="str">
        <f t="shared" si="9"/>
        <v>-</v>
      </c>
      <c r="L155" s="18"/>
      <c r="M155" s="19"/>
      <c r="N155" s="19"/>
      <c r="O155" s="19"/>
      <c r="P155" s="19"/>
      <c r="Q155" s="16"/>
      <c r="R155" s="16"/>
      <c r="S155" s="16"/>
      <c r="T155" s="16"/>
      <c r="U155" s="16"/>
      <c r="V155" s="16"/>
      <c r="W155" s="16"/>
      <c r="X155" s="16"/>
      <c r="AD155"/>
      <c r="AE155"/>
      <c r="AH155">
        <f>COUNTIF($AG$5:AG155, "&gt;=3")</f>
        <v>40</v>
      </c>
    </row>
    <row r="156" spans="1:34" hidden="1" x14ac:dyDescent="0.2">
      <c r="A156" s="43">
        <v>68</v>
      </c>
      <c r="B156" s="13" t="s">
        <v>140</v>
      </c>
      <c r="C156" s="33">
        <v>2</v>
      </c>
      <c r="D156" s="34">
        <v>498</v>
      </c>
      <c r="E156" s="34">
        <v>500</v>
      </c>
      <c r="F156" s="34">
        <v>323</v>
      </c>
      <c r="G156" s="34">
        <v>313</v>
      </c>
      <c r="H156" s="34">
        <v>3</v>
      </c>
      <c r="I156" s="35">
        <f t="shared" si="8"/>
        <v>1.0040160642570282</v>
      </c>
      <c r="J156" s="35">
        <f t="shared" si="9"/>
        <v>0.96904024767801855</v>
      </c>
      <c r="L156" s="18"/>
      <c r="M156" s="19"/>
      <c r="N156" s="19"/>
      <c r="O156" s="19"/>
      <c r="P156" s="19"/>
      <c r="Q156" s="16"/>
      <c r="R156" s="16"/>
      <c r="S156" s="16"/>
      <c r="T156" s="16"/>
      <c r="U156" s="16"/>
      <c r="V156" s="16"/>
      <c r="W156" s="16"/>
      <c r="X156" s="16"/>
      <c r="AD156"/>
      <c r="AE156"/>
      <c r="AH156">
        <f>COUNTIF($AG$5:AG156, "&gt;=3")</f>
        <v>40</v>
      </c>
    </row>
    <row r="157" spans="1:34" hidden="1" x14ac:dyDescent="0.2">
      <c r="A157" s="43">
        <v>86</v>
      </c>
      <c r="B157" s="13" t="s">
        <v>125</v>
      </c>
      <c r="C157" s="33">
        <v>1</v>
      </c>
      <c r="D157" s="34">
        <v>417</v>
      </c>
      <c r="E157" s="34">
        <v>458</v>
      </c>
      <c r="F157" s="34">
        <v>0</v>
      </c>
      <c r="G157" s="34">
        <v>0</v>
      </c>
      <c r="H157" s="34">
        <v>3</v>
      </c>
      <c r="I157" s="35">
        <f t="shared" si="8"/>
        <v>1.0983213429256595</v>
      </c>
      <c r="J157" s="35" t="str">
        <f t="shared" si="9"/>
        <v>-</v>
      </c>
      <c r="L157" s="18"/>
      <c r="M157" s="19"/>
      <c r="N157" s="19"/>
      <c r="O157" s="19"/>
      <c r="P157" s="19"/>
      <c r="Q157" s="16"/>
      <c r="R157" s="16"/>
      <c r="S157" s="16"/>
      <c r="T157" s="16"/>
      <c r="U157" s="16"/>
      <c r="V157" s="16"/>
      <c r="W157" s="16"/>
      <c r="X157" s="16"/>
      <c r="AD157"/>
      <c r="AE157"/>
      <c r="AH157">
        <f>COUNTIF($AG$5:AG157, "&gt;=3")</f>
        <v>40</v>
      </c>
    </row>
    <row r="158" spans="1:34" hidden="1" x14ac:dyDescent="0.2">
      <c r="A158" s="44">
        <v>93</v>
      </c>
      <c r="B158" s="15" t="s">
        <v>269</v>
      </c>
      <c r="C158" s="14">
        <v>2</v>
      </c>
      <c r="D158" s="36">
        <v>385</v>
      </c>
      <c r="E158" s="36">
        <v>404</v>
      </c>
      <c r="F158" s="36">
        <v>0</v>
      </c>
      <c r="G158" s="36">
        <v>0</v>
      </c>
      <c r="H158" s="36">
        <v>3</v>
      </c>
      <c r="I158" s="37">
        <f t="shared" si="8"/>
        <v>1.0493506493506493</v>
      </c>
      <c r="J158" s="37" t="str">
        <f t="shared" si="9"/>
        <v>-</v>
      </c>
      <c r="L158" s="18"/>
      <c r="M158" s="19"/>
      <c r="N158" s="19"/>
      <c r="O158" s="19"/>
      <c r="P158" s="19"/>
      <c r="Q158" s="16"/>
      <c r="R158" s="16"/>
      <c r="S158" s="16"/>
      <c r="T158" s="16"/>
      <c r="U158" s="16"/>
      <c r="V158" s="16"/>
      <c r="W158" s="16"/>
      <c r="X158" s="16"/>
      <c r="AD158"/>
      <c r="AE158"/>
      <c r="AH158">
        <f>COUNTIF($AG$5:AG158, "&gt;=3")</f>
        <v>40</v>
      </c>
    </row>
    <row r="159" spans="1:34" hidden="1" x14ac:dyDescent="0.2">
      <c r="A159" s="43">
        <v>94</v>
      </c>
      <c r="B159" s="13" t="s">
        <v>354</v>
      </c>
      <c r="C159" s="33">
        <v>3</v>
      </c>
      <c r="D159" s="34">
        <v>384</v>
      </c>
      <c r="E159" s="34">
        <v>329</v>
      </c>
      <c r="F159" s="34">
        <v>176</v>
      </c>
      <c r="G159" s="34">
        <v>176</v>
      </c>
      <c r="H159" s="34">
        <v>3</v>
      </c>
      <c r="I159" s="35">
        <f t="shared" si="8"/>
        <v>0.85677083333333337</v>
      </c>
      <c r="J159" s="35">
        <f t="shared" si="9"/>
        <v>1</v>
      </c>
      <c r="L159" s="18"/>
      <c r="M159" s="19"/>
      <c r="N159" s="19"/>
      <c r="O159" s="19"/>
      <c r="P159" s="19"/>
      <c r="Q159" s="16"/>
      <c r="R159" s="16"/>
      <c r="S159" s="16"/>
      <c r="T159" s="16"/>
      <c r="U159" s="16"/>
      <c r="V159" s="16"/>
      <c r="W159" s="16"/>
      <c r="X159" s="16"/>
      <c r="AD159"/>
      <c r="AE159"/>
      <c r="AH159">
        <f>COUNTIF($AG$5:AG159, "&gt;=3")</f>
        <v>40</v>
      </c>
    </row>
    <row r="160" spans="1:34" hidden="1" x14ac:dyDescent="0.2">
      <c r="A160" s="43">
        <v>104</v>
      </c>
      <c r="B160" s="13" t="s">
        <v>425</v>
      </c>
      <c r="C160" s="33">
        <v>3</v>
      </c>
      <c r="D160" s="34">
        <v>344</v>
      </c>
      <c r="E160" s="34">
        <v>314</v>
      </c>
      <c r="F160" s="34">
        <v>96</v>
      </c>
      <c r="G160" s="34">
        <v>96</v>
      </c>
      <c r="H160" s="34">
        <v>3</v>
      </c>
      <c r="I160" s="35">
        <f t="shared" si="8"/>
        <v>0.91279069767441856</v>
      </c>
      <c r="J160" s="35">
        <f t="shared" si="9"/>
        <v>1</v>
      </c>
      <c r="L160" s="18"/>
      <c r="M160" s="19"/>
      <c r="N160" s="19"/>
      <c r="O160" s="19"/>
      <c r="P160" s="19"/>
      <c r="Q160" s="16"/>
      <c r="R160" s="16"/>
      <c r="S160" s="16"/>
      <c r="T160" s="16"/>
      <c r="U160" s="16"/>
      <c r="V160" s="16"/>
      <c r="W160" s="16"/>
      <c r="X160" s="16"/>
      <c r="AD160"/>
      <c r="AE160"/>
      <c r="AH160">
        <f>COUNTIF($AG$5:AG160, "&gt;=3")</f>
        <v>40</v>
      </c>
    </row>
    <row r="161" spans="1:34" hidden="1" x14ac:dyDescent="0.2">
      <c r="A161" s="44">
        <v>109</v>
      </c>
      <c r="B161" s="15" t="s">
        <v>226</v>
      </c>
      <c r="C161" s="14">
        <v>2</v>
      </c>
      <c r="D161" s="36">
        <v>315</v>
      </c>
      <c r="E161" s="36">
        <v>283</v>
      </c>
      <c r="F161" s="36">
        <v>360</v>
      </c>
      <c r="G161" s="36">
        <v>352</v>
      </c>
      <c r="H161" s="36">
        <v>3</v>
      </c>
      <c r="I161" s="37">
        <f t="shared" si="8"/>
        <v>0.89841269841269844</v>
      </c>
      <c r="J161" s="37">
        <f t="shared" si="9"/>
        <v>0.97777777777777775</v>
      </c>
      <c r="L161" s="18"/>
      <c r="M161" s="19"/>
      <c r="N161" s="19"/>
      <c r="O161" s="19"/>
      <c r="P161" s="19"/>
      <c r="Q161" s="16"/>
      <c r="R161" s="16"/>
      <c r="S161" s="16"/>
      <c r="T161" s="16"/>
      <c r="U161" s="16"/>
      <c r="V161" s="16"/>
      <c r="W161" s="16"/>
      <c r="X161" s="16"/>
      <c r="AD161"/>
      <c r="AE161"/>
      <c r="AH161">
        <f>COUNTIF($AG$5:AG161, "&gt;=3")</f>
        <v>40</v>
      </c>
    </row>
    <row r="162" spans="1:34" hidden="1" x14ac:dyDescent="0.2">
      <c r="A162" s="43">
        <v>110</v>
      </c>
      <c r="B162" s="13" t="s">
        <v>387</v>
      </c>
      <c r="C162" s="33">
        <v>3</v>
      </c>
      <c r="D162" s="34">
        <v>302</v>
      </c>
      <c r="E162" s="34">
        <v>297</v>
      </c>
      <c r="F162" s="34">
        <v>270</v>
      </c>
      <c r="G162" s="34">
        <v>270</v>
      </c>
      <c r="H162" s="34">
        <v>3</v>
      </c>
      <c r="I162" s="35">
        <f t="shared" si="8"/>
        <v>0.98344370860927155</v>
      </c>
      <c r="J162" s="35">
        <f t="shared" si="9"/>
        <v>1</v>
      </c>
      <c r="L162" s="18"/>
      <c r="M162" s="19"/>
      <c r="N162" s="19"/>
      <c r="O162" s="19"/>
      <c r="P162" s="19"/>
      <c r="Q162" s="16"/>
      <c r="R162" s="16"/>
      <c r="S162" s="16"/>
      <c r="T162" s="16"/>
      <c r="U162" s="16"/>
      <c r="V162" s="16"/>
      <c r="W162" s="16"/>
      <c r="X162" s="16"/>
      <c r="AD162"/>
      <c r="AE162"/>
      <c r="AH162">
        <f>COUNTIF($AG$5:AG162, "&gt;=3")</f>
        <v>40</v>
      </c>
    </row>
    <row r="163" spans="1:34" hidden="1" x14ac:dyDescent="0.2">
      <c r="A163" s="43">
        <v>116</v>
      </c>
      <c r="B163" s="13" t="s">
        <v>261</v>
      </c>
      <c r="C163" s="33">
        <v>1</v>
      </c>
      <c r="D163" s="34">
        <v>289</v>
      </c>
      <c r="E163" s="34">
        <v>235</v>
      </c>
      <c r="F163" s="34">
        <v>0</v>
      </c>
      <c r="G163" s="34">
        <v>0</v>
      </c>
      <c r="H163" s="34">
        <v>3</v>
      </c>
      <c r="I163" s="35">
        <f t="shared" si="8"/>
        <v>0.81314878892733566</v>
      </c>
      <c r="J163" s="35" t="str">
        <f t="shared" si="9"/>
        <v>-</v>
      </c>
      <c r="L163" s="18"/>
      <c r="M163" s="19"/>
      <c r="N163" s="19"/>
      <c r="O163" s="19"/>
      <c r="P163" s="19"/>
      <c r="Q163" s="16"/>
      <c r="R163" s="16"/>
      <c r="S163" s="16"/>
      <c r="T163" s="16"/>
      <c r="U163" s="16"/>
      <c r="V163" s="16"/>
      <c r="W163" s="16"/>
      <c r="X163" s="16"/>
      <c r="AD163"/>
      <c r="AE163"/>
      <c r="AH163">
        <f>COUNTIF($AG$5:AG163, "&gt;=3")</f>
        <v>40</v>
      </c>
    </row>
    <row r="164" spans="1:34" hidden="1" x14ac:dyDescent="0.2">
      <c r="A164" s="43">
        <v>118</v>
      </c>
      <c r="B164" s="13" t="s">
        <v>205</v>
      </c>
      <c r="C164" s="33">
        <v>1</v>
      </c>
      <c r="D164" s="34">
        <v>279</v>
      </c>
      <c r="E164" s="34">
        <v>304</v>
      </c>
      <c r="F164" s="34">
        <v>0</v>
      </c>
      <c r="G164" s="34">
        <v>0</v>
      </c>
      <c r="H164" s="34">
        <v>3</v>
      </c>
      <c r="I164" s="35">
        <f t="shared" si="8"/>
        <v>1.0896057347670252</v>
      </c>
      <c r="J164" s="35" t="str">
        <f t="shared" si="9"/>
        <v>-</v>
      </c>
      <c r="L164" s="18"/>
      <c r="M164" s="19"/>
      <c r="N164" s="19"/>
      <c r="O164" s="19"/>
      <c r="P164" s="19"/>
      <c r="Q164" s="16"/>
      <c r="R164" s="16"/>
      <c r="S164" s="16"/>
      <c r="T164" s="16"/>
      <c r="U164" s="16"/>
      <c r="V164" s="16"/>
      <c r="W164" s="16"/>
      <c r="X164" s="16"/>
      <c r="AD164"/>
      <c r="AE164"/>
      <c r="AH164">
        <f>COUNTIF($AG$5:AG164, "&gt;=3")</f>
        <v>40</v>
      </c>
    </row>
    <row r="165" spans="1:34" hidden="1" x14ac:dyDescent="0.2">
      <c r="A165" s="43">
        <v>120</v>
      </c>
      <c r="B165" s="13" t="s">
        <v>279</v>
      </c>
      <c r="C165" s="33">
        <v>3</v>
      </c>
      <c r="D165" s="34">
        <v>274</v>
      </c>
      <c r="E165" s="34">
        <v>269</v>
      </c>
      <c r="F165" s="34">
        <v>0</v>
      </c>
      <c r="G165" s="34">
        <v>0</v>
      </c>
      <c r="H165" s="34">
        <v>3</v>
      </c>
      <c r="I165" s="35">
        <f t="shared" si="8"/>
        <v>0.98175182481751821</v>
      </c>
      <c r="J165" s="35" t="str">
        <f t="shared" si="9"/>
        <v>-</v>
      </c>
      <c r="L165" s="18"/>
      <c r="M165" s="19"/>
      <c r="N165" s="19"/>
      <c r="O165" s="19"/>
      <c r="P165" s="19"/>
      <c r="Q165" s="16"/>
      <c r="R165" s="16"/>
      <c r="S165" s="16"/>
      <c r="T165" s="16"/>
      <c r="U165" s="16"/>
      <c r="V165" s="16"/>
      <c r="W165" s="16"/>
      <c r="X165" s="16"/>
      <c r="AD165"/>
      <c r="AE165"/>
      <c r="AH165">
        <f>COUNTIF($AG$5:AG165, "&gt;=3")</f>
        <v>40</v>
      </c>
    </row>
    <row r="166" spans="1:34" hidden="1" x14ac:dyDescent="0.2">
      <c r="A166" s="44">
        <v>121</v>
      </c>
      <c r="B166" s="15" t="s">
        <v>177</v>
      </c>
      <c r="C166" s="14">
        <v>9</v>
      </c>
      <c r="D166" s="36">
        <v>271</v>
      </c>
      <c r="E166" s="36">
        <v>403</v>
      </c>
      <c r="F166" s="36">
        <v>839</v>
      </c>
      <c r="G166" s="36">
        <v>785</v>
      </c>
      <c r="H166" s="36">
        <v>3</v>
      </c>
      <c r="I166" s="37">
        <f t="shared" si="8"/>
        <v>1.4870848708487086</v>
      </c>
      <c r="J166" s="37">
        <f t="shared" si="9"/>
        <v>0.93563766388557812</v>
      </c>
      <c r="L166" s="18"/>
      <c r="M166" s="19"/>
      <c r="N166" s="19"/>
      <c r="O166" s="19"/>
      <c r="P166" s="19"/>
      <c r="Q166" s="16"/>
      <c r="R166" s="16"/>
      <c r="S166" s="16"/>
      <c r="T166" s="16"/>
      <c r="U166" s="16"/>
      <c r="V166" s="16"/>
      <c r="W166" s="16"/>
      <c r="X166" s="16"/>
      <c r="AD166"/>
      <c r="AE166"/>
      <c r="AH166">
        <f>COUNTIF($AG$5:AG166, "&gt;=3")</f>
        <v>40</v>
      </c>
    </row>
    <row r="167" spans="1:34" hidden="1" x14ac:dyDescent="0.2">
      <c r="A167" s="44">
        <v>131</v>
      </c>
      <c r="B167" s="15" t="s">
        <v>303</v>
      </c>
      <c r="C167" s="14">
        <v>3</v>
      </c>
      <c r="D167" s="36">
        <v>245</v>
      </c>
      <c r="E167" s="36">
        <v>198</v>
      </c>
      <c r="F167" s="36">
        <v>101</v>
      </c>
      <c r="G167" s="36">
        <v>99</v>
      </c>
      <c r="H167" s="36">
        <v>3</v>
      </c>
      <c r="I167" s="37">
        <f t="shared" si="8"/>
        <v>0.80816326530612248</v>
      </c>
      <c r="J167" s="37">
        <f t="shared" si="9"/>
        <v>0.98019801980198018</v>
      </c>
      <c r="L167" s="18"/>
      <c r="M167" s="19"/>
      <c r="N167" s="19"/>
      <c r="O167" s="19"/>
      <c r="P167" s="19"/>
      <c r="Q167" s="16"/>
      <c r="R167" s="16"/>
      <c r="S167" s="16"/>
      <c r="T167" s="16"/>
      <c r="U167" s="16"/>
      <c r="V167" s="16"/>
      <c r="W167" s="16"/>
      <c r="X167" s="16"/>
      <c r="AD167"/>
      <c r="AE167"/>
      <c r="AH167">
        <f>COUNTIF($AG$5:AG167, "&gt;=3")</f>
        <v>40</v>
      </c>
    </row>
    <row r="168" spans="1:34" hidden="1" x14ac:dyDescent="0.2">
      <c r="A168" s="43">
        <v>136</v>
      </c>
      <c r="B168" s="13" t="s">
        <v>295</v>
      </c>
      <c r="C168" s="33">
        <v>1</v>
      </c>
      <c r="D168" s="34">
        <v>239</v>
      </c>
      <c r="E168" s="34">
        <v>204</v>
      </c>
      <c r="F168" s="34">
        <v>0</v>
      </c>
      <c r="G168" s="34">
        <v>0</v>
      </c>
      <c r="H168" s="34">
        <v>3</v>
      </c>
      <c r="I168" s="35">
        <f t="shared" si="8"/>
        <v>0.85355648535564854</v>
      </c>
      <c r="J168" s="35" t="str">
        <f t="shared" si="9"/>
        <v>-</v>
      </c>
      <c r="L168" s="18"/>
      <c r="M168" s="19"/>
      <c r="N168" s="19"/>
      <c r="O168" s="19"/>
      <c r="P168" s="19"/>
      <c r="Q168" s="16"/>
      <c r="R168" s="16"/>
      <c r="S168" s="16"/>
      <c r="T168" s="16"/>
      <c r="U168" s="16"/>
      <c r="V168" s="16"/>
      <c r="W168" s="16"/>
      <c r="X168" s="16"/>
      <c r="AD168"/>
      <c r="AE168"/>
      <c r="AH168">
        <f>COUNTIF($AG$5:AG168, "&gt;=3")</f>
        <v>40</v>
      </c>
    </row>
    <row r="169" spans="1:34" hidden="1" x14ac:dyDescent="0.2">
      <c r="A169" s="44">
        <v>141</v>
      </c>
      <c r="B169" s="15" t="s">
        <v>271</v>
      </c>
      <c r="C169" s="14">
        <v>1</v>
      </c>
      <c r="D169" s="36">
        <v>231</v>
      </c>
      <c r="E169" s="36">
        <v>228</v>
      </c>
      <c r="F169" s="36">
        <v>144</v>
      </c>
      <c r="G169" s="36">
        <v>137</v>
      </c>
      <c r="H169" s="36">
        <v>3</v>
      </c>
      <c r="I169" s="37">
        <f t="shared" si="8"/>
        <v>0.98701298701298701</v>
      </c>
      <c r="J169" s="37">
        <f t="shared" si="9"/>
        <v>0.95138888888888884</v>
      </c>
      <c r="L169" s="18"/>
      <c r="M169" s="19"/>
      <c r="N169" s="19"/>
      <c r="O169" s="19"/>
      <c r="P169" s="19"/>
      <c r="Q169" s="16"/>
      <c r="R169" s="16"/>
      <c r="S169" s="16"/>
      <c r="T169" s="16"/>
      <c r="U169" s="16"/>
      <c r="V169" s="16"/>
      <c r="W169" s="16"/>
      <c r="X169" s="16"/>
      <c r="AD169"/>
      <c r="AE169"/>
      <c r="AH169">
        <f>COUNTIF($AG$5:AG169, "&gt;=3")</f>
        <v>40</v>
      </c>
    </row>
    <row r="170" spans="1:34" hidden="1" x14ac:dyDescent="0.2">
      <c r="A170" s="43">
        <v>148</v>
      </c>
      <c r="B170" s="13" t="s">
        <v>349</v>
      </c>
      <c r="C170" s="33">
        <v>1</v>
      </c>
      <c r="D170" s="34">
        <v>226</v>
      </c>
      <c r="E170" s="34">
        <v>168</v>
      </c>
      <c r="F170" s="34">
        <v>256</v>
      </c>
      <c r="G170" s="34">
        <v>251</v>
      </c>
      <c r="H170" s="34">
        <v>3</v>
      </c>
      <c r="I170" s="35">
        <f t="shared" si="8"/>
        <v>0.74336283185840712</v>
      </c>
      <c r="J170" s="35">
        <f t="shared" si="9"/>
        <v>0.98046875</v>
      </c>
      <c r="L170" s="18"/>
      <c r="M170" s="19"/>
      <c r="N170" s="19"/>
      <c r="O170" s="19"/>
      <c r="P170" s="19"/>
      <c r="Q170" s="16"/>
      <c r="R170" s="16"/>
      <c r="S170" s="16"/>
      <c r="T170" s="16"/>
      <c r="U170" s="16"/>
      <c r="V170" s="16"/>
      <c r="W170" s="16"/>
      <c r="X170" s="16"/>
      <c r="AD170"/>
      <c r="AE170"/>
      <c r="AH170">
        <f>COUNTIF($AG$5:AG170, "&gt;=3")</f>
        <v>40</v>
      </c>
    </row>
    <row r="171" spans="1:34" hidden="1" x14ac:dyDescent="0.2">
      <c r="A171" s="43">
        <v>150</v>
      </c>
      <c r="B171" s="13" t="s">
        <v>453</v>
      </c>
      <c r="C171" s="33">
        <v>9</v>
      </c>
      <c r="D171" s="34">
        <v>221</v>
      </c>
      <c r="E171" s="34">
        <v>130</v>
      </c>
      <c r="F171" s="34">
        <v>1414</v>
      </c>
      <c r="G171" s="34">
        <v>1399</v>
      </c>
      <c r="H171" s="34">
        <v>3</v>
      </c>
      <c r="I171" s="35">
        <f t="shared" si="8"/>
        <v>0.58823529411764708</v>
      </c>
      <c r="J171" s="35">
        <f t="shared" si="9"/>
        <v>0.98939179632248941</v>
      </c>
      <c r="L171" s="18"/>
      <c r="M171" s="19"/>
      <c r="N171" s="19"/>
      <c r="O171" s="19"/>
      <c r="P171" s="19"/>
      <c r="Q171" s="16"/>
      <c r="R171" s="16"/>
      <c r="S171" s="16"/>
      <c r="T171" s="16"/>
      <c r="U171" s="16"/>
      <c r="V171" s="16"/>
      <c r="W171" s="16"/>
      <c r="X171" s="16"/>
      <c r="AD171"/>
      <c r="AE171"/>
      <c r="AH171">
        <f>COUNTIF($AG$5:AG171, "&gt;=3")</f>
        <v>40</v>
      </c>
    </row>
    <row r="172" spans="1:34" hidden="1" x14ac:dyDescent="0.2">
      <c r="A172" s="44">
        <v>155</v>
      </c>
      <c r="B172" s="15" t="s">
        <v>449</v>
      </c>
      <c r="C172" s="14">
        <v>2</v>
      </c>
      <c r="D172" s="36">
        <v>212</v>
      </c>
      <c r="E172" s="36">
        <v>199</v>
      </c>
      <c r="F172" s="36">
        <v>147</v>
      </c>
      <c r="G172" s="36">
        <v>147</v>
      </c>
      <c r="H172" s="36">
        <v>3</v>
      </c>
      <c r="I172" s="37">
        <f t="shared" si="8"/>
        <v>0.93867924528301883</v>
      </c>
      <c r="J172" s="37">
        <f t="shared" si="9"/>
        <v>1</v>
      </c>
      <c r="L172" s="18"/>
      <c r="M172" s="19"/>
      <c r="N172" s="19"/>
      <c r="O172" s="19"/>
      <c r="P172" s="19"/>
      <c r="Q172" s="16"/>
      <c r="R172" s="16"/>
      <c r="S172" s="16"/>
      <c r="T172" s="16"/>
      <c r="U172" s="16"/>
      <c r="V172" s="16"/>
      <c r="W172" s="16"/>
      <c r="X172" s="16"/>
      <c r="AD172"/>
      <c r="AE172"/>
      <c r="AH172">
        <f>COUNTIF($AG$5:AG172, "&gt;=3")</f>
        <v>40</v>
      </c>
    </row>
    <row r="173" spans="1:34" hidden="1" x14ac:dyDescent="0.2">
      <c r="A173" s="44">
        <v>159</v>
      </c>
      <c r="B173" s="15" t="s">
        <v>319</v>
      </c>
      <c r="C173" s="14">
        <v>3</v>
      </c>
      <c r="D173" s="36">
        <v>206</v>
      </c>
      <c r="E173" s="36">
        <v>286</v>
      </c>
      <c r="F173" s="36">
        <v>4629</v>
      </c>
      <c r="G173" s="36">
        <v>4615</v>
      </c>
      <c r="H173" s="36">
        <v>3</v>
      </c>
      <c r="I173" s="37">
        <f t="shared" si="8"/>
        <v>1.3883495145631068</v>
      </c>
      <c r="J173" s="37">
        <f t="shared" si="9"/>
        <v>0.99697558868006053</v>
      </c>
      <c r="L173" s="18"/>
      <c r="M173" s="19"/>
      <c r="N173" s="19"/>
      <c r="O173" s="19"/>
      <c r="P173" s="19"/>
      <c r="Q173" s="16"/>
      <c r="R173" s="16"/>
      <c r="S173" s="16"/>
      <c r="T173" s="16"/>
      <c r="U173" s="16"/>
      <c r="V173" s="16"/>
      <c r="W173" s="16"/>
      <c r="X173" s="16"/>
      <c r="AD173"/>
      <c r="AE173"/>
      <c r="AH173">
        <f>COUNTIF($AG$5:AG173, "&gt;=3")</f>
        <v>40</v>
      </c>
    </row>
    <row r="174" spans="1:34" hidden="1" x14ac:dyDescent="0.2">
      <c r="A174" s="43">
        <v>162</v>
      </c>
      <c r="B174" s="13" t="s">
        <v>242</v>
      </c>
      <c r="C174" s="33">
        <v>3</v>
      </c>
      <c r="D174" s="34">
        <v>205</v>
      </c>
      <c r="E174" s="34">
        <v>256</v>
      </c>
      <c r="F174" s="34">
        <v>0</v>
      </c>
      <c r="G174" s="34">
        <v>0</v>
      </c>
      <c r="H174" s="34">
        <v>3</v>
      </c>
      <c r="I174" s="35">
        <f t="shared" si="8"/>
        <v>1.248780487804878</v>
      </c>
      <c r="J174" s="35" t="str">
        <f t="shared" si="9"/>
        <v>-</v>
      </c>
      <c r="L174" s="18"/>
      <c r="M174" s="19"/>
      <c r="N174" s="19"/>
      <c r="O174" s="19"/>
      <c r="P174" s="19"/>
      <c r="Q174" s="16"/>
      <c r="R174" s="16"/>
      <c r="S174" s="16"/>
      <c r="T174" s="16"/>
      <c r="U174" s="16"/>
      <c r="V174" s="16"/>
      <c r="W174" s="16"/>
      <c r="X174" s="16"/>
      <c r="AD174"/>
      <c r="AE174"/>
      <c r="AH174">
        <f>COUNTIF($AG$5:AG174, "&gt;=3")</f>
        <v>40</v>
      </c>
    </row>
    <row r="175" spans="1:34" hidden="1" x14ac:dyDescent="0.2">
      <c r="A175" s="44">
        <v>177</v>
      </c>
      <c r="B175" s="15" t="s">
        <v>490</v>
      </c>
      <c r="C175" s="14">
        <v>2</v>
      </c>
      <c r="D175" s="36">
        <v>178</v>
      </c>
      <c r="E175" s="36">
        <v>177</v>
      </c>
      <c r="F175" s="36">
        <v>326</v>
      </c>
      <c r="G175" s="36">
        <v>325</v>
      </c>
      <c r="H175" s="36">
        <v>3</v>
      </c>
      <c r="I175" s="37">
        <f t="shared" si="8"/>
        <v>0.9943820224719101</v>
      </c>
      <c r="J175" s="37">
        <f t="shared" si="9"/>
        <v>0.99693251533742333</v>
      </c>
      <c r="L175" s="18"/>
      <c r="M175" s="19"/>
      <c r="N175" s="19"/>
      <c r="O175" s="19"/>
      <c r="P175" s="19"/>
      <c r="Q175" s="16"/>
      <c r="R175" s="16"/>
      <c r="S175" s="16"/>
      <c r="T175" s="16"/>
      <c r="U175" s="16"/>
      <c r="V175" s="16"/>
      <c r="W175" s="16"/>
      <c r="X175" s="16"/>
      <c r="AD175"/>
      <c r="AE175"/>
      <c r="AH175">
        <f>COUNTIF($AG$5:AG175, "&gt;=3")</f>
        <v>40</v>
      </c>
    </row>
    <row r="176" spans="1:34" hidden="1" x14ac:dyDescent="0.2">
      <c r="A176" s="44">
        <v>179</v>
      </c>
      <c r="B176" s="15" t="s">
        <v>784</v>
      </c>
      <c r="C176" s="14">
        <v>3</v>
      </c>
      <c r="D176" s="36">
        <v>175</v>
      </c>
      <c r="E176" s="36">
        <v>92</v>
      </c>
      <c r="F176" s="36">
        <v>0</v>
      </c>
      <c r="G176" s="36">
        <v>0</v>
      </c>
      <c r="H176" s="36">
        <v>3</v>
      </c>
      <c r="I176" s="37">
        <f t="shared" si="8"/>
        <v>0.52571428571428569</v>
      </c>
      <c r="J176" s="37" t="str">
        <f t="shared" si="9"/>
        <v>-</v>
      </c>
      <c r="L176" s="18"/>
      <c r="M176" s="19"/>
      <c r="N176" s="19"/>
      <c r="O176" s="19"/>
      <c r="P176" s="19"/>
      <c r="Q176" s="16"/>
      <c r="R176" s="16"/>
      <c r="S176" s="16"/>
      <c r="T176" s="16"/>
      <c r="U176" s="16"/>
      <c r="V176" s="16"/>
      <c r="W176" s="16"/>
      <c r="X176" s="16"/>
      <c r="AD176"/>
      <c r="AE176"/>
      <c r="AH176">
        <f>COUNTIF($AG$5:AG176, "&gt;=3")</f>
        <v>40</v>
      </c>
    </row>
    <row r="177" spans="1:34" hidden="1" x14ac:dyDescent="0.2">
      <c r="A177" s="43">
        <v>184</v>
      </c>
      <c r="B177" s="13" t="s">
        <v>423</v>
      </c>
      <c r="C177" s="33">
        <v>2</v>
      </c>
      <c r="D177" s="34">
        <v>164</v>
      </c>
      <c r="E177" s="34">
        <v>130</v>
      </c>
      <c r="F177" s="34">
        <v>155</v>
      </c>
      <c r="G177" s="34">
        <v>155</v>
      </c>
      <c r="H177" s="34">
        <v>3</v>
      </c>
      <c r="I177" s="35">
        <f t="shared" si="8"/>
        <v>0.79268292682926833</v>
      </c>
      <c r="J177" s="35">
        <f t="shared" si="9"/>
        <v>1</v>
      </c>
      <c r="L177" s="18"/>
      <c r="M177" s="19"/>
      <c r="N177" s="19"/>
      <c r="O177" s="19"/>
      <c r="P177" s="19"/>
      <c r="Q177" s="16"/>
      <c r="R177" s="16"/>
      <c r="S177" s="16"/>
      <c r="T177" s="16"/>
      <c r="U177" s="16"/>
      <c r="V177" s="16"/>
      <c r="W177" s="16"/>
      <c r="X177" s="16"/>
      <c r="AD177"/>
      <c r="AE177"/>
      <c r="AH177">
        <f>COUNTIF($AG$5:AG177, "&gt;=3")</f>
        <v>40</v>
      </c>
    </row>
    <row r="178" spans="1:34" hidden="1" x14ac:dyDescent="0.2">
      <c r="A178" s="43">
        <v>188</v>
      </c>
      <c r="B178" s="13" t="s">
        <v>697</v>
      </c>
      <c r="C178" s="33">
        <v>4</v>
      </c>
      <c r="D178" s="34">
        <v>159</v>
      </c>
      <c r="E178" s="34">
        <v>159</v>
      </c>
      <c r="F178" s="34">
        <v>306</v>
      </c>
      <c r="G178" s="34">
        <v>304</v>
      </c>
      <c r="H178" s="34">
        <v>3</v>
      </c>
      <c r="I178" s="35">
        <f t="shared" si="8"/>
        <v>1</v>
      </c>
      <c r="J178" s="35">
        <f t="shared" si="9"/>
        <v>0.99346405228758172</v>
      </c>
      <c r="L178" s="18"/>
      <c r="M178" s="19"/>
      <c r="N178" s="19"/>
      <c r="O178" s="19"/>
      <c r="P178" s="19"/>
      <c r="Q178" s="16"/>
      <c r="R178" s="16"/>
      <c r="S178" s="16"/>
      <c r="T178" s="16"/>
      <c r="U178" s="16"/>
      <c r="V178" s="16"/>
      <c r="W178" s="16"/>
      <c r="X178" s="16"/>
      <c r="AD178"/>
      <c r="AE178"/>
      <c r="AH178">
        <f>COUNTIF($AG$5:AG178, "&gt;=3")</f>
        <v>40</v>
      </c>
    </row>
    <row r="179" spans="1:34" hidden="1" x14ac:dyDescent="0.2">
      <c r="A179" s="44">
        <v>211</v>
      </c>
      <c r="B179" s="15" t="s">
        <v>440</v>
      </c>
      <c r="C179" s="14">
        <v>3</v>
      </c>
      <c r="D179" s="36">
        <v>131</v>
      </c>
      <c r="E179" s="36">
        <v>218</v>
      </c>
      <c r="F179" s="36">
        <v>0</v>
      </c>
      <c r="G179" s="36">
        <v>0</v>
      </c>
      <c r="H179" s="36">
        <v>3</v>
      </c>
      <c r="I179" s="37">
        <f t="shared" si="8"/>
        <v>1.6641221374045803</v>
      </c>
      <c r="J179" s="37" t="str">
        <f t="shared" si="9"/>
        <v>-</v>
      </c>
      <c r="L179" s="18"/>
      <c r="M179" s="19"/>
      <c r="N179" s="19"/>
      <c r="O179" s="19"/>
      <c r="P179" s="19"/>
      <c r="Q179" s="16"/>
      <c r="R179" s="16"/>
      <c r="S179" s="16"/>
      <c r="T179" s="16"/>
      <c r="U179" s="16"/>
      <c r="V179" s="16"/>
      <c r="W179" s="16"/>
      <c r="X179" s="16"/>
      <c r="AD179"/>
      <c r="AE179"/>
      <c r="AH179">
        <f>COUNTIF($AG$5:AG179, "&gt;=3")</f>
        <v>40</v>
      </c>
    </row>
    <row r="180" spans="1:34" hidden="1" x14ac:dyDescent="0.2">
      <c r="A180" s="43">
        <v>214</v>
      </c>
      <c r="B180" s="13" t="s">
        <v>607</v>
      </c>
      <c r="C180" s="33">
        <v>2</v>
      </c>
      <c r="D180" s="34">
        <v>127</v>
      </c>
      <c r="E180" s="34">
        <v>116</v>
      </c>
      <c r="F180" s="34">
        <v>0</v>
      </c>
      <c r="G180" s="34">
        <v>0</v>
      </c>
      <c r="H180" s="34">
        <v>3</v>
      </c>
      <c r="I180" s="35">
        <f t="shared" si="8"/>
        <v>0.91338582677165359</v>
      </c>
      <c r="J180" s="35" t="str">
        <f t="shared" si="9"/>
        <v>-</v>
      </c>
      <c r="L180" s="18"/>
      <c r="M180" s="19"/>
      <c r="N180" s="19"/>
      <c r="O180" s="19"/>
      <c r="P180" s="19"/>
      <c r="Q180" s="16"/>
      <c r="R180" s="16"/>
      <c r="S180" s="16"/>
      <c r="T180" s="16"/>
      <c r="U180" s="16"/>
      <c r="V180" s="16"/>
      <c r="W180" s="16"/>
      <c r="X180" s="16"/>
      <c r="AD180"/>
      <c r="AE180"/>
      <c r="AH180">
        <f>COUNTIF($AG$5:AG180, "&gt;=3")</f>
        <v>40</v>
      </c>
    </row>
    <row r="181" spans="1:34" hidden="1" x14ac:dyDescent="0.2">
      <c r="A181" s="43">
        <v>218</v>
      </c>
      <c r="B181" s="13" t="s">
        <v>681</v>
      </c>
      <c r="C181" s="33">
        <v>5</v>
      </c>
      <c r="D181" s="34">
        <v>123</v>
      </c>
      <c r="E181" s="34">
        <v>106</v>
      </c>
      <c r="F181" s="34">
        <v>2384</v>
      </c>
      <c r="G181" s="34">
        <v>2376</v>
      </c>
      <c r="H181" s="34">
        <v>3</v>
      </c>
      <c r="I181" s="35">
        <f t="shared" si="8"/>
        <v>0.86178861788617889</v>
      </c>
      <c r="J181" s="35">
        <f t="shared" si="9"/>
        <v>0.99664429530201337</v>
      </c>
      <c r="L181" s="18"/>
      <c r="M181" s="19"/>
      <c r="N181" s="19"/>
      <c r="O181" s="19"/>
      <c r="P181" s="19"/>
      <c r="Q181" s="16"/>
      <c r="R181" s="16"/>
      <c r="S181" s="16"/>
      <c r="T181" s="16"/>
      <c r="U181" s="16"/>
      <c r="V181" s="16"/>
      <c r="W181" s="16"/>
      <c r="X181" s="16"/>
      <c r="AD181"/>
      <c r="AE181"/>
      <c r="AH181">
        <f>COUNTIF($AG$5:AG181, "&gt;=3")</f>
        <v>40</v>
      </c>
    </row>
    <row r="182" spans="1:34" hidden="1" x14ac:dyDescent="0.2">
      <c r="A182" s="43">
        <v>220</v>
      </c>
      <c r="B182" s="13" t="s">
        <v>457</v>
      </c>
      <c r="C182" s="33">
        <v>1</v>
      </c>
      <c r="D182" s="34">
        <v>121</v>
      </c>
      <c r="E182" s="34">
        <v>121</v>
      </c>
      <c r="F182" s="34">
        <v>0</v>
      </c>
      <c r="G182" s="34">
        <v>0</v>
      </c>
      <c r="H182" s="34">
        <v>3</v>
      </c>
      <c r="I182" s="35">
        <f t="shared" si="8"/>
        <v>1</v>
      </c>
      <c r="J182" s="35" t="str">
        <f t="shared" si="9"/>
        <v>-</v>
      </c>
      <c r="L182" s="18"/>
      <c r="M182" s="19"/>
      <c r="N182" s="19"/>
      <c r="O182" s="19"/>
      <c r="P182" s="19"/>
      <c r="Q182" s="16"/>
      <c r="R182" s="16"/>
      <c r="S182" s="16"/>
      <c r="T182" s="16"/>
      <c r="U182" s="16"/>
      <c r="V182" s="16"/>
      <c r="W182" s="16"/>
      <c r="X182" s="16"/>
      <c r="AD182"/>
      <c r="AE182"/>
      <c r="AH182">
        <f>COUNTIF($AG$5:AG182, "&gt;=3")</f>
        <v>40</v>
      </c>
    </row>
    <row r="183" spans="1:34" hidden="1" x14ac:dyDescent="0.2">
      <c r="A183" s="43">
        <v>222</v>
      </c>
      <c r="B183" s="13" t="s">
        <v>705</v>
      </c>
      <c r="C183" s="33">
        <v>3</v>
      </c>
      <c r="D183" s="34">
        <v>120</v>
      </c>
      <c r="E183" s="34">
        <v>120</v>
      </c>
      <c r="F183" s="34">
        <v>0</v>
      </c>
      <c r="G183" s="34">
        <v>0</v>
      </c>
      <c r="H183" s="34">
        <v>3</v>
      </c>
      <c r="I183" s="35">
        <f t="shared" si="8"/>
        <v>1</v>
      </c>
      <c r="J183" s="35" t="str">
        <f t="shared" si="9"/>
        <v>-</v>
      </c>
      <c r="L183" s="18"/>
      <c r="M183" s="19"/>
      <c r="N183" s="19"/>
      <c r="O183" s="19"/>
      <c r="P183" s="19"/>
      <c r="Q183" s="16"/>
      <c r="R183" s="16"/>
      <c r="S183" s="16"/>
      <c r="T183" s="16"/>
      <c r="U183" s="16"/>
      <c r="V183" s="16"/>
      <c r="W183" s="16"/>
      <c r="X183" s="16"/>
      <c r="AD183"/>
      <c r="AE183"/>
      <c r="AH183">
        <f>COUNTIF($AG$5:AG183, "&gt;=3")</f>
        <v>40</v>
      </c>
    </row>
    <row r="184" spans="1:34" hidden="1" x14ac:dyDescent="0.2">
      <c r="A184" s="44">
        <v>225</v>
      </c>
      <c r="B184" s="15" t="s">
        <v>412</v>
      </c>
      <c r="C184" s="14">
        <v>3</v>
      </c>
      <c r="D184" s="36">
        <v>116</v>
      </c>
      <c r="E184" s="36">
        <v>230</v>
      </c>
      <c r="F184" s="36">
        <v>0</v>
      </c>
      <c r="G184" s="36">
        <v>0</v>
      </c>
      <c r="H184" s="36">
        <v>3</v>
      </c>
      <c r="I184" s="37">
        <f t="shared" si="8"/>
        <v>1.9827586206896552</v>
      </c>
      <c r="J184" s="37" t="str">
        <f t="shared" si="9"/>
        <v>-</v>
      </c>
      <c r="L184" s="18"/>
      <c r="M184" s="19"/>
      <c r="N184" s="19"/>
      <c r="O184" s="19"/>
      <c r="P184" s="19"/>
      <c r="Q184" s="16"/>
      <c r="R184" s="16"/>
      <c r="S184" s="16"/>
      <c r="T184" s="16"/>
      <c r="U184" s="16"/>
      <c r="V184" s="16"/>
      <c r="W184" s="16"/>
      <c r="X184" s="16"/>
      <c r="AD184"/>
      <c r="AE184"/>
      <c r="AH184">
        <f>COUNTIF($AG$5:AG184, "&gt;=3")</f>
        <v>40</v>
      </c>
    </row>
    <row r="185" spans="1:34" hidden="1" x14ac:dyDescent="0.2">
      <c r="A185" s="43">
        <v>226</v>
      </c>
      <c r="B185" s="13" t="s">
        <v>781</v>
      </c>
      <c r="C185" s="33">
        <v>3</v>
      </c>
      <c r="D185" s="34">
        <v>116</v>
      </c>
      <c r="E185" s="34">
        <v>78</v>
      </c>
      <c r="F185" s="34">
        <v>0</v>
      </c>
      <c r="G185" s="34">
        <v>0</v>
      </c>
      <c r="H185" s="34">
        <v>3</v>
      </c>
      <c r="I185" s="35">
        <f t="shared" si="8"/>
        <v>0.67241379310344829</v>
      </c>
      <c r="J185" s="35" t="str">
        <f t="shared" si="9"/>
        <v>-</v>
      </c>
      <c r="L185" s="18"/>
      <c r="M185" s="19"/>
      <c r="N185" s="19"/>
      <c r="O185" s="19"/>
      <c r="P185" s="19"/>
      <c r="Q185" s="16"/>
      <c r="R185" s="16"/>
      <c r="S185" s="16"/>
      <c r="T185" s="16"/>
      <c r="U185" s="16"/>
      <c r="V185" s="16"/>
      <c r="W185" s="16"/>
      <c r="X185" s="16"/>
      <c r="AD185"/>
      <c r="AE185"/>
      <c r="AH185">
        <f>COUNTIF($AG$5:AG185, "&gt;=3")</f>
        <v>40</v>
      </c>
    </row>
    <row r="186" spans="1:34" hidden="1" x14ac:dyDescent="0.2">
      <c r="A186" s="43">
        <v>228</v>
      </c>
      <c r="B186" s="13" t="s">
        <v>532</v>
      </c>
      <c r="C186" s="33">
        <v>1</v>
      </c>
      <c r="D186" s="34">
        <v>115</v>
      </c>
      <c r="E186" s="34">
        <v>97</v>
      </c>
      <c r="F186" s="34">
        <v>0</v>
      </c>
      <c r="G186" s="34">
        <v>0</v>
      </c>
      <c r="H186" s="34">
        <v>3</v>
      </c>
      <c r="I186" s="35">
        <f t="shared" si="8"/>
        <v>0.84347826086956523</v>
      </c>
      <c r="J186" s="35" t="str">
        <f t="shared" si="9"/>
        <v>-</v>
      </c>
      <c r="L186" s="18"/>
      <c r="M186" s="19"/>
      <c r="N186" s="19"/>
      <c r="O186" s="19"/>
      <c r="P186" s="19"/>
      <c r="Q186" s="16"/>
      <c r="R186" s="16"/>
      <c r="S186" s="16"/>
      <c r="T186" s="16"/>
      <c r="U186" s="16"/>
      <c r="V186" s="16"/>
      <c r="W186" s="16"/>
      <c r="X186" s="16"/>
      <c r="AD186"/>
      <c r="AE186"/>
      <c r="AH186">
        <f>COUNTIF($AG$5:AG186, "&gt;=3")</f>
        <v>40</v>
      </c>
    </row>
    <row r="187" spans="1:34" hidden="1" x14ac:dyDescent="0.2">
      <c r="A187" s="43">
        <v>230</v>
      </c>
      <c r="B187" s="13" t="s">
        <v>461</v>
      </c>
      <c r="C187" s="33">
        <v>2</v>
      </c>
      <c r="D187" s="34">
        <v>113</v>
      </c>
      <c r="E187" s="34">
        <v>168</v>
      </c>
      <c r="F187" s="34">
        <v>0</v>
      </c>
      <c r="G187" s="34">
        <v>0</v>
      </c>
      <c r="H187" s="34">
        <v>3</v>
      </c>
      <c r="I187" s="35">
        <f t="shared" si="8"/>
        <v>1.4867256637168142</v>
      </c>
      <c r="J187" s="35" t="str">
        <f t="shared" si="9"/>
        <v>-</v>
      </c>
      <c r="L187" s="18"/>
      <c r="M187" s="19"/>
      <c r="N187" s="19"/>
      <c r="O187" s="19"/>
      <c r="P187" s="19"/>
      <c r="Q187" s="16"/>
      <c r="R187" s="16"/>
      <c r="S187" s="16"/>
      <c r="T187" s="16"/>
      <c r="U187" s="16"/>
      <c r="V187" s="16"/>
      <c r="W187" s="16"/>
      <c r="X187" s="16"/>
      <c r="AD187"/>
      <c r="AE187"/>
      <c r="AH187">
        <f>COUNTIF($AG$5:AG187, "&gt;=3")</f>
        <v>40</v>
      </c>
    </row>
    <row r="188" spans="1:34" hidden="1" x14ac:dyDescent="0.2">
      <c r="A188" s="43">
        <v>236</v>
      </c>
      <c r="B188" s="13" t="s">
        <v>662</v>
      </c>
      <c r="C188" s="33">
        <v>3</v>
      </c>
      <c r="D188" s="34">
        <v>109</v>
      </c>
      <c r="E188" s="34">
        <v>91</v>
      </c>
      <c r="F188" s="34">
        <v>421</v>
      </c>
      <c r="G188" s="34">
        <v>416</v>
      </c>
      <c r="H188" s="34">
        <v>3</v>
      </c>
      <c r="I188" s="35">
        <f t="shared" si="8"/>
        <v>0.83486238532110091</v>
      </c>
      <c r="J188" s="35">
        <f t="shared" si="9"/>
        <v>0.98812351543942989</v>
      </c>
      <c r="L188" s="18"/>
      <c r="M188" s="19"/>
      <c r="N188" s="19"/>
      <c r="O188" s="19"/>
      <c r="P188" s="19"/>
      <c r="Q188" s="16"/>
      <c r="R188" s="16"/>
      <c r="S188" s="16"/>
      <c r="T188" s="16"/>
      <c r="U188" s="16"/>
      <c r="V188" s="16"/>
      <c r="W188" s="16"/>
      <c r="X188" s="16"/>
      <c r="AD188"/>
      <c r="AE188"/>
    </row>
    <row r="189" spans="1:34" hidden="1" x14ac:dyDescent="0.2">
      <c r="A189" s="43">
        <v>238</v>
      </c>
      <c r="B189" s="13" t="s">
        <v>695</v>
      </c>
      <c r="C189" s="33">
        <v>2</v>
      </c>
      <c r="D189" s="34">
        <v>108</v>
      </c>
      <c r="E189" s="34">
        <v>100</v>
      </c>
      <c r="F189" s="34">
        <v>0</v>
      </c>
      <c r="G189" s="34">
        <v>0</v>
      </c>
      <c r="H189" s="34">
        <v>3</v>
      </c>
      <c r="I189" s="35">
        <f t="shared" si="8"/>
        <v>0.92592592592592593</v>
      </c>
      <c r="J189" s="35" t="str">
        <f t="shared" si="9"/>
        <v>-</v>
      </c>
      <c r="L189" s="18"/>
      <c r="M189" s="19"/>
      <c r="N189" s="19"/>
      <c r="O189" s="19"/>
      <c r="P189" s="19"/>
      <c r="Q189" s="16"/>
      <c r="R189" s="16"/>
      <c r="S189" s="16"/>
      <c r="T189" s="16"/>
      <c r="U189" s="16"/>
      <c r="V189" s="16"/>
      <c r="W189" s="16"/>
      <c r="X189" s="16"/>
      <c r="AD189"/>
      <c r="AE189"/>
    </row>
    <row r="190" spans="1:34" hidden="1" x14ac:dyDescent="0.2">
      <c r="A190" s="43">
        <v>242</v>
      </c>
      <c r="B190" s="13" t="s">
        <v>591</v>
      </c>
      <c r="C190" s="33">
        <v>2</v>
      </c>
      <c r="D190" s="34">
        <v>103</v>
      </c>
      <c r="E190" s="34">
        <v>102</v>
      </c>
      <c r="F190" s="34">
        <v>121</v>
      </c>
      <c r="G190" s="34">
        <v>121</v>
      </c>
      <c r="H190" s="34">
        <v>3</v>
      </c>
      <c r="I190" s="35">
        <f t="shared" si="8"/>
        <v>0.99029126213592233</v>
      </c>
      <c r="J190" s="35">
        <f t="shared" si="9"/>
        <v>1</v>
      </c>
      <c r="L190" s="18"/>
      <c r="M190" s="19"/>
      <c r="N190" s="19"/>
      <c r="O190" s="19"/>
      <c r="P190" s="19"/>
      <c r="Q190" s="16"/>
      <c r="R190" s="16"/>
      <c r="S190" s="16"/>
      <c r="T190" s="16"/>
      <c r="U190" s="16"/>
      <c r="V190" s="16"/>
      <c r="W190" s="16"/>
      <c r="X190" s="16"/>
      <c r="AD190"/>
      <c r="AE190"/>
    </row>
    <row r="191" spans="1:34" hidden="1" x14ac:dyDescent="0.2">
      <c r="A191" s="44">
        <v>251</v>
      </c>
      <c r="B191" s="15" t="s">
        <v>743</v>
      </c>
      <c r="C191" s="14">
        <v>2</v>
      </c>
      <c r="D191" s="36">
        <v>87</v>
      </c>
      <c r="E191" s="36">
        <v>85</v>
      </c>
      <c r="F191" s="36">
        <v>0</v>
      </c>
      <c r="G191" s="36">
        <v>0</v>
      </c>
      <c r="H191" s="36">
        <v>3</v>
      </c>
      <c r="I191" s="37">
        <f t="shared" si="8"/>
        <v>0.97701149425287359</v>
      </c>
      <c r="J191" s="37" t="str">
        <f t="shared" si="9"/>
        <v>-</v>
      </c>
      <c r="L191" s="18"/>
      <c r="M191" s="19"/>
      <c r="N191" s="19"/>
      <c r="O191" s="19"/>
      <c r="P191" s="19"/>
      <c r="Q191" s="16"/>
      <c r="R191" s="16"/>
      <c r="S191" s="16"/>
      <c r="T191" s="16"/>
      <c r="U191" s="16"/>
      <c r="V191" s="16"/>
      <c r="W191" s="16"/>
      <c r="X191" s="16"/>
      <c r="AD191"/>
      <c r="AE191"/>
    </row>
    <row r="192" spans="1:34" hidden="1" x14ac:dyDescent="0.2">
      <c r="A192" s="44">
        <v>259</v>
      </c>
      <c r="B192" s="15" t="s">
        <v>459</v>
      </c>
      <c r="C192" s="14">
        <v>3</v>
      </c>
      <c r="D192" s="36">
        <v>77</v>
      </c>
      <c r="E192" s="36">
        <v>129</v>
      </c>
      <c r="F192" s="36">
        <v>616</v>
      </c>
      <c r="G192" s="36">
        <v>593</v>
      </c>
      <c r="H192" s="36">
        <v>3</v>
      </c>
      <c r="I192" s="37">
        <f t="shared" si="8"/>
        <v>1.6753246753246753</v>
      </c>
      <c r="J192" s="37">
        <f t="shared" si="9"/>
        <v>0.96266233766233766</v>
      </c>
      <c r="L192" s="18"/>
      <c r="M192" s="19"/>
      <c r="N192" s="19"/>
      <c r="O192" s="19"/>
      <c r="P192" s="19"/>
      <c r="Q192" s="16"/>
      <c r="R192" s="16"/>
      <c r="S192" s="16"/>
      <c r="T192" s="16"/>
      <c r="U192" s="16"/>
      <c r="V192" s="16"/>
      <c r="W192" s="16"/>
      <c r="X192" s="16"/>
      <c r="AD192"/>
      <c r="AE192"/>
    </row>
    <row r="193" spans="1:31" hidden="1" x14ac:dyDescent="0.2">
      <c r="A193" s="44">
        <v>263</v>
      </c>
      <c r="B193" s="15" t="s">
        <v>683</v>
      </c>
      <c r="C193" s="14">
        <v>2</v>
      </c>
      <c r="D193" s="36">
        <v>71</v>
      </c>
      <c r="E193" s="36">
        <v>68</v>
      </c>
      <c r="F193" s="36">
        <v>0</v>
      </c>
      <c r="G193" s="36">
        <v>0</v>
      </c>
      <c r="H193" s="36">
        <v>3</v>
      </c>
      <c r="I193" s="37">
        <f t="shared" si="8"/>
        <v>0.95774647887323938</v>
      </c>
      <c r="J193" s="37" t="str">
        <f t="shared" si="9"/>
        <v>-</v>
      </c>
      <c r="L193" s="18"/>
      <c r="M193" s="19"/>
      <c r="N193" s="19"/>
      <c r="O193" s="19"/>
      <c r="P193" s="19"/>
      <c r="Q193" s="16"/>
      <c r="R193" s="16"/>
      <c r="S193" s="16"/>
      <c r="T193" s="16"/>
      <c r="U193" s="16"/>
      <c r="V193" s="16"/>
      <c r="W193" s="16"/>
      <c r="X193" s="16"/>
      <c r="AD193"/>
      <c r="AE193"/>
    </row>
    <row r="194" spans="1:31" hidden="1" x14ac:dyDescent="0.2">
      <c r="A194" s="43">
        <v>90</v>
      </c>
      <c r="B194" s="13" t="s">
        <v>138</v>
      </c>
      <c r="C194" s="33">
        <v>1</v>
      </c>
      <c r="D194" s="34">
        <v>397</v>
      </c>
      <c r="E194" s="34">
        <v>422</v>
      </c>
      <c r="F194" s="34">
        <v>760</v>
      </c>
      <c r="G194" s="34">
        <v>745</v>
      </c>
      <c r="H194" s="34">
        <v>2</v>
      </c>
      <c r="I194" s="35">
        <f t="shared" si="8"/>
        <v>1.0629722921914357</v>
      </c>
      <c r="J194" s="35">
        <f t="shared" si="9"/>
        <v>0.98026315789473684</v>
      </c>
      <c r="L194" s="18"/>
      <c r="M194" s="19"/>
      <c r="N194" s="19"/>
      <c r="O194" s="19"/>
      <c r="P194" s="19"/>
      <c r="Q194" s="16"/>
      <c r="R194" s="16"/>
      <c r="S194" s="16"/>
      <c r="T194" s="16"/>
      <c r="U194" s="16"/>
      <c r="V194" s="16"/>
      <c r="W194" s="16"/>
      <c r="X194" s="16"/>
      <c r="AD194"/>
      <c r="AE194"/>
    </row>
    <row r="195" spans="1:31" hidden="1" x14ac:dyDescent="0.2">
      <c r="A195" s="44">
        <v>95</v>
      </c>
      <c r="B195" s="15" t="s">
        <v>141</v>
      </c>
      <c r="C195" s="14">
        <v>1</v>
      </c>
      <c r="D195" s="36">
        <v>382</v>
      </c>
      <c r="E195" s="36">
        <v>417</v>
      </c>
      <c r="F195" s="36">
        <v>0</v>
      </c>
      <c r="G195" s="36">
        <v>0</v>
      </c>
      <c r="H195" s="36">
        <v>2</v>
      </c>
      <c r="I195" s="37">
        <f t="shared" si="8"/>
        <v>1.0916230366492146</v>
      </c>
      <c r="J195" s="37" t="str">
        <f t="shared" si="9"/>
        <v>-</v>
      </c>
      <c r="L195" s="18"/>
      <c r="M195" s="19"/>
      <c r="N195" s="19"/>
      <c r="O195" s="19"/>
      <c r="P195" s="19"/>
      <c r="Q195" s="16"/>
      <c r="R195" s="16"/>
      <c r="S195" s="16"/>
      <c r="T195" s="16"/>
      <c r="U195" s="16"/>
      <c r="V195" s="16"/>
      <c r="W195" s="16"/>
      <c r="X195" s="16"/>
      <c r="AD195"/>
      <c r="AE195"/>
    </row>
    <row r="196" spans="1:31" hidden="1" x14ac:dyDescent="0.2">
      <c r="A196" s="43">
        <v>100</v>
      </c>
      <c r="B196" s="13" t="s">
        <v>133</v>
      </c>
      <c r="C196" s="33">
        <v>1</v>
      </c>
      <c r="D196" s="34">
        <v>365</v>
      </c>
      <c r="E196" s="34">
        <v>442</v>
      </c>
      <c r="F196" s="34">
        <v>0</v>
      </c>
      <c r="G196" s="34">
        <v>0</v>
      </c>
      <c r="H196" s="34">
        <v>2</v>
      </c>
      <c r="I196" s="35">
        <f t="shared" si="8"/>
        <v>1.210958904109589</v>
      </c>
      <c r="J196" s="35" t="str">
        <f t="shared" si="9"/>
        <v>-</v>
      </c>
      <c r="L196" s="18"/>
      <c r="M196" s="19"/>
      <c r="N196" s="19"/>
      <c r="O196" s="19"/>
      <c r="P196" s="19"/>
      <c r="Q196" s="16"/>
      <c r="R196" s="16"/>
      <c r="S196" s="16"/>
      <c r="T196" s="16"/>
      <c r="U196" s="16"/>
      <c r="V196" s="16"/>
      <c r="W196" s="16"/>
      <c r="X196" s="16"/>
      <c r="AD196"/>
      <c r="AE196"/>
    </row>
    <row r="197" spans="1:31" hidden="1" x14ac:dyDescent="0.2">
      <c r="A197" s="43">
        <v>102</v>
      </c>
      <c r="B197" s="13" t="s">
        <v>170</v>
      </c>
      <c r="C197" s="33">
        <v>1</v>
      </c>
      <c r="D197" s="34">
        <v>352</v>
      </c>
      <c r="E197" s="34">
        <v>352</v>
      </c>
      <c r="F197" s="34">
        <v>0</v>
      </c>
      <c r="G197" s="34">
        <v>0</v>
      </c>
      <c r="H197" s="34">
        <v>2</v>
      </c>
      <c r="I197" s="35">
        <f t="shared" ref="I197:I260" si="10">IF(D197=0,"-",E197/D197)</f>
        <v>1</v>
      </c>
      <c r="J197" s="35" t="str">
        <f t="shared" ref="J197:J260" si="11">IF(F197=0,"-",G197/F197)</f>
        <v>-</v>
      </c>
      <c r="L197" s="18"/>
      <c r="M197" s="19"/>
      <c r="N197" s="19"/>
      <c r="O197" s="19"/>
      <c r="P197" s="19"/>
      <c r="Q197" s="16"/>
      <c r="R197" s="16"/>
      <c r="S197" s="16"/>
      <c r="T197" s="16"/>
      <c r="U197" s="16"/>
      <c r="V197" s="16"/>
      <c r="W197" s="16"/>
      <c r="X197" s="16"/>
      <c r="AD197"/>
      <c r="AE197"/>
    </row>
    <row r="198" spans="1:31" hidden="1" x14ac:dyDescent="0.2">
      <c r="A198" s="43">
        <v>108</v>
      </c>
      <c r="B198" s="13" t="s">
        <v>276</v>
      </c>
      <c r="C198" s="33">
        <v>2</v>
      </c>
      <c r="D198" s="34">
        <v>319</v>
      </c>
      <c r="E198" s="34">
        <v>437</v>
      </c>
      <c r="F198" s="34">
        <v>0</v>
      </c>
      <c r="G198" s="34">
        <v>0</v>
      </c>
      <c r="H198" s="34">
        <v>2</v>
      </c>
      <c r="I198" s="35">
        <f t="shared" si="10"/>
        <v>1.3699059561128526</v>
      </c>
      <c r="J198" s="35" t="str">
        <f t="shared" si="11"/>
        <v>-</v>
      </c>
      <c r="L198" s="18"/>
      <c r="M198" s="19"/>
      <c r="N198" s="19"/>
      <c r="O198" s="19"/>
      <c r="P198" s="19"/>
      <c r="Q198" s="16"/>
      <c r="R198" s="16"/>
      <c r="S198" s="16"/>
      <c r="T198" s="16"/>
      <c r="U198" s="16"/>
      <c r="V198" s="16"/>
      <c r="W198" s="16"/>
      <c r="X198" s="16"/>
      <c r="AD198"/>
      <c r="AE198"/>
    </row>
    <row r="199" spans="1:31" hidden="1" x14ac:dyDescent="0.2">
      <c r="A199" s="44">
        <v>129</v>
      </c>
      <c r="B199" s="15" t="s">
        <v>222</v>
      </c>
      <c r="C199" s="14">
        <v>3</v>
      </c>
      <c r="D199" s="36">
        <v>250</v>
      </c>
      <c r="E199" s="36">
        <v>286</v>
      </c>
      <c r="F199" s="36">
        <v>212</v>
      </c>
      <c r="G199" s="36">
        <v>211</v>
      </c>
      <c r="H199" s="36">
        <v>2</v>
      </c>
      <c r="I199" s="37">
        <f t="shared" si="10"/>
        <v>1.1439999999999999</v>
      </c>
      <c r="J199" s="37">
        <f t="shared" si="11"/>
        <v>0.99528301886792447</v>
      </c>
      <c r="L199" s="18"/>
      <c r="M199" s="19"/>
      <c r="N199" s="19"/>
      <c r="O199" s="19"/>
      <c r="P199" s="19"/>
      <c r="Q199" s="16"/>
      <c r="R199" s="16"/>
      <c r="S199" s="16"/>
      <c r="T199" s="16"/>
      <c r="U199" s="16"/>
      <c r="V199" s="16"/>
      <c r="W199" s="16"/>
      <c r="X199" s="16"/>
      <c r="AD199"/>
      <c r="AE199"/>
    </row>
    <row r="200" spans="1:31" hidden="1" x14ac:dyDescent="0.2">
      <c r="A200" s="43">
        <v>132</v>
      </c>
      <c r="B200" s="13" t="s">
        <v>268</v>
      </c>
      <c r="C200" s="33">
        <v>1</v>
      </c>
      <c r="D200" s="34">
        <v>244</v>
      </c>
      <c r="E200" s="34">
        <v>232</v>
      </c>
      <c r="F200" s="34">
        <v>0</v>
      </c>
      <c r="G200" s="34">
        <v>0</v>
      </c>
      <c r="H200" s="34">
        <v>2</v>
      </c>
      <c r="I200" s="35">
        <f t="shared" si="10"/>
        <v>0.95081967213114749</v>
      </c>
      <c r="J200" s="35" t="str">
        <f t="shared" si="11"/>
        <v>-</v>
      </c>
      <c r="L200" s="18"/>
      <c r="M200" s="19"/>
      <c r="N200" s="19"/>
      <c r="O200" s="19"/>
      <c r="P200" s="19"/>
      <c r="Q200" s="16"/>
      <c r="R200" s="16"/>
      <c r="S200" s="16"/>
      <c r="T200" s="16"/>
      <c r="U200" s="16"/>
      <c r="V200" s="16"/>
      <c r="W200" s="16"/>
      <c r="X200" s="16"/>
      <c r="AD200"/>
      <c r="AE200"/>
    </row>
    <row r="201" spans="1:31" hidden="1" x14ac:dyDescent="0.2">
      <c r="A201" s="44">
        <v>137</v>
      </c>
      <c r="B201" s="15" t="s">
        <v>379</v>
      </c>
      <c r="C201" s="14">
        <v>2</v>
      </c>
      <c r="D201" s="36">
        <v>238</v>
      </c>
      <c r="E201" s="36">
        <v>246</v>
      </c>
      <c r="F201" s="36">
        <v>0</v>
      </c>
      <c r="G201" s="36">
        <v>0</v>
      </c>
      <c r="H201" s="36">
        <v>2</v>
      </c>
      <c r="I201" s="37">
        <f t="shared" si="10"/>
        <v>1.0336134453781514</v>
      </c>
      <c r="J201" s="37" t="str">
        <f t="shared" si="11"/>
        <v>-</v>
      </c>
      <c r="L201" s="18"/>
      <c r="M201" s="19"/>
      <c r="N201" s="19"/>
      <c r="O201" s="19"/>
      <c r="P201" s="19"/>
      <c r="Q201" s="16"/>
      <c r="R201" s="16"/>
      <c r="S201" s="16"/>
      <c r="T201" s="16"/>
      <c r="U201" s="16"/>
      <c r="V201" s="16"/>
      <c r="W201" s="16"/>
      <c r="X201" s="16"/>
      <c r="AD201"/>
      <c r="AE201"/>
    </row>
    <row r="202" spans="1:31" hidden="1" x14ac:dyDescent="0.2">
      <c r="A202" s="44">
        <v>143</v>
      </c>
      <c r="B202" s="15" t="s">
        <v>274</v>
      </c>
      <c r="C202" s="14">
        <v>1</v>
      </c>
      <c r="D202" s="36">
        <v>229</v>
      </c>
      <c r="E202" s="36">
        <v>224</v>
      </c>
      <c r="F202" s="36">
        <v>0</v>
      </c>
      <c r="G202" s="36">
        <v>0</v>
      </c>
      <c r="H202" s="36">
        <v>2</v>
      </c>
      <c r="I202" s="37">
        <f t="shared" si="10"/>
        <v>0.97816593886462877</v>
      </c>
      <c r="J202" s="37" t="str">
        <f t="shared" si="11"/>
        <v>-</v>
      </c>
      <c r="L202" s="18"/>
      <c r="M202" s="19"/>
      <c r="N202" s="19"/>
      <c r="O202" s="19"/>
      <c r="P202" s="19"/>
      <c r="Q202" s="16"/>
      <c r="R202" s="16"/>
      <c r="S202" s="16"/>
      <c r="T202" s="16"/>
      <c r="U202" s="16"/>
      <c r="V202" s="16"/>
      <c r="W202" s="16"/>
      <c r="X202" s="16"/>
      <c r="AD202"/>
      <c r="AE202"/>
    </row>
    <row r="203" spans="1:31" hidden="1" x14ac:dyDescent="0.2">
      <c r="A203" s="43">
        <v>144</v>
      </c>
      <c r="B203" s="13" t="s">
        <v>275</v>
      </c>
      <c r="C203" s="33">
        <v>1</v>
      </c>
      <c r="D203" s="34">
        <v>229</v>
      </c>
      <c r="E203" s="34">
        <v>222</v>
      </c>
      <c r="F203" s="34">
        <v>0</v>
      </c>
      <c r="G203" s="34">
        <v>0</v>
      </c>
      <c r="H203" s="34">
        <v>2</v>
      </c>
      <c r="I203" s="35">
        <f t="shared" si="10"/>
        <v>0.96943231441048039</v>
      </c>
      <c r="J203" s="35" t="str">
        <f t="shared" si="11"/>
        <v>-</v>
      </c>
      <c r="L203" s="18"/>
      <c r="M203" s="19"/>
      <c r="N203" s="19"/>
      <c r="O203" s="19"/>
      <c r="P203" s="19"/>
      <c r="Q203" s="16"/>
      <c r="R203" s="16"/>
      <c r="S203" s="16"/>
      <c r="T203" s="16"/>
      <c r="U203" s="16"/>
      <c r="V203" s="16"/>
      <c r="W203" s="16"/>
      <c r="X203" s="16"/>
      <c r="AD203"/>
      <c r="AE203"/>
    </row>
    <row r="204" spans="1:31" hidden="1" x14ac:dyDescent="0.2">
      <c r="A204" s="44">
        <v>147</v>
      </c>
      <c r="B204" s="15" t="s">
        <v>342</v>
      </c>
      <c r="C204" s="14">
        <v>2</v>
      </c>
      <c r="D204" s="36">
        <v>227</v>
      </c>
      <c r="E204" s="36">
        <v>173</v>
      </c>
      <c r="F204" s="36">
        <v>0</v>
      </c>
      <c r="G204" s="36">
        <v>0</v>
      </c>
      <c r="H204" s="36">
        <v>2</v>
      </c>
      <c r="I204" s="37">
        <f t="shared" si="10"/>
        <v>0.76211453744493396</v>
      </c>
      <c r="J204" s="37" t="str">
        <f t="shared" si="11"/>
        <v>-</v>
      </c>
      <c r="L204" s="18"/>
      <c r="M204" s="19"/>
      <c r="N204" s="19"/>
      <c r="O204" s="19"/>
      <c r="P204" s="19"/>
      <c r="Q204" s="16"/>
      <c r="R204" s="16"/>
      <c r="S204" s="16"/>
      <c r="T204" s="16"/>
      <c r="U204" s="16"/>
      <c r="V204" s="16"/>
      <c r="W204" s="16"/>
      <c r="X204" s="16"/>
      <c r="AD204"/>
      <c r="AE204"/>
    </row>
    <row r="205" spans="1:31" hidden="1" x14ac:dyDescent="0.2">
      <c r="A205" s="44">
        <v>149</v>
      </c>
      <c r="B205" s="15" t="s">
        <v>341</v>
      </c>
      <c r="C205" s="14">
        <v>1</v>
      </c>
      <c r="D205" s="36">
        <v>223</v>
      </c>
      <c r="E205" s="36">
        <v>173</v>
      </c>
      <c r="F205" s="36">
        <v>0</v>
      </c>
      <c r="G205" s="36">
        <v>0</v>
      </c>
      <c r="H205" s="36">
        <v>2</v>
      </c>
      <c r="I205" s="37">
        <f t="shared" si="10"/>
        <v>0.77578475336322872</v>
      </c>
      <c r="J205" s="37" t="str">
        <f t="shared" si="11"/>
        <v>-</v>
      </c>
      <c r="L205" s="18"/>
      <c r="M205" s="19"/>
      <c r="N205" s="19"/>
      <c r="O205" s="19"/>
      <c r="P205" s="19"/>
      <c r="Q205" s="16"/>
      <c r="R205" s="16"/>
      <c r="S205" s="16"/>
      <c r="T205" s="16"/>
      <c r="U205" s="16"/>
      <c r="V205" s="16"/>
      <c r="W205" s="16"/>
      <c r="X205" s="16"/>
      <c r="AD205"/>
      <c r="AE205"/>
    </row>
    <row r="206" spans="1:31" hidden="1" x14ac:dyDescent="0.2">
      <c r="A206" s="44">
        <v>151</v>
      </c>
      <c r="B206" s="15" t="s">
        <v>283</v>
      </c>
      <c r="C206" s="14">
        <v>1</v>
      </c>
      <c r="D206" s="36">
        <v>221</v>
      </c>
      <c r="E206" s="36">
        <v>215</v>
      </c>
      <c r="F206" s="36">
        <v>0</v>
      </c>
      <c r="G206" s="36">
        <v>0</v>
      </c>
      <c r="H206" s="36">
        <v>2</v>
      </c>
      <c r="I206" s="37">
        <f t="shared" si="10"/>
        <v>0.97285067873303166</v>
      </c>
      <c r="J206" s="37" t="str">
        <f t="shared" si="11"/>
        <v>-</v>
      </c>
      <c r="L206" s="18"/>
      <c r="M206" s="19"/>
      <c r="N206" s="19"/>
      <c r="O206" s="19"/>
      <c r="P206" s="19"/>
      <c r="Q206" s="16"/>
      <c r="R206" s="16"/>
      <c r="S206" s="16"/>
      <c r="T206" s="16"/>
      <c r="U206" s="16"/>
      <c r="V206" s="16"/>
      <c r="W206" s="16"/>
      <c r="X206" s="16"/>
      <c r="AD206"/>
      <c r="AE206"/>
    </row>
    <row r="207" spans="1:31" hidden="1" x14ac:dyDescent="0.2">
      <c r="A207" s="43">
        <v>152</v>
      </c>
      <c r="B207" s="13" t="s">
        <v>573</v>
      </c>
      <c r="C207" s="33">
        <v>2</v>
      </c>
      <c r="D207" s="34">
        <v>217</v>
      </c>
      <c r="E207" s="34">
        <v>163</v>
      </c>
      <c r="F207" s="34">
        <v>0</v>
      </c>
      <c r="G207" s="34">
        <v>0</v>
      </c>
      <c r="H207" s="34">
        <v>2</v>
      </c>
      <c r="I207" s="35">
        <f t="shared" si="10"/>
        <v>0.75115207373271886</v>
      </c>
      <c r="J207" s="35" t="str">
        <f t="shared" si="11"/>
        <v>-</v>
      </c>
      <c r="L207" s="18"/>
      <c r="M207" s="19"/>
      <c r="N207" s="19"/>
      <c r="O207" s="19"/>
      <c r="P207" s="19"/>
      <c r="Q207" s="16"/>
      <c r="R207" s="16"/>
      <c r="S207" s="16"/>
      <c r="T207" s="16"/>
      <c r="U207" s="16"/>
      <c r="V207" s="16"/>
      <c r="W207" s="16"/>
      <c r="X207" s="16"/>
      <c r="AD207"/>
      <c r="AE207"/>
    </row>
    <row r="208" spans="1:31" hidden="1" x14ac:dyDescent="0.2">
      <c r="A208" s="43">
        <v>168</v>
      </c>
      <c r="B208" s="13" t="s">
        <v>305</v>
      </c>
      <c r="C208" s="33">
        <v>1</v>
      </c>
      <c r="D208" s="34">
        <v>193</v>
      </c>
      <c r="E208" s="34">
        <v>197</v>
      </c>
      <c r="F208" s="34">
        <v>37</v>
      </c>
      <c r="G208" s="34">
        <v>37</v>
      </c>
      <c r="H208" s="34">
        <v>2</v>
      </c>
      <c r="I208" s="35">
        <f t="shared" si="10"/>
        <v>1.0207253886010363</v>
      </c>
      <c r="J208" s="35">
        <f t="shared" si="11"/>
        <v>1</v>
      </c>
      <c r="L208" s="18"/>
      <c r="M208" s="19"/>
      <c r="N208" s="19"/>
      <c r="O208" s="19"/>
      <c r="P208" s="19"/>
      <c r="Q208" s="16"/>
      <c r="R208" s="16"/>
      <c r="S208" s="16"/>
      <c r="T208" s="16"/>
      <c r="U208" s="16"/>
      <c r="V208" s="16"/>
      <c r="W208" s="16"/>
      <c r="X208" s="16"/>
      <c r="AD208"/>
      <c r="AE208"/>
    </row>
    <row r="209" spans="1:31" hidden="1" x14ac:dyDescent="0.2">
      <c r="A209" s="44">
        <v>169</v>
      </c>
      <c r="B209" s="15" t="s">
        <v>401</v>
      </c>
      <c r="C209" s="14">
        <v>2</v>
      </c>
      <c r="D209" s="36">
        <v>185</v>
      </c>
      <c r="E209" s="36">
        <v>190</v>
      </c>
      <c r="F209" s="36">
        <v>0</v>
      </c>
      <c r="G209" s="36">
        <v>0</v>
      </c>
      <c r="H209" s="36">
        <v>2</v>
      </c>
      <c r="I209" s="37">
        <f t="shared" si="10"/>
        <v>1.027027027027027</v>
      </c>
      <c r="J209" s="37" t="str">
        <f t="shared" si="11"/>
        <v>-</v>
      </c>
      <c r="L209" s="18"/>
      <c r="M209" s="19"/>
      <c r="N209" s="19"/>
      <c r="O209" s="19"/>
      <c r="P209" s="19"/>
      <c r="Q209" s="16"/>
      <c r="R209" s="16"/>
      <c r="S209" s="16"/>
      <c r="T209" s="16"/>
      <c r="U209" s="16"/>
      <c r="V209" s="16"/>
      <c r="W209" s="16"/>
      <c r="X209" s="16"/>
      <c r="AD209"/>
      <c r="AE209"/>
    </row>
    <row r="210" spans="1:31" hidden="1" x14ac:dyDescent="0.2">
      <c r="A210" s="43">
        <v>170</v>
      </c>
      <c r="B210" s="13" t="s">
        <v>416</v>
      </c>
      <c r="C210" s="33">
        <v>2</v>
      </c>
      <c r="D210" s="34">
        <v>183</v>
      </c>
      <c r="E210" s="34">
        <v>165</v>
      </c>
      <c r="F210" s="34">
        <v>0</v>
      </c>
      <c r="G210" s="34">
        <v>0</v>
      </c>
      <c r="H210" s="34">
        <v>2</v>
      </c>
      <c r="I210" s="35">
        <f t="shared" si="10"/>
        <v>0.90163934426229508</v>
      </c>
      <c r="J210" s="35" t="str">
        <f t="shared" si="11"/>
        <v>-</v>
      </c>
      <c r="L210" s="18"/>
      <c r="M210" s="19"/>
      <c r="N210" s="19"/>
      <c r="O210" s="19"/>
      <c r="P210" s="19"/>
      <c r="Q210" s="16"/>
      <c r="R210" s="16"/>
      <c r="S210" s="16"/>
      <c r="T210" s="16"/>
      <c r="U210" s="16"/>
      <c r="V210" s="16"/>
      <c r="W210" s="16"/>
      <c r="X210" s="16"/>
      <c r="AD210"/>
      <c r="AE210"/>
    </row>
    <row r="211" spans="1:31" hidden="1" x14ac:dyDescent="0.2">
      <c r="A211" s="43">
        <v>176</v>
      </c>
      <c r="B211" s="13" t="s">
        <v>364</v>
      </c>
      <c r="C211" s="33">
        <v>1</v>
      </c>
      <c r="D211" s="34">
        <v>179</v>
      </c>
      <c r="E211" s="34">
        <v>162</v>
      </c>
      <c r="F211" s="34">
        <v>0</v>
      </c>
      <c r="G211" s="34">
        <v>0</v>
      </c>
      <c r="H211" s="34">
        <v>2</v>
      </c>
      <c r="I211" s="35">
        <f t="shared" si="10"/>
        <v>0.9050279329608939</v>
      </c>
      <c r="J211" s="35" t="str">
        <f t="shared" si="11"/>
        <v>-</v>
      </c>
      <c r="L211" s="18"/>
      <c r="M211" s="19"/>
      <c r="N211" s="19"/>
      <c r="O211" s="19"/>
      <c r="P211" s="19"/>
      <c r="Q211" s="16"/>
      <c r="R211" s="16"/>
      <c r="S211" s="16"/>
      <c r="T211" s="16"/>
      <c r="U211" s="16"/>
      <c r="V211" s="16"/>
      <c r="W211" s="16"/>
      <c r="X211" s="16"/>
      <c r="AD211"/>
      <c r="AE211"/>
    </row>
    <row r="212" spans="1:31" hidden="1" x14ac:dyDescent="0.2">
      <c r="A212" s="44">
        <v>183</v>
      </c>
      <c r="B212" s="15" t="s">
        <v>473</v>
      </c>
      <c r="C212" s="14">
        <v>1</v>
      </c>
      <c r="D212" s="36">
        <v>165</v>
      </c>
      <c r="E212" s="36">
        <v>115</v>
      </c>
      <c r="F212" s="36">
        <v>70</v>
      </c>
      <c r="G212" s="36">
        <v>69</v>
      </c>
      <c r="H212" s="36">
        <v>2</v>
      </c>
      <c r="I212" s="37">
        <f t="shared" si="10"/>
        <v>0.69696969696969702</v>
      </c>
      <c r="J212" s="37">
        <f t="shared" si="11"/>
        <v>0.98571428571428577</v>
      </c>
      <c r="L212" s="18"/>
      <c r="M212" s="19"/>
      <c r="N212" s="19"/>
      <c r="O212" s="19"/>
      <c r="P212" s="19"/>
      <c r="Q212" s="16"/>
      <c r="R212" s="16"/>
      <c r="S212" s="16"/>
      <c r="T212" s="16"/>
      <c r="U212" s="16"/>
      <c r="V212" s="16"/>
      <c r="W212" s="16"/>
      <c r="X212" s="16"/>
      <c r="AD212"/>
      <c r="AE212"/>
    </row>
    <row r="213" spans="1:31" hidden="1" x14ac:dyDescent="0.2">
      <c r="A213" s="43">
        <v>190</v>
      </c>
      <c r="B213" s="13" t="s">
        <v>392</v>
      </c>
      <c r="C213" s="33">
        <v>3</v>
      </c>
      <c r="D213" s="34">
        <v>157</v>
      </c>
      <c r="E213" s="34">
        <v>150</v>
      </c>
      <c r="F213" s="34">
        <v>923</v>
      </c>
      <c r="G213" s="34">
        <v>923</v>
      </c>
      <c r="H213" s="34">
        <v>2</v>
      </c>
      <c r="I213" s="35">
        <f t="shared" si="10"/>
        <v>0.95541401273885351</v>
      </c>
      <c r="J213" s="35">
        <f t="shared" si="11"/>
        <v>1</v>
      </c>
      <c r="L213" s="18"/>
      <c r="M213" s="19"/>
      <c r="N213" s="19"/>
      <c r="O213" s="19"/>
      <c r="P213" s="19"/>
      <c r="Q213" s="16"/>
      <c r="R213" s="16"/>
      <c r="S213" s="16"/>
      <c r="T213" s="16"/>
      <c r="U213" s="16"/>
      <c r="V213" s="16"/>
      <c r="W213" s="16"/>
      <c r="X213" s="16"/>
      <c r="AD213"/>
      <c r="AE213"/>
    </row>
    <row r="214" spans="1:31" hidden="1" x14ac:dyDescent="0.2">
      <c r="A214" s="43">
        <v>192</v>
      </c>
      <c r="B214" s="13" t="s">
        <v>380</v>
      </c>
      <c r="C214" s="33">
        <v>1</v>
      </c>
      <c r="D214" s="34">
        <v>155</v>
      </c>
      <c r="E214" s="34">
        <v>155</v>
      </c>
      <c r="F214" s="34">
        <v>0</v>
      </c>
      <c r="G214" s="34">
        <v>0</v>
      </c>
      <c r="H214" s="34">
        <v>2</v>
      </c>
      <c r="I214" s="35">
        <f t="shared" si="10"/>
        <v>1</v>
      </c>
      <c r="J214" s="35" t="str">
        <f t="shared" si="11"/>
        <v>-</v>
      </c>
      <c r="L214" s="18"/>
      <c r="M214" s="19"/>
      <c r="N214" s="19"/>
      <c r="O214" s="19"/>
      <c r="P214" s="19"/>
      <c r="Q214" s="16"/>
      <c r="R214" s="16"/>
      <c r="S214" s="16"/>
      <c r="T214" s="16"/>
      <c r="U214" s="16"/>
      <c r="V214" s="16"/>
      <c r="W214" s="16"/>
      <c r="X214" s="16"/>
      <c r="AD214"/>
      <c r="AE214"/>
    </row>
    <row r="215" spans="1:31" hidden="1" x14ac:dyDescent="0.2">
      <c r="A215" s="44">
        <v>193</v>
      </c>
      <c r="B215" s="15" t="s">
        <v>503</v>
      </c>
      <c r="C215" s="14">
        <v>2</v>
      </c>
      <c r="D215" s="36">
        <v>155</v>
      </c>
      <c r="E215" s="36">
        <v>155</v>
      </c>
      <c r="F215" s="36">
        <v>0</v>
      </c>
      <c r="G215" s="36">
        <v>0</v>
      </c>
      <c r="H215" s="36">
        <v>2</v>
      </c>
      <c r="I215" s="37">
        <f t="shared" si="10"/>
        <v>1</v>
      </c>
      <c r="J215" s="37" t="str">
        <f t="shared" si="11"/>
        <v>-</v>
      </c>
      <c r="L215" s="18"/>
      <c r="M215" s="19"/>
      <c r="N215" s="19"/>
      <c r="O215" s="19"/>
      <c r="P215" s="19"/>
      <c r="Q215" s="16"/>
      <c r="R215" s="16"/>
      <c r="S215" s="16"/>
      <c r="T215" s="16"/>
      <c r="U215" s="16"/>
      <c r="V215" s="16"/>
      <c r="W215" s="16"/>
      <c r="X215" s="16"/>
      <c r="AD215"/>
      <c r="AE215"/>
    </row>
    <row r="216" spans="1:31" hidden="1" x14ac:dyDescent="0.2">
      <c r="A216" s="43">
        <v>194</v>
      </c>
      <c r="B216" s="13" t="s">
        <v>430</v>
      </c>
      <c r="C216" s="33">
        <v>2</v>
      </c>
      <c r="D216" s="34">
        <v>155</v>
      </c>
      <c r="E216" s="34">
        <v>127</v>
      </c>
      <c r="F216" s="34">
        <v>36</v>
      </c>
      <c r="G216" s="34">
        <v>4</v>
      </c>
      <c r="H216" s="34">
        <v>2</v>
      </c>
      <c r="I216" s="35">
        <f t="shared" si="10"/>
        <v>0.8193548387096774</v>
      </c>
      <c r="J216" s="35">
        <f t="shared" si="11"/>
        <v>0.1111111111111111</v>
      </c>
      <c r="L216" s="18"/>
      <c r="M216" s="19"/>
      <c r="N216" s="19"/>
      <c r="O216" s="19"/>
      <c r="P216" s="19"/>
      <c r="Q216" s="16"/>
      <c r="R216" s="16"/>
      <c r="S216" s="16"/>
      <c r="T216" s="16"/>
      <c r="U216" s="16"/>
      <c r="V216" s="16"/>
      <c r="W216" s="16"/>
      <c r="X216" s="16"/>
      <c r="AD216"/>
      <c r="AE216"/>
    </row>
    <row r="217" spans="1:31" hidden="1" x14ac:dyDescent="0.2">
      <c r="A217" s="44">
        <v>195</v>
      </c>
      <c r="B217" s="15" t="s">
        <v>389</v>
      </c>
      <c r="C217" s="14">
        <v>2</v>
      </c>
      <c r="D217" s="36">
        <v>155</v>
      </c>
      <c r="E217" s="36">
        <v>151</v>
      </c>
      <c r="F217" s="36">
        <v>182</v>
      </c>
      <c r="G217" s="36">
        <v>179</v>
      </c>
      <c r="H217" s="36">
        <v>2</v>
      </c>
      <c r="I217" s="37">
        <f t="shared" si="10"/>
        <v>0.97419354838709682</v>
      </c>
      <c r="J217" s="37">
        <f t="shared" si="11"/>
        <v>0.98351648351648346</v>
      </c>
      <c r="L217" s="18"/>
      <c r="M217" s="19"/>
      <c r="N217" s="19"/>
      <c r="O217" s="19"/>
      <c r="P217" s="19"/>
      <c r="Q217" s="16"/>
      <c r="R217" s="16"/>
      <c r="S217" s="16"/>
      <c r="T217" s="16"/>
      <c r="U217" s="16"/>
      <c r="V217" s="16"/>
      <c r="W217" s="16"/>
      <c r="X217" s="16"/>
      <c r="AD217"/>
      <c r="AE217"/>
    </row>
    <row r="218" spans="1:31" hidden="1" x14ac:dyDescent="0.2">
      <c r="A218" s="43">
        <v>196</v>
      </c>
      <c r="B218" s="13" t="s">
        <v>569</v>
      </c>
      <c r="C218" s="33">
        <v>4</v>
      </c>
      <c r="D218" s="34">
        <v>153</v>
      </c>
      <c r="E218" s="34">
        <v>160</v>
      </c>
      <c r="F218" s="34">
        <v>186</v>
      </c>
      <c r="G218" s="34">
        <v>177</v>
      </c>
      <c r="H218" s="34">
        <v>2</v>
      </c>
      <c r="I218" s="35">
        <f t="shared" si="10"/>
        <v>1.0457516339869282</v>
      </c>
      <c r="J218" s="35">
        <f t="shared" si="11"/>
        <v>0.95161290322580649</v>
      </c>
      <c r="L218" s="18"/>
      <c r="M218" s="19"/>
      <c r="N218" s="19"/>
      <c r="O218" s="19"/>
      <c r="P218" s="19"/>
      <c r="Q218" s="16"/>
      <c r="R218" s="16"/>
      <c r="S218" s="16"/>
      <c r="T218" s="16"/>
      <c r="U218" s="16"/>
      <c r="V218" s="16"/>
      <c r="W218" s="16"/>
      <c r="X218" s="16"/>
      <c r="AD218"/>
      <c r="AE218"/>
    </row>
    <row r="219" spans="1:31" hidden="1" x14ac:dyDescent="0.2">
      <c r="A219" s="44">
        <v>197</v>
      </c>
      <c r="B219" s="15" t="s">
        <v>509</v>
      </c>
      <c r="C219" s="14">
        <v>5</v>
      </c>
      <c r="D219" s="36">
        <v>152</v>
      </c>
      <c r="E219" s="36">
        <v>292</v>
      </c>
      <c r="F219" s="36">
        <v>0</v>
      </c>
      <c r="G219" s="36">
        <v>0</v>
      </c>
      <c r="H219" s="36">
        <v>2</v>
      </c>
      <c r="I219" s="37">
        <f t="shared" si="10"/>
        <v>1.9210526315789473</v>
      </c>
      <c r="J219" s="37" t="str">
        <f t="shared" si="11"/>
        <v>-</v>
      </c>
      <c r="L219" s="18"/>
      <c r="M219" s="19"/>
      <c r="N219" s="19"/>
      <c r="O219" s="19"/>
      <c r="P219" s="19"/>
      <c r="Q219" s="16"/>
      <c r="R219" s="16"/>
      <c r="S219" s="16"/>
      <c r="T219" s="16"/>
      <c r="U219" s="16"/>
      <c r="V219" s="16"/>
      <c r="W219" s="16"/>
      <c r="X219" s="16"/>
      <c r="AD219"/>
      <c r="AE219"/>
    </row>
    <row r="220" spans="1:31" hidden="1" x14ac:dyDescent="0.2">
      <c r="A220" s="43">
        <v>198</v>
      </c>
      <c r="B220" s="13" t="s">
        <v>545</v>
      </c>
      <c r="C220" s="33">
        <v>4</v>
      </c>
      <c r="D220" s="34">
        <v>149</v>
      </c>
      <c r="E220" s="34">
        <v>186</v>
      </c>
      <c r="F220" s="34">
        <v>130</v>
      </c>
      <c r="G220" s="34">
        <v>130</v>
      </c>
      <c r="H220" s="34">
        <v>2</v>
      </c>
      <c r="I220" s="35">
        <f t="shared" si="10"/>
        <v>1.2483221476510067</v>
      </c>
      <c r="J220" s="35">
        <f t="shared" si="11"/>
        <v>1</v>
      </c>
      <c r="L220" s="18"/>
      <c r="M220" s="19"/>
      <c r="N220" s="19"/>
      <c r="O220" s="19"/>
      <c r="P220" s="19"/>
      <c r="Q220" s="16"/>
      <c r="R220" s="16"/>
      <c r="S220" s="16"/>
      <c r="T220" s="16"/>
      <c r="U220" s="16"/>
      <c r="V220" s="16"/>
      <c r="W220" s="16"/>
      <c r="X220" s="16"/>
      <c r="AD220"/>
      <c r="AE220"/>
    </row>
    <row r="221" spans="1:31" hidden="1" x14ac:dyDescent="0.2">
      <c r="A221" s="44">
        <v>201</v>
      </c>
      <c r="B221" s="15" t="s">
        <v>470</v>
      </c>
      <c r="C221" s="14">
        <v>2</v>
      </c>
      <c r="D221" s="36">
        <v>146</v>
      </c>
      <c r="E221" s="36">
        <v>183</v>
      </c>
      <c r="F221" s="36">
        <v>0</v>
      </c>
      <c r="G221" s="36">
        <v>0</v>
      </c>
      <c r="H221" s="36">
        <v>2</v>
      </c>
      <c r="I221" s="37">
        <f t="shared" si="10"/>
        <v>1.2534246575342465</v>
      </c>
      <c r="J221" s="37" t="str">
        <f t="shared" si="11"/>
        <v>-</v>
      </c>
      <c r="L221" s="18"/>
      <c r="M221" s="19"/>
      <c r="N221" s="19"/>
      <c r="O221" s="19"/>
      <c r="P221" s="19"/>
      <c r="Q221" s="16"/>
      <c r="R221" s="16"/>
      <c r="S221" s="16"/>
      <c r="T221" s="16"/>
      <c r="U221" s="16"/>
      <c r="V221" s="16"/>
      <c r="W221" s="16"/>
      <c r="X221" s="16"/>
      <c r="AD221"/>
      <c r="AE221"/>
    </row>
    <row r="222" spans="1:31" hidden="1" x14ac:dyDescent="0.2">
      <c r="A222" s="44">
        <v>203</v>
      </c>
      <c r="B222" s="15" t="s">
        <v>452</v>
      </c>
      <c r="C222" s="14">
        <v>1</v>
      </c>
      <c r="D222" s="36">
        <v>144</v>
      </c>
      <c r="E222" s="36">
        <v>122</v>
      </c>
      <c r="F222" s="36">
        <v>0</v>
      </c>
      <c r="G222" s="36">
        <v>0</v>
      </c>
      <c r="H222" s="36">
        <v>2</v>
      </c>
      <c r="I222" s="37">
        <f t="shared" si="10"/>
        <v>0.84722222222222221</v>
      </c>
      <c r="J222" s="37" t="str">
        <f t="shared" si="11"/>
        <v>-</v>
      </c>
      <c r="L222" s="18"/>
      <c r="M222" s="19"/>
      <c r="N222" s="19"/>
      <c r="O222" s="19"/>
      <c r="P222" s="19"/>
      <c r="Q222" s="16"/>
      <c r="R222" s="16"/>
      <c r="S222" s="16"/>
      <c r="T222" s="16"/>
      <c r="U222" s="16"/>
      <c r="V222" s="16"/>
      <c r="W222" s="16"/>
      <c r="X222" s="16"/>
      <c r="AD222"/>
      <c r="AE222"/>
    </row>
    <row r="223" spans="1:31" hidden="1" x14ac:dyDescent="0.2">
      <c r="A223" s="43">
        <v>206</v>
      </c>
      <c r="B223" s="13" t="s">
        <v>469</v>
      </c>
      <c r="C223" s="33">
        <v>1</v>
      </c>
      <c r="D223" s="34">
        <v>140</v>
      </c>
      <c r="E223" s="34">
        <v>116</v>
      </c>
      <c r="F223" s="34">
        <v>0</v>
      </c>
      <c r="G223" s="34">
        <v>0</v>
      </c>
      <c r="H223" s="34">
        <v>2</v>
      </c>
      <c r="I223" s="35">
        <f t="shared" si="10"/>
        <v>0.82857142857142863</v>
      </c>
      <c r="J223" s="35" t="str">
        <f t="shared" si="11"/>
        <v>-</v>
      </c>
      <c r="L223" s="18"/>
      <c r="M223" s="19"/>
      <c r="N223" s="19"/>
      <c r="O223" s="19"/>
      <c r="P223" s="19"/>
      <c r="Q223" s="16"/>
      <c r="R223" s="16"/>
      <c r="S223" s="16"/>
      <c r="T223" s="16"/>
      <c r="U223" s="16"/>
      <c r="V223" s="16"/>
      <c r="W223" s="16"/>
      <c r="X223" s="16"/>
      <c r="AD223"/>
      <c r="AE223"/>
    </row>
    <row r="224" spans="1:31" hidden="1" x14ac:dyDescent="0.2">
      <c r="A224" s="44">
        <v>209</v>
      </c>
      <c r="B224" s="15" t="s">
        <v>378</v>
      </c>
      <c r="C224" s="14">
        <v>2</v>
      </c>
      <c r="D224" s="36">
        <v>136</v>
      </c>
      <c r="E224" s="36">
        <v>155</v>
      </c>
      <c r="F224" s="36">
        <v>637</v>
      </c>
      <c r="G224" s="36">
        <v>637</v>
      </c>
      <c r="H224" s="36">
        <v>2</v>
      </c>
      <c r="I224" s="37">
        <f t="shared" si="10"/>
        <v>1.1397058823529411</v>
      </c>
      <c r="J224" s="37">
        <f t="shared" si="11"/>
        <v>1</v>
      </c>
      <c r="L224" s="18"/>
      <c r="M224" s="19"/>
      <c r="N224" s="19"/>
      <c r="O224" s="19"/>
      <c r="P224" s="19"/>
      <c r="Q224" s="16"/>
      <c r="R224" s="16"/>
      <c r="S224" s="16"/>
      <c r="T224" s="16"/>
      <c r="U224" s="16"/>
      <c r="V224" s="16"/>
      <c r="W224" s="16"/>
      <c r="X224" s="16"/>
      <c r="AD224"/>
      <c r="AE224"/>
    </row>
    <row r="225" spans="1:31" hidden="1" x14ac:dyDescent="0.2">
      <c r="A225" s="43">
        <v>210</v>
      </c>
      <c r="B225" s="13" t="s">
        <v>428</v>
      </c>
      <c r="C225" s="33">
        <v>1</v>
      </c>
      <c r="D225" s="34">
        <v>133</v>
      </c>
      <c r="E225" s="34">
        <v>128</v>
      </c>
      <c r="F225" s="34">
        <v>0</v>
      </c>
      <c r="G225" s="34">
        <v>0</v>
      </c>
      <c r="H225" s="34">
        <v>2</v>
      </c>
      <c r="I225" s="35">
        <f t="shared" si="10"/>
        <v>0.96240601503759393</v>
      </c>
      <c r="J225" s="35" t="str">
        <f t="shared" si="11"/>
        <v>-</v>
      </c>
      <c r="L225" s="18"/>
      <c r="M225" s="19"/>
      <c r="N225" s="19"/>
      <c r="O225" s="19"/>
      <c r="P225" s="19"/>
      <c r="Q225" s="16"/>
      <c r="R225" s="16"/>
      <c r="S225" s="16"/>
      <c r="T225" s="16"/>
      <c r="U225" s="16"/>
      <c r="V225" s="16"/>
      <c r="W225" s="16"/>
      <c r="X225" s="16"/>
      <c r="AD225"/>
      <c r="AE225"/>
    </row>
    <row r="226" spans="1:31" hidden="1" x14ac:dyDescent="0.2">
      <c r="A226" s="43">
        <v>212</v>
      </c>
      <c r="B226" s="13" t="s">
        <v>782</v>
      </c>
      <c r="C226" s="33">
        <v>1</v>
      </c>
      <c r="D226" s="34">
        <v>131</v>
      </c>
      <c r="E226" s="34">
        <v>45</v>
      </c>
      <c r="F226" s="34">
        <v>0</v>
      </c>
      <c r="G226" s="34">
        <v>0</v>
      </c>
      <c r="H226" s="34">
        <v>2</v>
      </c>
      <c r="I226" s="35">
        <f t="shared" si="10"/>
        <v>0.34351145038167941</v>
      </c>
      <c r="J226" s="35" t="str">
        <f t="shared" si="11"/>
        <v>-</v>
      </c>
      <c r="L226" s="18"/>
      <c r="M226" s="19"/>
      <c r="N226" s="19"/>
      <c r="O226" s="19"/>
      <c r="P226" s="19"/>
      <c r="Q226" s="16"/>
      <c r="R226" s="16"/>
      <c r="S226" s="16"/>
      <c r="T226" s="16"/>
      <c r="U226" s="16"/>
      <c r="V226" s="16"/>
      <c r="W226" s="16"/>
      <c r="X226" s="16"/>
      <c r="AD226"/>
      <c r="AE226"/>
    </row>
    <row r="227" spans="1:31" hidden="1" x14ac:dyDescent="0.2">
      <c r="A227" s="44">
        <v>215</v>
      </c>
      <c r="B227" s="15" t="s">
        <v>616</v>
      </c>
      <c r="C227" s="14">
        <v>1</v>
      </c>
      <c r="D227" s="36">
        <v>125</v>
      </c>
      <c r="E227" s="36">
        <v>75</v>
      </c>
      <c r="F227" s="36">
        <v>0</v>
      </c>
      <c r="G227" s="36">
        <v>0</v>
      </c>
      <c r="H227" s="36">
        <v>2</v>
      </c>
      <c r="I227" s="37">
        <f t="shared" si="10"/>
        <v>0.6</v>
      </c>
      <c r="J227" s="37" t="str">
        <f t="shared" si="11"/>
        <v>-</v>
      </c>
      <c r="L227" s="18"/>
      <c r="M227" s="19"/>
      <c r="N227" s="19"/>
      <c r="O227" s="19"/>
      <c r="P227" s="19"/>
      <c r="Q227" s="16"/>
      <c r="R227" s="16"/>
      <c r="S227" s="16"/>
      <c r="T227" s="16"/>
      <c r="U227" s="16"/>
      <c r="V227" s="16"/>
      <c r="W227" s="16"/>
      <c r="X227" s="16"/>
      <c r="AD227"/>
      <c r="AE227"/>
    </row>
    <row r="228" spans="1:31" hidden="1" x14ac:dyDescent="0.2">
      <c r="A228" s="43">
        <v>216</v>
      </c>
      <c r="B228" s="13" t="s">
        <v>362</v>
      </c>
      <c r="C228" s="33">
        <v>2</v>
      </c>
      <c r="D228" s="34">
        <v>123</v>
      </c>
      <c r="E228" s="34">
        <v>162</v>
      </c>
      <c r="F228" s="34">
        <v>217</v>
      </c>
      <c r="G228" s="34">
        <v>217</v>
      </c>
      <c r="H228" s="34">
        <v>2</v>
      </c>
      <c r="I228" s="35">
        <f t="shared" si="10"/>
        <v>1.3170731707317074</v>
      </c>
      <c r="J228" s="35">
        <f t="shared" si="11"/>
        <v>1</v>
      </c>
      <c r="L228" s="18"/>
      <c r="M228" s="19"/>
      <c r="N228" s="19"/>
      <c r="O228" s="19"/>
      <c r="P228" s="19"/>
      <c r="Q228" s="16"/>
      <c r="R228" s="16"/>
      <c r="S228" s="16"/>
      <c r="T228" s="16"/>
      <c r="U228" s="16"/>
      <c r="V228" s="16"/>
      <c r="W228" s="16"/>
      <c r="X228" s="16"/>
      <c r="AD228"/>
      <c r="AE228"/>
    </row>
    <row r="229" spans="1:31" hidden="1" x14ac:dyDescent="0.2">
      <c r="A229" s="44">
        <v>219</v>
      </c>
      <c r="B229" s="15" t="s">
        <v>531</v>
      </c>
      <c r="C229" s="14">
        <v>2</v>
      </c>
      <c r="D229" s="36">
        <v>122</v>
      </c>
      <c r="E229" s="36">
        <v>142</v>
      </c>
      <c r="F229" s="36">
        <v>0</v>
      </c>
      <c r="G229" s="36">
        <v>0</v>
      </c>
      <c r="H229" s="36">
        <v>2</v>
      </c>
      <c r="I229" s="37">
        <f t="shared" si="10"/>
        <v>1.1639344262295082</v>
      </c>
      <c r="J229" s="37" t="str">
        <f t="shared" si="11"/>
        <v>-</v>
      </c>
      <c r="L229" s="18"/>
      <c r="M229" s="19"/>
      <c r="N229" s="19"/>
      <c r="O229" s="19"/>
      <c r="P229" s="19"/>
      <c r="Q229" s="16"/>
      <c r="R229" s="16"/>
      <c r="S229" s="16"/>
      <c r="T229" s="16"/>
      <c r="U229" s="16"/>
      <c r="V229" s="16"/>
      <c r="W229" s="16"/>
      <c r="X229" s="16"/>
      <c r="AD229"/>
      <c r="AE229"/>
    </row>
    <row r="230" spans="1:31" hidden="1" x14ac:dyDescent="0.2">
      <c r="A230" s="44">
        <v>223</v>
      </c>
      <c r="B230" s="15" t="s">
        <v>693</v>
      </c>
      <c r="C230" s="14">
        <v>6</v>
      </c>
      <c r="D230" s="36">
        <v>120</v>
      </c>
      <c r="E230" s="36">
        <v>108</v>
      </c>
      <c r="F230" s="36">
        <v>569</v>
      </c>
      <c r="G230" s="36">
        <v>569</v>
      </c>
      <c r="H230" s="36">
        <v>2</v>
      </c>
      <c r="I230" s="37">
        <f t="shared" si="10"/>
        <v>0.9</v>
      </c>
      <c r="J230" s="37">
        <f t="shared" si="11"/>
        <v>1</v>
      </c>
      <c r="L230" s="18"/>
      <c r="M230" s="19"/>
      <c r="N230" s="19"/>
      <c r="O230" s="19"/>
      <c r="P230" s="19"/>
      <c r="Q230" s="16"/>
      <c r="R230" s="16"/>
      <c r="S230" s="16"/>
      <c r="T230" s="16"/>
      <c r="U230" s="16"/>
      <c r="V230" s="16"/>
      <c r="W230" s="16"/>
      <c r="X230" s="16"/>
      <c r="AD230"/>
      <c r="AE230"/>
    </row>
    <row r="231" spans="1:31" hidden="1" x14ac:dyDescent="0.2">
      <c r="A231" s="43">
        <v>224</v>
      </c>
      <c r="B231" s="13" t="s">
        <v>692</v>
      </c>
      <c r="C231" s="33">
        <v>2</v>
      </c>
      <c r="D231" s="34">
        <v>118</v>
      </c>
      <c r="E231" s="34">
        <v>110</v>
      </c>
      <c r="F231" s="34">
        <v>0</v>
      </c>
      <c r="G231" s="34">
        <v>0</v>
      </c>
      <c r="H231" s="34">
        <v>2</v>
      </c>
      <c r="I231" s="35">
        <f t="shared" si="10"/>
        <v>0.93220338983050843</v>
      </c>
      <c r="J231" s="35" t="str">
        <f t="shared" si="11"/>
        <v>-</v>
      </c>
      <c r="L231" s="18"/>
      <c r="M231" s="19"/>
      <c r="N231" s="19"/>
      <c r="O231" s="19"/>
      <c r="P231" s="19"/>
      <c r="Q231" s="16"/>
      <c r="R231" s="16"/>
      <c r="S231" s="16"/>
      <c r="T231" s="16"/>
      <c r="U231" s="16"/>
      <c r="V231" s="16"/>
      <c r="W231" s="16"/>
      <c r="X231" s="16"/>
      <c r="AD231"/>
      <c r="AE231"/>
    </row>
    <row r="232" spans="1:31" hidden="1" x14ac:dyDescent="0.2">
      <c r="A232" s="44">
        <v>229</v>
      </c>
      <c r="B232" s="15" t="s">
        <v>679</v>
      </c>
      <c r="C232" s="14">
        <v>2</v>
      </c>
      <c r="D232" s="36">
        <v>114</v>
      </c>
      <c r="E232" s="36">
        <v>99</v>
      </c>
      <c r="F232" s="36">
        <v>0</v>
      </c>
      <c r="G232" s="36">
        <v>0</v>
      </c>
      <c r="H232" s="36">
        <v>2</v>
      </c>
      <c r="I232" s="37">
        <f t="shared" si="10"/>
        <v>0.86842105263157898</v>
      </c>
      <c r="J232" s="37" t="str">
        <f t="shared" si="11"/>
        <v>-</v>
      </c>
      <c r="L232" s="18"/>
      <c r="M232" s="19"/>
      <c r="N232" s="19"/>
      <c r="O232" s="19"/>
      <c r="P232" s="19"/>
      <c r="Q232" s="16"/>
      <c r="R232" s="16"/>
      <c r="S232" s="16"/>
      <c r="T232" s="16"/>
      <c r="U232" s="16"/>
      <c r="V232" s="16"/>
      <c r="W232" s="16"/>
      <c r="X232" s="16"/>
      <c r="AD232"/>
      <c r="AE232"/>
    </row>
    <row r="233" spans="1:31" hidden="1" x14ac:dyDescent="0.2">
      <c r="A233" s="44">
        <v>231</v>
      </c>
      <c r="B233" s="15" t="s">
        <v>539</v>
      </c>
      <c r="C233" s="14">
        <v>2</v>
      </c>
      <c r="D233" s="36">
        <v>112</v>
      </c>
      <c r="E233" s="36">
        <v>95</v>
      </c>
      <c r="F233" s="36">
        <v>116</v>
      </c>
      <c r="G233" s="36">
        <v>116</v>
      </c>
      <c r="H233" s="36">
        <v>2</v>
      </c>
      <c r="I233" s="37">
        <f t="shared" si="10"/>
        <v>0.8482142857142857</v>
      </c>
      <c r="J233" s="37">
        <f t="shared" si="11"/>
        <v>1</v>
      </c>
      <c r="L233" s="18"/>
      <c r="M233" s="19"/>
      <c r="N233" s="19"/>
      <c r="O233" s="19"/>
      <c r="P233" s="19"/>
      <c r="Q233" s="16"/>
      <c r="R233" s="16"/>
      <c r="S233" s="16"/>
      <c r="T233" s="16"/>
      <c r="U233" s="16"/>
      <c r="V233" s="16"/>
      <c r="W233" s="16"/>
      <c r="X233" s="16"/>
      <c r="AD233"/>
      <c r="AE233"/>
    </row>
    <row r="234" spans="1:31" hidden="1" x14ac:dyDescent="0.2">
      <c r="A234" s="43">
        <v>234</v>
      </c>
      <c r="B234" s="13" t="s">
        <v>382</v>
      </c>
      <c r="C234" s="33">
        <v>1</v>
      </c>
      <c r="D234" s="34">
        <v>111</v>
      </c>
      <c r="E234" s="34">
        <v>154</v>
      </c>
      <c r="F234" s="34">
        <v>0</v>
      </c>
      <c r="G234" s="34">
        <v>0</v>
      </c>
      <c r="H234" s="34">
        <v>2</v>
      </c>
      <c r="I234" s="35">
        <f t="shared" si="10"/>
        <v>1.3873873873873874</v>
      </c>
      <c r="J234" s="35" t="str">
        <f t="shared" si="11"/>
        <v>-</v>
      </c>
      <c r="L234" s="18"/>
      <c r="M234" s="19"/>
      <c r="N234" s="19"/>
      <c r="O234" s="19"/>
      <c r="P234" s="19"/>
      <c r="Q234" s="16"/>
      <c r="R234" s="16"/>
      <c r="S234" s="16"/>
      <c r="T234" s="16"/>
      <c r="U234" s="16"/>
      <c r="V234" s="16"/>
      <c r="W234" s="16"/>
      <c r="X234" s="16"/>
      <c r="AD234"/>
      <c r="AE234"/>
    </row>
    <row r="235" spans="1:31" hidden="1" x14ac:dyDescent="0.2">
      <c r="A235" s="44">
        <v>235</v>
      </c>
      <c r="B235" s="15" t="s">
        <v>703</v>
      </c>
      <c r="C235" s="14">
        <v>7</v>
      </c>
      <c r="D235" s="36">
        <v>110</v>
      </c>
      <c r="E235" s="36">
        <v>106</v>
      </c>
      <c r="F235" s="36">
        <v>732</v>
      </c>
      <c r="G235" s="36">
        <v>689</v>
      </c>
      <c r="H235" s="36">
        <v>2</v>
      </c>
      <c r="I235" s="37">
        <f t="shared" si="10"/>
        <v>0.96363636363636362</v>
      </c>
      <c r="J235" s="37">
        <f t="shared" si="11"/>
        <v>0.94125683060109289</v>
      </c>
      <c r="L235" s="18"/>
      <c r="M235" s="19"/>
      <c r="N235" s="19"/>
      <c r="O235" s="19"/>
      <c r="P235" s="19"/>
      <c r="Q235" s="16"/>
      <c r="R235" s="16"/>
      <c r="S235" s="16"/>
      <c r="T235" s="16"/>
      <c r="U235" s="16"/>
      <c r="V235" s="16"/>
      <c r="W235" s="16"/>
      <c r="X235" s="16"/>
      <c r="AD235"/>
      <c r="AE235"/>
    </row>
    <row r="236" spans="1:31" hidden="1" x14ac:dyDescent="0.2">
      <c r="A236" s="44">
        <v>239</v>
      </c>
      <c r="B236" s="15" t="s">
        <v>859</v>
      </c>
      <c r="C236" s="14">
        <v>6</v>
      </c>
      <c r="D236" s="36">
        <v>107</v>
      </c>
      <c r="E236" s="36">
        <v>52</v>
      </c>
      <c r="F236" s="36">
        <v>770</v>
      </c>
      <c r="G236" s="36">
        <v>769</v>
      </c>
      <c r="H236" s="36">
        <v>2</v>
      </c>
      <c r="I236" s="37">
        <f t="shared" si="10"/>
        <v>0.48598130841121495</v>
      </c>
      <c r="J236" s="37">
        <f t="shared" si="11"/>
        <v>0.99870129870129876</v>
      </c>
      <c r="L236" s="18"/>
      <c r="M236" s="19"/>
      <c r="N236" s="19"/>
      <c r="O236" s="19"/>
      <c r="P236" s="19"/>
      <c r="Q236" s="16"/>
      <c r="R236" s="16"/>
      <c r="S236" s="16"/>
      <c r="T236" s="16"/>
      <c r="U236" s="16"/>
      <c r="V236" s="16"/>
      <c r="W236" s="16"/>
      <c r="X236" s="16"/>
      <c r="AD236"/>
      <c r="AE236"/>
    </row>
    <row r="237" spans="1:31" hidden="1" x14ac:dyDescent="0.2">
      <c r="A237" s="43">
        <v>240</v>
      </c>
      <c r="B237" s="13" t="s">
        <v>686</v>
      </c>
      <c r="C237" s="33">
        <v>2</v>
      </c>
      <c r="D237" s="34">
        <v>107</v>
      </c>
      <c r="E237" s="34">
        <v>99</v>
      </c>
      <c r="F237" s="34">
        <v>0</v>
      </c>
      <c r="G237" s="34">
        <v>0</v>
      </c>
      <c r="H237" s="34">
        <v>2</v>
      </c>
      <c r="I237" s="35">
        <f t="shared" si="10"/>
        <v>0.92523364485981308</v>
      </c>
      <c r="J237" s="35" t="str">
        <f t="shared" si="11"/>
        <v>-</v>
      </c>
      <c r="L237" s="18"/>
      <c r="M237" s="19"/>
      <c r="N237" s="19"/>
      <c r="O237" s="19"/>
      <c r="P237" s="19"/>
      <c r="Q237" s="16"/>
      <c r="R237" s="16"/>
      <c r="S237" s="16"/>
      <c r="T237" s="16"/>
      <c r="U237" s="16"/>
      <c r="V237" s="16"/>
      <c r="W237" s="16"/>
      <c r="X237" s="16"/>
      <c r="AD237"/>
      <c r="AE237"/>
    </row>
    <row r="238" spans="1:31" hidden="1" x14ac:dyDescent="0.2">
      <c r="A238" s="44">
        <v>241</v>
      </c>
      <c r="B238" s="15" t="s">
        <v>414</v>
      </c>
      <c r="C238" s="14">
        <v>2</v>
      </c>
      <c r="D238" s="36">
        <v>107</v>
      </c>
      <c r="E238" s="36">
        <v>102</v>
      </c>
      <c r="F238" s="36">
        <v>234</v>
      </c>
      <c r="G238" s="36">
        <v>233</v>
      </c>
      <c r="H238" s="36">
        <v>2</v>
      </c>
      <c r="I238" s="37">
        <f t="shared" si="10"/>
        <v>0.95327102803738317</v>
      </c>
      <c r="J238" s="37">
        <f t="shared" si="11"/>
        <v>0.99572649572649574</v>
      </c>
      <c r="L238" s="18"/>
      <c r="M238" s="19"/>
      <c r="N238" s="19"/>
      <c r="O238" s="19"/>
      <c r="P238" s="19"/>
      <c r="Q238" s="16"/>
      <c r="R238" s="16"/>
      <c r="S238" s="16"/>
      <c r="T238" s="16"/>
      <c r="U238" s="16"/>
      <c r="V238" s="16"/>
      <c r="W238" s="16"/>
      <c r="X238" s="16"/>
      <c r="AD238"/>
      <c r="AE238"/>
    </row>
    <row r="239" spans="1:31" hidden="1" x14ac:dyDescent="0.2">
      <c r="A239" s="43">
        <v>244</v>
      </c>
      <c r="B239" s="13" t="s">
        <v>520</v>
      </c>
      <c r="C239" s="33">
        <v>1</v>
      </c>
      <c r="D239" s="34">
        <v>102</v>
      </c>
      <c r="E239" s="34">
        <v>100</v>
      </c>
      <c r="F239" s="34">
        <v>0</v>
      </c>
      <c r="G239" s="34">
        <v>0</v>
      </c>
      <c r="H239" s="34">
        <v>2</v>
      </c>
      <c r="I239" s="35">
        <f t="shared" si="10"/>
        <v>0.98039215686274506</v>
      </c>
      <c r="J239" s="35" t="str">
        <f t="shared" si="11"/>
        <v>-</v>
      </c>
      <c r="L239" s="18"/>
      <c r="M239" s="19"/>
      <c r="N239" s="19"/>
      <c r="O239" s="19"/>
      <c r="P239" s="19"/>
      <c r="Q239" s="16"/>
      <c r="R239" s="16"/>
      <c r="S239" s="16"/>
      <c r="T239" s="16"/>
      <c r="U239" s="16"/>
      <c r="V239" s="16"/>
      <c r="W239" s="16"/>
      <c r="X239" s="16"/>
      <c r="AD239"/>
      <c r="AE239"/>
    </row>
    <row r="240" spans="1:31" hidden="1" x14ac:dyDescent="0.2">
      <c r="A240" s="44">
        <v>245</v>
      </c>
      <c r="B240" s="15" t="s">
        <v>768</v>
      </c>
      <c r="C240" s="14">
        <v>2</v>
      </c>
      <c r="D240" s="36">
        <v>101</v>
      </c>
      <c r="E240" s="36">
        <v>78</v>
      </c>
      <c r="F240" s="36">
        <v>0</v>
      </c>
      <c r="G240" s="36">
        <v>0</v>
      </c>
      <c r="H240" s="36">
        <v>2</v>
      </c>
      <c r="I240" s="37">
        <f t="shared" si="10"/>
        <v>0.7722772277227723</v>
      </c>
      <c r="J240" s="37" t="str">
        <f t="shared" si="11"/>
        <v>-</v>
      </c>
      <c r="L240" s="18"/>
      <c r="M240" s="19"/>
      <c r="N240" s="19"/>
      <c r="O240" s="19"/>
      <c r="P240" s="19"/>
      <c r="Q240" s="16"/>
      <c r="R240" s="16"/>
      <c r="S240" s="16"/>
      <c r="T240" s="16"/>
      <c r="U240" s="16"/>
      <c r="V240" s="16"/>
      <c r="W240" s="16"/>
      <c r="X240" s="16"/>
      <c r="AD240"/>
      <c r="AE240"/>
    </row>
    <row r="241" spans="1:31" hidden="1" x14ac:dyDescent="0.2">
      <c r="A241" s="43">
        <v>246</v>
      </c>
      <c r="B241" s="13" t="s">
        <v>540</v>
      </c>
      <c r="C241" s="33">
        <v>1</v>
      </c>
      <c r="D241" s="34">
        <v>99</v>
      </c>
      <c r="E241" s="34">
        <v>95</v>
      </c>
      <c r="F241" s="34">
        <v>0</v>
      </c>
      <c r="G241" s="34">
        <v>0</v>
      </c>
      <c r="H241" s="34">
        <v>2</v>
      </c>
      <c r="I241" s="35">
        <f t="shared" si="10"/>
        <v>0.95959595959595956</v>
      </c>
      <c r="J241" s="35" t="str">
        <f t="shared" si="11"/>
        <v>-</v>
      </c>
      <c r="L241" s="18"/>
      <c r="M241" s="19"/>
      <c r="N241" s="19"/>
      <c r="O241" s="19"/>
      <c r="P241" s="19"/>
      <c r="Q241" s="16"/>
      <c r="R241" s="16"/>
      <c r="S241" s="16"/>
      <c r="T241" s="16"/>
      <c r="U241" s="16"/>
      <c r="V241" s="16"/>
      <c r="W241" s="16"/>
      <c r="X241" s="16"/>
      <c r="AD241"/>
      <c r="AE241"/>
    </row>
    <row r="242" spans="1:31" hidden="1" x14ac:dyDescent="0.2">
      <c r="A242" s="44">
        <v>249</v>
      </c>
      <c r="B242" s="15" t="s">
        <v>536</v>
      </c>
      <c r="C242" s="14">
        <v>1</v>
      </c>
      <c r="D242" s="36">
        <v>96</v>
      </c>
      <c r="E242" s="36">
        <v>96</v>
      </c>
      <c r="F242" s="36">
        <v>0</v>
      </c>
      <c r="G242" s="36">
        <v>0</v>
      </c>
      <c r="H242" s="36">
        <v>2</v>
      </c>
      <c r="I242" s="37">
        <f t="shared" si="10"/>
        <v>1</v>
      </c>
      <c r="J242" s="37" t="str">
        <f t="shared" si="11"/>
        <v>-</v>
      </c>
      <c r="L242" s="18"/>
      <c r="M242" s="19"/>
      <c r="N242" s="19"/>
      <c r="O242" s="19"/>
      <c r="P242" s="19"/>
      <c r="Q242" s="16"/>
      <c r="R242" s="16"/>
      <c r="S242" s="16"/>
      <c r="T242" s="16"/>
      <c r="U242" s="16"/>
      <c r="V242" s="16"/>
      <c r="W242" s="16"/>
      <c r="X242" s="16"/>
      <c r="AD242"/>
      <c r="AE242"/>
    </row>
    <row r="243" spans="1:31" hidden="1" x14ac:dyDescent="0.2">
      <c r="A243" s="43">
        <v>250</v>
      </c>
      <c r="B243" s="13" t="s">
        <v>240</v>
      </c>
      <c r="C243" s="33">
        <v>1</v>
      </c>
      <c r="D243" s="34">
        <v>89</v>
      </c>
      <c r="E243" s="34">
        <v>259</v>
      </c>
      <c r="F243" s="34">
        <v>0</v>
      </c>
      <c r="G243" s="34">
        <v>0</v>
      </c>
      <c r="H243" s="34">
        <v>2</v>
      </c>
      <c r="I243" s="35">
        <f t="shared" si="10"/>
        <v>2.9101123595505616</v>
      </c>
      <c r="J243" s="35" t="str">
        <f t="shared" si="11"/>
        <v>-</v>
      </c>
      <c r="L243" s="18"/>
      <c r="M243" s="19"/>
      <c r="N243" s="19"/>
      <c r="O243" s="19"/>
      <c r="P243" s="19"/>
      <c r="Q243" s="16"/>
      <c r="R243" s="16"/>
      <c r="S243" s="16"/>
      <c r="T243" s="16"/>
      <c r="U243" s="16"/>
      <c r="V243" s="16"/>
      <c r="W243" s="16"/>
      <c r="X243" s="16"/>
      <c r="AD243"/>
      <c r="AE243"/>
    </row>
    <row r="244" spans="1:31" hidden="1" x14ac:dyDescent="0.2">
      <c r="A244" s="43">
        <v>252</v>
      </c>
      <c r="B244" s="13" t="s">
        <v>696</v>
      </c>
      <c r="C244" s="33">
        <v>2</v>
      </c>
      <c r="D244" s="34">
        <v>87</v>
      </c>
      <c r="E244" s="34">
        <v>57</v>
      </c>
      <c r="F244" s="34">
        <v>0</v>
      </c>
      <c r="G244" s="34">
        <v>0</v>
      </c>
      <c r="H244" s="34">
        <v>2</v>
      </c>
      <c r="I244" s="35">
        <f t="shared" si="10"/>
        <v>0.65517241379310343</v>
      </c>
      <c r="J244" s="35" t="str">
        <f t="shared" si="11"/>
        <v>-</v>
      </c>
      <c r="L244" s="18"/>
      <c r="M244" s="19"/>
      <c r="N244" s="19"/>
      <c r="O244" s="19"/>
      <c r="P244" s="19"/>
      <c r="Q244" s="16"/>
      <c r="R244" s="16"/>
      <c r="S244" s="16"/>
      <c r="T244" s="16"/>
      <c r="U244" s="16"/>
      <c r="V244" s="16"/>
      <c r="W244" s="16"/>
      <c r="X244" s="16"/>
      <c r="AD244"/>
      <c r="AE244"/>
    </row>
    <row r="245" spans="1:31" hidden="1" x14ac:dyDescent="0.2">
      <c r="A245" s="43">
        <v>256</v>
      </c>
      <c r="B245" s="13" t="s">
        <v>839</v>
      </c>
      <c r="C245" s="33">
        <v>1</v>
      </c>
      <c r="D245" s="34">
        <v>81</v>
      </c>
      <c r="E245" s="34">
        <v>34</v>
      </c>
      <c r="F245" s="34">
        <v>0</v>
      </c>
      <c r="G245" s="34">
        <v>0</v>
      </c>
      <c r="H245" s="34">
        <v>2</v>
      </c>
      <c r="I245" s="35">
        <f t="shared" si="10"/>
        <v>0.41975308641975306</v>
      </c>
      <c r="J245" s="35" t="str">
        <f t="shared" si="11"/>
        <v>-</v>
      </c>
      <c r="L245" s="18"/>
      <c r="M245" s="19"/>
      <c r="N245" s="19"/>
      <c r="O245" s="19"/>
      <c r="P245" s="19"/>
      <c r="Q245" s="16"/>
      <c r="R245" s="16"/>
      <c r="S245" s="16"/>
      <c r="T245" s="16"/>
      <c r="U245" s="16"/>
      <c r="V245" s="16"/>
      <c r="W245" s="16"/>
      <c r="X245" s="16"/>
      <c r="AD245"/>
      <c r="AE245"/>
    </row>
    <row r="246" spans="1:31" hidden="1" x14ac:dyDescent="0.2">
      <c r="A246" s="44">
        <v>257</v>
      </c>
      <c r="B246" s="15" t="s">
        <v>676</v>
      </c>
      <c r="C246" s="14">
        <v>2</v>
      </c>
      <c r="D246" s="36">
        <v>80</v>
      </c>
      <c r="E246" s="36">
        <v>80</v>
      </c>
      <c r="F246" s="36">
        <v>0</v>
      </c>
      <c r="G246" s="36">
        <v>0</v>
      </c>
      <c r="H246" s="36">
        <v>2</v>
      </c>
      <c r="I246" s="37">
        <f t="shared" si="10"/>
        <v>1</v>
      </c>
      <c r="J246" s="37" t="str">
        <f t="shared" si="11"/>
        <v>-</v>
      </c>
      <c r="L246" s="18"/>
      <c r="M246" s="19"/>
      <c r="N246" s="19"/>
      <c r="O246" s="19"/>
      <c r="P246" s="19"/>
      <c r="Q246" s="16"/>
      <c r="R246" s="16"/>
      <c r="S246" s="16"/>
      <c r="T246" s="16"/>
      <c r="U246" s="16"/>
      <c r="V246" s="16"/>
      <c r="W246" s="16"/>
      <c r="X246" s="16"/>
      <c r="AD246"/>
      <c r="AE246"/>
    </row>
    <row r="247" spans="1:31" hidden="1" x14ac:dyDescent="0.2">
      <c r="A247" s="43">
        <v>260</v>
      </c>
      <c r="B247" s="13" t="s">
        <v>604</v>
      </c>
      <c r="C247" s="33">
        <v>2</v>
      </c>
      <c r="D247" s="34">
        <v>76</v>
      </c>
      <c r="E247" s="34">
        <v>127</v>
      </c>
      <c r="F247" s="34">
        <v>534</v>
      </c>
      <c r="G247" s="34">
        <v>527</v>
      </c>
      <c r="H247" s="34">
        <v>2</v>
      </c>
      <c r="I247" s="35">
        <f t="shared" si="10"/>
        <v>1.6710526315789473</v>
      </c>
      <c r="J247" s="35">
        <f t="shared" si="11"/>
        <v>0.98689138576779023</v>
      </c>
      <c r="L247" s="18"/>
      <c r="M247" s="19"/>
      <c r="N247" s="19"/>
      <c r="O247" s="19"/>
      <c r="P247" s="19"/>
      <c r="Q247" s="16"/>
      <c r="R247" s="16"/>
      <c r="S247" s="16"/>
      <c r="T247" s="16"/>
      <c r="U247" s="16"/>
      <c r="V247" s="16"/>
      <c r="W247" s="16"/>
      <c r="X247" s="16"/>
      <c r="AD247"/>
      <c r="AE247"/>
    </row>
    <row r="248" spans="1:31" hidden="1" x14ac:dyDescent="0.2">
      <c r="A248" s="44">
        <v>261</v>
      </c>
      <c r="B248" s="15" t="s">
        <v>754</v>
      </c>
      <c r="C248" s="14">
        <v>1</v>
      </c>
      <c r="D248" s="36">
        <v>75</v>
      </c>
      <c r="E248" s="36">
        <v>49</v>
      </c>
      <c r="F248" s="36">
        <v>0</v>
      </c>
      <c r="G248" s="36">
        <v>0</v>
      </c>
      <c r="H248" s="36">
        <v>2</v>
      </c>
      <c r="I248" s="37">
        <f t="shared" si="10"/>
        <v>0.65333333333333332</v>
      </c>
      <c r="J248" s="37" t="str">
        <f t="shared" si="11"/>
        <v>-</v>
      </c>
      <c r="L248" s="18"/>
      <c r="M248" s="19"/>
      <c r="N248" s="19"/>
      <c r="O248" s="19"/>
      <c r="P248" s="19"/>
      <c r="Q248" s="16"/>
      <c r="R248" s="16"/>
      <c r="S248" s="16"/>
      <c r="T248" s="16"/>
      <c r="U248" s="16"/>
      <c r="V248" s="16"/>
      <c r="W248" s="16"/>
      <c r="X248" s="16"/>
      <c r="AD248"/>
      <c r="AE248"/>
    </row>
    <row r="249" spans="1:31" hidden="1" x14ac:dyDescent="0.2">
      <c r="A249" s="43">
        <v>262</v>
      </c>
      <c r="B249" s="13" t="s">
        <v>690</v>
      </c>
      <c r="C249" s="33">
        <v>2</v>
      </c>
      <c r="D249" s="34">
        <v>73</v>
      </c>
      <c r="E249" s="34">
        <v>101</v>
      </c>
      <c r="F249" s="34">
        <v>0</v>
      </c>
      <c r="G249" s="34">
        <v>0</v>
      </c>
      <c r="H249" s="34">
        <v>2</v>
      </c>
      <c r="I249" s="35">
        <f t="shared" si="10"/>
        <v>1.3835616438356164</v>
      </c>
      <c r="J249" s="35" t="str">
        <f t="shared" si="11"/>
        <v>-</v>
      </c>
      <c r="L249" s="18"/>
      <c r="M249" s="19"/>
      <c r="N249" s="19"/>
      <c r="O249" s="19"/>
      <c r="P249" s="19"/>
      <c r="Q249" s="16"/>
      <c r="R249" s="16"/>
      <c r="S249" s="16"/>
      <c r="T249" s="16"/>
      <c r="U249" s="16"/>
      <c r="V249" s="16"/>
      <c r="W249" s="16"/>
      <c r="X249" s="16"/>
      <c r="AD249"/>
      <c r="AE249"/>
    </row>
    <row r="250" spans="1:31" hidden="1" x14ac:dyDescent="0.2">
      <c r="A250" s="44">
        <v>265</v>
      </c>
      <c r="B250" s="15" t="s">
        <v>609</v>
      </c>
      <c r="C250" s="14">
        <v>4</v>
      </c>
      <c r="D250" s="36">
        <v>70</v>
      </c>
      <c r="E250" s="36">
        <v>111</v>
      </c>
      <c r="F250" s="36">
        <v>540</v>
      </c>
      <c r="G250" s="36">
        <v>540</v>
      </c>
      <c r="H250" s="36">
        <v>2</v>
      </c>
      <c r="I250" s="37">
        <f t="shared" si="10"/>
        <v>1.5857142857142856</v>
      </c>
      <c r="J250" s="37">
        <f t="shared" si="11"/>
        <v>1</v>
      </c>
      <c r="L250" s="18"/>
      <c r="M250" s="19"/>
      <c r="N250" s="19"/>
      <c r="O250" s="19"/>
      <c r="P250" s="19"/>
      <c r="Q250" s="16"/>
      <c r="R250" s="16"/>
      <c r="S250" s="16"/>
      <c r="T250" s="16"/>
      <c r="U250" s="16"/>
      <c r="V250" s="16"/>
      <c r="W250" s="16"/>
      <c r="X250" s="16"/>
      <c r="AD250"/>
      <c r="AE250"/>
    </row>
    <row r="251" spans="1:31" hidden="1" x14ac:dyDescent="0.2">
      <c r="A251" s="43">
        <v>266</v>
      </c>
      <c r="B251" s="13" t="s">
        <v>643</v>
      </c>
      <c r="C251" s="33">
        <v>1</v>
      </c>
      <c r="D251" s="34">
        <v>70</v>
      </c>
      <c r="E251" s="34">
        <v>68</v>
      </c>
      <c r="F251" s="34">
        <v>0</v>
      </c>
      <c r="G251" s="34">
        <v>0</v>
      </c>
      <c r="H251" s="34">
        <v>2</v>
      </c>
      <c r="I251" s="35">
        <f t="shared" si="10"/>
        <v>0.97142857142857142</v>
      </c>
      <c r="J251" s="35" t="str">
        <f t="shared" si="11"/>
        <v>-</v>
      </c>
      <c r="L251" s="18"/>
      <c r="M251" s="19"/>
      <c r="N251" s="19"/>
      <c r="O251" s="19"/>
      <c r="P251" s="19"/>
      <c r="Q251" s="16"/>
      <c r="R251" s="16"/>
      <c r="S251" s="16"/>
      <c r="T251" s="16"/>
      <c r="U251" s="16"/>
      <c r="V251" s="16"/>
      <c r="W251" s="16"/>
      <c r="X251" s="16"/>
      <c r="AD251"/>
      <c r="AE251"/>
    </row>
    <row r="252" spans="1:31" hidden="1" x14ac:dyDescent="0.2">
      <c r="A252" s="44">
        <v>267</v>
      </c>
      <c r="B252" s="15" t="s">
        <v>796</v>
      </c>
      <c r="C252" s="14">
        <v>3</v>
      </c>
      <c r="D252" s="36">
        <v>68</v>
      </c>
      <c r="E252" s="36">
        <v>43</v>
      </c>
      <c r="F252" s="36">
        <v>106</v>
      </c>
      <c r="G252" s="36">
        <v>106</v>
      </c>
      <c r="H252" s="36">
        <v>2</v>
      </c>
      <c r="I252" s="37">
        <f t="shared" si="10"/>
        <v>0.63235294117647056</v>
      </c>
      <c r="J252" s="37">
        <f t="shared" si="11"/>
        <v>1</v>
      </c>
      <c r="L252" s="18"/>
      <c r="M252" s="19"/>
      <c r="N252" s="19"/>
      <c r="O252" s="19"/>
      <c r="P252" s="19"/>
      <c r="Q252" s="16"/>
      <c r="R252" s="16"/>
      <c r="S252" s="16"/>
      <c r="T252" s="16"/>
      <c r="U252" s="16"/>
      <c r="V252" s="16"/>
      <c r="W252" s="16"/>
      <c r="X252" s="16"/>
      <c r="AD252"/>
      <c r="AE252"/>
    </row>
    <row r="253" spans="1:31" hidden="1" x14ac:dyDescent="0.2">
      <c r="A253" s="44">
        <v>269</v>
      </c>
      <c r="B253" s="15" t="s">
        <v>818</v>
      </c>
      <c r="C253" s="14">
        <v>2</v>
      </c>
      <c r="D253" s="36">
        <v>64</v>
      </c>
      <c r="E253" s="36">
        <v>61</v>
      </c>
      <c r="F253" s="36">
        <v>0</v>
      </c>
      <c r="G253" s="36">
        <v>0</v>
      </c>
      <c r="H253" s="36">
        <v>2</v>
      </c>
      <c r="I253" s="37">
        <f t="shared" si="10"/>
        <v>0.953125</v>
      </c>
      <c r="J253" s="37" t="str">
        <f t="shared" si="11"/>
        <v>-</v>
      </c>
      <c r="L253" s="18"/>
      <c r="M253" s="19"/>
      <c r="N253" s="19"/>
      <c r="O253" s="19"/>
      <c r="P253" s="19"/>
      <c r="Q253" s="16"/>
      <c r="R253" s="16"/>
      <c r="S253" s="16"/>
      <c r="T253" s="16"/>
      <c r="U253" s="16"/>
      <c r="V253" s="16"/>
      <c r="W253" s="16"/>
      <c r="X253" s="16"/>
      <c r="AD253"/>
      <c r="AE253"/>
    </row>
    <row r="254" spans="1:31" hidden="1" x14ac:dyDescent="0.2">
      <c r="A254" s="44">
        <v>271</v>
      </c>
      <c r="B254" s="15" t="s">
        <v>955</v>
      </c>
      <c r="C254" s="14">
        <v>2</v>
      </c>
      <c r="D254" s="36">
        <v>62</v>
      </c>
      <c r="E254" s="36">
        <v>28</v>
      </c>
      <c r="F254" s="36">
        <v>0</v>
      </c>
      <c r="G254" s="36">
        <v>0</v>
      </c>
      <c r="H254" s="36">
        <v>2</v>
      </c>
      <c r="I254" s="37">
        <f t="shared" si="10"/>
        <v>0.45161290322580644</v>
      </c>
      <c r="J254" s="37" t="str">
        <f t="shared" si="11"/>
        <v>-</v>
      </c>
      <c r="L254" s="18"/>
      <c r="M254" s="19"/>
      <c r="N254" s="19"/>
      <c r="O254" s="19"/>
      <c r="P254" s="19"/>
      <c r="Q254" s="16"/>
      <c r="R254" s="16"/>
      <c r="S254" s="16"/>
      <c r="T254" s="16"/>
      <c r="U254" s="16"/>
      <c r="V254" s="16"/>
      <c r="W254" s="16"/>
      <c r="X254" s="16"/>
      <c r="AD254"/>
      <c r="AE254"/>
    </row>
    <row r="255" spans="1:31" hidden="1" x14ac:dyDescent="0.2">
      <c r="A255" s="43">
        <v>280</v>
      </c>
      <c r="B255" s="13" t="s">
        <v>603</v>
      </c>
      <c r="C255" s="33">
        <v>1</v>
      </c>
      <c r="D255" s="34">
        <v>54</v>
      </c>
      <c r="E255" s="34">
        <v>77</v>
      </c>
      <c r="F255" s="34">
        <v>0</v>
      </c>
      <c r="G255" s="34">
        <v>0</v>
      </c>
      <c r="H255" s="34">
        <v>2</v>
      </c>
      <c r="I255" s="35">
        <f t="shared" si="10"/>
        <v>1.4259259259259258</v>
      </c>
      <c r="J255" s="35" t="str">
        <f t="shared" si="11"/>
        <v>-</v>
      </c>
      <c r="L255" s="18"/>
      <c r="M255" s="19"/>
      <c r="N255" s="19"/>
      <c r="O255" s="19"/>
      <c r="P255" s="19"/>
      <c r="Q255" s="16"/>
      <c r="R255" s="16"/>
      <c r="S255" s="16"/>
      <c r="T255" s="16"/>
      <c r="U255" s="16"/>
      <c r="V255" s="16"/>
      <c r="W255" s="16"/>
      <c r="X255" s="16"/>
      <c r="AD255"/>
      <c r="AE255"/>
    </row>
    <row r="256" spans="1:31" hidden="1" x14ac:dyDescent="0.2">
      <c r="A256" s="44">
        <v>281</v>
      </c>
      <c r="B256" s="15" t="s">
        <v>728</v>
      </c>
      <c r="C256" s="14">
        <v>1</v>
      </c>
      <c r="D256" s="36">
        <v>54</v>
      </c>
      <c r="E256" s="36">
        <v>51</v>
      </c>
      <c r="F256" s="36">
        <v>0</v>
      </c>
      <c r="G256" s="36">
        <v>0</v>
      </c>
      <c r="H256" s="36">
        <v>2</v>
      </c>
      <c r="I256" s="37">
        <f t="shared" si="10"/>
        <v>0.94444444444444442</v>
      </c>
      <c r="J256" s="37" t="str">
        <f t="shared" si="11"/>
        <v>-</v>
      </c>
      <c r="L256" s="18"/>
      <c r="M256" s="19"/>
      <c r="N256" s="19"/>
      <c r="O256" s="19"/>
      <c r="P256" s="19"/>
      <c r="Q256" s="16"/>
      <c r="R256" s="16"/>
      <c r="S256" s="16"/>
      <c r="T256" s="16"/>
      <c r="U256" s="16"/>
      <c r="V256" s="16"/>
      <c r="W256" s="16"/>
      <c r="X256" s="16"/>
      <c r="AD256"/>
      <c r="AE256"/>
    </row>
    <row r="257" spans="1:31" hidden="1" x14ac:dyDescent="0.2">
      <c r="A257" s="43">
        <v>282</v>
      </c>
      <c r="B257" s="13" t="s">
        <v>1264</v>
      </c>
      <c r="C257" s="33">
        <v>8</v>
      </c>
      <c r="D257" s="34">
        <v>53</v>
      </c>
      <c r="E257" s="34">
        <v>0</v>
      </c>
      <c r="F257" s="34">
        <v>375</v>
      </c>
      <c r="G257" s="34">
        <v>373</v>
      </c>
      <c r="H257" s="34">
        <v>2</v>
      </c>
      <c r="I257" s="35">
        <f t="shared" si="10"/>
        <v>0</v>
      </c>
      <c r="J257" s="35">
        <f t="shared" si="11"/>
        <v>0.9946666666666667</v>
      </c>
      <c r="L257" s="18"/>
      <c r="M257" s="19"/>
      <c r="N257" s="19"/>
      <c r="O257" s="19"/>
      <c r="P257" s="19"/>
      <c r="Q257" s="16"/>
      <c r="R257" s="16"/>
      <c r="S257" s="16"/>
      <c r="T257" s="16"/>
      <c r="U257" s="16"/>
      <c r="V257" s="16"/>
      <c r="W257" s="16"/>
      <c r="X257" s="16"/>
      <c r="AD257"/>
      <c r="AE257"/>
    </row>
    <row r="258" spans="1:31" hidden="1" x14ac:dyDescent="0.2">
      <c r="A258" s="43">
        <v>284</v>
      </c>
      <c r="B258" s="13" t="s">
        <v>765</v>
      </c>
      <c r="C258" s="33">
        <v>1</v>
      </c>
      <c r="D258" s="34">
        <v>53</v>
      </c>
      <c r="E258" s="34">
        <v>48</v>
      </c>
      <c r="F258" s="34">
        <v>40</v>
      </c>
      <c r="G258" s="34">
        <v>40</v>
      </c>
      <c r="H258" s="34">
        <v>2</v>
      </c>
      <c r="I258" s="35">
        <f t="shared" si="10"/>
        <v>0.90566037735849059</v>
      </c>
      <c r="J258" s="35">
        <f t="shared" si="11"/>
        <v>1</v>
      </c>
      <c r="L258" s="18"/>
      <c r="M258" s="19"/>
      <c r="N258" s="19"/>
      <c r="O258" s="19"/>
      <c r="P258" s="19"/>
      <c r="Q258" s="16"/>
      <c r="R258" s="16"/>
      <c r="S258" s="16"/>
      <c r="T258" s="16"/>
      <c r="U258" s="16"/>
      <c r="V258" s="16"/>
      <c r="W258" s="16"/>
      <c r="X258" s="16"/>
      <c r="AD258"/>
      <c r="AE258"/>
    </row>
    <row r="259" spans="1:31" hidden="1" x14ac:dyDescent="0.2">
      <c r="A259" s="43">
        <v>286</v>
      </c>
      <c r="B259" s="13" t="s">
        <v>885</v>
      </c>
      <c r="C259" s="33">
        <v>2</v>
      </c>
      <c r="D259" s="34">
        <v>52</v>
      </c>
      <c r="E259" s="34">
        <v>47</v>
      </c>
      <c r="F259" s="34">
        <v>0</v>
      </c>
      <c r="G259" s="34">
        <v>0</v>
      </c>
      <c r="H259" s="34">
        <v>2</v>
      </c>
      <c r="I259" s="35">
        <f t="shared" si="10"/>
        <v>0.90384615384615385</v>
      </c>
      <c r="J259" s="35" t="str">
        <f t="shared" si="11"/>
        <v>-</v>
      </c>
      <c r="L259" s="18"/>
      <c r="M259" s="19"/>
      <c r="N259" s="19"/>
      <c r="O259" s="19"/>
      <c r="P259" s="19"/>
      <c r="Q259" s="16"/>
      <c r="R259" s="16"/>
      <c r="S259" s="16"/>
      <c r="T259" s="16"/>
      <c r="U259" s="16"/>
      <c r="V259" s="16"/>
      <c r="W259" s="16"/>
      <c r="X259" s="16"/>
      <c r="AD259"/>
      <c r="AE259"/>
    </row>
    <row r="260" spans="1:31" hidden="1" x14ac:dyDescent="0.2">
      <c r="A260" s="44">
        <v>289</v>
      </c>
      <c r="B260" s="15" t="s">
        <v>386</v>
      </c>
      <c r="C260" s="14">
        <v>1</v>
      </c>
      <c r="D260" s="36">
        <v>51</v>
      </c>
      <c r="E260" s="36">
        <v>152</v>
      </c>
      <c r="F260" s="36">
        <v>0</v>
      </c>
      <c r="G260" s="36">
        <v>0</v>
      </c>
      <c r="H260" s="36">
        <v>2</v>
      </c>
      <c r="I260" s="37">
        <f t="shared" si="10"/>
        <v>2.9803921568627452</v>
      </c>
      <c r="J260" s="37" t="str">
        <f t="shared" si="11"/>
        <v>-</v>
      </c>
      <c r="L260" s="18"/>
      <c r="M260" s="19"/>
      <c r="N260" s="19"/>
      <c r="O260" s="19"/>
      <c r="P260" s="19"/>
      <c r="Q260" s="16"/>
      <c r="R260" s="16"/>
      <c r="S260" s="16"/>
      <c r="T260" s="16"/>
      <c r="U260" s="16"/>
      <c r="V260" s="16"/>
      <c r="W260" s="16"/>
      <c r="X260" s="16"/>
      <c r="AD260"/>
      <c r="AE260"/>
    </row>
    <row r="261" spans="1:31" hidden="1" x14ac:dyDescent="0.2">
      <c r="A261" s="43">
        <v>290</v>
      </c>
      <c r="B261" s="13" t="s">
        <v>724</v>
      </c>
      <c r="C261" s="33">
        <v>3</v>
      </c>
      <c r="D261" s="34">
        <v>51</v>
      </c>
      <c r="E261" s="34">
        <v>51</v>
      </c>
      <c r="F261" s="34">
        <v>1062</v>
      </c>
      <c r="G261" s="34">
        <v>1060</v>
      </c>
      <c r="H261" s="34">
        <v>2</v>
      </c>
      <c r="I261" s="35">
        <f t="shared" ref="I261:I324" si="12">IF(D261=0,"-",E261/D261)</f>
        <v>1</v>
      </c>
      <c r="J261" s="35">
        <f t="shared" ref="J261:J324" si="13">IF(F261=0,"-",G261/F261)</f>
        <v>0.99811676082862522</v>
      </c>
      <c r="L261" s="18"/>
      <c r="M261" s="19"/>
      <c r="N261" s="19"/>
      <c r="O261" s="19"/>
      <c r="P261" s="19"/>
      <c r="Q261" s="16"/>
      <c r="R261" s="16"/>
      <c r="S261" s="16"/>
      <c r="T261" s="16"/>
      <c r="U261" s="16"/>
      <c r="V261" s="16"/>
      <c r="W261" s="16"/>
      <c r="X261" s="16"/>
      <c r="AD261"/>
      <c r="AE261"/>
    </row>
    <row r="262" spans="1:31" hidden="1" x14ac:dyDescent="0.2">
      <c r="A262" s="44">
        <v>295</v>
      </c>
      <c r="B262" s="15" t="s">
        <v>708</v>
      </c>
      <c r="C262" s="14">
        <v>2</v>
      </c>
      <c r="D262" s="36">
        <v>48</v>
      </c>
      <c r="E262" s="36">
        <v>101</v>
      </c>
      <c r="F262" s="36">
        <v>0</v>
      </c>
      <c r="G262" s="36">
        <v>0</v>
      </c>
      <c r="H262" s="36">
        <v>2</v>
      </c>
      <c r="I262" s="37">
        <f t="shared" si="12"/>
        <v>2.1041666666666665</v>
      </c>
      <c r="J262" s="37" t="str">
        <f t="shared" si="13"/>
        <v>-</v>
      </c>
      <c r="L262" s="18"/>
      <c r="M262" s="19"/>
      <c r="N262" s="19"/>
      <c r="O262" s="19"/>
      <c r="P262" s="19"/>
      <c r="Q262" s="16"/>
      <c r="R262" s="16"/>
      <c r="S262" s="16"/>
      <c r="T262" s="16"/>
      <c r="U262" s="16"/>
      <c r="V262" s="16"/>
      <c r="W262" s="16"/>
      <c r="X262" s="16"/>
      <c r="AD262"/>
      <c r="AE262"/>
    </row>
    <row r="263" spans="1:31" hidden="1" x14ac:dyDescent="0.2">
      <c r="A263" s="44">
        <v>301</v>
      </c>
      <c r="B263" s="15" t="s">
        <v>460</v>
      </c>
      <c r="C263" s="14">
        <v>1</v>
      </c>
      <c r="D263" s="36">
        <v>47</v>
      </c>
      <c r="E263" s="36">
        <v>119</v>
      </c>
      <c r="F263" s="36">
        <v>46</v>
      </c>
      <c r="G263" s="36">
        <v>46</v>
      </c>
      <c r="H263" s="36">
        <v>2</v>
      </c>
      <c r="I263" s="37">
        <f t="shared" si="12"/>
        <v>2.5319148936170213</v>
      </c>
      <c r="J263" s="37">
        <f t="shared" si="13"/>
        <v>1</v>
      </c>
      <c r="L263" s="18"/>
      <c r="M263" s="19"/>
      <c r="N263" s="19"/>
      <c r="O263" s="19"/>
      <c r="P263" s="19"/>
      <c r="Q263" s="16"/>
      <c r="R263" s="16"/>
      <c r="S263" s="16"/>
      <c r="T263" s="16"/>
      <c r="U263" s="16"/>
      <c r="V263" s="16"/>
      <c r="W263" s="16"/>
      <c r="X263" s="16"/>
      <c r="AD263"/>
      <c r="AE263"/>
    </row>
    <row r="264" spans="1:31" hidden="1" x14ac:dyDescent="0.2">
      <c r="A264" s="44">
        <v>303</v>
      </c>
      <c r="B264" s="15" t="s">
        <v>647</v>
      </c>
      <c r="C264" s="14">
        <v>4</v>
      </c>
      <c r="D264" s="36">
        <v>44</v>
      </c>
      <c r="E264" s="36">
        <v>191</v>
      </c>
      <c r="F264" s="36">
        <v>0</v>
      </c>
      <c r="G264" s="36">
        <v>0</v>
      </c>
      <c r="H264" s="36">
        <v>2</v>
      </c>
      <c r="I264" s="37">
        <f t="shared" si="12"/>
        <v>4.3409090909090908</v>
      </c>
      <c r="J264" s="37" t="str">
        <f t="shared" si="13"/>
        <v>-</v>
      </c>
      <c r="L264" s="18"/>
      <c r="M264" s="19"/>
      <c r="N264" s="19"/>
      <c r="O264" s="19"/>
      <c r="P264" s="19"/>
      <c r="Q264" s="16"/>
      <c r="R264" s="16"/>
      <c r="S264" s="16"/>
      <c r="T264" s="16"/>
      <c r="U264" s="16"/>
      <c r="V264" s="16"/>
      <c r="W264" s="16"/>
      <c r="X264" s="16"/>
      <c r="AD264"/>
      <c r="AE264"/>
    </row>
    <row r="265" spans="1:31" hidden="1" x14ac:dyDescent="0.2">
      <c r="A265" s="44">
        <v>305</v>
      </c>
      <c r="B265" s="15" t="s">
        <v>590</v>
      </c>
      <c r="C265" s="14">
        <v>1</v>
      </c>
      <c r="D265" s="36">
        <v>43</v>
      </c>
      <c r="E265" s="36">
        <v>80</v>
      </c>
      <c r="F265" s="36">
        <v>0</v>
      </c>
      <c r="G265" s="36">
        <v>0</v>
      </c>
      <c r="H265" s="36">
        <v>2</v>
      </c>
      <c r="I265" s="37">
        <f t="shared" si="12"/>
        <v>1.8604651162790697</v>
      </c>
      <c r="J265" s="37" t="str">
        <f t="shared" si="13"/>
        <v>-</v>
      </c>
      <c r="L265" s="18"/>
      <c r="M265" s="19"/>
      <c r="N265" s="19"/>
      <c r="O265" s="19"/>
      <c r="P265" s="19"/>
      <c r="Q265" s="16"/>
      <c r="R265" s="16"/>
      <c r="S265" s="16"/>
      <c r="T265" s="16"/>
      <c r="U265" s="16"/>
      <c r="V265" s="16"/>
      <c r="W265" s="16"/>
      <c r="X265" s="16"/>
      <c r="AD265"/>
      <c r="AE265"/>
    </row>
    <row r="266" spans="1:31" hidden="1" x14ac:dyDescent="0.2">
      <c r="A266" s="43">
        <v>306</v>
      </c>
      <c r="B266" s="13" t="s">
        <v>700</v>
      </c>
      <c r="C266" s="33">
        <v>5</v>
      </c>
      <c r="D266" s="34">
        <v>42</v>
      </c>
      <c r="E266" s="34">
        <v>55</v>
      </c>
      <c r="F266" s="34">
        <v>709</v>
      </c>
      <c r="G266" s="34">
        <v>683</v>
      </c>
      <c r="H266" s="34">
        <v>2</v>
      </c>
      <c r="I266" s="35">
        <f t="shared" si="12"/>
        <v>1.3095238095238095</v>
      </c>
      <c r="J266" s="35">
        <f t="shared" si="13"/>
        <v>0.96332863187588147</v>
      </c>
      <c r="L266" s="18"/>
      <c r="M266" s="19"/>
      <c r="N266" s="19"/>
      <c r="O266" s="19"/>
      <c r="P266" s="19"/>
      <c r="Q266" s="16"/>
      <c r="R266" s="16"/>
      <c r="S266" s="16"/>
      <c r="T266" s="16"/>
      <c r="U266" s="16"/>
      <c r="V266" s="16"/>
      <c r="W266" s="16"/>
      <c r="X266" s="16"/>
      <c r="AD266"/>
      <c r="AE266"/>
    </row>
    <row r="267" spans="1:31" hidden="1" x14ac:dyDescent="0.2">
      <c r="A267" s="43">
        <v>312</v>
      </c>
      <c r="B267" s="13" t="s">
        <v>933</v>
      </c>
      <c r="C267" s="33">
        <v>2</v>
      </c>
      <c r="D267" s="34">
        <v>35</v>
      </c>
      <c r="E267" s="34">
        <v>19</v>
      </c>
      <c r="F267" s="34">
        <v>682</v>
      </c>
      <c r="G267" s="34">
        <v>672</v>
      </c>
      <c r="H267" s="34">
        <v>2</v>
      </c>
      <c r="I267" s="35">
        <f t="shared" si="12"/>
        <v>0.54285714285714282</v>
      </c>
      <c r="J267" s="35">
        <f t="shared" si="13"/>
        <v>0.98533724340175954</v>
      </c>
      <c r="L267" s="18"/>
      <c r="M267" s="19"/>
      <c r="N267" s="19"/>
      <c r="O267" s="19"/>
      <c r="P267" s="19"/>
      <c r="Q267" s="16"/>
      <c r="R267" s="16"/>
      <c r="S267" s="16"/>
      <c r="T267" s="16"/>
      <c r="U267" s="16"/>
      <c r="V267" s="16"/>
      <c r="W267" s="16"/>
      <c r="X267" s="16"/>
      <c r="AD267"/>
      <c r="AE267"/>
    </row>
    <row r="268" spans="1:31" hidden="1" x14ac:dyDescent="0.2">
      <c r="A268" s="43">
        <v>314</v>
      </c>
      <c r="B268" s="13" t="s">
        <v>863</v>
      </c>
      <c r="C268" s="33">
        <v>1</v>
      </c>
      <c r="D268" s="34">
        <v>28</v>
      </c>
      <c r="E268" s="34">
        <v>28</v>
      </c>
      <c r="F268" s="34">
        <v>0</v>
      </c>
      <c r="G268" s="34">
        <v>0</v>
      </c>
      <c r="H268" s="34">
        <v>2</v>
      </c>
      <c r="I268" s="35">
        <f t="shared" si="12"/>
        <v>1</v>
      </c>
      <c r="J268" s="35" t="str">
        <f t="shared" si="13"/>
        <v>-</v>
      </c>
      <c r="L268" s="18"/>
      <c r="M268" s="19"/>
      <c r="N268" s="19"/>
      <c r="O268" s="19"/>
      <c r="P268" s="19"/>
      <c r="Q268" s="16"/>
      <c r="R268" s="16"/>
      <c r="S268" s="16"/>
      <c r="T268" s="16"/>
      <c r="U268" s="16"/>
      <c r="V268" s="16"/>
      <c r="W268" s="16"/>
      <c r="X268" s="16"/>
      <c r="AD268"/>
      <c r="AE268"/>
    </row>
    <row r="269" spans="1:31" hidden="1" x14ac:dyDescent="0.2">
      <c r="A269" s="44">
        <v>315</v>
      </c>
      <c r="B269" s="15" t="s">
        <v>682</v>
      </c>
      <c r="C269" s="14">
        <v>1</v>
      </c>
      <c r="D269" s="36">
        <v>27</v>
      </c>
      <c r="E269" s="36">
        <v>58</v>
      </c>
      <c r="F269" s="36">
        <v>0</v>
      </c>
      <c r="G269" s="36">
        <v>0</v>
      </c>
      <c r="H269" s="36">
        <v>2</v>
      </c>
      <c r="I269" s="37">
        <f t="shared" si="12"/>
        <v>2.1481481481481484</v>
      </c>
      <c r="J269" s="37" t="str">
        <f t="shared" si="13"/>
        <v>-</v>
      </c>
      <c r="L269" s="18"/>
      <c r="M269" s="19"/>
      <c r="N269" s="19"/>
      <c r="O269" s="19"/>
      <c r="P269" s="19"/>
      <c r="Q269" s="16"/>
      <c r="R269" s="16"/>
      <c r="S269" s="16"/>
      <c r="T269" s="16"/>
      <c r="U269" s="16"/>
      <c r="V269" s="16"/>
      <c r="W269" s="16"/>
      <c r="X269" s="16"/>
      <c r="AD269"/>
      <c r="AE269"/>
    </row>
    <row r="270" spans="1:31" hidden="1" x14ac:dyDescent="0.2">
      <c r="A270" s="43">
        <v>322</v>
      </c>
      <c r="B270" s="13" t="s">
        <v>852</v>
      </c>
      <c r="C270" s="33">
        <v>1</v>
      </c>
      <c r="D270" s="34">
        <v>24</v>
      </c>
      <c r="E270" s="34">
        <v>31</v>
      </c>
      <c r="F270" s="34">
        <v>0</v>
      </c>
      <c r="G270" s="34">
        <v>0</v>
      </c>
      <c r="H270" s="34">
        <v>2</v>
      </c>
      <c r="I270" s="35">
        <f t="shared" si="12"/>
        <v>1.2916666666666667</v>
      </c>
      <c r="J270" s="35" t="str">
        <f t="shared" si="13"/>
        <v>-</v>
      </c>
      <c r="L270" s="18"/>
      <c r="M270" s="19"/>
      <c r="N270" s="19"/>
      <c r="O270" s="19"/>
      <c r="P270" s="19"/>
      <c r="Q270" s="16"/>
      <c r="R270" s="16"/>
      <c r="S270" s="16"/>
      <c r="T270" s="16"/>
      <c r="U270" s="16"/>
      <c r="V270" s="16"/>
      <c r="W270" s="16"/>
      <c r="X270" s="16"/>
      <c r="AD270"/>
      <c r="AE270"/>
    </row>
    <row r="271" spans="1:31" hidden="1" x14ac:dyDescent="0.2">
      <c r="A271" s="44">
        <v>329</v>
      </c>
      <c r="B271" s="15" t="s">
        <v>960</v>
      </c>
      <c r="C271" s="14">
        <v>1</v>
      </c>
      <c r="D271" s="36">
        <v>20</v>
      </c>
      <c r="E271" s="36">
        <v>14</v>
      </c>
      <c r="F271" s="36">
        <v>23</v>
      </c>
      <c r="G271" s="36">
        <v>23</v>
      </c>
      <c r="H271" s="36">
        <v>2</v>
      </c>
      <c r="I271" s="37">
        <f t="shared" si="12"/>
        <v>0.7</v>
      </c>
      <c r="J271" s="37">
        <f t="shared" si="13"/>
        <v>1</v>
      </c>
      <c r="L271" s="18"/>
      <c r="M271" s="19"/>
      <c r="N271" s="19"/>
      <c r="O271" s="19"/>
      <c r="P271" s="19"/>
      <c r="Q271" s="16"/>
      <c r="R271" s="16"/>
      <c r="S271" s="16"/>
      <c r="T271" s="16"/>
      <c r="U271" s="16"/>
      <c r="V271" s="16"/>
      <c r="W271" s="16"/>
      <c r="X271" s="16"/>
      <c r="AD271"/>
      <c r="AE271"/>
    </row>
    <row r="272" spans="1:31" hidden="1" x14ac:dyDescent="0.2">
      <c r="A272" s="43">
        <v>330</v>
      </c>
      <c r="B272" s="13" t="s">
        <v>346</v>
      </c>
      <c r="C272" s="33">
        <v>2</v>
      </c>
      <c r="D272" s="34">
        <v>17</v>
      </c>
      <c r="E272" s="34">
        <v>170</v>
      </c>
      <c r="F272" s="34">
        <v>73</v>
      </c>
      <c r="G272" s="34">
        <v>72</v>
      </c>
      <c r="H272" s="34">
        <v>2</v>
      </c>
      <c r="I272" s="35">
        <f t="shared" si="12"/>
        <v>10</v>
      </c>
      <c r="J272" s="35">
        <f t="shared" si="13"/>
        <v>0.98630136986301364</v>
      </c>
      <c r="L272" s="18"/>
      <c r="M272" s="19"/>
      <c r="N272" s="19"/>
      <c r="O272" s="19"/>
      <c r="P272" s="19"/>
      <c r="Q272" s="16"/>
      <c r="R272" s="16"/>
      <c r="S272" s="16"/>
      <c r="T272" s="16"/>
      <c r="U272" s="16"/>
      <c r="V272" s="16"/>
      <c r="W272" s="16"/>
      <c r="X272" s="16"/>
      <c r="AD272"/>
      <c r="AE272"/>
    </row>
    <row r="273" spans="1:31" hidden="1" x14ac:dyDescent="0.2">
      <c r="A273" s="43">
        <v>336</v>
      </c>
      <c r="B273" s="13" t="s">
        <v>982</v>
      </c>
      <c r="C273" s="33">
        <v>2</v>
      </c>
      <c r="D273" s="34">
        <v>9</v>
      </c>
      <c r="E273" s="34">
        <v>9</v>
      </c>
      <c r="F273" s="34">
        <v>0</v>
      </c>
      <c r="G273" s="34">
        <v>0</v>
      </c>
      <c r="H273" s="34">
        <v>2</v>
      </c>
      <c r="I273" s="35">
        <f t="shared" si="12"/>
        <v>1</v>
      </c>
      <c r="J273" s="35" t="str">
        <f t="shared" si="13"/>
        <v>-</v>
      </c>
      <c r="L273" s="18"/>
      <c r="M273" s="19"/>
      <c r="N273" s="19"/>
      <c r="O273" s="19"/>
      <c r="P273" s="19"/>
      <c r="Q273" s="16"/>
      <c r="R273" s="16"/>
      <c r="S273" s="16"/>
      <c r="T273" s="16"/>
      <c r="U273" s="16"/>
      <c r="V273" s="16"/>
      <c r="W273" s="16"/>
      <c r="X273" s="16"/>
      <c r="AD273"/>
      <c r="AE273"/>
    </row>
    <row r="274" spans="1:31" hidden="1" x14ac:dyDescent="0.2">
      <c r="A274" s="44">
        <v>161</v>
      </c>
      <c r="B274" s="15" t="s">
        <v>252</v>
      </c>
      <c r="C274" s="14">
        <v>1</v>
      </c>
      <c r="D274" s="36">
        <v>205</v>
      </c>
      <c r="E274" s="36">
        <v>247</v>
      </c>
      <c r="F274" s="36">
        <v>0</v>
      </c>
      <c r="G274" s="36">
        <v>0</v>
      </c>
      <c r="H274" s="36">
        <v>1</v>
      </c>
      <c r="I274" s="37">
        <f t="shared" si="12"/>
        <v>1.2048780487804878</v>
      </c>
      <c r="J274" s="37" t="str">
        <f t="shared" si="13"/>
        <v>-</v>
      </c>
      <c r="L274" s="18"/>
      <c r="M274" s="19"/>
      <c r="N274" s="19"/>
      <c r="O274" s="19"/>
      <c r="P274" s="19"/>
      <c r="Q274" s="16"/>
      <c r="R274" s="16"/>
      <c r="S274" s="16"/>
      <c r="T274" s="16"/>
      <c r="U274" s="16"/>
      <c r="V274" s="16"/>
      <c r="W274" s="16"/>
      <c r="X274" s="16"/>
      <c r="AD274"/>
      <c r="AE274"/>
    </row>
    <row r="275" spans="1:31" hidden="1" x14ac:dyDescent="0.2">
      <c r="A275" s="44">
        <v>165</v>
      </c>
      <c r="B275" s="15" t="s">
        <v>330</v>
      </c>
      <c r="C275" s="14">
        <v>1</v>
      </c>
      <c r="D275" s="36">
        <v>199</v>
      </c>
      <c r="E275" s="36">
        <v>178</v>
      </c>
      <c r="F275" s="36">
        <v>0</v>
      </c>
      <c r="G275" s="36">
        <v>0</v>
      </c>
      <c r="H275" s="36">
        <v>1</v>
      </c>
      <c r="I275" s="37">
        <f t="shared" si="12"/>
        <v>0.89447236180904521</v>
      </c>
      <c r="J275" s="37" t="str">
        <f t="shared" si="13"/>
        <v>-</v>
      </c>
      <c r="L275" s="18"/>
      <c r="M275" s="19"/>
      <c r="N275" s="19"/>
      <c r="O275" s="19"/>
      <c r="P275" s="19"/>
      <c r="Q275" s="16"/>
      <c r="R275" s="16"/>
      <c r="S275" s="16"/>
      <c r="T275" s="16"/>
      <c r="U275" s="16"/>
      <c r="V275" s="16"/>
      <c r="W275" s="16"/>
      <c r="X275" s="16"/>
      <c r="AD275"/>
      <c r="AE275"/>
    </row>
    <row r="276" spans="1:31" hidden="1" x14ac:dyDescent="0.2">
      <c r="A276" s="44">
        <v>171</v>
      </c>
      <c r="B276" s="15" t="s">
        <v>420</v>
      </c>
      <c r="C276" s="14">
        <v>1</v>
      </c>
      <c r="D276" s="36">
        <v>181</v>
      </c>
      <c r="E276" s="36">
        <v>131</v>
      </c>
      <c r="F276" s="36">
        <v>0</v>
      </c>
      <c r="G276" s="36">
        <v>0</v>
      </c>
      <c r="H276" s="36">
        <v>1</v>
      </c>
      <c r="I276" s="37">
        <f t="shared" si="12"/>
        <v>0.72375690607734811</v>
      </c>
      <c r="J276" s="37" t="str">
        <f t="shared" si="13"/>
        <v>-</v>
      </c>
      <c r="L276" s="18"/>
      <c r="M276" s="19"/>
      <c r="N276" s="19"/>
      <c r="O276" s="19"/>
      <c r="P276" s="19"/>
      <c r="Q276" s="16"/>
      <c r="R276" s="16"/>
      <c r="S276" s="16"/>
      <c r="T276" s="16"/>
      <c r="U276" s="16"/>
      <c r="V276" s="16"/>
      <c r="W276" s="16"/>
      <c r="X276" s="16"/>
      <c r="AD276"/>
      <c r="AE276"/>
    </row>
    <row r="277" spans="1:31" hidden="1" x14ac:dyDescent="0.2">
      <c r="A277" s="43">
        <v>172</v>
      </c>
      <c r="B277" s="13" t="s">
        <v>360</v>
      </c>
      <c r="C277" s="33">
        <v>1</v>
      </c>
      <c r="D277" s="34">
        <v>180</v>
      </c>
      <c r="E277" s="34">
        <v>163</v>
      </c>
      <c r="F277" s="34">
        <v>0</v>
      </c>
      <c r="G277" s="34">
        <v>0</v>
      </c>
      <c r="H277" s="34">
        <v>1</v>
      </c>
      <c r="I277" s="35">
        <f t="shared" si="12"/>
        <v>0.90555555555555556</v>
      </c>
      <c r="J277" s="35" t="str">
        <f t="shared" si="13"/>
        <v>-</v>
      </c>
      <c r="L277" s="18"/>
      <c r="M277" s="19"/>
      <c r="N277" s="19"/>
      <c r="O277" s="19"/>
      <c r="P277" s="19"/>
      <c r="Q277" s="16"/>
      <c r="R277" s="16"/>
      <c r="S277" s="16"/>
      <c r="T277" s="16"/>
      <c r="U277" s="16"/>
      <c r="V277" s="16"/>
      <c r="W277" s="16"/>
      <c r="X277" s="16"/>
      <c r="AD277"/>
      <c r="AE277"/>
    </row>
    <row r="278" spans="1:31" hidden="1" x14ac:dyDescent="0.2">
      <c r="A278" s="44">
        <v>181</v>
      </c>
      <c r="B278" s="15" t="s">
        <v>348</v>
      </c>
      <c r="C278" s="14">
        <v>1</v>
      </c>
      <c r="D278" s="36">
        <v>170</v>
      </c>
      <c r="E278" s="36">
        <v>168</v>
      </c>
      <c r="F278" s="36">
        <v>720</v>
      </c>
      <c r="G278" s="36">
        <v>720</v>
      </c>
      <c r="H278" s="36">
        <v>1</v>
      </c>
      <c r="I278" s="37">
        <f t="shared" si="12"/>
        <v>0.9882352941176471</v>
      </c>
      <c r="J278" s="37">
        <f t="shared" si="13"/>
        <v>1</v>
      </c>
      <c r="L278" s="18"/>
      <c r="M278" s="19"/>
      <c r="N278" s="19"/>
      <c r="O278" s="19"/>
      <c r="P278" s="19"/>
      <c r="Q278" s="16"/>
      <c r="R278" s="16"/>
      <c r="S278" s="16"/>
      <c r="T278" s="16"/>
      <c r="U278" s="16"/>
      <c r="V278" s="16"/>
      <c r="W278" s="16"/>
      <c r="X278" s="16"/>
      <c r="AD278"/>
      <c r="AE278"/>
    </row>
    <row r="279" spans="1:31" hidden="1" x14ac:dyDescent="0.2">
      <c r="A279" s="44">
        <v>187</v>
      </c>
      <c r="B279" s="15" t="s">
        <v>442</v>
      </c>
      <c r="C279" s="14">
        <v>1</v>
      </c>
      <c r="D279" s="36">
        <v>159</v>
      </c>
      <c r="E279" s="36">
        <v>124</v>
      </c>
      <c r="F279" s="36">
        <v>0</v>
      </c>
      <c r="G279" s="36">
        <v>0</v>
      </c>
      <c r="H279" s="36">
        <v>1</v>
      </c>
      <c r="I279" s="37">
        <f t="shared" si="12"/>
        <v>0.77987421383647804</v>
      </c>
      <c r="J279" s="37" t="str">
        <f t="shared" si="13"/>
        <v>-</v>
      </c>
      <c r="L279" s="18"/>
      <c r="M279" s="19"/>
      <c r="N279" s="19"/>
      <c r="O279" s="19"/>
      <c r="P279" s="19"/>
      <c r="Q279" s="16"/>
      <c r="R279" s="16"/>
      <c r="S279" s="16"/>
      <c r="T279" s="16"/>
      <c r="U279" s="16"/>
      <c r="V279" s="16"/>
      <c r="W279" s="16"/>
      <c r="X279" s="16"/>
      <c r="AD279"/>
      <c r="AE279"/>
    </row>
    <row r="280" spans="1:31" hidden="1" x14ac:dyDescent="0.2">
      <c r="A280" s="44">
        <v>191</v>
      </c>
      <c r="B280" s="15" t="s">
        <v>381</v>
      </c>
      <c r="C280" s="14">
        <v>1</v>
      </c>
      <c r="D280" s="36">
        <v>156</v>
      </c>
      <c r="E280" s="36">
        <v>154</v>
      </c>
      <c r="F280" s="36">
        <v>99</v>
      </c>
      <c r="G280" s="36">
        <v>99</v>
      </c>
      <c r="H280" s="36">
        <v>1</v>
      </c>
      <c r="I280" s="37">
        <f t="shared" si="12"/>
        <v>0.98717948717948723</v>
      </c>
      <c r="J280" s="37">
        <f t="shared" si="13"/>
        <v>1</v>
      </c>
      <c r="L280" s="18"/>
      <c r="M280" s="19"/>
      <c r="N280" s="19"/>
      <c r="O280" s="19"/>
      <c r="P280" s="19"/>
      <c r="Q280" s="16"/>
      <c r="R280" s="16"/>
      <c r="S280" s="16"/>
      <c r="T280" s="16"/>
      <c r="U280" s="16"/>
      <c r="V280" s="16"/>
      <c r="W280" s="16"/>
      <c r="X280" s="16"/>
      <c r="AD280"/>
      <c r="AE280"/>
    </row>
    <row r="281" spans="1:31" hidden="1" x14ac:dyDescent="0.2">
      <c r="A281" s="43">
        <v>200</v>
      </c>
      <c r="B281" s="13" t="s">
        <v>642</v>
      </c>
      <c r="C281" s="33">
        <v>1</v>
      </c>
      <c r="D281" s="34">
        <v>147</v>
      </c>
      <c r="E281" s="34">
        <v>68</v>
      </c>
      <c r="F281" s="34">
        <v>0</v>
      </c>
      <c r="G281" s="34">
        <v>0</v>
      </c>
      <c r="H281" s="34">
        <v>1</v>
      </c>
      <c r="I281" s="35">
        <f t="shared" si="12"/>
        <v>0.46258503401360546</v>
      </c>
      <c r="J281" s="35" t="str">
        <f t="shared" si="13"/>
        <v>-</v>
      </c>
      <c r="L281" s="18"/>
      <c r="M281" s="19"/>
      <c r="N281" s="19"/>
      <c r="O281" s="19"/>
      <c r="P281" s="19"/>
      <c r="Q281" s="16"/>
      <c r="R281" s="16"/>
      <c r="S281" s="16"/>
      <c r="T281" s="16"/>
      <c r="U281" s="16"/>
      <c r="V281" s="16"/>
      <c r="W281" s="16"/>
      <c r="X281" s="16"/>
      <c r="AD281"/>
      <c r="AE281"/>
    </row>
    <row r="282" spans="1:31" hidden="1" x14ac:dyDescent="0.2">
      <c r="A282" s="43">
        <v>204</v>
      </c>
      <c r="B282" s="13" t="s">
        <v>433</v>
      </c>
      <c r="C282" s="33">
        <v>1</v>
      </c>
      <c r="D282" s="34">
        <v>141</v>
      </c>
      <c r="E282" s="34">
        <v>127</v>
      </c>
      <c r="F282" s="34">
        <v>0</v>
      </c>
      <c r="G282" s="34">
        <v>0</v>
      </c>
      <c r="H282" s="34">
        <v>1</v>
      </c>
      <c r="I282" s="35">
        <f t="shared" si="12"/>
        <v>0.900709219858156</v>
      </c>
      <c r="J282" s="35" t="str">
        <f t="shared" si="13"/>
        <v>-</v>
      </c>
      <c r="L282" s="18"/>
      <c r="M282" s="19"/>
      <c r="N282" s="19"/>
      <c r="O282" s="19"/>
      <c r="P282" s="19"/>
      <c r="Q282" s="16"/>
      <c r="R282" s="16"/>
      <c r="S282" s="16"/>
      <c r="T282" s="16"/>
      <c r="U282" s="16"/>
      <c r="V282" s="16"/>
      <c r="W282" s="16"/>
      <c r="X282" s="16"/>
      <c r="AD282"/>
      <c r="AE282"/>
    </row>
    <row r="283" spans="1:31" hidden="1" x14ac:dyDescent="0.2">
      <c r="A283" s="44">
        <v>205</v>
      </c>
      <c r="B283" s="15" t="s">
        <v>371</v>
      </c>
      <c r="C283" s="14">
        <v>1</v>
      </c>
      <c r="D283" s="36">
        <v>141</v>
      </c>
      <c r="E283" s="36">
        <v>159</v>
      </c>
      <c r="F283" s="36">
        <v>0</v>
      </c>
      <c r="G283" s="36">
        <v>0</v>
      </c>
      <c r="H283" s="36">
        <v>1</v>
      </c>
      <c r="I283" s="37">
        <f t="shared" si="12"/>
        <v>1.1276595744680851</v>
      </c>
      <c r="J283" s="37" t="str">
        <f t="shared" si="13"/>
        <v>-</v>
      </c>
      <c r="L283" s="18"/>
      <c r="M283" s="19"/>
      <c r="N283" s="19"/>
      <c r="O283" s="19"/>
      <c r="P283" s="19"/>
      <c r="Q283" s="16"/>
      <c r="R283" s="16"/>
      <c r="S283" s="16"/>
      <c r="T283" s="16"/>
      <c r="U283" s="16"/>
      <c r="V283" s="16"/>
      <c r="W283" s="16"/>
      <c r="X283" s="16"/>
      <c r="AD283"/>
      <c r="AE283"/>
    </row>
    <row r="284" spans="1:31" hidden="1" x14ac:dyDescent="0.2">
      <c r="A284" s="44">
        <v>207</v>
      </c>
      <c r="B284" s="15" t="s">
        <v>436</v>
      </c>
      <c r="C284" s="14">
        <v>1</v>
      </c>
      <c r="D284" s="36">
        <v>140</v>
      </c>
      <c r="E284" s="36">
        <v>125</v>
      </c>
      <c r="F284" s="36">
        <v>0</v>
      </c>
      <c r="G284" s="36">
        <v>0</v>
      </c>
      <c r="H284" s="36">
        <v>1</v>
      </c>
      <c r="I284" s="37">
        <f t="shared" si="12"/>
        <v>0.8928571428571429</v>
      </c>
      <c r="J284" s="37" t="str">
        <f t="shared" si="13"/>
        <v>-</v>
      </c>
      <c r="L284" s="18"/>
      <c r="M284" s="19"/>
      <c r="N284" s="19"/>
      <c r="O284" s="19"/>
      <c r="P284" s="19"/>
      <c r="Q284" s="16"/>
      <c r="R284" s="16"/>
      <c r="S284" s="16"/>
      <c r="T284" s="16"/>
      <c r="U284" s="16"/>
      <c r="V284" s="16"/>
      <c r="W284" s="16"/>
      <c r="X284" s="16"/>
      <c r="AD284"/>
      <c r="AE284"/>
    </row>
    <row r="285" spans="1:31" hidden="1" x14ac:dyDescent="0.2">
      <c r="A285" s="43">
        <v>208</v>
      </c>
      <c r="B285" s="13" t="s">
        <v>720</v>
      </c>
      <c r="C285" s="33">
        <v>1</v>
      </c>
      <c r="D285" s="34">
        <v>138</v>
      </c>
      <c r="E285" s="34">
        <v>52</v>
      </c>
      <c r="F285" s="34">
        <v>0</v>
      </c>
      <c r="G285" s="34">
        <v>0</v>
      </c>
      <c r="H285" s="34">
        <v>1</v>
      </c>
      <c r="I285" s="35">
        <f t="shared" si="12"/>
        <v>0.37681159420289856</v>
      </c>
      <c r="J285" s="35" t="str">
        <f t="shared" si="13"/>
        <v>-</v>
      </c>
      <c r="L285" s="18"/>
      <c r="M285" s="19"/>
      <c r="N285" s="19"/>
      <c r="O285" s="19"/>
      <c r="P285" s="19"/>
      <c r="Q285" s="16"/>
      <c r="R285" s="16"/>
      <c r="S285" s="16"/>
      <c r="T285" s="16"/>
      <c r="U285" s="16"/>
      <c r="V285" s="16"/>
      <c r="W285" s="16"/>
      <c r="X285" s="16"/>
      <c r="AD285"/>
      <c r="AE285"/>
    </row>
    <row r="286" spans="1:31" hidden="1" x14ac:dyDescent="0.2">
      <c r="A286" s="44">
        <v>221</v>
      </c>
      <c r="B286" s="15" t="s">
        <v>541</v>
      </c>
      <c r="C286" s="14">
        <v>1</v>
      </c>
      <c r="D286" s="36">
        <v>121</v>
      </c>
      <c r="E286" s="36">
        <v>95</v>
      </c>
      <c r="F286" s="36">
        <v>0</v>
      </c>
      <c r="G286" s="36">
        <v>0</v>
      </c>
      <c r="H286" s="36">
        <v>1</v>
      </c>
      <c r="I286" s="37">
        <f t="shared" si="12"/>
        <v>0.78512396694214881</v>
      </c>
      <c r="J286" s="37" t="str">
        <f t="shared" si="13"/>
        <v>-</v>
      </c>
      <c r="L286" s="18"/>
      <c r="M286" s="19"/>
      <c r="N286" s="19"/>
      <c r="O286" s="19"/>
      <c r="P286" s="19"/>
      <c r="Q286" s="16"/>
      <c r="R286" s="16"/>
      <c r="S286" s="16"/>
      <c r="T286" s="16"/>
      <c r="U286" s="16"/>
      <c r="V286" s="16"/>
      <c r="W286" s="16"/>
      <c r="X286" s="16"/>
      <c r="AD286"/>
      <c r="AE286"/>
    </row>
    <row r="287" spans="1:31" hidden="1" x14ac:dyDescent="0.2">
      <c r="A287" s="44">
        <v>227</v>
      </c>
      <c r="B287" s="15" t="s">
        <v>486</v>
      </c>
      <c r="C287" s="14">
        <v>1</v>
      </c>
      <c r="D287" s="36">
        <v>116</v>
      </c>
      <c r="E287" s="36">
        <v>111</v>
      </c>
      <c r="F287" s="36">
        <v>23</v>
      </c>
      <c r="G287" s="36">
        <v>23</v>
      </c>
      <c r="H287" s="36">
        <v>1</v>
      </c>
      <c r="I287" s="37">
        <f t="shared" si="12"/>
        <v>0.9568965517241379</v>
      </c>
      <c r="J287" s="37">
        <f t="shared" si="13"/>
        <v>1</v>
      </c>
      <c r="L287" s="18"/>
      <c r="M287" s="19"/>
      <c r="N287" s="19"/>
      <c r="O287" s="19"/>
      <c r="P287" s="19"/>
      <c r="Q287" s="16"/>
      <c r="R287" s="16"/>
      <c r="S287" s="16"/>
      <c r="T287" s="16"/>
      <c r="U287" s="16"/>
      <c r="V287" s="16"/>
      <c r="W287" s="16"/>
      <c r="X287" s="16"/>
      <c r="AD287"/>
      <c r="AE287"/>
    </row>
    <row r="288" spans="1:31" hidden="1" x14ac:dyDescent="0.2">
      <c r="A288" s="44">
        <v>233</v>
      </c>
      <c r="B288" s="15" t="s">
        <v>525</v>
      </c>
      <c r="C288" s="14">
        <v>1</v>
      </c>
      <c r="D288" s="36">
        <v>112</v>
      </c>
      <c r="E288" s="36">
        <v>99</v>
      </c>
      <c r="F288" s="36">
        <v>0</v>
      </c>
      <c r="G288" s="36">
        <v>0</v>
      </c>
      <c r="H288" s="36">
        <v>1</v>
      </c>
      <c r="I288" s="37">
        <f t="shared" si="12"/>
        <v>0.8839285714285714</v>
      </c>
      <c r="J288" s="37" t="str">
        <f t="shared" si="13"/>
        <v>-</v>
      </c>
      <c r="L288" s="18"/>
      <c r="M288" s="19"/>
      <c r="N288" s="19"/>
      <c r="O288" s="19"/>
      <c r="P288" s="19"/>
      <c r="Q288" s="16"/>
      <c r="R288" s="16"/>
      <c r="S288" s="16"/>
      <c r="T288" s="16"/>
      <c r="U288" s="16"/>
      <c r="V288" s="16"/>
      <c r="W288" s="16"/>
      <c r="X288" s="16"/>
      <c r="AD288"/>
      <c r="AE288"/>
    </row>
    <row r="289" spans="1:31" hidden="1" x14ac:dyDescent="0.2">
      <c r="A289" s="43">
        <v>254</v>
      </c>
      <c r="B289" s="13" t="s">
        <v>585</v>
      </c>
      <c r="C289" s="33">
        <v>1</v>
      </c>
      <c r="D289" s="34">
        <v>86</v>
      </c>
      <c r="E289" s="34">
        <v>81</v>
      </c>
      <c r="F289" s="34">
        <v>0</v>
      </c>
      <c r="G289" s="34">
        <v>0</v>
      </c>
      <c r="H289" s="34">
        <v>1</v>
      </c>
      <c r="I289" s="35">
        <f t="shared" si="12"/>
        <v>0.94186046511627908</v>
      </c>
      <c r="J289" s="35" t="str">
        <f t="shared" si="13"/>
        <v>-</v>
      </c>
      <c r="L289" s="18"/>
      <c r="M289" s="19"/>
      <c r="N289" s="19"/>
      <c r="O289" s="19"/>
      <c r="P289" s="19"/>
      <c r="Q289" s="16"/>
      <c r="R289" s="16"/>
      <c r="S289" s="16"/>
      <c r="T289" s="16"/>
      <c r="U289" s="16"/>
      <c r="V289" s="16"/>
      <c r="W289" s="16"/>
      <c r="X289" s="16"/>
      <c r="AD289"/>
      <c r="AE289"/>
    </row>
    <row r="290" spans="1:31" hidden="1" x14ac:dyDescent="0.2">
      <c r="A290" s="44">
        <v>255</v>
      </c>
      <c r="B290" s="15" t="s">
        <v>583</v>
      </c>
      <c r="C290" s="14">
        <v>1</v>
      </c>
      <c r="D290" s="36">
        <v>81</v>
      </c>
      <c r="E290" s="36">
        <v>81</v>
      </c>
      <c r="F290" s="36">
        <v>0</v>
      </c>
      <c r="G290" s="36">
        <v>0</v>
      </c>
      <c r="H290" s="36">
        <v>1</v>
      </c>
      <c r="I290" s="37">
        <f t="shared" si="12"/>
        <v>1</v>
      </c>
      <c r="J290" s="37" t="str">
        <f t="shared" si="13"/>
        <v>-</v>
      </c>
      <c r="L290" s="18"/>
      <c r="M290" s="19"/>
      <c r="N290" s="19"/>
      <c r="O290" s="19"/>
      <c r="P290" s="19"/>
      <c r="Q290" s="16"/>
      <c r="R290" s="16"/>
      <c r="S290" s="16"/>
      <c r="T290" s="16"/>
      <c r="U290" s="16"/>
      <c r="V290" s="16"/>
      <c r="W290" s="16"/>
      <c r="X290" s="16"/>
      <c r="AD290"/>
      <c r="AE290"/>
    </row>
    <row r="291" spans="1:31" hidden="1" x14ac:dyDescent="0.2">
      <c r="A291" s="43">
        <v>258</v>
      </c>
      <c r="B291" s="13" t="s">
        <v>623</v>
      </c>
      <c r="C291" s="33">
        <v>1</v>
      </c>
      <c r="D291" s="34">
        <v>77</v>
      </c>
      <c r="E291" s="34">
        <v>74</v>
      </c>
      <c r="F291" s="34">
        <v>0</v>
      </c>
      <c r="G291" s="34">
        <v>0</v>
      </c>
      <c r="H291" s="34">
        <v>1</v>
      </c>
      <c r="I291" s="35">
        <f t="shared" si="12"/>
        <v>0.96103896103896103</v>
      </c>
      <c r="J291" s="35" t="str">
        <f t="shared" si="13"/>
        <v>-</v>
      </c>
      <c r="L291" s="18"/>
      <c r="M291" s="19"/>
      <c r="N291" s="19"/>
      <c r="O291" s="19"/>
      <c r="P291" s="19"/>
      <c r="Q291" s="16"/>
      <c r="R291" s="16"/>
      <c r="S291" s="16"/>
      <c r="T291" s="16"/>
      <c r="U291" s="16"/>
      <c r="V291" s="16"/>
      <c r="W291" s="16"/>
      <c r="X291" s="16"/>
      <c r="AD291"/>
      <c r="AE291"/>
    </row>
    <row r="292" spans="1:31" hidden="1" x14ac:dyDescent="0.2">
      <c r="A292" s="43">
        <v>264</v>
      </c>
      <c r="B292" s="13" t="s">
        <v>631</v>
      </c>
      <c r="C292" s="33">
        <v>1</v>
      </c>
      <c r="D292" s="34">
        <v>71</v>
      </c>
      <c r="E292" s="34">
        <v>70</v>
      </c>
      <c r="F292" s="34">
        <v>92</v>
      </c>
      <c r="G292" s="34">
        <v>89</v>
      </c>
      <c r="H292" s="34">
        <v>1</v>
      </c>
      <c r="I292" s="35">
        <f t="shared" si="12"/>
        <v>0.9859154929577465</v>
      </c>
      <c r="J292" s="35">
        <f t="shared" si="13"/>
        <v>0.96739130434782605</v>
      </c>
      <c r="L292" s="18"/>
      <c r="M292" s="19"/>
      <c r="N292" s="19"/>
      <c r="O292" s="19"/>
      <c r="P292" s="19"/>
      <c r="Q292" s="16"/>
      <c r="R292" s="16"/>
      <c r="S292" s="16"/>
      <c r="T292" s="16"/>
      <c r="U292" s="16"/>
      <c r="V292" s="16"/>
      <c r="W292" s="16"/>
      <c r="X292" s="16"/>
      <c r="AD292"/>
      <c r="AE292"/>
    </row>
    <row r="293" spans="1:31" hidden="1" x14ac:dyDescent="0.2">
      <c r="A293" s="43">
        <v>268</v>
      </c>
      <c r="B293" s="13" t="s">
        <v>658</v>
      </c>
      <c r="C293" s="33">
        <v>1</v>
      </c>
      <c r="D293" s="34">
        <v>64</v>
      </c>
      <c r="E293" s="34">
        <v>64</v>
      </c>
      <c r="F293" s="34">
        <v>0</v>
      </c>
      <c r="G293" s="34">
        <v>0</v>
      </c>
      <c r="H293" s="34">
        <v>1</v>
      </c>
      <c r="I293" s="35">
        <f t="shared" si="12"/>
        <v>1</v>
      </c>
      <c r="J293" s="35" t="str">
        <f t="shared" si="13"/>
        <v>-</v>
      </c>
      <c r="L293" s="18"/>
      <c r="M293" s="19"/>
      <c r="N293" s="19"/>
      <c r="O293" s="19"/>
      <c r="P293" s="19"/>
      <c r="Q293" s="16"/>
      <c r="R293" s="16"/>
      <c r="S293" s="16"/>
      <c r="T293" s="16"/>
      <c r="U293" s="16"/>
      <c r="V293" s="16"/>
      <c r="W293" s="16"/>
      <c r="X293" s="16"/>
      <c r="AD293"/>
      <c r="AE293"/>
    </row>
    <row r="294" spans="1:31" hidden="1" x14ac:dyDescent="0.2">
      <c r="A294" s="43">
        <v>270</v>
      </c>
      <c r="B294" s="13" t="s">
        <v>750</v>
      </c>
      <c r="C294" s="33">
        <v>1</v>
      </c>
      <c r="D294" s="34">
        <v>63</v>
      </c>
      <c r="E294" s="34">
        <v>50</v>
      </c>
      <c r="F294" s="34">
        <v>0</v>
      </c>
      <c r="G294" s="34">
        <v>0</v>
      </c>
      <c r="H294" s="34">
        <v>1</v>
      </c>
      <c r="I294" s="35">
        <f t="shared" si="12"/>
        <v>0.79365079365079361</v>
      </c>
      <c r="J294" s="35" t="str">
        <f t="shared" si="13"/>
        <v>-</v>
      </c>
      <c r="L294" s="18"/>
      <c r="M294" s="19"/>
      <c r="N294" s="19"/>
      <c r="O294" s="19"/>
      <c r="P294" s="19"/>
      <c r="Q294" s="16"/>
      <c r="R294" s="16"/>
      <c r="S294" s="16"/>
      <c r="T294" s="16"/>
      <c r="U294" s="16"/>
      <c r="V294" s="16"/>
      <c r="W294" s="16"/>
      <c r="X294" s="16"/>
      <c r="AD294"/>
      <c r="AE294"/>
    </row>
    <row r="295" spans="1:31" hidden="1" x14ac:dyDescent="0.2">
      <c r="A295" s="43">
        <v>272</v>
      </c>
      <c r="B295" s="13" t="s">
        <v>677</v>
      </c>
      <c r="C295" s="33">
        <v>1</v>
      </c>
      <c r="D295" s="34">
        <v>61</v>
      </c>
      <c r="E295" s="34">
        <v>60</v>
      </c>
      <c r="F295" s="34">
        <v>0</v>
      </c>
      <c r="G295" s="34">
        <v>0</v>
      </c>
      <c r="H295" s="34">
        <v>1</v>
      </c>
      <c r="I295" s="35">
        <f t="shared" si="12"/>
        <v>0.98360655737704916</v>
      </c>
      <c r="J295" s="35" t="str">
        <f t="shared" si="13"/>
        <v>-</v>
      </c>
      <c r="L295" s="18"/>
      <c r="M295" s="19"/>
      <c r="N295" s="19"/>
      <c r="O295" s="19"/>
      <c r="P295" s="19"/>
      <c r="Q295" s="16"/>
      <c r="R295" s="16"/>
      <c r="S295" s="16"/>
      <c r="T295" s="16"/>
      <c r="U295" s="16"/>
      <c r="V295" s="16"/>
      <c r="W295" s="16"/>
      <c r="X295" s="16"/>
      <c r="AD295"/>
      <c r="AE295"/>
    </row>
    <row r="296" spans="1:31" hidden="1" x14ac:dyDescent="0.2">
      <c r="A296" s="44">
        <v>273</v>
      </c>
      <c r="B296" s="15" t="s">
        <v>674</v>
      </c>
      <c r="C296" s="14">
        <v>1</v>
      </c>
      <c r="D296" s="36">
        <v>60</v>
      </c>
      <c r="E296" s="36">
        <v>60</v>
      </c>
      <c r="F296" s="36">
        <v>0</v>
      </c>
      <c r="G296" s="36">
        <v>0</v>
      </c>
      <c r="H296" s="36">
        <v>1</v>
      </c>
      <c r="I296" s="37">
        <f t="shared" si="12"/>
        <v>1</v>
      </c>
      <c r="J296" s="37" t="str">
        <f t="shared" si="13"/>
        <v>-</v>
      </c>
      <c r="L296" s="18"/>
      <c r="M296" s="19"/>
      <c r="N296" s="19"/>
      <c r="O296" s="19"/>
      <c r="P296" s="19"/>
      <c r="Q296" s="16"/>
      <c r="R296" s="16"/>
      <c r="S296" s="16"/>
      <c r="T296" s="16"/>
      <c r="U296" s="16"/>
      <c r="V296" s="16"/>
      <c r="W296" s="16"/>
      <c r="X296" s="16"/>
      <c r="AD296"/>
      <c r="AE296"/>
    </row>
    <row r="297" spans="1:31" hidden="1" x14ac:dyDescent="0.2">
      <c r="A297" s="43">
        <v>274</v>
      </c>
      <c r="B297" s="13" t="s">
        <v>687</v>
      </c>
      <c r="C297" s="33">
        <v>1</v>
      </c>
      <c r="D297" s="34">
        <v>58</v>
      </c>
      <c r="E297" s="34">
        <v>58</v>
      </c>
      <c r="F297" s="34">
        <v>0</v>
      </c>
      <c r="G297" s="34">
        <v>0</v>
      </c>
      <c r="H297" s="34">
        <v>1</v>
      </c>
      <c r="I297" s="35">
        <f t="shared" si="12"/>
        <v>1</v>
      </c>
      <c r="J297" s="35" t="str">
        <f t="shared" si="13"/>
        <v>-</v>
      </c>
      <c r="L297" s="18"/>
      <c r="M297" s="19"/>
      <c r="N297" s="19"/>
      <c r="O297" s="19"/>
      <c r="P297" s="19"/>
      <c r="Q297" s="16"/>
      <c r="R297" s="16"/>
      <c r="S297" s="16"/>
      <c r="T297" s="16"/>
      <c r="U297" s="16"/>
      <c r="V297" s="16"/>
      <c r="W297" s="16"/>
      <c r="X297" s="16"/>
      <c r="AD297"/>
      <c r="AE297"/>
    </row>
    <row r="298" spans="1:31" hidden="1" x14ac:dyDescent="0.2">
      <c r="A298" s="44">
        <v>275</v>
      </c>
      <c r="B298" s="15" t="s">
        <v>772</v>
      </c>
      <c r="C298" s="14">
        <v>1</v>
      </c>
      <c r="D298" s="36">
        <v>56</v>
      </c>
      <c r="E298" s="36">
        <v>46</v>
      </c>
      <c r="F298" s="36">
        <v>0</v>
      </c>
      <c r="G298" s="36">
        <v>0</v>
      </c>
      <c r="H298" s="36">
        <v>1</v>
      </c>
      <c r="I298" s="37">
        <f t="shared" si="12"/>
        <v>0.8214285714285714</v>
      </c>
      <c r="J298" s="37" t="str">
        <f t="shared" si="13"/>
        <v>-</v>
      </c>
      <c r="L298" s="18"/>
      <c r="M298" s="19"/>
      <c r="N298" s="19"/>
      <c r="O298" s="19"/>
      <c r="P298" s="19"/>
      <c r="Q298" s="16"/>
      <c r="R298" s="16"/>
      <c r="S298" s="16"/>
      <c r="T298" s="16"/>
      <c r="U298" s="16"/>
      <c r="V298" s="16"/>
      <c r="W298" s="16"/>
      <c r="X298" s="16"/>
      <c r="AD298"/>
      <c r="AE298"/>
    </row>
    <row r="299" spans="1:31" hidden="1" x14ac:dyDescent="0.2">
      <c r="A299" s="43">
        <v>276</v>
      </c>
      <c r="B299" s="13" t="s">
        <v>731</v>
      </c>
      <c r="C299" s="33">
        <v>1</v>
      </c>
      <c r="D299" s="34">
        <v>56</v>
      </c>
      <c r="E299" s="34">
        <v>51</v>
      </c>
      <c r="F299" s="34">
        <v>0</v>
      </c>
      <c r="G299" s="34">
        <v>0</v>
      </c>
      <c r="H299" s="34">
        <v>1</v>
      </c>
      <c r="I299" s="35">
        <f t="shared" si="12"/>
        <v>0.9107142857142857</v>
      </c>
      <c r="J299" s="35" t="str">
        <f t="shared" si="13"/>
        <v>-</v>
      </c>
      <c r="L299" s="18"/>
      <c r="M299" s="19"/>
      <c r="N299" s="19"/>
      <c r="O299" s="19"/>
      <c r="P299" s="19"/>
      <c r="Q299" s="16"/>
      <c r="R299" s="16"/>
      <c r="S299" s="16"/>
      <c r="T299" s="16"/>
      <c r="U299" s="16"/>
      <c r="V299" s="16"/>
      <c r="W299" s="16"/>
      <c r="X299" s="16"/>
      <c r="AD299"/>
      <c r="AE299"/>
    </row>
    <row r="300" spans="1:31" hidden="1" x14ac:dyDescent="0.2">
      <c r="A300" s="44">
        <v>277</v>
      </c>
      <c r="B300" s="15" t="s">
        <v>698</v>
      </c>
      <c r="C300" s="14">
        <v>1</v>
      </c>
      <c r="D300" s="36">
        <v>56</v>
      </c>
      <c r="E300" s="36">
        <v>56</v>
      </c>
      <c r="F300" s="36">
        <v>0</v>
      </c>
      <c r="G300" s="36">
        <v>0</v>
      </c>
      <c r="H300" s="36">
        <v>1</v>
      </c>
      <c r="I300" s="37">
        <f t="shared" si="12"/>
        <v>1</v>
      </c>
      <c r="J300" s="37" t="str">
        <f t="shared" si="13"/>
        <v>-</v>
      </c>
      <c r="L300" s="18"/>
      <c r="M300" s="19"/>
      <c r="N300" s="19"/>
      <c r="O300" s="19"/>
      <c r="P300" s="19"/>
      <c r="Q300" s="16"/>
      <c r="R300" s="16"/>
      <c r="S300" s="16"/>
      <c r="T300" s="16"/>
      <c r="U300" s="16"/>
      <c r="V300" s="16"/>
      <c r="W300" s="16"/>
      <c r="X300" s="16"/>
      <c r="AD300"/>
      <c r="AE300"/>
    </row>
    <row r="301" spans="1:31" hidden="1" x14ac:dyDescent="0.2">
      <c r="A301" s="43">
        <v>278</v>
      </c>
      <c r="B301" s="13" t="s">
        <v>746</v>
      </c>
      <c r="C301" s="33">
        <v>2</v>
      </c>
      <c r="D301" s="34">
        <v>55</v>
      </c>
      <c r="E301" s="34">
        <v>75</v>
      </c>
      <c r="F301" s="34">
        <v>0</v>
      </c>
      <c r="G301" s="34">
        <v>0</v>
      </c>
      <c r="H301" s="34">
        <v>1</v>
      </c>
      <c r="I301" s="35">
        <f t="shared" si="12"/>
        <v>1.3636363636363635</v>
      </c>
      <c r="J301" s="35" t="str">
        <f t="shared" si="13"/>
        <v>-</v>
      </c>
      <c r="L301" s="18"/>
      <c r="M301" s="19"/>
      <c r="N301" s="19"/>
      <c r="O301" s="19"/>
      <c r="P301" s="19"/>
      <c r="Q301" s="16"/>
      <c r="R301" s="16"/>
      <c r="S301" s="16"/>
      <c r="T301" s="16"/>
      <c r="U301" s="16"/>
      <c r="V301" s="16"/>
      <c r="W301" s="16"/>
      <c r="X301" s="16"/>
      <c r="AD301"/>
      <c r="AE301"/>
    </row>
    <row r="302" spans="1:31" hidden="1" x14ac:dyDescent="0.2">
      <c r="A302" s="44">
        <v>279</v>
      </c>
      <c r="B302" s="15" t="s">
        <v>709</v>
      </c>
      <c r="C302" s="14">
        <v>1</v>
      </c>
      <c r="D302" s="36">
        <v>55</v>
      </c>
      <c r="E302" s="36">
        <v>53</v>
      </c>
      <c r="F302" s="36">
        <v>0</v>
      </c>
      <c r="G302" s="36">
        <v>0</v>
      </c>
      <c r="H302" s="36">
        <v>1</v>
      </c>
      <c r="I302" s="37">
        <f t="shared" si="12"/>
        <v>0.96363636363636362</v>
      </c>
      <c r="J302" s="37" t="str">
        <f t="shared" si="13"/>
        <v>-</v>
      </c>
      <c r="L302" s="18"/>
      <c r="M302" s="19"/>
      <c r="N302" s="19"/>
      <c r="O302" s="19"/>
      <c r="P302" s="19"/>
      <c r="Q302" s="16"/>
      <c r="R302" s="16"/>
      <c r="S302" s="16"/>
      <c r="T302" s="16"/>
      <c r="U302" s="16"/>
      <c r="V302" s="16"/>
      <c r="W302" s="16"/>
      <c r="X302" s="16"/>
      <c r="AD302"/>
      <c r="AE302"/>
    </row>
    <row r="303" spans="1:31" hidden="1" x14ac:dyDescent="0.2">
      <c r="A303" s="44">
        <v>283</v>
      </c>
      <c r="B303" s="15" t="s">
        <v>711</v>
      </c>
      <c r="C303" s="14">
        <v>1</v>
      </c>
      <c r="D303" s="36">
        <v>53</v>
      </c>
      <c r="E303" s="36">
        <v>53</v>
      </c>
      <c r="F303" s="36">
        <v>0</v>
      </c>
      <c r="G303" s="36">
        <v>0</v>
      </c>
      <c r="H303" s="36">
        <v>1</v>
      </c>
      <c r="I303" s="37">
        <f t="shared" si="12"/>
        <v>1</v>
      </c>
      <c r="J303" s="37" t="str">
        <f t="shared" si="13"/>
        <v>-</v>
      </c>
      <c r="L303" s="18"/>
      <c r="M303" s="19"/>
      <c r="N303" s="19"/>
      <c r="O303" s="19"/>
      <c r="P303" s="19"/>
      <c r="Q303" s="16"/>
      <c r="R303" s="16"/>
      <c r="S303" s="16"/>
      <c r="T303" s="16"/>
      <c r="U303" s="16"/>
      <c r="V303" s="16"/>
      <c r="W303" s="16"/>
      <c r="X303" s="16"/>
      <c r="AD303"/>
      <c r="AE303"/>
    </row>
    <row r="304" spans="1:31" hidden="1" x14ac:dyDescent="0.2">
      <c r="A304" s="44">
        <v>285</v>
      </c>
      <c r="B304" s="15" t="s">
        <v>722</v>
      </c>
      <c r="C304" s="14">
        <v>1</v>
      </c>
      <c r="D304" s="36">
        <v>52</v>
      </c>
      <c r="E304" s="36">
        <v>52</v>
      </c>
      <c r="F304" s="36">
        <v>0</v>
      </c>
      <c r="G304" s="36">
        <v>0</v>
      </c>
      <c r="H304" s="36">
        <v>1</v>
      </c>
      <c r="I304" s="37">
        <f t="shared" si="12"/>
        <v>1</v>
      </c>
      <c r="J304" s="37" t="str">
        <f t="shared" si="13"/>
        <v>-</v>
      </c>
      <c r="L304" s="18"/>
      <c r="M304" s="19"/>
      <c r="N304" s="19"/>
      <c r="O304" s="19"/>
      <c r="P304" s="19"/>
      <c r="Q304" s="16"/>
      <c r="R304" s="16"/>
      <c r="S304" s="16"/>
      <c r="T304" s="16"/>
      <c r="U304" s="16"/>
      <c r="V304" s="16"/>
      <c r="W304" s="16"/>
      <c r="X304" s="16"/>
      <c r="AD304"/>
      <c r="AE304"/>
    </row>
    <row r="305" spans="1:31" hidden="1" x14ac:dyDescent="0.2">
      <c r="A305" s="44">
        <v>287</v>
      </c>
      <c r="B305" s="15" t="s">
        <v>742</v>
      </c>
      <c r="C305" s="14">
        <v>1</v>
      </c>
      <c r="D305" s="36">
        <v>51</v>
      </c>
      <c r="E305" s="36">
        <v>50</v>
      </c>
      <c r="F305" s="36">
        <v>0</v>
      </c>
      <c r="G305" s="36">
        <v>0</v>
      </c>
      <c r="H305" s="36">
        <v>1</v>
      </c>
      <c r="I305" s="37">
        <f t="shared" si="12"/>
        <v>0.98039215686274506</v>
      </c>
      <c r="J305" s="37" t="str">
        <f t="shared" si="13"/>
        <v>-</v>
      </c>
      <c r="L305" s="18"/>
      <c r="M305" s="19"/>
      <c r="N305" s="19"/>
      <c r="O305" s="19"/>
      <c r="P305" s="19"/>
      <c r="Q305" s="16"/>
      <c r="R305" s="16"/>
      <c r="S305" s="16"/>
      <c r="T305" s="16"/>
      <c r="U305" s="16"/>
      <c r="V305" s="16"/>
      <c r="W305" s="16"/>
      <c r="X305" s="16"/>
      <c r="AD305"/>
      <c r="AE305"/>
    </row>
    <row r="306" spans="1:31" hidden="1" x14ac:dyDescent="0.2">
      <c r="A306" s="43">
        <v>288</v>
      </c>
      <c r="B306" s="13" t="s">
        <v>770</v>
      </c>
      <c r="C306" s="33">
        <v>1</v>
      </c>
      <c r="D306" s="34">
        <v>51</v>
      </c>
      <c r="E306" s="34">
        <v>47</v>
      </c>
      <c r="F306" s="34">
        <v>0</v>
      </c>
      <c r="G306" s="34">
        <v>0</v>
      </c>
      <c r="H306" s="34">
        <v>1</v>
      </c>
      <c r="I306" s="35">
        <f t="shared" si="12"/>
        <v>0.92156862745098034</v>
      </c>
      <c r="J306" s="35" t="str">
        <f t="shared" si="13"/>
        <v>-</v>
      </c>
      <c r="L306" s="18"/>
      <c r="M306" s="19"/>
      <c r="N306" s="19"/>
      <c r="O306" s="19"/>
      <c r="P306" s="19"/>
      <c r="Q306" s="16"/>
      <c r="R306" s="16"/>
      <c r="S306" s="16"/>
      <c r="T306" s="16"/>
      <c r="U306" s="16"/>
      <c r="V306" s="16"/>
      <c r="W306" s="16"/>
      <c r="X306" s="16"/>
      <c r="AD306"/>
      <c r="AE306"/>
    </row>
    <row r="307" spans="1:31" hidden="1" x14ac:dyDescent="0.2">
      <c r="A307" s="44">
        <v>291</v>
      </c>
      <c r="B307" s="15" t="s">
        <v>795</v>
      </c>
      <c r="C307" s="14">
        <v>1</v>
      </c>
      <c r="D307" s="36">
        <v>50</v>
      </c>
      <c r="E307" s="36">
        <v>44</v>
      </c>
      <c r="F307" s="36">
        <v>0</v>
      </c>
      <c r="G307" s="36">
        <v>0</v>
      </c>
      <c r="H307" s="36">
        <v>1</v>
      </c>
      <c r="I307" s="37">
        <f t="shared" si="12"/>
        <v>0.88</v>
      </c>
      <c r="J307" s="37" t="str">
        <f t="shared" si="13"/>
        <v>-</v>
      </c>
      <c r="L307" s="18"/>
      <c r="M307" s="19"/>
      <c r="N307" s="19"/>
      <c r="O307" s="19"/>
      <c r="P307" s="19"/>
      <c r="Q307" s="16"/>
      <c r="R307" s="16"/>
      <c r="S307" s="16"/>
      <c r="T307" s="16"/>
      <c r="U307" s="16"/>
      <c r="V307" s="16"/>
      <c r="W307" s="16"/>
      <c r="X307" s="16"/>
      <c r="AD307"/>
      <c r="AE307"/>
    </row>
    <row r="308" spans="1:31" hidden="1" x14ac:dyDescent="0.2">
      <c r="A308" s="43">
        <v>292</v>
      </c>
      <c r="B308" s="13" t="s">
        <v>805</v>
      </c>
      <c r="C308" s="33">
        <v>1</v>
      </c>
      <c r="D308" s="34">
        <v>50</v>
      </c>
      <c r="E308" s="34">
        <v>42</v>
      </c>
      <c r="F308" s="34">
        <v>0</v>
      </c>
      <c r="G308" s="34">
        <v>0</v>
      </c>
      <c r="H308" s="34">
        <v>1</v>
      </c>
      <c r="I308" s="35">
        <f t="shared" si="12"/>
        <v>0.84</v>
      </c>
      <c r="J308" s="35" t="str">
        <f t="shared" si="13"/>
        <v>-</v>
      </c>
      <c r="L308" s="18"/>
      <c r="M308" s="19"/>
      <c r="N308" s="19"/>
      <c r="O308" s="19"/>
      <c r="P308" s="19"/>
      <c r="Q308" s="16"/>
      <c r="R308" s="16"/>
      <c r="S308" s="16"/>
      <c r="T308" s="16"/>
      <c r="U308" s="16"/>
      <c r="V308" s="16"/>
      <c r="W308" s="16"/>
      <c r="X308" s="16"/>
      <c r="AD308"/>
      <c r="AE308"/>
    </row>
    <row r="309" spans="1:31" hidden="1" x14ac:dyDescent="0.2">
      <c r="A309" s="44">
        <v>293</v>
      </c>
      <c r="B309" s="15" t="s">
        <v>685</v>
      </c>
      <c r="C309" s="14">
        <v>1</v>
      </c>
      <c r="D309" s="36">
        <v>50</v>
      </c>
      <c r="E309" s="36">
        <v>58</v>
      </c>
      <c r="F309" s="36">
        <v>0</v>
      </c>
      <c r="G309" s="36">
        <v>0</v>
      </c>
      <c r="H309" s="36">
        <v>1</v>
      </c>
      <c r="I309" s="37">
        <f t="shared" si="12"/>
        <v>1.1599999999999999</v>
      </c>
      <c r="J309" s="37" t="str">
        <f t="shared" si="13"/>
        <v>-</v>
      </c>
      <c r="L309" s="18"/>
      <c r="M309" s="19"/>
      <c r="N309" s="19"/>
      <c r="O309" s="19"/>
      <c r="P309" s="19"/>
      <c r="Q309" s="16"/>
      <c r="R309" s="16"/>
      <c r="S309" s="16"/>
      <c r="T309" s="16"/>
      <c r="U309" s="16"/>
      <c r="V309" s="16"/>
      <c r="W309" s="16"/>
      <c r="X309" s="16"/>
      <c r="AD309"/>
      <c r="AE309"/>
    </row>
    <row r="310" spans="1:31" hidden="1" x14ac:dyDescent="0.2">
      <c r="A310" s="43">
        <v>294</v>
      </c>
      <c r="B310" s="13" t="s">
        <v>735</v>
      </c>
      <c r="C310" s="33">
        <v>2</v>
      </c>
      <c r="D310" s="34">
        <v>50</v>
      </c>
      <c r="E310" s="34">
        <v>50</v>
      </c>
      <c r="F310" s="34">
        <v>19</v>
      </c>
      <c r="G310" s="34">
        <v>12</v>
      </c>
      <c r="H310" s="34">
        <v>1</v>
      </c>
      <c r="I310" s="35">
        <f t="shared" si="12"/>
        <v>1</v>
      </c>
      <c r="J310" s="35">
        <f t="shared" si="13"/>
        <v>0.63157894736842102</v>
      </c>
      <c r="L310" s="18"/>
      <c r="M310" s="19"/>
      <c r="N310" s="19"/>
      <c r="O310" s="19"/>
      <c r="P310" s="19"/>
      <c r="Q310" s="16"/>
      <c r="R310" s="16"/>
      <c r="S310" s="16"/>
      <c r="T310" s="16"/>
      <c r="U310" s="16"/>
      <c r="V310" s="16"/>
      <c r="W310" s="16"/>
      <c r="X310" s="16"/>
      <c r="AD310"/>
      <c r="AE310"/>
    </row>
    <row r="311" spans="1:31" hidden="1" x14ac:dyDescent="0.2">
      <c r="A311" s="43">
        <v>296</v>
      </c>
      <c r="B311" s="13" t="s">
        <v>826</v>
      </c>
      <c r="C311" s="33">
        <v>1</v>
      </c>
      <c r="D311" s="34">
        <v>48</v>
      </c>
      <c r="E311" s="34">
        <v>36</v>
      </c>
      <c r="F311" s="34">
        <v>0</v>
      </c>
      <c r="G311" s="34">
        <v>0</v>
      </c>
      <c r="H311" s="34">
        <v>1</v>
      </c>
      <c r="I311" s="35">
        <f t="shared" si="12"/>
        <v>0.75</v>
      </c>
      <c r="J311" s="35" t="str">
        <f t="shared" si="13"/>
        <v>-</v>
      </c>
      <c r="L311" s="18"/>
      <c r="M311" s="19"/>
      <c r="N311" s="19"/>
      <c r="O311" s="19"/>
      <c r="P311" s="19"/>
      <c r="Q311" s="16"/>
      <c r="R311" s="16"/>
      <c r="S311" s="16"/>
      <c r="T311" s="16"/>
      <c r="U311" s="16"/>
      <c r="V311" s="16"/>
      <c r="W311" s="16"/>
      <c r="X311" s="16"/>
      <c r="AD311"/>
      <c r="AE311"/>
    </row>
    <row r="312" spans="1:31" hidden="1" x14ac:dyDescent="0.2">
      <c r="A312" s="44">
        <v>297</v>
      </c>
      <c r="B312" s="15" t="s">
        <v>602</v>
      </c>
      <c r="C312" s="14">
        <v>1</v>
      </c>
      <c r="D312" s="36">
        <v>48</v>
      </c>
      <c r="E312" s="36">
        <v>77</v>
      </c>
      <c r="F312" s="36">
        <v>0</v>
      </c>
      <c r="G312" s="36">
        <v>0</v>
      </c>
      <c r="H312" s="36">
        <v>1</v>
      </c>
      <c r="I312" s="37">
        <f t="shared" si="12"/>
        <v>1.6041666666666667</v>
      </c>
      <c r="J312" s="37" t="str">
        <f t="shared" si="13"/>
        <v>-</v>
      </c>
      <c r="L312" s="18"/>
      <c r="M312" s="19"/>
      <c r="N312" s="19"/>
      <c r="O312" s="19"/>
      <c r="P312" s="19"/>
      <c r="Q312" s="16"/>
      <c r="R312" s="16"/>
      <c r="S312" s="16"/>
      <c r="T312" s="16"/>
      <c r="U312" s="16"/>
      <c r="V312" s="16"/>
      <c r="W312" s="16"/>
      <c r="X312" s="16"/>
      <c r="AD312"/>
      <c r="AE312"/>
    </row>
    <row r="313" spans="1:31" hidden="1" x14ac:dyDescent="0.2">
      <c r="A313" s="43">
        <v>298</v>
      </c>
      <c r="B313" s="13" t="s">
        <v>820</v>
      </c>
      <c r="C313" s="33">
        <v>2</v>
      </c>
      <c r="D313" s="34">
        <v>47</v>
      </c>
      <c r="E313" s="34">
        <v>37</v>
      </c>
      <c r="F313" s="34">
        <v>24</v>
      </c>
      <c r="G313" s="34">
        <v>19</v>
      </c>
      <c r="H313" s="34">
        <v>1</v>
      </c>
      <c r="I313" s="35">
        <f t="shared" si="12"/>
        <v>0.78723404255319152</v>
      </c>
      <c r="J313" s="35">
        <f t="shared" si="13"/>
        <v>0.79166666666666663</v>
      </c>
      <c r="L313" s="18"/>
      <c r="M313" s="19"/>
      <c r="N313" s="19"/>
      <c r="O313" s="19"/>
      <c r="P313" s="19"/>
      <c r="Q313" s="16"/>
      <c r="R313" s="16"/>
      <c r="S313" s="16"/>
      <c r="T313" s="16"/>
      <c r="U313" s="16"/>
      <c r="V313" s="16"/>
      <c r="W313" s="16"/>
      <c r="X313" s="16"/>
      <c r="AD313"/>
      <c r="AE313"/>
    </row>
    <row r="314" spans="1:31" hidden="1" x14ac:dyDescent="0.2">
      <c r="A314" s="44">
        <v>299</v>
      </c>
      <c r="B314" s="15" t="s">
        <v>769</v>
      </c>
      <c r="C314" s="14">
        <v>1</v>
      </c>
      <c r="D314" s="36">
        <v>47</v>
      </c>
      <c r="E314" s="36">
        <v>47</v>
      </c>
      <c r="F314" s="36">
        <v>0</v>
      </c>
      <c r="G314" s="36">
        <v>0</v>
      </c>
      <c r="H314" s="36">
        <v>1</v>
      </c>
      <c r="I314" s="37">
        <f t="shared" si="12"/>
        <v>1</v>
      </c>
      <c r="J314" s="37" t="str">
        <f t="shared" si="13"/>
        <v>-</v>
      </c>
      <c r="L314" s="18"/>
      <c r="M314" s="19"/>
      <c r="N314" s="19"/>
      <c r="O314" s="19"/>
      <c r="P314" s="19"/>
      <c r="Q314" s="16"/>
      <c r="R314" s="16"/>
      <c r="S314" s="16"/>
      <c r="T314" s="16"/>
      <c r="U314" s="16"/>
      <c r="V314" s="16"/>
      <c r="W314" s="16"/>
      <c r="X314" s="16"/>
      <c r="AD314"/>
      <c r="AE314"/>
    </row>
    <row r="315" spans="1:31" hidden="1" x14ac:dyDescent="0.2">
      <c r="A315" s="43">
        <v>300</v>
      </c>
      <c r="B315" s="13" t="s">
        <v>786</v>
      </c>
      <c r="C315" s="33">
        <v>1</v>
      </c>
      <c r="D315" s="34">
        <v>47</v>
      </c>
      <c r="E315" s="34">
        <v>45</v>
      </c>
      <c r="F315" s="34">
        <v>0</v>
      </c>
      <c r="G315" s="34">
        <v>0</v>
      </c>
      <c r="H315" s="34">
        <v>1</v>
      </c>
      <c r="I315" s="35">
        <f t="shared" si="12"/>
        <v>0.95744680851063835</v>
      </c>
      <c r="J315" s="35" t="str">
        <f t="shared" si="13"/>
        <v>-</v>
      </c>
      <c r="L315" s="18"/>
      <c r="M315" s="19"/>
      <c r="N315" s="19"/>
      <c r="O315" s="19"/>
      <c r="P315" s="19"/>
      <c r="Q315" s="16"/>
      <c r="R315" s="16"/>
      <c r="S315" s="16"/>
      <c r="T315" s="16"/>
      <c r="U315" s="16"/>
      <c r="V315" s="16"/>
      <c r="W315" s="16"/>
      <c r="X315" s="16"/>
      <c r="AD315"/>
      <c r="AE315"/>
    </row>
    <row r="316" spans="1:31" hidden="1" x14ac:dyDescent="0.2">
      <c r="A316" s="43">
        <v>302</v>
      </c>
      <c r="B316" s="13" t="s">
        <v>813</v>
      </c>
      <c r="C316" s="33">
        <v>3</v>
      </c>
      <c r="D316" s="34">
        <v>45</v>
      </c>
      <c r="E316" s="34">
        <v>108</v>
      </c>
      <c r="F316" s="34">
        <v>0</v>
      </c>
      <c r="G316" s="34">
        <v>0</v>
      </c>
      <c r="H316" s="34">
        <v>1</v>
      </c>
      <c r="I316" s="35">
        <f t="shared" si="12"/>
        <v>2.4</v>
      </c>
      <c r="J316" s="35" t="str">
        <f t="shared" si="13"/>
        <v>-</v>
      </c>
      <c r="L316" s="18"/>
      <c r="M316" s="19"/>
      <c r="N316" s="19"/>
      <c r="O316" s="19"/>
      <c r="P316" s="19"/>
      <c r="Q316" s="16"/>
      <c r="R316" s="16"/>
      <c r="S316" s="16"/>
      <c r="T316" s="16"/>
      <c r="U316" s="16"/>
      <c r="V316" s="16"/>
      <c r="W316" s="16"/>
      <c r="X316" s="16"/>
      <c r="AD316"/>
      <c r="AE316"/>
    </row>
    <row r="317" spans="1:31" hidden="1" x14ac:dyDescent="0.2">
      <c r="A317" s="43">
        <v>304</v>
      </c>
      <c r="B317" s="13" t="s">
        <v>817</v>
      </c>
      <c r="C317" s="33">
        <v>3</v>
      </c>
      <c r="D317" s="34">
        <v>43</v>
      </c>
      <c r="E317" s="34">
        <v>38</v>
      </c>
      <c r="F317" s="34">
        <v>24</v>
      </c>
      <c r="G317" s="34">
        <v>23</v>
      </c>
      <c r="H317" s="34">
        <v>1</v>
      </c>
      <c r="I317" s="35">
        <f t="shared" si="12"/>
        <v>0.88372093023255816</v>
      </c>
      <c r="J317" s="35">
        <f t="shared" si="13"/>
        <v>0.95833333333333337</v>
      </c>
      <c r="L317" s="18"/>
      <c r="M317" s="19"/>
      <c r="N317" s="19"/>
      <c r="O317" s="19"/>
      <c r="P317" s="19"/>
      <c r="Q317" s="16"/>
      <c r="R317" s="16"/>
      <c r="S317" s="16"/>
      <c r="T317" s="16"/>
      <c r="U317" s="16"/>
      <c r="V317" s="16"/>
      <c r="W317" s="16"/>
      <c r="X317" s="16"/>
      <c r="AD317"/>
      <c r="AE317"/>
    </row>
    <row r="318" spans="1:31" hidden="1" x14ac:dyDescent="0.2">
      <c r="A318" s="44">
        <v>307</v>
      </c>
      <c r="B318" s="15" t="s">
        <v>807</v>
      </c>
      <c r="C318" s="14">
        <v>1</v>
      </c>
      <c r="D318" s="36">
        <v>42</v>
      </c>
      <c r="E318" s="36">
        <v>42</v>
      </c>
      <c r="F318" s="36">
        <v>0</v>
      </c>
      <c r="G318" s="36">
        <v>0</v>
      </c>
      <c r="H318" s="36">
        <v>1</v>
      </c>
      <c r="I318" s="37">
        <f t="shared" si="12"/>
        <v>1</v>
      </c>
      <c r="J318" s="37" t="str">
        <f t="shared" si="13"/>
        <v>-</v>
      </c>
      <c r="L318" s="18"/>
      <c r="M318" s="19"/>
      <c r="N318" s="19"/>
      <c r="O318" s="19"/>
      <c r="P318" s="19"/>
      <c r="Q318" s="16"/>
      <c r="R318" s="16"/>
      <c r="S318" s="16"/>
      <c r="T318" s="16"/>
      <c r="U318" s="16"/>
      <c r="V318" s="16"/>
      <c r="W318" s="16"/>
      <c r="X318" s="16"/>
      <c r="AD318"/>
      <c r="AE318"/>
    </row>
    <row r="319" spans="1:31" hidden="1" x14ac:dyDescent="0.2">
      <c r="A319" s="43">
        <v>308</v>
      </c>
      <c r="B319" s="13" t="s">
        <v>959</v>
      </c>
      <c r="C319" s="33">
        <v>1</v>
      </c>
      <c r="D319" s="34">
        <v>40</v>
      </c>
      <c r="E319" s="34">
        <v>15</v>
      </c>
      <c r="F319" s="34">
        <v>0</v>
      </c>
      <c r="G319" s="34">
        <v>0</v>
      </c>
      <c r="H319" s="34">
        <v>1</v>
      </c>
      <c r="I319" s="35">
        <f t="shared" si="12"/>
        <v>0.375</v>
      </c>
      <c r="J319" s="35" t="str">
        <f t="shared" si="13"/>
        <v>-</v>
      </c>
      <c r="L319" s="18"/>
      <c r="M319" s="19"/>
      <c r="N319" s="19"/>
      <c r="O319" s="19"/>
      <c r="P319" s="19"/>
      <c r="Q319" s="16"/>
      <c r="R319" s="16"/>
      <c r="S319" s="16"/>
      <c r="T319" s="16"/>
      <c r="U319" s="16"/>
      <c r="V319" s="16"/>
      <c r="W319" s="16"/>
      <c r="X319" s="16"/>
      <c r="AD319"/>
      <c r="AE319"/>
    </row>
    <row r="320" spans="1:31" hidden="1" x14ac:dyDescent="0.2">
      <c r="A320" s="44">
        <v>309</v>
      </c>
      <c r="B320" s="15" t="s">
        <v>812</v>
      </c>
      <c r="C320" s="14">
        <v>1</v>
      </c>
      <c r="D320" s="36">
        <v>40</v>
      </c>
      <c r="E320" s="36">
        <v>40</v>
      </c>
      <c r="F320" s="36">
        <v>0</v>
      </c>
      <c r="G320" s="36">
        <v>0</v>
      </c>
      <c r="H320" s="36">
        <v>1</v>
      </c>
      <c r="I320" s="37">
        <f t="shared" si="12"/>
        <v>1</v>
      </c>
      <c r="J320" s="37" t="str">
        <f t="shared" si="13"/>
        <v>-</v>
      </c>
      <c r="L320" s="18"/>
      <c r="M320" s="19"/>
      <c r="N320" s="19"/>
      <c r="O320" s="19"/>
      <c r="P320" s="19"/>
      <c r="Q320" s="16"/>
      <c r="R320" s="16"/>
      <c r="S320" s="16"/>
      <c r="T320" s="16"/>
      <c r="U320" s="16"/>
      <c r="V320" s="16"/>
      <c r="W320" s="16"/>
      <c r="X320" s="16"/>
      <c r="AD320"/>
      <c r="AE320"/>
    </row>
    <row r="321" spans="1:31" hidden="1" x14ac:dyDescent="0.2">
      <c r="A321" s="43">
        <v>310</v>
      </c>
      <c r="B321" s="13" t="s">
        <v>841</v>
      </c>
      <c r="C321" s="33">
        <v>1</v>
      </c>
      <c r="D321" s="34">
        <v>39</v>
      </c>
      <c r="E321" s="34">
        <v>34</v>
      </c>
      <c r="F321" s="34">
        <v>0</v>
      </c>
      <c r="G321" s="34">
        <v>0</v>
      </c>
      <c r="H321" s="34">
        <v>1</v>
      </c>
      <c r="I321" s="35">
        <f t="shared" si="12"/>
        <v>0.87179487179487181</v>
      </c>
      <c r="J321" s="35" t="str">
        <f t="shared" si="13"/>
        <v>-</v>
      </c>
      <c r="L321" s="18"/>
      <c r="M321" s="19"/>
      <c r="N321" s="19"/>
      <c r="O321" s="19"/>
      <c r="P321" s="19"/>
      <c r="Q321" s="16"/>
      <c r="R321" s="16"/>
      <c r="S321" s="16"/>
      <c r="T321" s="16"/>
      <c r="U321" s="16"/>
      <c r="V321" s="16"/>
      <c r="W321" s="16"/>
      <c r="X321" s="16"/>
      <c r="AD321"/>
      <c r="AE321"/>
    </row>
    <row r="322" spans="1:31" hidden="1" x14ac:dyDescent="0.2">
      <c r="A322" s="44">
        <v>311</v>
      </c>
      <c r="B322" s="15" t="s">
        <v>823</v>
      </c>
      <c r="C322" s="14">
        <v>1</v>
      </c>
      <c r="D322" s="36">
        <v>37</v>
      </c>
      <c r="E322" s="36">
        <v>37</v>
      </c>
      <c r="F322" s="36">
        <v>0</v>
      </c>
      <c r="G322" s="36">
        <v>0</v>
      </c>
      <c r="H322" s="36">
        <v>1</v>
      </c>
      <c r="I322" s="37">
        <f t="shared" si="12"/>
        <v>1</v>
      </c>
      <c r="J322" s="37" t="str">
        <f t="shared" si="13"/>
        <v>-</v>
      </c>
      <c r="L322" s="18"/>
      <c r="M322" s="19"/>
      <c r="N322" s="19"/>
      <c r="O322" s="19"/>
      <c r="P322" s="19"/>
      <c r="Q322" s="16"/>
      <c r="R322" s="16"/>
      <c r="S322" s="16"/>
      <c r="T322" s="16"/>
      <c r="U322" s="16"/>
      <c r="V322" s="16"/>
      <c r="W322" s="16"/>
      <c r="X322" s="16"/>
      <c r="AD322"/>
      <c r="AE322"/>
    </row>
    <row r="323" spans="1:31" hidden="1" x14ac:dyDescent="0.2">
      <c r="A323" s="44">
        <v>313</v>
      </c>
      <c r="B323" s="15" t="s">
        <v>873</v>
      </c>
      <c r="C323" s="14">
        <v>4</v>
      </c>
      <c r="D323" s="36">
        <v>31</v>
      </c>
      <c r="E323" s="36">
        <v>25</v>
      </c>
      <c r="F323" s="36">
        <v>248</v>
      </c>
      <c r="G323" s="36">
        <v>248</v>
      </c>
      <c r="H323" s="36">
        <v>1</v>
      </c>
      <c r="I323" s="37">
        <f t="shared" si="12"/>
        <v>0.80645161290322576</v>
      </c>
      <c r="J323" s="37">
        <f t="shared" si="13"/>
        <v>1</v>
      </c>
      <c r="L323" s="18"/>
      <c r="M323" s="19"/>
      <c r="N323" s="19"/>
      <c r="O323" s="19"/>
      <c r="P323" s="19"/>
      <c r="Q323" s="16"/>
      <c r="R323" s="16"/>
      <c r="S323" s="16"/>
      <c r="T323" s="16"/>
      <c r="U323" s="16"/>
      <c r="V323" s="16"/>
      <c r="W323" s="16"/>
      <c r="X323" s="16"/>
      <c r="AD323"/>
      <c r="AE323"/>
    </row>
    <row r="324" spans="1:31" hidden="1" x14ac:dyDescent="0.2">
      <c r="A324" s="43">
        <v>316</v>
      </c>
      <c r="B324" s="13" t="s">
        <v>1406</v>
      </c>
      <c r="C324" s="33">
        <v>1</v>
      </c>
      <c r="D324" s="34">
        <v>26</v>
      </c>
      <c r="E324" s="34">
        <v>0</v>
      </c>
      <c r="F324" s="34">
        <v>0</v>
      </c>
      <c r="G324" s="34">
        <v>0</v>
      </c>
      <c r="H324" s="34">
        <v>1</v>
      </c>
      <c r="I324" s="35">
        <f t="shared" si="12"/>
        <v>0</v>
      </c>
      <c r="J324" s="35" t="str">
        <f t="shared" si="13"/>
        <v>-</v>
      </c>
      <c r="L324" s="18"/>
      <c r="M324" s="19"/>
      <c r="N324" s="19"/>
      <c r="O324" s="19"/>
      <c r="P324" s="19"/>
      <c r="Q324" s="16"/>
      <c r="R324" s="16"/>
      <c r="S324" s="16"/>
      <c r="T324" s="16"/>
      <c r="U324" s="16"/>
      <c r="V324" s="16"/>
      <c r="W324" s="16"/>
      <c r="X324" s="16"/>
      <c r="AD324"/>
      <c r="AE324"/>
    </row>
    <row r="325" spans="1:31" hidden="1" x14ac:dyDescent="0.2">
      <c r="A325" s="44">
        <v>317</v>
      </c>
      <c r="B325" s="15" t="s">
        <v>875</v>
      </c>
      <c r="C325" s="14">
        <v>1</v>
      </c>
      <c r="D325" s="36">
        <v>25</v>
      </c>
      <c r="E325" s="36">
        <v>25</v>
      </c>
      <c r="F325" s="36">
        <v>10</v>
      </c>
      <c r="G325" s="36">
        <v>10</v>
      </c>
      <c r="H325" s="36">
        <v>1</v>
      </c>
      <c r="I325" s="37">
        <f t="shared" ref="I325:I388" si="14">IF(D325=0,"-",E325/D325)</f>
        <v>1</v>
      </c>
      <c r="J325" s="37">
        <f t="shared" ref="J325:J388" si="15">IF(F325=0,"-",G325/F325)</f>
        <v>1</v>
      </c>
      <c r="L325" s="18"/>
      <c r="M325" s="19"/>
      <c r="N325" s="19"/>
      <c r="O325" s="19"/>
      <c r="P325" s="19"/>
      <c r="Q325" s="16"/>
      <c r="R325" s="16"/>
      <c r="S325" s="16"/>
      <c r="T325" s="16"/>
      <c r="U325" s="16"/>
      <c r="V325" s="16"/>
      <c r="W325" s="16"/>
      <c r="X325" s="16"/>
      <c r="AD325"/>
      <c r="AE325"/>
    </row>
    <row r="326" spans="1:31" hidden="1" x14ac:dyDescent="0.2">
      <c r="A326" s="43">
        <v>318</v>
      </c>
      <c r="B326" s="13" t="s">
        <v>894</v>
      </c>
      <c r="C326" s="33">
        <v>1</v>
      </c>
      <c r="D326" s="34">
        <v>25</v>
      </c>
      <c r="E326" s="34">
        <v>25</v>
      </c>
      <c r="F326" s="34">
        <v>0</v>
      </c>
      <c r="G326" s="34">
        <v>0</v>
      </c>
      <c r="H326" s="34">
        <v>1</v>
      </c>
      <c r="I326" s="35">
        <f t="shared" si="14"/>
        <v>1</v>
      </c>
      <c r="J326" s="35" t="str">
        <f t="shared" si="15"/>
        <v>-</v>
      </c>
      <c r="L326" s="18"/>
      <c r="M326" s="19"/>
      <c r="N326" s="19"/>
      <c r="O326" s="19"/>
      <c r="P326" s="19"/>
      <c r="Q326" s="16"/>
      <c r="R326" s="16"/>
      <c r="S326" s="16"/>
      <c r="T326" s="16"/>
      <c r="U326" s="16"/>
      <c r="V326" s="16"/>
      <c r="W326" s="16"/>
      <c r="X326" s="16"/>
      <c r="AD326"/>
      <c r="AE326"/>
    </row>
    <row r="327" spans="1:31" hidden="1" x14ac:dyDescent="0.2">
      <c r="A327" s="44">
        <v>319</v>
      </c>
      <c r="B327" s="15" t="s">
        <v>912</v>
      </c>
      <c r="C327" s="14">
        <v>1</v>
      </c>
      <c r="D327" s="36">
        <v>25</v>
      </c>
      <c r="E327" s="36">
        <v>23</v>
      </c>
      <c r="F327" s="36">
        <v>0</v>
      </c>
      <c r="G327" s="36">
        <v>0</v>
      </c>
      <c r="H327" s="36">
        <v>1</v>
      </c>
      <c r="I327" s="37">
        <f t="shared" si="14"/>
        <v>0.92</v>
      </c>
      <c r="J327" s="37" t="str">
        <f t="shared" si="15"/>
        <v>-</v>
      </c>
      <c r="L327" s="18"/>
      <c r="M327" s="19"/>
      <c r="N327" s="19"/>
      <c r="O327" s="19"/>
      <c r="P327" s="19"/>
      <c r="Q327" s="16"/>
      <c r="R327" s="16"/>
      <c r="S327" s="16"/>
      <c r="T327" s="16"/>
      <c r="U327" s="16"/>
      <c r="V327" s="16"/>
      <c r="W327" s="16"/>
      <c r="X327" s="16"/>
      <c r="AD327"/>
      <c r="AE327"/>
    </row>
    <row r="328" spans="1:31" hidden="1" x14ac:dyDescent="0.2">
      <c r="A328" s="43">
        <v>320</v>
      </c>
      <c r="B328" s="13" t="s">
        <v>924</v>
      </c>
      <c r="C328" s="33">
        <v>3</v>
      </c>
      <c r="D328" s="34">
        <v>25</v>
      </c>
      <c r="E328" s="34">
        <v>22</v>
      </c>
      <c r="F328" s="34">
        <v>485</v>
      </c>
      <c r="G328" s="34">
        <v>475</v>
      </c>
      <c r="H328" s="34">
        <v>1</v>
      </c>
      <c r="I328" s="35">
        <f t="shared" si="14"/>
        <v>0.88</v>
      </c>
      <c r="J328" s="35">
        <f t="shared" si="15"/>
        <v>0.97938144329896903</v>
      </c>
      <c r="L328" s="18"/>
      <c r="M328" s="19"/>
      <c r="N328" s="19"/>
      <c r="O328" s="19"/>
      <c r="P328" s="19"/>
      <c r="Q328" s="16"/>
      <c r="R328" s="16"/>
      <c r="S328" s="16"/>
      <c r="T328" s="16"/>
      <c r="U328" s="16"/>
      <c r="V328" s="16"/>
      <c r="W328" s="16"/>
      <c r="X328" s="16"/>
      <c r="AD328"/>
      <c r="AE328"/>
    </row>
    <row r="329" spans="1:31" hidden="1" x14ac:dyDescent="0.2">
      <c r="A329" s="44">
        <v>321</v>
      </c>
      <c r="B329" s="15" t="s">
        <v>979</v>
      </c>
      <c r="C329" s="14">
        <v>1</v>
      </c>
      <c r="D329" s="36">
        <v>25</v>
      </c>
      <c r="E329" s="36">
        <v>7</v>
      </c>
      <c r="F329" s="36">
        <v>0</v>
      </c>
      <c r="G329" s="36">
        <v>0</v>
      </c>
      <c r="H329" s="36">
        <v>1</v>
      </c>
      <c r="I329" s="37">
        <f t="shared" si="14"/>
        <v>0.28000000000000003</v>
      </c>
      <c r="J329" s="37" t="str">
        <f t="shared" si="15"/>
        <v>-</v>
      </c>
      <c r="L329" s="18"/>
      <c r="M329" s="19"/>
      <c r="N329" s="19"/>
      <c r="O329" s="19"/>
      <c r="P329" s="19"/>
      <c r="Q329" s="16"/>
      <c r="R329" s="16"/>
      <c r="S329" s="16"/>
      <c r="T329" s="16"/>
      <c r="U329" s="16"/>
      <c r="V329" s="16"/>
      <c r="W329" s="16"/>
      <c r="X329" s="16"/>
      <c r="AD329"/>
      <c r="AE329"/>
    </row>
    <row r="330" spans="1:31" hidden="1" x14ac:dyDescent="0.2">
      <c r="A330" s="44">
        <v>323</v>
      </c>
      <c r="B330" s="15" t="s">
        <v>908</v>
      </c>
      <c r="C330" s="14">
        <v>1</v>
      </c>
      <c r="D330" s="36">
        <v>24</v>
      </c>
      <c r="E330" s="36">
        <v>24</v>
      </c>
      <c r="F330" s="36">
        <v>0</v>
      </c>
      <c r="G330" s="36">
        <v>0</v>
      </c>
      <c r="H330" s="36">
        <v>1</v>
      </c>
      <c r="I330" s="37">
        <f t="shared" si="14"/>
        <v>1</v>
      </c>
      <c r="J330" s="37" t="str">
        <f t="shared" si="15"/>
        <v>-</v>
      </c>
      <c r="L330" s="18"/>
      <c r="M330" s="19"/>
      <c r="N330" s="19"/>
      <c r="O330" s="19"/>
      <c r="P330" s="19"/>
      <c r="Q330" s="16"/>
      <c r="R330" s="16"/>
      <c r="S330" s="16"/>
      <c r="T330" s="16"/>
      <c r="U330" s="16"/>
      <c r="V330" s="16"/>
      <c r="W330" s="16"/>
      <c r="X330" s="16"/>
      <c r="AD330"/>
      <c r="AE330"/>
    </row>
    <row r="331" spans="1:31" hidden="1" x14ac:dyDescent="0.2">
      <c r="A331" s="43">
        <v>324</v>
      </c>
      <c r="B331" s="13" t="s">
        <v>892</v>
      </c>
      <c r="C331" s="33">
        <v>1</v>
      </c>
      <c r="D331" s="34">
        <v>24</v>
      </c>
      <c r="E331" s="34">
        <v>25</v>
      </c>
      <c r="F331" s="34">
        <v>0</v>
      </c>
      <c r="G331" s="34">
        <v>0</v>
      </c>
      <c r="H331" s="34">
        <v>1</v>
      </c>
      <c r="I331" s="35">
        <f t="shared" si="14"/>
        <v>1.0416666666666667</v>
      </c>
      <c r="J331" s="35" t="str">
        <f t="shared" si="15"/>
        <v>-</v>
      </c>
      <c r="L331" s="18"/>
      <c r="M331" s="19"/>
      <c r="N331" s="19"/>
      <c r="O331" s="19"/>
      <c r="P331" s="19"/>
      <c r="Q331" s="16"/>
      <c r="R331" s="16"/>
      <c r="S331" s="16"/>
      <c r="T331" s="16"/>
      <c r="U331" s="16"/>
      <c r="V331" s="16"/>
      <c r="W331" s="16"/>
      <c r="X331" s="16"/>
      <c r="AD331"/>
      <c r="AE331"/>
    </row>
    <row r="332" spans="1:31" hidden="1" x14ac:dyDescent="0.2">
      <c r="A332" s="44">
        <v>325</v>
      </c>
      <c r="B332" s="15" t="s">
        <v>1422</v>
      </c>
      <c r="C332" s="14">
        <v>1</v>
      </c>
      <c r="D332" s="36">
        <v>23</v>
      </c>
      <c r="E332" s="36">
        <v>0</v>
      </c>
      <c r="F332" s="36">
        <v>0</v>
      </c>
      <c r="G332" s="36">
        <v>0</v>
      </c>
      <c r="H332" s="36">
        <v>1</v>
      </c>
      <c r="I332" s="37">
        <f t="shared" si="14"/>
        <v>0</v>
      </c>
      <c r="J332" s="37" t="str">
        <f t="shared" si="15"/>
        <v>-</v>
      </c>
      <c r="L332" s="18"/>
      <c r="M332" s="19"/>
      <c r="N332" s="19"/>
      <c r="O332" s="19"/>
      <c r="P332" s="19"/>
      <c r="Q332" s="16"/>
      <c r="R332" s="16"/>
      <c r="S332" s="16"/>
      <c r="T332" s="16"/>
      <c r="U332" s="16"/>
      <c r="V332" s="16"/>
      <c r="W332" s="16"/>
      <c r="X332" s="16"/>
      <c r="AD332"/>
      <c r="AE332"/>
    </row>
    <row r="333" spans="1:31" hidden="1" x14ac:dyDescent="0.2">
      <c r="A333" s="43">
        <v>326</v>
      </c>
      <c r="B333" s="13" t="s">
        <v>1205</v>
      </c>
      <c r="C333" s="33">
        <v>10</v>
      </c>
      <c r="D333" s="34">
        <v>22</v>
      </c>
      <c r="E333" s="34">
        <v>0</v>
      </c>
      <c r="F333" s="34">
        <v>541</v>
      </c>
      <c r="G333" s="34">
        <v>541</v>
      </c>
      <c r="H333" s="34">
        <v>1</v>
      </c>
      <c r="I333" s="35">
        <f t="shared" si="14"/>
        <v>0</v>
      </c>
      <c r="J333" s="35">
        <f t="shared" si="15"/>
        <v>1</v>
      </c>
      <c r="L333" s="18"/>
      <c r="M333" s="19"/>
      <c r="N333" s="19"/>
      <c r="O333" s="19"/>
      <c r="P333" s="19"/>
      <c r="Q333" s="16"/>
      <c r="R333" s="16"/>
      <c r="S333" s="16"/>
      <c r="T333" s="16"/>
      <c r="U333" s="16"/>
      <c r="V333" s="16"/>
      <c r="W333" s="16"/>
      <c r="X333" s="16"/>
      <c r="AD333"/>
      <c r="AE333"/>
    </row>
    <row r="334" spans="1:31" hidden="1" x14ac:dyDescent="0.2">
      <c r="A334" s="44">
        <v>327</v>
      </c>
      <c r="B334" s="15" t="s">
        <v>920</v>
      </c>
      <c r="C334" s="14">
        <v>1</v>
      </c>
      <c r="D334" s="36">
        <v>22</v>
      </c>
      <c r="E334" s="36">
        <v>22</v>
      </c>
      <c r="F334" s="36">
        <v>0</v>
      </c>
      <c r="G334" s="36">
        <v>0</v>
      </c>
      <c r="H334" s="36">
        <v>1</v>
      </c>
      <c r="I334" s="37">
        <f t="shared" si="14"/>
        <v>1</v>
      </c>
      <c r="J334" s="37" t="str">
        <f t="shared" si="15"/>
        <v>-</v>
      </c>
      <c r="L334" s="18"/>
      <c r="M334" s="19"/>
      <c r="N334" s="19"/>
      <c r="O334" s="19"/>
      <c r="P334" s="19"/>
      <c r="Q334" s="16"/>
      <c r="R334" s="16"/>
      <c r="S334" s="16"/>
      <c r="T334" s="16"/>
      <c r="U334" s="16"/>
      <c r="V334" s="16"/>
      <c r="W334" s="16"/>
      <c r="X334" s="16"/>
      <c r="AD334"/>
      <c r="AE334"/>
    </row>
    <row r="335" spans="1:31" hidden="1" x14ac:dyDescent="0.2">
      <c r="A335" s="43">
        <v>328</v>
      </c>
      <c r="B335" s="13" t="s">
        <v>923</v>
      </c>
      <c r="C335" s="33">
        <v>1</v>
      </c>
      <c r="D335" s="34">
        <v>22</v>
      </c>
      <c r="E335" s="34">
        <v>22</v>
      </c>
      <c r="F335" s="34">
        <v>0</v>
      </c>
      <c r="G335" s="34">
        <v>0</v>
      </c>
      <c r="H335" s="34">
        <v>1</v>
      </c>
      <c r="I335" s="35">
        <f t="shared" si="14"/>
        <v>1</v>
      </c>
      <c r="J335" s="35" t="str">
        <f t="shared" si="15"/>
        <v>-</v>
      </c>
      <c r="L335" s="18"/>
      <c r="M335" s="19"/>
      <c r="N335" s="19"/>
      <c r="O335" s="19"/>
      <c r="P335" s="19"/>
      <c r="Q335" s="16"/>
      <c r="R335" s="16"/>
      <c r="S335" s="16"/>
      <c r="T335" s="16"/>
      <c r="U335" s="16"/>
      <c r="V335" s="16"/>
      <c r="W335" s="16"/>
      <c r="X335" s="16"/>
      <c r="AD335"/>
      <c r="AE335"/>
    </row>
    <row r="336" spans="1:31" hidden="1" x14ac:dyDescent="0.2">
      <c r="A336" s="44">
        <v>331</v>
      </c>
      <c r="B336" s="15" t="s">
        <v>975</v>
      </c>
      <c r="C336" s="14">
        <v>1</v>
      </c>
      <c r="D336" s="36">
        <v>17</v>
      </c>
      <c r="E336" s="36">
        <v>10</v>
      </c>
      <c r="F336" s="36">
        <v>0</v>
      </c>
      <c r="G336" s="36">
        <v>0</v>
      </c>
      <c r="H336" s="36">
        <v>1</v>
      </c>
      <c r="I336" s="37">
        <f t="shared" si="14"/>
        <v>0.58823529411764708</v>
      </c>
      <c r="J336" s="37" t="str">
        <f t="shared" si="15"/>
        <v>-</v>
      </c>
      <c r="L336" s="18"/>
      <c r="M336" s="19"/>
      <c r="N336" s="19"/>
      <c r="O336" s="19"/>
      <c r="P336" s="19"/>
      <c r="Q336" s="16"/>
      <c r="R336" s="16"/>
      <c r="S336" s="16"/>
      <c r="T336" s="16"/>
      <c r="U336" s="16"/>
      <c r="V336" s="16"/>
      <c r="W336" s="16"/>
      <c r="X336" s="16"/>
      <c r="AD336"/>
      <c r="AE336"/>
    </row>
    <row r="337" spans="1:31" hidden="1" x14ac:dyDescent="0.2">
      <c r="A337" s="43">
        <v>332</v>
      </c>
      <c r="B337" s="13" t="s">
        <v>963</v>
      </c>
      <c r="C337" s="33">
        <v>1</v>
      </c>
      <c r="D337" s="34">
        <v>16</v>
      </c>
      <c r="E337" s="34">
        <v>14</v>
      </c>
      <c r="F337" s="34">
        <v>0</v>
      </c>
      <c r="G337" s="34">
        <v>0</v>
      </c>
      <c r="H337" s="34">
        <v>1</v>
      </c>
      <c r="I337" s="35">
        <f t="shared" si="14"/>
        <v>0.875</v>
      </c>
      <c r="J337" s="35" t="str">
        <f t="shared" si="15"/>
        <v>-</v>
      </c>
      <c r="L337" s="18"/>
      <c r="M337" s="19"/>
      <c r="N337" s="19"/>
      <c r="O337" s="19"/>
      <c r="P337" s="19"/>
      <c r="Q337" s="16"/>
      <c r="R337" s="16"/>
      <c r="S337" s="16"/>
      <c r="T337" s="16"/>
      <c r="U337" s="16"/>
      <c r="V337" s="16"/>
      <c r="W337" s="16"/>
      <c r="X337" s="16"/>
      <c r="AD337"/>
      <c r="AE337"/>
    </row>
    <row r="338" spans="1:31" hidden="1" x14ac:dyDescent="0.2">
      <c r="A338" s="44">
        <v>333</v>
      </c>
      <c r="B338" s="15" t="s">
        <v>961</v>
      </c>
      <c r="C338" s="14">
        <v>2</v>
      </c>
      <c r="D338" s="36">
        <v>15</v>
      </c>
      <c r="E338" s="36">
        <v>14</v>
      </c>
      <c r="F338" s="36">
        <v>34</v>
      </c>
      <c r="G338" s="36">
        <v>14</v>
      </c>
      <c r="H338" s="36">
        <v>1</v>
      </c>
      <c r="I338" s="37">
        <f t="shared" si="14"/>
        <v>0.93333333333333335</v>
      </c>
      <c r="J338" s="37">
        <f t="shared" si="15"/>
        <v>0.41176470588235292</v>
      </c>
      <c r="L338" s="18"/>
      <c r="M338" s="19"/>
      <c r="N338" s="19"/>
      <c r="O338" s="19"/>
      <c r="P338" s="19"/>
      <c r="Q338" s="16"/>
      <c r="R338" s="16"/>
      <c r="S338" s="16"/>
      <c r="T338" s="16"/>
      <c r="U338" s="16"/>
      <c r="V338" s="16"/>
      <c r="W338" s="16"/>
      <c r="X338" s="16"/>
      <c r="AD338"/>
      <c r="AE338"/>
    </row>
    <row r="339" spans="1:31" hidden="1" x14ac:dyDescent="0.2">
      <c r="A339" s="43">
        <v>334</v>
      </c>
      <c r="B339" s="13" t="s">
        <v>1410</v>
      </c>
      <c r="C339" s="33">
        <v>1</v>
      </c>
      <c r="D339" s="34">
        <v>11</v>
      </c>
      <c r="E339" s="34">
        <v>0</v>
      </c>
      <c r="F339" s="34">
        <v>0</v>
      </c>
      <c r="G339" s="34">
        <v>0</v>
      </c>
      <c r="H339" s="34">
        <v>1</v>
      </c>
      <c r="I339" s="35">
        <f t="shared" si="14"/>
        <v>0</v>
      </c>
      <c r="J339" s="35" t="str">
        <f t="shared" si="15"/>
        <v>-</v>
      </c>
      <c r="L339" s="18"/>
      <c r="M339" s="19"/>
      <c r="N339" s="19"/>
      <c r="O339" s="19"/>
      <c r="P339" s="19"/>
      <c r="Q339" s="16"/>
      <c r="R339" s="16"/>
      <c r="S339" s="16"/>
      <c r="T339" s="16"/>
      <c r="U339" s="16"/>
      <c r="V339" s="16"/>
      <c r="W339" s="16"/>
      <c r="X339" s="16"/>
      <c r="AD339"/>
      <c r="AE339"/>
    </row>
    <row r="340" spans="1:31" hidden="1" x14ac:dyDescent="0.2">
      <c r="A340" s="44">
        <v>335</v>
      </c>
      <c r="B340" s="15" t="s">
        <v>976</v>
      </c>
      <c r="C340" s="14">
        <v>1</v>
      </c>
      <c r="D340" s="36">
        <v>10</v>
      </c>
      <c r="E340" s="36">
        <v>10</v>
      </c>
      <c r="F340" s="36">
        <v>0</v>
      </c>
      <c r="G340" s="36">
        <v>0</v>
      </c>
      <c r="H340" s="36">
        <v>1</v>
      </c>
      <c r="I340" s="37">
        <f t="shared" si="14"/>
        <v>1</v>
      </c>
      <c r="J340" s="37" t="str">
        <f t="shared" si="15"/>
        <v>-</v>
      </c>
      <c r="L340" s="18"/>
      <c r="M340" s="19"/>
      <c r="N340" s="19"/>
      <c r="O340" s="19"/>
      <c r="P340" s="19"/>
      <c r="Q340" s="16"/>
      <c r="R340" s="16"/>
      <c r="S340" s="16"/>
      <c r="T340" s="16"/>
      <c r="U340" s="16"/>
      <c r="V340" s="16"/>
      <c r="W340" s="16"/>
      <c r="X340" s="16"/>
      <c r="AD340"/>
      <c r="AE340"/>
    </row>
    <row r="341" spans="1:31" hidden="1" x14ac:dyDescent="0.2">
      <c r="A341" s="44">
        <v>337</v>
      </c>
      <c r="B341" s="15" t="s">
        <v>985</v>
      </c>
      <c r="C341" s="14">
        <v>1</v>
      </c>
      <c r="D341" s="36">
        <v>3</v>
      </c>
      <c r="E341" s="36">
        <v>5</v>
      </c>
      <c r="F341" s="36">
        <v>0</v>
      </c>
      <c r="G341" s="36">
        <v>0</v>
      </c>
      <c r="H341" s="36">
        <v>1</v>
      </c>
      <c r="I341" s="37">
        <f t="shared" si="14"/>
        <v>1.6666666666666667</v>
      </c>
      <c r="J341" s="37" t="str">
        <f t="shared" si="15"/>
        <v>-</v>
      </c>
      <c r="L341" s="18"/>
      <c r="M341" s="19"/>
      <c r="N341" s="19"/>
      <c r="O341" s="19"/>
      <c r="P341" s="19"/>
      <c r="Q341" s="16"/>
      <c r="R341" s="16"/>
      <c r="S341" s="16"/>
      <c r="T341" s="16"/>
      <c r="U341" s="16"/>
      <c r="V341" s="16"/>
      <c r="W341" s="16"/>
      <c r="X341" s="16"/>
      <c r="AD341"/>
      <c r="AE341"/>
    </row>
    <row r="342" spans="1:31" hidden="1" x14ac:dyDescent="0.2">
      <c r="A342" s="43">
        <v>338</v>
      </c>
      <c r="B342" s="13" t="s">
        <v>993</v>
      </c>
      <c r="C342" s="33">
        <v>3</v>
      </c>
      <c r="D342" s="34">
        <v>2</v>
      </c>
      <c r="E342" s="34">
        <v>5</v>
      </c>
      <c r="F342" s="34">
        <v>0</v>
      </c>
      <c r="G342" s="34">
        <v>0</v>
      </c>
      <c r="H342" s="34">
        <v>1</v>
      </c>
      <c r="I342" s="35">
        <f t="shared" si="14"/>
        <v>2.5</v>
      </c>
      <c r="J342" s="35" t="str">
        <f t="shared" si="15"/>
        <v>-</v>
      </c>
      <c r="L342" s="18"/>
      <c r="M342" s="19"/>
      <c r="N342" s="19"/>
      <c r="O342" s="19"/>
      <c r="P342" s="19"/>
      <c r="Q342" s="16"/>
      <c r="R342" s="16"/>
      <c r="S342" s="16"/>
      <c r="T342" s="16"/>
      <c r="U342" s="16"/>
      <c r="V342" s="16"/>
      <c r="W342" s="16"/>
      <c r="X342" s="16"/>
      <c r="AD342"/>
      <c r="AE342"/>
    </row>
    <row r="343" spans="1:31" hidden="1" x14ac:dyDescent="0.2">
      <c r="A343" s="44">
        <v>339</v>
      </c>
      <c r="B343" s="15" t="s">
        <v>994</v>
      </c>
      <c r="C343" s="14">
        <v>1</v>
      </c>
      <c r="D343" s="36">
        <v>2</v>
      </c>
      <c r="E343" s="36">
        <v>2</v>
      </c>
      <c r="F343" s="36">
        <v>0</v>
      </c>
      <c r="G343" s="36">
        <v>0</v>
      </c>
      <c r="H343" s="36">
        <v>1</v>
      </c>
      <c r="I343" s="37">
        <f t="shared" si="14"/>
        <v>1</v>
      </c>
      <c r="J343" s="37" t="str">
        <f t="shared" si="15"/>
        <v>-</v>
      </c>
      <c r="L343" s="18"/>
      <c r="M343" s="19"/>
      <c r="N343" s="19"/>
      <c r="O343" s="19"/>
      <c r="P343" s="19"/>
      <c r="Q343" s="16"/>
      <c r="R343" s="16"/>
      <c r="S343" s="16"/>
      <c r="T343" s="16"/>
      <c r="U343" s="16"/>
      <c r="V343" s="16"/>
      <c r="W343" s="16"/>
      <c r="X343" s="16"/>
      <c r="AD343"/>
      <c r="AE343"/>
    </row>
    <row r="344" spans="1:31" hidden="1" x14ac:dyDescent="0.2">
      <c r="A344" s="43">
        <v>340</v>
      </c>
      <c r="B344" s="13" t="s">
        <v>1003</v>
      </c>
      <c r="C344" s="33">
        <v>1</v>
      </c>
      <c r="D344" s="34">
        <v>1</v>
      </c>
      <c r="E344" s="34">
        <v>1</v>
      </c>
      <c r="F344" s="34">
        <v>0</v>
      </c>
      <c r="G344" s="34">
        <v>0</v>
      </c>
      <c r="H344" s="34">
        <v>1</v>
      </c>
      <c r="I344" s="35">
        <f t="shared" si="14"/>
        <v>1</v>
      </c>
      <c r="J344" s="35" t="str">
        <f t="shared" si="15"/>
        <v>-</v>
      </c>
      <c r="L344" s="18"/>
      <c r="M344" s="19"/>
      <c r="N344" s="19"/>
      <c r="O344" s="19"/>
      <c r="P344" s="19"/>
      <c r="Q344" s="16"/>
      <c r="R344" s="16"/>
      <c r="S344" s="16"/>
      <c r="T344" s="16"/>
      <c r="U344" s="16"/>
      <c r="V344" s="16"/>
      <c r="W344" s="16"/>
      <c r="X344" s="16"/>
      <c r="AD344"/>
      <c r="AE344"/>
    </row>
    <row r="345" spans="1:31" hidden="1" x14ac:dyDescent="0.2">
      <c r="A345" s="44">
        <v>341</v>
      </c>
      <c r="B345" s="15" t="s">
        <v>1002</v>
      </c>
      <c r="C345" s="14">
        <v>1</v>
      </c>
      <c r="D345" s="36">
        <v>1</v>
      </c>
      <c r="E345" s="36">
        <v>1</v>
      </c>
      <c r="F345" s="36">
        <v>0</v>
      </c>
      <c r="G345" s="36">
        <v>0</v>
      </c>
      <c r="H345" s="36">
        <v>1</v>
      </c>
      <c r="I345" s="37">
        <f t="shared" si="14"/>
        <v>1</v>
      </c>
      <c r="J345" s="37" t="str">
        <f t="shared" si="15"/>
        <v>-</v>
      </c>
      <c r="L345" s="18"/>
      <c r="M345" s="19"/>
      <c r="N345" s="19"/>
      <c r="O345" s="19"/>
      <c r="P345" s="19"/>
      <c r="Q345" s="16"/>
      <c r="R345" s="16"/>
      <c r="S345" s="16"/>
      <c r="T345" s="16"/>
      <c r="U345" s="16"/>
      <c r="V345" s="16"/>
      <c r="W345" s="16"/>
      <c r="X345" s="16"/>
      <c r="AD345"/>
      <c r="AE345"/>
    </row>
    <row r="346" spans="1:31" hidden="1" x14ac:dyDescent="0.2">
      <c r="A346" s="43">
        <v>342</v>
      </c>
      <c r="B346" s="13" t="s">
        <v>999</v>
      </c>
      <c r="C346" s="33">
        <v>1</v>
      </c>
      <c r="D346" s="34">
        <v>1</v>
      </c>
      <c r="E346" s="34">
        <v>1</v>
      </c>
      <c r="F346" s="34">
        <v>0</v>
      </c>
      <c r="G346" s="34">
        <v>0</v>
      </c>
      <c r="H346" s="34">
        <v>1</v>
      </c>
      <c r="I346" s="35">
        <f t="shared" si="14"/>
        <v>1</v>
      </c>
      <c r="J346" s="35" t="str">
        <f t="shared" si="15"/>
        <v>-</v>
      </c>
      <c r="L346" s="18"/>
      <c r="M346" s="19"/>
      <c r="N346" s="19"/>
      <c r="O346" s="19"/>
      <c r="P346" s="19"/>
      <c r="Q346" s="16"/>
      <c r="R346" s="16"/>
      <c r="S346" s="16"/>
      <c r="T346" s="16"/>
      <c r="U346" s="16"/>
      <c r="V346" s="16"/>
      <c r="W346" s="16"/>
      <c r="X346" s="16"/>
      <c r="AD346"/>
      <c r="AE346"/>
    </row>
    <row r="347" spans="1:31" hidden="1" x14ac:dyDescent="0.2">
      <c r="A347" s="44">
        <v>343</v>
      </c>
      <c r="B347" s="15" t="s">
        <v>1405</v>
      </c>
      <c r="C347" s="14">
        <v>1</v>
      </c>
      <c r="D347" s="36">
        <v>1</v>
      </c>
      <c r="E347" s="36">
        <v>0</v>
      </c>
      <c r="F347" s="36">
        <v>0</v>
      </c>
      <c r="G347" s="36">
        <v>0</v>
      </c>
      <c r="H347" s="36">
        <v>1</v>
      </c>
      <c r="I347" s="37">
        <f t="shared" si="14"/>
        <v>0</v>
      </c>
      <c r="J347" s="37" t="str">
        <f t="shared" si="15"/>
        <v>-</v>
      </c>
      <c r="L347" s="18"/>
      <c r="M347" s="19"/>
      <c r="N347" s="19"/>
      <c r="O347" s="19"/>
      <c r="P347" s="19"/>
      <c r="Q347" s="16"/>
      <c r="R347" s="16"/>
      <c r="S347" s="16"/>
      <c r="T347" s="16"/>
      <c r="U347" s="16"/>
      <c r="V347" s="16"/>
      <c r="W347" s="16"/>
      <c r="X347" s="16"/>
      <c r="AD347"/>
      <c r="AE347"/>
    </row>
    <row r="348" spans="1:31" hidden="1" x14ac:dyDescent="0.2">
      <c r="A348" s="43">
        <v>344</v>
      </c>
      <c r="B348" s="13" t="s">
        <v>998</v>
      </c>
      <c r="C348" s="33">
        <v>1</v>
      </c>
      <c r="D348" s="34">
        <v>1</v>
      </c>
      <c r="E348" s="34">
        <v>1</v>
      </c>
      <c r="F348" s="34">
        <v>0</v>
      </c>
      <c r="G348" s="34">
        <v>0</v>
      </c>
      <c r="H348" s="34">
        <v>1</v>
      </c>
      <c r="I348" s="35">
        <f t="shared" si="14"/>
        <v>1</v>
      </c>
      <c r="J348" s="35" t="str">
        <f t="shared" si="15"/>
        <v>-</v>
      </c>
      <c r="L348" s="18"/>
      <c r="M348" s="19"/>
      <c r="N348" s="19"/>
      <c r="O348" s="19"/>
      <c r="P348" s="19"/>
      <c r="Q348" s="16"/>
      <c r="R348" s="16"/>
      <c r="S348" s="16"/>
      <c r="T348" s="16"/>
      <c r="U348" s="16"/>
      <c r="V348" s="16"/>
      <c r="W348" s="16"/>
      <c r="X348" s="16"/>
      <c r="AD348"/>
      <c r="AE348"/>
    </row>
    <row r="349" spans="1:31" hidden="1" x14ac:dyDescent="0.2">
      <c r="A349" s="44">
        <v>345</v>
      </c>
      <c r="B349" s="15" t="s">
        <v>1407</v>
      </c>
      <c r="C349" s="14">
        <v>1</v>
      </c>
      <c r="D349" s="36">
        <v>1</v>
      </c>
      <c r="E349" s="36">
        <v>0</v>
      </c>
      <c r="F349" s="36">
        <v>0</v>
      </c>
      <c r="G349" s="36">
        <v>0</v>
      </c>
      <c r="H349" s="36">
        <v>1</v>
      </c>
      <c r="I349" s="37">
        <f t="shared" si="14"/>
        <v>0</v>
      </c>
      <c r="J349" s="37" t="str">
        <f t="shared" si="15"/>
        <v>-</v>
      </c>
      <c r="L349" s="18"/>
      <c r="M349" s="19"/>
      <c r="N349" s="19"/>
      <c r="O349" s="19"/>
      <c r="P349" s="19"/>
      <c r="Q349" s="16"/>
      <c r="R349" s="16"/>
      <c r="S349" s="16"/>
      <c r="T349" s="16"/>
      <c r="U349" s="16"/>
      <c r="V349" s="16"/>
      <c r="W349" s="16"/>
      <c r="X349" s="16"/>
      <c r="AD349"/>
      <c r="AE349"/>
    </row>
    <row r="350" spans="1:31" hidden="1" x14ac:dyDescent="0.2">
      <c r="A350" s="43">
        <v>346</v>
      </c>
      <c r="B350" s="13" t="s">
        <v>996</v>
      </c>
      <c r="C350" s="33">
        <v>2</v>
      </c>
      <c r="D350" s="34">
        <v>1</v>
      </c>
      <c r="E350" s="34">
        <v>1</v>
      </c>
      <c r="F350" s="34">
        <v>50</v>
      </c>
      <c r="G350" s="34">
        <v>50</v>
      </c>
      <c r="H350" s="34">
        <v>1</v>
      </c>
      <c r="I350" s="35">
        <f t="shared" si="14"/>
        <v>1</v>
      </c>
      <c r="J350" s="35">
        <f t="shared" si="15"/>
        <v>1</v>
      </c>
      <c r="L350" s="18"/>
      <c r="M350" s="19"/>
      <c r="N350" s="19"/>
      <c r="O350" s="19"/>
      <c r="P350" s="19"/>
      <c r="Q350" s="16"/>
      <c r="R350" s="16"/>
      <c r="S350" s="16"/>
      <c r="T350" s="16"/>
      <c r="U350" s="16"/>
      <c r="V350" s="16"/>
      <c r="W350" s="16"/>
      <c r="X350" s="16"/>
      <c r="AD350"/>
      <c r="AE350"/>
    </row>
    <row r="351" spans="1:31" hidden="1" x14ac:dyDescent="0.2">
      <c r="A351" s="44">
        <v>347</v>
      </c>
      <c r="B351" s="15" t="s">
        <v>1106</v>
      </c>
      <c r="C351" s="14">
        <v>6</v>
      </c>
      <c r="D351" s="36">
        <v>0</v>
      </c>
      <c r="E351" s="36">
        <v>0</v>
      </c>
      <c r="F351" s="36">
        <v>632</v>
      </c>
      <c r="G351" s="36">
        <v>632</v>
      </c>
      <c r="H351" s="36">
        <v>0</v>
      </c>
      <c r="I351" s="37" t="str">
        <f t="shared" si="14"/>
        <v>-</v>
      </c>
      <c r="J351" s="37">
        <f t="shared" si="15"/>
        <v>1</v>
      </c>
      <c r="L351" s="18"/>
      <c r="M351" s="19"/>
      <c r="N351" s="19"/>
      <c r="O351" s="19"/>
      <c r="P351" s="19"/>
      <c r="Q351" s="16"/>
      <c r="R351" s="16"/>
      <c r="S351" s="16"/>
      <c r="T351" s="16"/>
      <c r="U351" s="16"/>
      <c r="V351" s="16"/>
      <c r="W351" s="16"/>
      <c r="X351" s="16"/>
      <c r="AD351"/>
      <c r="AE351"/>
    </row>
    <row r="352" spans="1:31" hidden="1" x14ac:dyDescent="0.2">
      <c r="A352" s="43">
        <v>348</v>
      </c>
      <c r="B352" s="13" t="s">
        <v>1031</v>
      </c>
      <c r="C352" s="33">
        <v>8</v>
      </c>
      <c r="D352" s="34">
        <v>0</v>
      </c>
      <c r="E352" s="34">
        <v>0</v>
      </c>
      <c r="F352" s="34">
        <v>3416</v>
      </c>
      <c r="G352" s="34">
        <v>3302</v>
      </c>
      <c r="H352" s="34">
        <v>0</v>
      </c>
      <c r="I352" s="35" t="str">
        <f t="shared" si="14"/>
        <v>-</v>
      </c>
      <c r="J352" s="35">
        <f t="shared" si="15"/>
        <v>0.96662763466042156</v>
      </c>
      <c r="L352" s="18"/>
      <c r="M352" s="19"/>
      <c r="N352" s="19"/>
      <c r="O352" s="19"/>
      <c r="P352" s="19"/>
      <c r="Q352" s="16"/>
      <c r="R352" s="16"/>
      <c r="S352" s="16"/>
      <c r="T352" s="16"/>
      <c r="U352" s="16"/>
      <c r="V352" s="16"/>
      <c r="W352" s="16"/>
      <c r="X352" s="16"/>
      <c r="AD352"/>
      <c r="AE352"/>
    </row>
    <row r="353" spans="1:31" hidden="1" x14ac:dyDescent="0.2">
      <c r="A353" s="44">
        <v>349</v>
      </c>
      <c r="B353" s="15" t="s">
        <v>1070</v>
      </c>
      <c r="C353" s="14">
        <v>2</v>
      </c>
      <c r="D353" s="36">
        <v>0</v>
      </c>
      <c r="E353" s="36">
        <v>0</v>
      </c>
      <c r="F353" s="36">
        <v>722</v>
      </c>
      <c r="G353" s="36">
        <v>722</v>
      </c>
      <c r="H353" s="36">
        <v>0</v>
      </c>
      <c r="I353" s="37" t="str">
        <f t="shared" si="14"/>
        <v>-</v>
      </c>
      <c r="J353" s="37">
        <f t="shared" si="15"/>
        <v>1</v>
      </c>
      <c r="L353" s="18"/>
      <c r="M353" s="19"/>
      <c r="N353" s="19"/>
      <c r="O353" s="19"/>
      <c r="P353" s="19"/>
      <c r="Q353" s="16"/>
      <c r="R353" s="16"/>
      <c r="S353" s="16"/>
      <c r="T353" s="16"/>
      <c r="U353" s="16"/>
      <c r="V353" s="16"/>
      <c r="W353" s="16"/>
      <c r="X353" s="16"/>
      <c r="AD353"/>
      <c r="AE353"/>
    </row>
    <row r="354" spans="1:31" hidden="1" x14ac:dyDescent="0.2">
      <c r="A354" s="43">
        <v>350</v>
      </c>
      <c r="B354" s="13" t="s">
        <v>1029</v>
      </c>
      <c r="C354" s="33">
        <v>1</v>
      </c>
      <c r="D354" s="34">
        <v>0</v>
      </c>
      <c r="E354" s="34">
        <v>0</v>
      </c>
      <c r="F354" s="34">
        <v>1720</v>
      </c>
      <c r="G354" s="34">
        <v>1688</v>
      </c>
      <c r="H354" s="34">
        <v>0</v>
      </c>
      <c r="I354" s="35" t="str">
        <f t="shared" si="14"/>
        <v>-</v>
      </c>
      <c r="J354" s="35">
        <f t="shared" si="15"/>
        <v>0.98139534883720925</v>
      </c>
      <c r="L354" s="18"/>
      <c r="M354" s="19"/>
      <c r="N354" s="19"/>
      <c r="O354" s="19"/>
      <c r="P354" s="19"/>
      <c r="Q354" s="16"/>
      <c r="R354" s="16"/>
      <c r="S354" s="16"/>
      <c r="T354" s="16"/>
      <c r="U354" s="16"/>
      <c r="V354" s="16"/>
      <c r="W354" s="16"/>
      <c r="X354" s="16"/>
      <c r="AD354"/>
      <c r="AE354"/>
    </row>
    <row r="355" spans="1:31" hidden="1" x14ac:dyDescent="0.2">
      <c r="A355" s="44">
        <v>351</v>
      </c>
      <c r="B355" s="15" t="s">
        <v>1278</v>
      </c>
      <c r="C355" s="14">
        <v>1</v>
      </c>
      <c r="D355" s="36">
        <v>0</v>
      </c>
      <c r="E355" s="36">
        <v>0</v>
      </c>
      <c r="F355" s="36">
        <v>100</v>
      </c>
      <c r="G355" s="36">
        <v>100</v>
      </c>
      <c r="H355" s="36">
        <v>0</v>
      </c>
      <c r="I355" s="37" t="str">
        <f t="shared" si="14"/>
        <v>-</v>
      </c>
      <c r="J355" s="37">
        <f t="shared" si="15"/>
        <v>1</v>
      </c>
      <c r="L355" s="18"/>
      <c r="M355" s="19"/>
      <c r="N355" s="19"/>
      <c r="O355" s="19"/>
      <c r="P355" s="19"/>
      <c r="Q355" s="16"/>
      <c r="R355" s="16"/>
      <c r="S355" s="16"/>
      <c r="T355" s="16"/>
      <c r="U355" s="16"/>
      <c r="V355" s="16"/>
      <c r="W355" s="16"/>
      <c r="X355" s="16"/>
      <c r="AD355"/>
      <c r="AE355"/>
    </row>
    <row r="356" spans="1:31" hidden="1" x14ac:dyDescent="0.2">
      <c r="A356" s="43">
        <v>352</v>
      </c>
      <c r="B356" s="13" t="s">
        <v>1050</v>
      </c>
      <c r="C356" s="33">
        <v>3</v>
      </c>
      <c r="D356" s="34">
        <v>0</v>
      </c>
      <c r="E356" s="34">
        <v>0</v>
      </c>
      <c r="F356" s="34">
        <v>1270</v>
      </c>
      <c r="G356" s="34">
        <v>1262</v>
      </c>
      <c r="H356" s="34">
        <v>0</v>
      </c>
      <c r="I356" s="35" t="str">
        <f t="shared" si="14"/>
        <v>-</v>
      </c>
      <c r="J356" s="35">
        <f t="shared" si="15"/>
        <v>0.99370078740157475</v>
      </c>
      <c r="L356" s="18"/>
      <c r="M356" s="19"/>
      <c r="N356" s="19"/>
      <c r="O356" s="19"/>
      <c r="P356" s="19"/>
      <c r="Q356" s="16"/>
      <c r="R356" s="16"/>
      <c r="S356" s="16"/>
      <c r="T356" s="16"/>
      <c r="U356" s="16"/>
      <c r="V356" s="16"/>
      <c r="W356" s="16"/>
      <c r="X356" s="16"/>
      <c r="AD356"/>
      <c r="AE356"/>
    </row>
    <row r="357" spans="1:31" hidden="1" x14ac:dyDescent="0.2">
      <c r="A357" s="44">
        <v>353</v>
      </c>
      <c r="B357" s="15" t="s">
        <v>1345</v>
      </c>
      <c r="C357" s="14">
        <v>1</v>
      </c>
      <c r="D357" s="36">
        <v>0</v>
      </c>
      <c r="E357" s="36">
        <v>0</v>
      </c>
      <c r="F357" s="36">
        <v>36</v>
      </c>
      <c r="G357" s="36">
        <v>36</v>
      </c>
      <c r="H357" s="36">
        <v>0</v>
      </c>
      <c r="I357" s="37" t="str">
        <f t="shared" si="14"/>
        <v>-</v>
      </c>
      <c r="J357" s="37">
        <f t="shared" si="15"/>
        <v>1</v>
      </c>
      <c r="L357" s="18"/>
      <c r="M357" s="19"/>
      <c r="N357" s="19"/>
      <c r="O357" s="19"/>
      <c r="P357" s="19"/>
      <c r="Q357" s="16"/>
      <c r="R357" s="16"/>
      <c r="S357" s="16"/>
      <c r="T357" s="16"/>
      <c r="U357" s="16"/>
      <c r="V357" s="16"/>
      <c r="W357" s="16"/>
      <c r="X357" s="16"/>
      <c r="AD357"/>
      <c r="AE357"/>
    </row>
    <row r="358" spans="1:31" hidden="1" x14ac:dyDescent="0.2">
      <c r="A358" s="43">
        <v>354</v>
      </c>
      <c r="B358" s="13" t="s">
        <v>1087</v>
      </c>
      <c r="C358" s="33">
        <v>3</v>
      </c>
      <c r="D358" s="34">
        <v>0</v>
      </c>
      <c r="E358" s="34">
        <v>0</v>
      </c>
      <c r="F358" s="34">
        <v>793</v>
      </c>
      <c r="G358" s="34">
        <v>776</v>
      </c>
      <c r="H358" s="34">
        <v>0</v>
      </c>
      <c r="I358" s="35" t="str">
        <f t="shared" si="14"/>
        <v>-</v>
      </c>
      <c r="J358" s="35">
        <f t="shared" si="15"/>
        <v>0.97856242118537196</v>
      </c>
      <c r="L358" s="18"/>
      <c r="M358" s="19"/>
      <c r="N358" s="19"/>
      <c r="O358" s="19"/>
      <c r="P358" s="19"/>
      <c r="Q358" s="16"/>
      <c r="R358" s="16"/>
      <c r="S358" s="16"/>
      <c r="T358" s="16"/>
      <c r="U358" s="16"/>
      <c r="V358" s="16"/>
      <c r="W358" s="16"/>
      <c r="X358" s="16"/>
      <c r="AD358"/>
      <c r="AE358"/>
    </row>
    <row r="359" spans="1:31" hidden="1" x14ac:dyDescent="0.2">
      <c r="A359" s="44">
        <v>355</v>
      </c>
      <c r="B359" s="15" t="s">
        <v>1300</v>
      </c>
      <c r="C359" s="14">
        <v>1</v>
      </c>
      <c r="D359" s="36">
        <v>0</v>
      </c>
      <c r="E359" s="36">
        <v>0</v>
      </c>
      <c r="F359" s="36">
        <v>78</v>
      </c>
      <c r="G359" s="36">
        <v>78</v>
      </c>
      <c r="H359" s="36">
        <v>0</v>
      </c>
      <c r="I359" s="37" t="str">
        <f t="shared" si="14"/>
        <v>-</v>
      </c>
      <c r="J359" s="37">
        <f t="shared" si="15"/>
        <v>1</v>
      </c>
      <c r="L359" s="18"/>
      <c r="M359" s="19"/>
      <c r="N359" s="19"/>
      <c r="O359" s="19"/>
      <c r="P359" s="19"/>
      <c r="Q359" s="16"/>
      <c r="R359" s="16"/>
      <c r="S359" s="16"/>
      <c r="T359" s="16"/>
      <c r="U359" s="16"/>
      <c r="V359" s="16"/>
      <c r="W359" s="16"/>
      <c r="X359" s="16"/>
      <c r="AD359"/>
      <c r="AE359"/>
    </row>
    <row r="360" spans="1:31" hidden="1" x14ac:dyDescent="0.2">
      <c r="A360" s="43">
        <v>356</v>
      </c>
      <c r="B360" s="13" t="s">
        <v>1383</v>
      </c>
      <c r="C360" s="33">
        <v>1</v>
      </c>
      <c r="D360" s="34">
        <v>0</v>
      </c>
      <c r="E360" s="34">
        <v>0</v>
      </c>
      <c r="F360" s="34">
        <v>24</v>
      </c>
      <c r="G360" s="34">
        <v>14</v>
      </c>
      <c r="H360" s="34">
        <v>0</v>
      </c>
      <c r="I360" s="35" t="str">
        <f t="shared" si="14"/>
        <v>-</v>
      </c>
      <c r="J360" s="35">
        <f t="shared" si="15"/>
        <v>0.58333333333333337</v>
      </c>
      <c r="L360" s="18"/>
      <c r="M360" s="19"/>
      <c r="N360" s="19"/>
      <c r="O360" s="19"/>
      <c r="P360" s="19"/>
      <c r="Q360" s="16"/>
      <c r="R360" s="16"/>
      <c r="S360" s="16"/>
      <c r="T360" s="16"/>
      <c r="U360" s="16"/>
      <c r="V360" s="16"/>
      <c r="W360" s="16"/>
      <c r="X360" s="16"/>
      <c r="AD360"/>
      <c r="AE360"/>
    </row>
    <row r="361" spans="1:31" hidden="1" x14ac:dyDescent="0.2">
      <c r="A361" s="44">
        <v>357</v>
      </c>
      <c r="B361" s="15" t="s">
        <v>1185</v>
      </c>
      <c r="C361" s="14">
        <v>2</v>
      </c>
      <c r="D361" s="36">
        <v>0</v>
      </c>
      <c r="E361" s="36">
        <v>0</v>
      </c>
      <c r="F361" s="36">
        <v>329</v>
      </c>
      <c r="G361" s="36">
        <v>330</v>
      </c>
      <c r="H361" s="36">
        <v>0</v>
      </c>
      <c r="I361" s="37" t="str">
        <f t="shared" si="14"/>
        <v>-</v>
      </c>
      <c r="J361" s="37">
        <f t="shared" si="15"/>
        <v>1.0030395136778116</v>
      </c>
      <c r="L361" s="18"/>
      <c r="M361" s="19"/>
      <c r="N361" s="19"/>
      <c r="O361" s="19"/>
      <c r="P361" s="19"/>
      <c r="Q361" s="16"/>
      <c r="R361" s="16"/>
      <c r="S361" s="16"/>
      <c r="T361" s="16"/>
      <c r="U361" s="16"/>
      <c r="V361" s="16"/>
      <c r="W361" s="16"/>
      <c r="X361" s="16"/>
      <c r="AD361"/>
      <c r="AE361"/>
    </row>
    <row r="362" spans="1:31" hidden="1" x14ac:dyDescent="0.2">
      <c r="A362" s="43">
        <v>358</v>
      </c>
      <c r="B362" s="13" t="s">
        <v>1200</v>
      </c>
      <c r="C362" s="33">
        <v>1</v>
      </c>
      <c r="D362" s="34">
        <v>0</v>
      </c>
      <c r="E362" s="34">
        <v>0</v>
      </c>
      <c r="F362" s="34">
        <v>216</v>
      </c>
      <c r="G362" s="34">
        <v>213</v>
      </c>
      <c r="H362" s="34">
        <v>0</v>
      </c>
      <c r="I362" s="35" t="str">
        <f t="shared" si="14"/>
        <v>-</v>
      </c>
      <c r="J362" s="35">
        <f t="shared" si="15"/>
        <v>0.98611111111111116</v>
      </c>
      <c r="L362" s="18"/>
      <c r="M362" s="19"/>
      <c r="N362" s="19"/>
      <c r="O362" s="19"/>
      <c r="P362" s="19"/>
      <c r="Q362" s="16"/>
      <c r="R362" s="16"/>
      <c r="S362" s="16"/>
      <c r="T362" s="16"/>
      <c r="U362" s="16"/>
      <c r="V362" s="16"/>
      <c r="W362" s="16"/>
      <c r="X362" s="16"/>
      <c r="AD362"/>
      <c r="AE362"/>
    </row>
    <row r="363" spans="1:31" hidden="1" x14ac:dyDescent="0.2">
      <c r="A363" s="44">
        <v>359</v>
      </c>
      <c r="B363" s="15" t="s">
        <v>1074</v>
      </c>
      <c r="C363" s="14">
        <v>20</v>
      </c>
      <c r="D363" s="36">
        <v>0</v>
      </c>
      <c r="E363" s="36">
        <v>0</v>
      </c>
      <c r="F363" s="36">
        <v>3830</v>
      </c>
      <c r="G363" s="36">
        <v>3750</v>
      </c>
      <c r="H363" s="36">
        <v>0</v>
      </c>
      <c r="I363" s="37" t="str">
        <f t="shared" si="14"/>
        <v>-</v>
      </c>
      <c r="J363" s="37">
        <f t="shared" si="15"/>
        <v>0.97911227154046998</v>
      </c>
      <c r="L363" s="18"/>
      <c r="M363" s="19"/>
      <c r="N363" s="19"/>
      <c r="O363" s="19"/>
      <c r="P363" s="19"/>
      <c r="Q363" s="16"/>
      <c r="R363" s="16"/>
      <c r="S363" s="16"/>
      <c r="T363" s="16"/>
      <c r="U363" s="16"/>
      <c r="V363" s="16"/>
      <c r="W363" s="16"/>
      <c r="X363" s="16"/>
      <c r="AD363"/>
      <c r="AE363"/>
    </row>
    <row r="364" spans="1:31" hidden="1" x14ac:dyDescent="0.2">
      <c r="A364" s="43">
        <v>360</v>
      </c>
      <c r="B364" s="13" t="s">
        <v>1057</v>
      </c>
      <c r="C364" s="33">
        <v>1</v>
      </c>
      <c r="D364" s="34">
        <v>0</v>
      </c>
      <c r="E364" s="34">
        <v>0</v>
      </c>
      <c r="F364" s="34">
        <v>936</v>
      </c>
      <c r="G364" s="34">
        <v>931</v>
      </c>
      <c r="H364" s="34">
        <v>0</v>
      </c>
      <c r="I364" s="35" t="str">
        <f t="shared" si="14"/>
        <v>-</v>
      </c>
      <c r="J364" s="35">
        <f t="shared" si="15"/>
        <v>0.99465811965811968</v>
      </c>
      <c r="L364" s="18"/>
      <c r="M364" s="19"/>
      <c r="N364" s="19"/>
      <c r="O364" s="19"/>
      <c r="P364" s="19"/>
      <c r="Q364" s="16"/>
      <c r="R364" s="16"/>
      <c r="S364" s="16"/>
      <c r="T364" s="16"/>
      <c r="U364" s="16"/>
      <c r="V364" s="16"/>
      <c r="W364" s="16"/>
      <c r="X364" s="16"/>
      <c r="AD364"/>
      <c r="AE364"/>
    </row>
    <row r="365" spans="1:31" hidden="1" x14ac:dyDescent="0.2">
      <c r="A365" s="44">
        <v>361</v>
      </c>
      <c r="B365" s="15" t="s">
        <v>1320</v>
      </c>
      <c r="C365" s="14">
        <v>3</v>
      </c>
      <c r="D365" s="36">
        <v>0</v>
      </c>
      <c r="E365" s="36">
        <v>0</v>
      </c>
      <c r="F365" s="36">
        <v>109</v>
      </c>
      <c r="G365" s="36">
        <v>109</v>
      </c>
      <c r="H365" s="36">
        <v>0</v>
      </c>
      <c r="I365" s="37" t="str">
        <f t="shared" si="14"/>
        <v>-</v>
      </c>
      <c r="J365" s="37">
        <f t="shared" si="15"/>
        <v>1</v>
      </c>
      <c r="L365" s="18"/>
      <c r="M365" s="19"/>
      <c r="N365" s="19"/>
      <c r="O365" s="19"/>
      <c r="P365" s="19"/>
      <c r="Q365" s="16"/>
      <c r="R365" s="16"/>
      <c r="S365" s="16"/>
      <c r="T365" s="16"/>
      <c r="U365" s="16"/>
      <c r="V365" s="16"/>
      <c r="W365" s="16"/>
      <c r="X365" s="16"/>
      <c r="AD365"/>
      <c r="AE365"/>
    </row>
    <row r="366" spans="1:31" hidden="1" x14ac:dyDescent="0.2">
      <c r="A366" s="43">
        <v>362</v>
      </c>
      <c r="B366" s="13" t="s">
        <v>1270</v>
      </c>
      <c r="C366" s="33">
        <v>5</v>
      </c>
      <c r="D366" s="34">
        <v>0</v>
      </c>
      <c r="E366" s="34">
        <v>0</v>
      </c>
      <c r="F366" s="34">
        <v>307</v>
      </c>
      <c r="G366" s="34">
        <v>294</v>
      </c>
      <c r="H366" s="34">
        <v>0</v>
      </c>
      <c r="I366" s="35" t="str">
        <f t="shared" si="14"/>
        <v>-</v>
      </c>
      <c r="J366" s="35">
        <f t="shared" si="15"/>
        <v>0.95765472312703581</v>
      </c>
      <c r="L366" s="18"/>
      <c r="M366" s="19"/>
      <c r="N366" s="19"/>
      <c r="O366" s="19"/>
      <c r="P366" s="19"/>
      <c r="Q366" s="16"/>
      <c r="R366" s="16"/>
      <c r="S366" s="16"/>
      <c r="T366" s="16"/>
      <c r="U366" s="16"/>
      <c r="V366" s="16"/>
      <c r="W366" s="16"/>
      <c r="X366" s="16"/>
      <c r="AD366"/>
      <c r="AE366"/>
    </row>
    <row r="367" spans="1:31" hidden="1" x14ac:dyDescent="0.2">
      <c r="A367" s="44">
        <v>363</v>
      </c>
      <c r="B367" s="15" t="s">
        <v>1175</v>
      </c>
      <c r="C367" s="14">
        <v>6</v>
      </c>
      <c r="D367" s="36">
        <v>0</v>
      </c>
      <c r="E367" s="36">
        <v>0</v>
      </c>
      <c r="F367" s="36">
        <v>950</v>
      </c>
      <c r="G367" s="36">
        <v>895</v>
      </c>
      <c r="H367" s="36">
        <v>0</v>
      </c>
      <c r="I367" s="37" t="str">
        <f t="shared" si="14"/>
        <v>-</v>
      </c>
      <c r="J367" s="37">
        <f t="shared" si="15"/>
        <v>0.94210526315789478</v>
      </c>
      <c r="L367" s="18"/>
      <c r="M367" s="19"/>
      <c r="N367" s="19"/>
      <c r="O367" s="19"/>
      <c r="P367" s="19"/>
      <c r="Q367" s="16"/>
      <c r="R367" s="16"/>
      <c r="S367" s="16"/>
      <c r="T367" s="16"/>
      <c r="U367" s="16"/>
      <c r="V367" s="16"/>
      <c r="W367" s="16"/>
      <c r="X367" s="16"/>
      <c r="AD367"/>
      <c r="AE367"/>
    </row>
    <row r="368" spans="1:31" hidden="1" x14ac:dyDescent="0.2">
      <c r="A368" s="43">
        <v>364</v>
      </c>
      <c r="B368" s="13" t="s">
        <v>1102</v>
      </c>
      <c r="C368" s="33">
        <v>3</v>
      </c>
      <c r="D368" s="34">
        <v>0</v>
      </c>
      <c r="E368" s="34">
        <v>0</v>
      </c>
      <c r="F368" s="34">
        <v>880</v>
      </c>
      <c r="G368" s="34">
        <v>878</v>
      </c>
      <c r="H368" s="34">
        <v>0</v>
      </c>
      <c r="I368" s="35" t="str">
        <f t="shared" si="14"/>
        <v>-</v>
      </c>
      <c r="J368" s="35">
        <f t="shared" si="15"/>
        <v>0.99772727272727268</v>
      </c>
      <c r="L368" s="18"/>
      <c r="M368" s="19"/>
      <c r="N368" s="19"/>
      <c r="O368" s="19"/>
      <c r="P368" s="19"/>
      <c r="Q368" s="16"/>
      <c r="R368" s="16"/>
      <c r="S368" s="16"/>
      <c r="T368" s="16"/>
      <c r="U368" s="16"/>
      <c r="V368" s="16"/>
      <c r="W368" s="16"/>
      <c r="X368" s="16"/>
      <c r="AD368"/>
      <c r="AE368"/>
    </row>
    <row r="369" spans="1:31" hidden="1" x14ac:dyDescent="0.2">
      <c r="A369" s="44">
        <v>365</v>
      </c>
      <c r="B369" s="15" t="s">
        <v>1110</v>
      </c>
      <c r="C369" s="14">
        <v>2</v>
      </c>
      <c r="D369" s="36">
        <v>0</v>
      </c>
      <c r="E369" s="36">
        <v>0</v>
      </c>
      <c r="F369" s="36">
        <v>643</v>
      </c>
      <c r="G369" s="36">
        <v>636</v>
      </c>
      <c r="H369" s="36">
        <v>0</v>
      </c>
      <c r="I369" s="37" t="str">
        <f t="shared" si="14"/>
        <v>-</v>
      </c>
      <c r="J369" s="37">
        <f t="shared" si="15"/>
        <v>0.9891135303265941</v>
      </c>
      <c r="L369" s="18"/>
      <c r="M369" s="19"/>
      <c r="N369" s="19"/>
      <c r="O369" s="19"/>
      <c r="P369" s="19"/>
      <c r="Q369" s="16"/>
      <c r="R369" s="16"/>
      <c r="S369" s="16"/>
      <c r="T369" s="16"/>
      <c r="U369" s="16"/>
      <c r="V369" s="16"/>
      <c r="W369" s="16"/>
      <c r="X369" s="16"/>
      <c r="AD369"/>
      <c r="AE369"/>
    </row>
    <row r="370" spans="1:31" hidden="1" x14ac:dyDescent="0.2">
      <c r="A370" s="43">
        <v>366</v>
      </c>
      <c r="B370" s="13" t="s">
        <v>1044</v>
      </c>
      <c r="C370" s="33">
        <v>1</v>
      </c>
      <c r="D370" s="34">
        <v>0</v>
      </c>
      <c r="E370" s="34">
        <v>0</v>
      </c>
      <c r="F370" s="34">
        <v>1116</v>
      </c>
      <c r="G370" s="34">
        <v>1089</v>
      </c>
      <c r="H370" s="34">
        <v>0</v>
      </c>
      <c r="I370" s="35" t="str">
        <f t="shared" si="14"/>
        <v>-</v>
      </c>
      <c r="J370" s="35">
        <f t="shared" si="15"/>
        <v>0.97580645161290325</v>
      </c>
      <c r="L370" s="18"/>
      <c r="M370" s="19"/>
      <c r="N370" s="19"/>
      <c r="O370" s="19"/>
      <c r="P370" s="19"/>
      <c r="Q370" s="16"/>
      <c r="R370" s="16"/>
      <c r="S370" s="16"/>
      <c r="T370" s="16"/>
      <c r="U370" s="16"/>
      <c r="V370" s="16"/>
      <c r="W370" s="16"/>
      <c r="X370" s="16"/>
      <c r="AD370"/>
      <c r="AE370"/>
    </row>
    <row r="371" spans="1:31" hidden="1" x14ac:dyDescent="0.2">
      <c r="A371" s="44">
        <v>367</v>
      </c>
      <c r="B371" s="15" t="s">
        <v>1081</v>
      </c>
      <c r="C371" s="14">
        <v>2</v>
      </c>
      <c r="D371" s="36">
        <v>0</v>
      </c>
      <c r="E371" s="36">
        <v>0</v>
      </c>
      <c r="F371" s="36">
        <v>809</v>
      </c>
      <c r="G371" s="36">
        <v>795</v>
      </c>
      <c r="H371" s="36">
        <v>0</v>
      </c>
      <c r="I371" s="37" t="str">
        <f t="shared" si="14"/>
        <v>-</v>
      </c>
      <c r="J371" s="37">
        <f t="shared" si="15"/>
        <v>0.98269468479604449</v>
      </c>
      <c r="L371" s="18"/>
      <c r="M371" s="19"/>
      <c r="N371" s="19"/>
      <c r="O371" s="19"/>
      <c r="P371" s="19"/>
      <c r="Q371" s="16"/>
      <c r="R371" s="16"/>
      <c r="S371" s="16"/>
      <c r="T371" s="16"/>
      <c r="U371" s="16"/>
      <c r="V371" s="16"/>
      <c r="W371" s="16"/>
      <c r="X371" s="16"/>
      <c r="AD371"/>
      <c r="AE371"/>
    </row>
    <row r="372" spans="1:31" hidden="1" x14ac:dyDescent="0.2">
      <c r="A372" s="43">
        <v>368</v>
      </c>
      <c r="B372" s="13" t="s">
        <v>1165</v>
      </c>
      <c r="C372" s="33">
        <v>8</v>
      </c>
      <c r="D372" s="34">
        <v>0</v>
      </c>
      <c r="E372" s="34">
        <v>0</v>
      </c>
      <c r="F372" s="34">
        <v>993</v>
      </c>
      <c r="G372" s="34">
        <v>963</v>
      </c>
      <c r="H372" s="34">
        <v>0</v>
      </c>
      <c r="I372" s="35" t="str">
        <f t="shared" si="14"/>
        <v>-</v>
      </c>
      <c r="J372" s="35">
        <f t="shared" si="15"/>
        <v>0.96978851963746227</v>
      </c>
      <c r="L372" s="18"/>
      <c r="M372" s="19"/>
      <c r="N372" s="19"/>
      <c r="O372" s="19"/>
      <c r="P372" s="19"/>
      <c r="Q372" s="16"/>
      <c r="R372" s="16"/>
      <c r="S372" s="16"/>
      <c r="T372" s="16"/>
      <c r="U372" s="16"/>
      <c r="V372" s="16"/>
      <c r="W372" s="16"/>
      <c r="X372" s="16"/>
      <c r="AD372"/>
      <c r="AE372"/>
    </row>
    <row r="373" spans="1:31" hidden="1" x14ac:dyDescent="0.2">
      <c r="A373" s="44">
        <v>369</v>
      </c>
      <c r="B373" s="15" t="s">
        <v>1138</v>
      </c>
      <c r="C373" s="14">
        <v>6</v>
      </c>
      <c r="D373" s="36">
        <v>0</v>
      </c>
      <c r="E373" s="36">
        <v>0</v>
      </c>
      <c r="F373" s="36">
        <v>1269</v>
      </c>
      <c r="G373" s="36">
        <v>1261</v>
      </c>
      <c r="H373" s="36">
        <v>0</v>
      </c>
      <c r="I373" s="37" t="str">
        <f t="shared" si="14"/>
        <v>-</v>
      </c>
      <c r="J373" s="37">
        <f t="shared" si="15"/>
        <v>0.99369582348305752</v>
      </c>
      <c r="L373" s="18"/>
      <c r="M373" s="19"/>
      <c r="N373" s="19"/>
      <c r="O373" s="19"/>
      <c r="P373" s="19"/>
      <c r="Q373" s="16"/>
      <c r="R373" s="16"/>
      <c r="S373" s="16"/>
      <c r="T373" s="16"/>
      <c r="U373" s="16"/>
      <c r="V373" s="16"/>
      <c r="W373" s="16"/>
      <c r="X373" s="16"/>
      <c r="AD373"/>
      <c r="AE373"/>
    </row>
    <row r="374" spans="1:31" hidden="1" x14ac:dyDescent="0.2">
      <c r="A374" s="43">
        <v>370</v>
      </c>
      <c r="B374" s="13" t="s">
        <v>1309</v>
      </c>
      <c r="C374" s="33">
        <v>5</v>
      </c>
      <c r="D374" s="34">
        <v>0</v>
      </c>
      <c r="E374" s="34">
        <v>0</v>
      </c>
      <c r="F374" s="34">
        <v>142</v>
      </c>
      <c r="G374" s="34">
        <v>137</v>
      </c>
      <c r="H374" s="34">
        <v>0</v>
      </c>
      <c r="I374" s="35" t="str">
        <f t="shared" si="14"/>
        <v>-</v>
      </c>
      <c r="J374" s="35">
        <f t="shared" si="15"/>
        <v>0.96478873239436624</v>
      </c>
      <c r="L374" s="18"/>
      <c r="M374" s="19"/>
      <c r="N374" s="19"/>
      <c r="O374" s="19"/>
      <c r="P374" s="19"/>
      <c r="Q374" s="16"/>
      <c r="R374" s="16"/>
      <c r="S374" s="16"/>
      <c r="T374" s="16"/>
      <c r="U374" s="16"/>
      <c r="V374" s="16"/>
      <c r="W374" s="16"/>
      <c r="X374" s="16"/>
      <c r="AD374"/>
      <c r="AE374"/>
    </row>
    <row r="375" spans="1:31" hidden="1" x14ac:dyDescent="0.2">
      <c r="A375" s="44">
        <v>371</v>
      </c>
      <c r="B375" s="15" t="s">
        <v>1027</v>
      </c>
      <c r="C375" s="14">
        <v>1</v>
      </c>
      <c r="D375" s="36">
        <v>0</v>
      </c>
      <c r="E375" s="36">
        <v>0</v>
      </c>
      <c r="F375" s="36">
        <v>1729</v>
      </c>
      <c r="G375" s="36">
        <v>1724</v>
      </c>
      <c r="H375" s="36">
        <v>0</v>
      </c>
      <c r="I375" s="37" t="str">
        <f t="shared" si="14"/>
        <v>-</v>
      </c>
      <c r="J375" s="37">
        <f t="shared" si="15"/>
        <v>0.99710815500289185</v>
      </c>
      <c r="L375" s="18"/>
      <c r="M375" s="19"/>
      <c r="N375" s="19"/>
      <c r="O375" s="19"/>
      <c r="P375" s="19"/>
      <c r="Q375" s="16"/>
      <c r="R375" s="16"/>
      <c r="S375" s="16"/>
      <c r="T375" s="16"/>
      <c r="U375" s="16"/>
      <c r="V375" s="16"/>
      <c r="W375" s="16"/>
      <c r="X375" s="16"/>
      <c r="AD375"/>
      <c r="AE375"/>
    </row>
    <row r="376" spans="1:31" hidden="1" x14ac:dyDescent="0.2">
      <c r="A376" s="43">
        <v>372</v>
      </c>
      <c r="B376" s="13" t="s">
        <v>1332</v>
      </c>
      <c r="C376" s="33">
        <v>1</v>
      </c>
      <c r="D376" s="34">
        <v>0</v>
      </c>
      <c r="E376" s="34">
        <v>0</v>
      </c>
      <c r="F376" s="34">
        <v>48</v>
      </c>
      <c r="G376" s="34">
        <v>48</v>
      </c>
      <c r="H376" s="34">
        <v>0</v>
      </c>
      <c r="I376" s="35" t="str">
        <f t="shared" si="14"/>
        <v>-</v>
      </c>
      <c r="J376" s="35">
        <f t="shared" si="15"/>
        <v>1</v>
      </c>
      <c r="L376" s="18"/>
      <c r="M376" s="19"/>
      <c r="N376" s="19"/>
      <c r="O376" s="19"/>
      <c r="P376" s="19"/>
      <c r="Q376" s="16"/>
      <c r="R376" s="16"/>
      <c r="S376" s="16"/>
      <c r="T376" s="16"/>
      <c r="U376" s="16"/>
      <c r="V376" s="16"/>
      <c r="W376" s="16"/>
      <c r="X376" s="16"/>
      <c r="AD376"/>
      <c r="AE376"/>
    </row>
    <row r="377" spans="1:31" hidden="1" x14ac:dyDescent="0.2">
      <c r="A377" s="44">
        <v>373</v>
      </c>
      <c r="B377" s="15" t="s">
        <v>1033</v>
      </c>
      <c r="C377" s="14">
        <v>1</v>
      </c>
      <c r="D377" s="36">
        <v>0</v>
      </c>
      <c r="E377" s="36">
        <v>0</v>
      </c>
      <c r="F377" s="36">
        <v>1447</v>
      </c>
      <c r="G377" s="36">
        <v>1410</v>
      </c>
      <c r="H377" s="36">
        <v>0</v>
      </c>
      <c r="I377" s="37" t="str">
        <f t="shared" si="14"/>
        <v>-</v>
      </c>
      <c r="J377" s="37">
        <f t="shared" si="15"/>
        <v>0.97442985487214928</v>
      </c>
      <c r="L377" s="18"/>
      <c r="M377" s="19"/>
      <c r="N377" s="19"/>
      <c r="O377" s="19"/>
      <c r="P377" s="19"/>
      <c r="Q377" s="16"/>
      <c r="R377" s="16"/>
      <c r="S377" s="16"/>
      <c r="T377" s="16"/>
      <c r="U377" s="16"/>
      <c r="V377" s="16"/>
      <c r="W377" s="16"/>
      <c r="X377" s="16"/>
      <c r="AD377"/>
      <c r="AE377"/>
    </row>
    <row r="378" spans="1:31" hidden="1" x14ac:dyDescent="0.2">
      <c r="A378" s="43">
        <v>374</v>
      </c>
      <c r="B378" s="13" t="s">
        <v>1288</v>
      </c>
      <c r="C378" s="33">
        <v>3</v>
      </c>
      <c r="D378" s="34">
        <v>0</v>
      </c>
      <c r="E378" s="34">
        <v>0</v>
      </c>
      <c r="F378" s="34">
        <v>166</v>
      </c>
      <c r="G378" s="34">
        <v>158</v>
      </c>
      <c r="H378" s="34">
        <v>0</v>
      </c>
      <c r="I378" s="35" t="str">
        <f t="shared" si="14"/>
        <v>-</v>
      </c>
      <c r="J378" s="35">
        <f t="shared" si="15"/>
        <v>0.95180722891566261</v>
      </c>
      <c r="L378" s="18"/>
      <c r="M378" s="19"/>
      <c r="N378" s="19"/>
      <c r="O378" s="19"/>
      <c r="P378" s="19"/>
      <c r="Q378" s="16"/>
      <c r="R378" s="16"/>
      <c r="S378" s="16"/>
      <c r="T378" s="16"/>
      <c r="U378" s="16"/>
      <c r="V378" s="16"/>
      <c r="W378" s="16"/>
      <c r="X378" s="16"/>
      <c r="AD378"/>
      <c r="AE378"/>
    </row>
    <row r="379" spans="1:31" hidden="1" x14ac:dyDescent="0.2">
      <c r="A379" s="44">
        <v>375</v>
      </c>
      <c r="B379" s="15" t="s">
        <v>1071</v>
      </c>
      <c r="C379" s="14">
        <v>2</v>
      </c>
      <c r="D379" s="36">
        <v>0</v>
      </c>
      <c r="E379" s="36">
        <v>0</v>
      </c>
      <c r="F379" s="36">
        <v>1051</v>
      </c>
      <c r="G379" s="36">
        <v>1037</v>
      </c>
      <c r="H379" s="36">
        <v>0</v>
      </c>
      <c r="I379" s="37" t="str">
        <f t="shared" si="14"/>
        <v>-</v>
      </c>
      <c r="J379" s="37">
        <f t="shared" si="15"/>
        <v>0.9866793529971456</v>
      </c>
      <c r="L379" s="18"/>
      <c r="M379" s="19"/>
      <c r="N379" s="19"/>
      <c r="O379" s="19"/>
      <c r="P379" s="19"/>
      <c r="Q379" s="16"/>
      <c r="R379" s="16"/>
      <c r="S379" s="16"/>
      <c r="T379" s="16"/>
      <c r="U379" s="16"/>
      <c r="V379" s="16"/>
      <c r="W379" s="16"/>
      <c r="X379" s="16"/>
      <c r="AD379"/>
      <c r="AE379"/>
    </row>
    <row r="380" spans="1:31" hidden="1" x14ac:dyDescent="0.2">
      <c r="A380" s="43">
        <v>376</v>
      </c>
      <c r="B380" s="13" t="s">
        <v>1263</v>
      </c>
      <c r="C380" s="33">
        <v>3</v>
      </c>
      <c r="D380" s="34">
        <v>0</v>
      </c>
      <c r="E380" s="34">
        <v>0</v>
      </c>
      <c r="F380" s="34">
        <v>131</v>
      </c>
      <c r="G380" s="34">
        <v>131</v>
      </c>
      <c r="H380" s="34">
        <v>0</v>
      </c>
      <c r="I380" s="35" t="str">
        <f t="shared" si="14"/>
        <v>-</v>
      </c>
      <c r="J380" s="35">
        <f t="shared" si="15"/>
        <v>1</v>
      </c>
      <c r="L380" s="18"/>
      <c r="M380" s="19"/>
      <c r="N380" s="19"/>
      <c r="O380" s="19"/>
      <c r="P380" s="19"/>
      <c r="Q380" s="16"/>
      <c r="R380" s="16"/>
      <c r="S380" s="16"/>
      <c r="T380" s="16"/>
      <c r="U380" s="16"/>
      <c r="V380" s="16"/>
      <c r="W380" s="16"/>
      <c r="X380" s="16"/>
      <c r="AD380"/>
      <c r="AE380"/>
    </row>
    <row r="381" spans="1:31" hidden="1" x14ac:dyDescent="0.2">
      <c r="A381" s="44">
        <v>377</v>
      </c>
      <c r="B381" s="15" t="s">
        <v>1372</v>
      </c>
      <c r="C381" s="14">
        <v>1</v>
      </c>
      <c r="D381" s="36">
        <v>0</v>
      </c>
      <c r="E381" s="36">
        <v>0</v>
      </c>
      <c r="F381" s="36">
        <v>23</v>
      </c>
      <c r="G381" s="36">
        <v>23</v>
      </c>
      <c r="H381" s="36">
        <v>0</v>
      </c>
      <c r="I381" s="37" t="str">
        <f t="shared" si="14"/>
        <v>-</v>
      </c>
      <c r="J381" s="37">
        <f t="shared" si="15"/>
        <v>1</v>
      </c>
      <c r="L381" s="18"/>
      <c r="M381" s="19"/>
      <c r="N381" s="19"/>
      <c r="O381" s="19"/>
      <c r="P381" s="19"/>
      <c r="Q381" s="16"/>
      <c r="R381" s="16"/>
      <c r="S381" s="16"/>
      <c r="T381" s="16"/>
      <c r="U381" s="16"/>
      <c r="V381" s="16"/>
      <c r="W381" s="16"/>
      <c r="X381" s="16"/>
      <c r="AD381"/>
      <c r="AE381"/>
    </row>
    <row r="382" spans="1:31" hidden="1" x14ac:dyDescent="0.2">
      <c r="A382" s="43">
        <v>378</v>
      </c>
      <c r="B382" s="13" t="s">
        <v>1055</v>
      </c>
      <c r="C382" s="33">
        <v>20</v>
      </c>
      <c r="D382" s="34">
        <v>0</v>
      </c>
      <c r="E382" s="34">
        <v>0</v>
      </c>
      <c r="F382" s="34">
        <v>4527</v>
      </c>
      <c r="G382" s="34">
        <v>4470</v>
      </c>
      <c r="H382" s="34">
        <v>0</v>
      </c>
      <c r="I382" s="35" t="str">
        <f t="shared" si="14"/>
        <v>-</v>
      </c>
      <c r="J382" s="35">
        <f t="shared" si="15"/>
        <v>0.98740888005301519</v>
      </c>
      <c r="L382" s="18"/>
      <c r="M382" s="19"/>
      <c r="N382" s="19"/>
      <c r="O382" s="19"/>
      <c r="P382" s="19"/>
      <c r="Q382" s="16"/>
      <c r="R382" s="16"/>
      <c r="S382" s="16"/>
      <c r="T382" s="16"/>
      <c r="U382" s="16"/>
      <c r="V382" s="16"/>
      <c r="W382" s="16"/>
      <c r="X382" s="16"/>
      <c r="AD382"/>
      <c r="AE382"/>
    </row>
    <row r="383" spans="1:31" hidden="1" x14ac:dyDescent="0.2">
      <c r="A383" s="44">
        <v>379</v>
      </c>
      <c r="B383" s="15" t="s">
        <v>1065</v>
      </c>
      <c r="C383" s="14">
        <v>1</v>
      </c>
      <c r="D383" s="36">
        <v>0</v>
      </c>
      <c r="E383" s="36">
        <v>0</v>
      </c>
      <c r="F383" s="36">
        <v>768</v>
      </c>
      <c r="G383" s="36">
        <v>765</v>
      </c>
      <c r="H383" s="36">
        <v>0</v>
      </c>
      <c r="I383" s="37" t="str">
        <f t="shared" si="14"/>
        <v>-</v>
      </c>
      <c r="J383" s="37">
        <f t="shared" si="15"/>
        <v>0.99609375</v>
      </c>
      <c r="L383" s="18"/>
      <c r="M383" s="19"/>
      <c r="N383" s="19"/>
      <c r="O383" s="19"/>
      <c r="P383" s="19"/>
      <c r="Q383" s="16"/>
      <c r="R383" s="16"/>
      <c r="S383" s="16"/>
      <c r="T383" s="16"/>
      <c r="U383" s="16"/>
      <c r="V383" s="16"/>
      <c r="W383" s="16"/>
      <c r="X383" s="16"/>
      <c r="AD383"/>
      <c r="AE383"/>
    </row>
    <row r="384" spans="1:31" hidden="1" x14ac:dyDescent="0.2">
      <c r="A384" s="43">
        <v>380</v>
      </c>
      <c r="B384" s="13" t="s">
        <v>1367</v>
      </c>
      <c r="C384" s="33">
        <v>1</v>
      </c>
      <c r="D384" s="34">
        <v>0</v>
      </c>
      <c r="E384" s="34">
        <v>0</v>
      </c>
      <c r="F384" s="34">
        <v>29</v>
      </c>
      <c r="G384" s="34">
        <v>25</v>
      </c>
      <c r="H384" s="34">
        <v>0</v>
      </c>
      <c r="I384" s="35" t="str">
        <f t="shared" si="14"/>
        <v>-</v>
      </c>
      <c r="J384" s="35">
        <f t="shared" si="15"/>
        <v>0.86206896551724133</v>
      </c>
      <c r="L384" s="18"/>
      <c r="M384" s="19"/>
      <c r="N384" s="19"/>
      <c r="O384" s="19"/>
      <c r="P384" s="19"/>
      <c r="Q384" s="16"/>
      <c r="R384" s="16"/>
      <c r="S384" s="16"/>
      <c r="T384" s="16"/>
      <c r="U384" s="16"/>
      <c r="V384" s="16"/>
      <c r="W384" s="16"/>
      <c r="X384" s="16"/>
      <c r="AD384"/>
      <c r="AE384"/>
    </row>
    <row r="385" spans="1:31" hidden="1" x14ac:dyDescent="0.2">
      <c r="A385" s="44">
        <v>381</v>
      </c>
      <c r="B385" s="15" t="s">
        <v>1007</v>
      </c>
      <c r="C385" s="14">
        <v>1</v>
      </c>
      <c r="D385" s="36">
        <v>0</v>
      </c>
      <c r="E385" s="36">
        <v>0</v>
      </c>
      <c r="F385" s="36">
        <v>3503</v>
      </c>
      <c r="G385" s="36">
        <v>3490</v>
      </c>
      <c r="H385" s="36">
        <v>0</v>
      </c>
      <c r="I385" s="37" t="str">
        <f t="shared" si="14"/>
        <v>-</v>
      </c>
      <c r="J385" s="37">
        <f t="shared" si="15"/>
        <v>0.99628889523265773</v>
      </c>
      <c r="L385" s="18"/>
      <c r="M385" s="19"/>
      <c r="N385" s="19"/>
      <c r="O385" s="19"/>
      <c r="P385" s="19"/>
      <c r="Q385" s="16"/>
      <c r="R385" s="16"/>
      <c r="S385" s="16"/>
      <c r="T385" s="16"/>
      <c r="U385" s="16"/>
      <c r="V385" s="16"/>
      <c r="W385" s="16"/>
      <c r="X385" s="16"/>
      <c r="AD385"/>
      <c r="AE385"/>
    </row>
    <row r="386" spans="1:31" hidden="1" x14ac:dyDescent="0.2">
      <c r="A386" s="43">
        <v>382</v>
      </c>
      <c r="B386" s="13" t="s">
        <v>1167</v>
      </c>
      <c r="C386" s="33">
        <v>1</v>
      </c>
      <c r="D386" s="34">
        <v>0</v>
      </c>
      <c r="E386" s="34">
        <v>0</v>
      </c>
      <c r="F386" s="34">
        <v>286</v>
      </c>
      <c r="G386" s="34">
        <v>285</v>
      </c>
      <c r="H386" s="34">
        <v>0</v>
      </c>
      <c r="I386" s="35" t="str">
        <f t="shared" si="14"/>
        <v>-</v>
      </c>
      <c r="J386" s="35">
        <f t="shared" si="15"/>
        <v>0.99650349650349646</v>
      </c>
      <c r="L386" s="18"/>
      <c r="M386" s="19"/>
      <c r="N386" s="19"/>
      <c r="O386" s="19"/>
      <c r="P386" s="19"/>
      <c r="Q386" s="16"/>
      <c r="R386" s="16"/>
      <c r="S386" s="16"/>
      <c r="T386" s="16"/>
      <c r="U386" s="16"/>
      <c r="V386" s="16"/>
      <c r="W386" s="16"/>
      <c r="X386" s="16"/>
      <c r="AD386"/>
      <c r="AE386"/>
    </row>
    <row r="387" spans="1:31" hidden="1" x14ac:dyDescent="0.2">
      <c r="A387" s="44">
        <v>383</v>
      </c>
      <c r="B387" s="15" t="s">
        <v>1134</v>
      </c>
      <c r="C387" s="14">
        <v>2</v>
      </c>
      <c r="D387" s="36">
        <v>0</v>
      </c>
      <c r="E387" s="36">
        <v>0</v>
      </c>
      <c r="F387" s="36">
        <v>473</v>
      </c>
      <c r="G387" s="36">
        <v>469</v>
      </c>
      <c r="H387" s="36">
        <v>0</v>
      </c>
      <c r="I387" s="37" t="str">
        <f t="shared" si="14"/>
        <v>-</v>
      </c>
      <c r="J387" s="37">
        <f t="shared" si="15"/>
        <v>0.9915433403805497</v>
      </c>
      <c r="L387" s="18"/>
      <c r="M387" s="19"/>
      <c r="N387" s="19"/>
      <c r="O387" s="19"/>
      <c r="P387" s="19"/>
      <c r="Q387" s="16"/>
      <c r="R387" s="16"/>
      <c r="S387" s="16"/>
      <c r="T387" s="16"/>
      <c r="U387" s="16"/>
      <c r="V387" s="16"/>
      <c r="W387" s="16"/>
      <c r="X387" s="16"/>
      <c r="AD387"/>
      <c r="AE387"/>
    </row>
    <row r="388" spans="1:31" hidden="1" x14ac:dyDescent="0.2">
      <c r="A388" s="43">
        <v>384</v>
      </c>
      <c r="B388" s="13" t="s">
        <v>1132</v>
      </c>
      <c r="C388" s="33">
        <v>7</v>
      </c>
      <c r="D388" s="34">
        <v>0</v>
      </c>
      <c r="E388" s="34">
        <v>0</v>
      </c>
      <c r="F388" s="34">
        <v>990</v>
      </c>
      <c r="G388" s="34">
        <v>976</v>
      </c>
      <c r="H388" s="34">
        <v>0</v>
      </c>
      <c r="I388" s="35" t="str">
        <f t="shared" si="14"/>
        <v>-</v>
      </c>
      <c r="J388" s="35">
        <f t="shared" si="15"/>
        <v>0.98585858585858588</v>
      </c>
      <c r="L388" s="18"/>
      <c r="M388" s="19"/>
      <c r="N388" s="19"/>
      <c r="O388" s="19"/>
      <c r="P388" s="19"/>
      <c r="Q388" s="16"/>
      <c r="R388" s="16"/>
      <c r="S388" s="16"/>
      <c r="T388" s="16"/>
      <c r="U388" s="16"/>
      <c r="V388" s="16"/>
      <c r="W388" s="16"/>
      <c r="X388" s="16"/>
      <c r="AD388"/>
      <c r="AE388"/>
    </row>
    <row r="389" spans="1:31" hidden="1" x14ac:dyDescent="0.2">
      <c r="A389" s="44">
        <v>385</v>
      </c>
      <c r="B389" s="15" t="s">
        <v>1146</v>
      </c>
      <c r="C389" s="14">
        <v>6</v>
      </c>
      <c r="D389" s="36">
        <v>0</v>
      </c>
      <c r="E389" s="36">
        <v>0</v>
      </c>
      <c r="F389" s="36">
        <v>715</v>
      </c>
      <c r="G389" s="36">
        <v>700</v>
      </c>
      <c r="H389" s="36">
        <v>0</v>
      </c>
      <c r="I389" s="37" t="str">
        <f t="shared" ref="I389:I452" si="16">IF(D389=0,"-",E389/D389)</f>
        <v>-</v>
      </c>
      <c r="J389" s="37">
        <f t="shared" ref="J389:J452" si="17">IF(F389=0,"-",G389/F389)</f>
        <v>0.97902097902097907</v>
      </c>
      <c r="L389" s="18"/>
      <c r="M389" s="19"/>
      <c r="N389" s="19"/>
      <c r="O389" s="19"/>
      <c r="P389" s="19"/>
      <c r="Q389" s="16"/>
      <c r="R389" s="16"/>
      <c r="S389" s="16"/>
      <c r="T389" s="16"/>
      <c r="U389" s="16"/>
      <c r="V389" s="16"/>
      <c r="W389" s="16"/>
      <c r="X389" s="16"/>
      <c r="AD389"/>
      <c r="AE389"/>
    </row>
    <row r="390" spans="1:31" hidden="1" x14ac:dyDescent="0.2">
      <c r="A390" s="43">
        <v>386</v>
      </c>
      <c r="B390" s="13" t="s">
        <v>1111</v>
      </c>
      <c r="C390" s="33">
        <v>7</v>
      </c>
      <c r="D390" s="34">
        <v>0</v>
      </c>
      <c r="E390" s="34">
        <v>0</v>
      </c>
      <c r="F390" s="34">
        <v>1592</v>
      </c>
      <c r="G390" s="34">
        <v>1585</v>
      </c>
      <c r="H390" s="34">
        <v>0</v>
      </c>
      <c r="I390" s="35" t="str">
        <f t="shared" si="16"/>
        <v>-</v>
      </c>
      <c r="J390" s="35">
        <f t="shared" si="17"/>
        <v>0.99560301507537685</v>
      </c>
      <c r="L390" s="18"/>
      <c r="M390" s="19"/>
      <c r="N390" s="19"/>
      <c r="O390" s="19"/>
      <c r="P390" s="19"/>
      <c r="Q390" s="16"/>
      <c r="R390" s="16"/>
      <c r="S390" s="16"/>
      <c r="T390" s="16"/>
      <c r="U390" s="16"/>
      <c r="V390" s="16"/>
      <c r="W390" s="16"/>
      <c r="X390" s="16"/>
      <c r="AD390"/>
      <c r="AE390"/>
    </row>
    <row r="391" spans="1:31" hidden="1" x14ac:dyDescent="0.2">
      <c r="A391" s="44">
        <v>387</v>
      </c>
      <c r="B391" s="15" t="s">
        <v>1121</v>
      </c>
      <c r="C391" s="14">
        <v>6</v>
      </c>
      <c r="D391" s="36">
        <v>0</v>
      </c>
      <c r="E391" s="36">
        <v>0</v>
      </c>
      <c r="F391" s="36">
        <v>1469</v>
      </c>
      <c r="G391" s="36">
        <v>1380</v>
      </c>
      <c r="H391" s="36">
        <v>0</v>
      </c>
      <c r="I391" s="37" t="str">
        <f t="shared" si="16"/>
        <v>-</v>
      </c>
      <c r="J391" s="37">
        <f t="shared" si="17"/>
        <v>0.9394145677331518</v>
      </c>
      <c r="L391" s="18"/>
      <c r="M391" s="19"/>
      <c r="N391" s="19"/>
      <c r="O391" s="19"/>
      <c r="P391" s="19"/>
      <c r="Q391" s="16"/>
      <c r="R391" s="16"/>
      <c r="S391" s="16"/>
      <c r="T391" s="16"/>
      <c r="U391" s="16"/>
      <c r="V391" s="16"/>
      <c r="W391" s="16"/>
      <c r="X391" s="16"/>
      <c r="AD391"/>
      <c r="AE391"/>
    </row>
    <row r="392" spans="1:31" hidden="1" x14ac:dyDescent="0.2">
      <c r="A392" s="43">
        <v>388</v>
      </c>
      <c r="B392" s="13" t="s">
        <v>1241</v>
      </c>
      <c r="C392" s="33">
        <v>4</v>
      </c>
      <c r="D392" s="34">
        <v>0</v>
      </c>
      <c r="E392" s="34">
        <v>0</v>
      </c>
      <c r="F392" s="34">
        <v>349</v>
      </c>
      <c r="G392" s="34">
        <v>349</v>
      </c>
      <c r="H392" s="34">
        <v>0</v>
      </c>
      <c r="I392" s="35" t="str">
        <f t="shared" si="16"/>
        <v>-</v>
      </c>
      <c r="J392" s="35">
        <f t="shared" si="17"/>
        <v>1</v>
      </c>
      <c r="L392" s="18"/>
      <c r="M392" s="19"/>
      <c r="N392" s="19"/>
      <c r="O392" s="19"/>
      <c r="P392" s="19"/>
      <c r="Q392" s="16"/>
      <c r="R392" s="16"/>
      <c r="S392" s="16"/>
      <c r="T392" s="16"/>
      <c r="U392" s="16"/>
      <c r="V392" s="16"/>
      <c r="W392" s="16"/>
      <c r="X392" s="16"/>
      <c r="AD392"/>
      <c r="AE392"/>
    </row>
    <row r="393" spans="1:31" hidden="1" x14ac:dyDescent="0.2">
      <c r="A393" s="44">
        <v>389</v>
      </c>
      <c r="B393" s="15" t="s">
        <v>1151</v>
      </c>
      <c r="C393" s="14">
        <v>3</v>
      </c>
      <c r="D393" s="36">
        <v>0</v>
      </c>
      <c r="E393" s="36">
        <v>0</v>
      </c>
      <c r="F393" s="36">
        <v>496</v>
      </c>
      <c r="G393" s="36">
        <v>494</v>
      </c>
      <c r="H393" s="36">
        <v>0</v>
      </c>
      <c r="I393" s="37" t="str">
        <f t="shared" si="16"/>
        <v>-</v>
      </c>
      <c r="J393" s="37">
        <f t="shared" si="17"/>
        <v>0.99596774193548387</v>
      </c>
      <c r="L393" s="18"/>
      <c r="M393" s="19"/>
      <c r="N393" s="19"/>
      <c r="O393" s="19"/>
      <c r="P393" s="19"/>
      <c r="Q393" s="16"/>
      <c r="R393" s="16"/>
      <c r="S393" s="16"/>
      <c r="T393" s="16"/>
      <c r="U393" s="16"/>
      <c r="V393" s="16"/>
      <c r="W393" s="16"/>
      <c r="X393" s="16"/>
      <c r="AD393"/>
      <c r="AE393"/>
    </row>
    <row r="394" spans="1:31" hidden="1" x14ac:dyDescent="0.2">
      <c r="A394" s="43">
        <v>390</v>
      </c>
      <c r="B394" s="13" t="s">
        <v>1245</v>
      </c>
      <c r="C394" s="33">
        <v>1</v>
      </c>
      <c r="D394" s="34">
        <v>0</v>
      </c>
      <c r="E394" s="34">
        <v>0</v>
      </c>
      <c r="F394" s="34">
        <v>167</v>
      </c>
      <c r="G394" s="34">
        <v>151</v>
      </c>
      <c r="H394" s="34">
        <v>0</v>
      </c>
      <c r="I394" s="35" t="str">
        <f t="shared" si="16"/>
        <v>-</v>
      </c>
      <c r="J394" s="35">
        <f t="shared" si="17"/>
        <v>0.90419161676646709</v>
      </c>
      <c r="L394" s="18"/>
      <c r="M394" s="19"/>
      <c r="N394" s="19"/>
      <c r="O394" s="19"/>
      <c r="P394" s="19"/>
      <c r="Q394" s="16"/>
      <c r="R394" s="16"/>
      <c r="S394" s="16"/>
      <c r="T394" s="16"/>
      <c r="U394" s="16"/>
      <c r="V394" s="16"/>
      <c r="W394" s="16"/>
      <c r="X394" s="16"/>
      <c r="AD394"/>
      <c r="AE394"/>
    </row>
    <row r="395" spans="1:31" hidden="1" x14ac:dyDescent="0.2">
      <c r="A395" s="44">
        <v>391</v>
      </c>
      <c r="B395" s="15" t="s">
        <v>1393</v>
      </c>
      <c r="C395" s="14">
        <v>1</v>
      </c>
      <c r="D395" s="36">
        <v>0</v>
      </c>
      <c r="E395" s="36">
        <v>0</v>
      </c>
      <c r="F395" s="36">
        <v>9</v>
      </c>
      <c r="G395" s="36">
        <v>9</v>
      </c>
      <c r="H395" s="36">
        <v>0</v>
      </c>
      <c r="I395" s="37" t="str">
        <f t="shared" si="16"/>
        <v>-</v>
      </c>
      <c r="J395" s="37">
        <f t="shared" si="17"/>
        <v>1</v>
      </c>
      <c r="L395" s="18"/>
      <c r="M395" s="19"/>
      <c r="N395" s="19"/>
      <c r="O395" s="19"/>
      <c r="P395" s="19"/>
      <c r="Q395" s="16"/>
      <c r="R395" s="16"/>
      <c r="S395" s="16"/>
      <c r="T395" s="16"/>
      <c r="U395" s="16"/>
      <c r="V395" s="16"/>
      <c r="W395" s="16"/>
      <c r="X395" s="16"/>
      <c r="AD395"/>
      <c r="AE395"/>
    </row>
    <row r="396" spans="1:31" hidden="1" x14ac:dyDescent="0.2">
      <c r="A396" s="43">
        <v>392</v>
      </c>
      <c r="B396" s="13" t="s">
        <v>1218</v>
      </c>
      <c r="C396" s="33">
        <v>3</v>
      </c>
      <c r="D396" s="34">
        <v>0</v>
      </c>
      <c r="E396" s="34">
        <v>0</v>
      </c>
      <c r="F396" s="34">
        <v>296</v>
      </c>
      <c r="G396" s="34">
        <v>296</v>
      </c>
      <c r="H396" s="34">
        <v>0</v>
      </c>
      <c r="I396" s="35" t="str">
        <f t="shared" si="16"/>
        <v>-</v>
      </c>
      <c r="J396" s="35">
        <f t="shared" si="17"/>
        <v>1</v>
      </c>
      <c r="L396" s="18"/>
      <c r="M396" s="19"/>
      <c r="N396" s="19"/>
      <c r="O396" s="19"/>
      <c r="P396" s="19"/>
      <c r="Q396" s="16"/>
      <c r="R396" s="16"/>
      <c r="S396" s="16"/>
      <c r="T396" s="16"/>
      <c r="U396" s="16"/>
      <c r="V396" s="16"/>
      <c r="W396" s="16"/>
      <c r="X396" s="16"/>
      <c r="AD396"/>
      <c r="AE396"/>
    </row>
    <row r="397" spans="1:31" hidden="1" x14ac:dyDescent="0.2">
      <c r="A397" s="44">
        <v>393</v>
      </c>
      <c r="B397" s="15" t="s">
        <v>1344</v>
      </c>
      <c r="C397" s="14">
        <v>1</v>
      </c>
      <c r="D397" s="36">
        <v>0</v>
      </c>
      <c r="E397" s="36">
        <v>0</v>
      </c>
      <c r="F397" s="36">
        <v>38</v>
      </c>
      <c r="G397" s="36">
        <v>38</v>
      </c>
      <c r="H397" s="36">
        <v>0</v>
      </c>
      <c r="I397" s="37" t="str">
        <f t="shared" si="16"/>
        <v>-</v>
      </c>
      <c r="J397" s="37">
        <f t="shared" si="17"/>
        <v>1</v>
      </c>
      <c r="L397" s="18"/>
      <c r="M397" s="19"/>
      <c r="N397" s="19"/>
      <c r="O397" s="19"/>
      <c r="P397" s="19"/>
      <c r="Q397" s="16"/>
      <c r="R397" s="16"/>
      <c r="S397" s="16"/>
      <c r="T397" s="16"/>
      <c r="U397" s="16"/>
      <c r="V397" s="16"/>
      <c r="W397" s="16"/>
      <c r="X397" s="16"/>
      <c r="AD397"/>
      <c r="AE397"/>
    </row>
    <row r="398" spans="1:31" hidden="1" x14ac:dyDescent="0.2">
      <c r="A398" s="43">
        <v>394</v>
      </c>
      <c r="B398" s="13" t="s">
        <v>1184</v>
      </c>
      <c r="C398" s="33">
        <v>1</v>
      </c>
      <c r="D398" s="34">
        <v>0</v>
      </c>
      <c r="E398" s="34">
        <v>0</v>
      </c>
      <c r="F398" s="34">
        <v>252</v>
      </c>
      <c r="G398" s="34">
        <v>251</v>
      </c>
      <c r="H398" s="34">
        <v>0</v>
      </c>
      <c r="I398" s="35" t="str">
        <f t="shared" si="16"/>
        <v>-</v>
      </c>
      <c r="J398" s="35">
        <f t="shared" si="17"/>
        <v>0.99603174603174605</v>
      </c>
      <c r="L398" s="18"/>
      <c r="M398" s="19"/>
      <c r="N398" s="19"/>
      <c r="O398" s="19"/>
      <c r="P398" s="19"/>
      <c r="Q398" s="16"/>
      <c r="R398" s="16"/>
      <c r="S398" s="16"/>
      <c r="T398" s="16"/>
      <c r="U398" s="16"/>
      <c r="V398" s="16"/>
      <c r="W398" s="16"/>
      <c r="X398" s="16"/>
      <c r="AD398"/>
      <c r="AE398"/>
    </row>
    <row r="399" spans="1:31" hidden="1" x14ac:dyDescent="0.2">
      <c r="A399" s="44">
        <v>395</v>
      </c>
      <c r="B399" s="15" t="s">
        <v>1220</v>
      </c>
      <c r="C399" s="14">
        <v>1</v>
      </c>
      <c r="D399" s="36">
        <v>0</v>
      </c>
      <c r="E399" s="36">
        <v>0</v>
      </c>
      <c r="F399" s="36">
        <v>192</v>
      </c>
      <c r="G399" s="36">
        <v>191</v>
      </c>
      <c r="H399" s="36">
        <v>0</v>
      </c>
      <c r="I399" s="37" t="str">
        <f t="shared" si="16"/>
        <v>-</v>
      </c>
      <c r="J399" s="37">
        <f t="shared" si="17"/>
        <v>0.99479166666666663</v>
      </c>
      <c r="L399" s="18"/>
      <c r="M399" s="19"/>
      <c r="N399" s="19"/>
      <c r="O399" s="19"/>
      <c r="P399" s="19"/>
      <c r="Q399" s="16"/>
      <c r="R399" s="16"/>
      <c r="S399" s="16"/>
      <c r="T399" s="16"/>
      <c r="U399" s="16"/>
      <c r="V399" s="16"/>
      <c r="W399" s="16"/>
      <c r="X399" s="16"/>
      <c r="AD399"/>
      <c r="AE399"/>
    </row>
    <row r="400" spans="1:31" hidden="1" x14ac:dyDescent="0.2">
      <c r="A400" s="43">
        <v>396</v>
      </c>
      <c r="B400" s="13" t="s">
        <v>1075</v>
      </c>
      <c r="C400" s="33">
        <v>9</v>
      </c>
      <c r="D400" s="34">
        <v>0</v>
      </c>
      <c r="E400" s="34">
        <v>0</v>
      </c>
      <c r="F400" s="34">
        <v>3054</v>
      </c>
      <c r="G400" s="34">
        <v>2940</v>
      </c>
      <c r="H400" s="34">
        <v>0</v>
      </c>
      <c r="I400" s="35" t="str">
        <f t="shared" si="16"/>
        <v>-</v>
      </c>
      <c r="J400" s="35">
        <f t="shared" si="17"/>
        <v>0.96267190569744598</v>
      </c>
      <c r="L400" s="18"/>
      <c r="M400" s="19"/>
      <c r="N400" s="19"/>
      <c r="O400" s="19"/>
      <c r="P400" s="19"/>
      <c r="Q400" s="16"/>
      <c r="R400" s="16"/>
      <c r="S400" s="16"/>
      <c r="T400" s="16"/>
      <c r="U400" s="16"/>
      <c r="V400" s="16"/>
      <c r="W400" s="16"/>
      <c r="X400" s="16"/>
      <c r="AD400"/>
      <c r="AE400"/>
    </row>
    <row r="401" spans="1:31" hidden="1" x14ac:dyDescent="0.2">
      <c r="A401" s="44">
        <v>397</v>
      </c>
      <c r="B401" s="15" t="s">
        <v>1067</v>
      </c>
      <c r="C401" s="14">
        <v>7</v>
      </c>
      <c r="D401" s="36">
        <v>0</v>
      </c>
      <c r="E401" s="36">
        <v>0</v>
      </c>
      <c r="F401" s="36">
        <v>2069</v>
      </c>
      <c r="G401" s="36">
        <v>1970</v>
      </c>
      <c r="H401" s="36">
        <v>0</v>
      </c>
      <c r="I401" s="37" t="str">
        <f t="shared" si="16"/>
        <v>-</v>
      </c>
      <c r="J401" s="37">
        <f t="shared" si="17"/>
        <v>0.9521507974867085</v>
      </c>
      <c r="L401" s="18"/>
      <c r="M401" s="19"/>
      <c r="N401" s="19"/>
      <c r="O401" s="19"/>
      <c r="P401" s="19"/>
      <c r="Q401" s="16"/>
      <c r="R401" s="16"/>
      <c r="S401" s="16"/>
      <c r="T401" s="16"/>
      <c r="U401" s="16"/>
      <c r="V401" s="16"/>
      <c r="W401" s="16"/>
      <c r="X401" s="16"/>
      <c r="AD401"/>
      <c r="AE401"/>
    </row>
    <row r="402" spans="1:31" hidden="1" x14ac:dyDescent="0.2">
      <c r="A402" s="43">
        <v>398</v>
      </c>
      <c r="B402" s="13" t="s">
        <v>1353</v>
      </c>
      <c r="C402" s="33">
        <v>1</v>
      </c>
      <c r="D402" s="34">
        <v>0</v>
      </c>
      <c r="E402" s="34">
        <v>0</v>
      </c>
      <c r="F402" s="34">
        <v>29</v>
      </c>
      <c r="G402" s="34">
        <v>29</v>
      </c>
      <c r="H402" s="34">
        <v>0</v>
      </c>
      <c r="I402" s="35" t="str">
        <f t="shared" si="16"/>
        <v>-</v>
      </c>
      <c r="J402" s="35">
        <f t="shared" si="17"/>
        <v>1</v>
      </c>
      <c r="L402" s="18"/>
      <c r="M402" s="19"/>
      <c r="N402" s="19"/>
      <c r="O402" s="19"/>
      <c r="P402" s="19"/>
      <c r="Q402" s="16"/>
      <c r="R402" s="16"/>
      <c r="S402" s="16"/>
      <c r="T402" s="16"/>
      <c r="U402" s="16"/>
      <c r="V402" s="16"/>
      <c r="W402" s="16"/>
      <c r="X402" s="16"/>
      <c r="AD402"/>
      <c r="AE402"/>
    </row>
    <row r="403" spans="1:31" hidden="1" x14ac:dyDescent="0.2">
      <c r="A403" s="44">
        <v>399</v>
      </c>
      <c r="B403" s="15" t="s">
        <v>1142</v>
      </c>
      <c r="C403" s="14">
        <v>4</v>
      </c>
      <c r="D403" s="36">
        <v>0</v>
      </c>
      <c r="E403" s="36">
        <v>0</v>
      </c>
      <c r="F403" s="36">
        <v>764</v>
      </c>
      <c r="G403" s="36">
        <v>754</v>
      </c>
      <c r="H403" s="36">
        <v>0</v>
      </c>
      <c r="I403" s="37" t="str">
        <f t="shared" si="16"/>
        <v>-</v>
      </c>
      <c r="J403" s="37">
        <f t="shared" si="17"/>
        <v>0.98691099476439792</v>
      </c>
      <c r="L403" s="18"/>
      <c r="M403" s="19"/>
      <c r="N403" s="19"/>
      <c r="O403" s="19"/>
      <c r="P403" s="19"/>
      <c r="Q403" s="16"/>
      <c r="R403" s="16"/>
      <c r="S403" s="16"/>
      <c r="T403" s="16"/>
      <c r="U403" s="16"/>
      <c r="V403" s="16"/>
      <c r="W403" s="16"/>
      <c r="X403" s="16"/>
      <c r="AD403"/>
      <c r="AE403"/>
    </row>
    <row r="404" spans="1:31" hidden="1" x14ac:dyDescent="0.2">
      <c r="A404" s="43">
        <v>400</v>
      </c>
      <c r="B404" s="13" t="s">
        <v>1413</v>
      </c>
      <c r="C404" s="33">
        <v>1</v>
      </c>
      <c r="D404" s="34">
        <v>0</v>
      </c>
      <c r="E404" s="34">
        <v>0</v>
      </c>
      <c r="F404" s="34">
        <v>0</v>
      </c>
      <c r="G404" s="34">
        <v>0</v>
      </c>
      <c r="H404" s="34">
        <v>0</v>
      </c>
      <c r="I404" s="35" t="str">
        <f t="shared" si="16"/>
        <v>-</v>
      </c>
      <c r="J404" s="35" t="str">
        <f t="shared" si="17"/>
        <v>-</v>
      </c>
      <c r="L404" s="18"/>
      <c r="M404" s="19"/>
      <c r="N404" s="19"/>
      <c r="O404" s="19"/>
      <c r="P404" s="19"/>
      <c r="Q404" s="16"/>
      <c r="R404" s="16"/>
      <c r="S404" s="16"/>
      <c r="T404" s="16"/>
      <c r="U404" s="16"/>
      <c r="V404" s="16"/>
      <c r="W404" s="16"/>
      <c r="X404" s="16"/>
      <c r="AD404"/>
      <c r="AE404"/>
    </row>
    <row r="405" spans="1:31" hidden="1" x14ac:dyDescent="0.2">
      <c r="A405" s="44">
        <v>401</v>
      </c>
      <c r="B405" s="15" t="s">
        <v>1013</v>
      </c>
      <c r="C405" s="14">
        <v>1</v>
      </c>
      <c r="D405" s="36">
        <v>0</v>
      </c>
      <c r="E405" s="36">
        <v>0</v>
      </c>
      <c r="F405" s="36">
        <v>2755</v>
      </c>
      <c r="G405" s="36">
        <v>2754</v>
      </c>
      <c r="H405" s="36">
        <v>0</v>
      </c>
      <c r="I405" s="37" t="str">
        <f t="shared" si="16"/>
        <v>-</v>
      </c>
      <c r="J405" s="37">
        <f t="shared" si="17"/>
        <v>0.9996370235934664</v>
      </c>
      <c r="L405" s="18"/>
      <c r="M405" s="19"/>
      <c r="N405" s="19"/>
      <c r="O405" s="19"/>
      <c r="P405" s="19"/>
      <c r="Q405" s="16"/>
      <c r="R405" s="16"/>
      <c r="S405" s="16"/>
      <c r="T405" s="16"/>
      <c r="U405" s="16"/>
      <c r="V405" s="16"/>
      <c r="W405" s="16"/>
      <c r="X405" s="16"/>
      <c r="AD405"/>
      <c r="AE405"/>
    </row>
    <row r="406" spans="1:31" hidden="1" x14ac:dyDescent="0.2">
      <c r="A406" s="43">
        <v>402</v>
      </c>
      <c r="B406" s="13" t="s">
        <v>1305</v>
      </c>
      <c r="C406" s="33">
        <v>3</v>
      </c>
      <c r="D406" s="34">
        <v>0</v>
      </c>
      <c r="E406" s="34">
        <v>0</v>
      </c>
      <c r="F406" s="34">
        <v>130</v>
      </c>
      <c r="G406" s="34">
        <v>128</v>
      </c>
      <c r="H406" s="34">
        <v>0</v>
      </c>
      <c r="I406" s="35" t="str">
        <f t="shared" si="16"/>
        <v>-</v>
      </c>
      <c r="J406" s="35">
        <f t="shared" si="17"/>
        <v>0.98461538461538467</v>
      </c>
      <c r="L406" s="18"/>
      <c r="M406" s="19"/>
      <c r="N406" s="19"/>
      <c r="O406" s="19"/>
      <c r="P406" s="19"/>
      <c r="Q406" s="16"/>
      <c r="R406" s="16"/>
      <c r="S406" s="16"/>
      <c r="T406" s="16"/>
      <c r="U406" s="16"/>
      <c r="V406" s="16"/>
      <c r="W406" s="16"/>
      <c r="X406" s="16"/>
      <c r="AD406"/>
      <c r="AE406"/>
    </row>
    <row r="407" spans="1:31" hidden="1" x14ac:dyDescent="0.2">
      <c r="A407" s="44">
        <v>403</v>
      </c>
      <c r="B407" s="15" t="s">
        <v>1208</v>
      </c>
      <c r="C407" s="14">
        <v>3</v>
      </c>
      <c r="D407" s="36">
        <v>0</v>
      </c>
      <c r="E407" s="36">
        <v>0</v>
      </c>
      <c r="F407" s="36">
        <v>525</v>
      </c>
      <c r="G407" s="36">
        <v>486</v>
      </c>
      <c r="H407" s="36">
        <v>0</v>
      </c>
      <c r="I407" s="37" t="str">
        <f t="shared" si="16"/>
        <v>-</v>
      </c>
      <c r="J407" s="37">
        <f t="shared" si="17"/>
        <v>0.92571428571428571</v>
      </c>
      <c r="L407" s="18"/>
      <c r="M407" s="19"/>
      <c r="N407" s="19"/>
      <c r="O407" s="19"/>
      <c r="P407" s="19"/>
      <c r="Q407" s="16"/>
      <c r="R407" s="16"/>
      <c r="S407" s="16"/>
      <c r="T407" s="16"/>
      <c r="U407" s="16"/>
      <c r="V407" s="16"/>
      <c r="W407" s="16"/>
      <c r="X407" s="16"/>
      <c r="AD407"/>
      <c r="AE407"/>
    </row>
    <row r="408" spans="1:31" hidden="1" x14ac:dyDescent="0.2">
      <c r="A408" s="43">
        <v>404</v>
      </c>
      <c r="B408" s="13" t="s">
        <v>1313</v>
      </c>
      <c r="C408" s="33">
        <v>3</v>
      </c>
      <c r="D408" s="34">
        <v>0</v>
      </c>
      <c r="E408" s="34">
        <v>0</v>
      </c>
      <c r="F408" s="34">
        <v>190</v>
      </c>
      <c r="G408" s="34">
        <v>124</v>
      </c>
      <c r="H408" s="34">
        <v>0</v>
      </c>
      <c r="I408" s="35" t="str">
        <f t="shared" si="16"/>
        <v>-</v>
      </c>
      <c r="J408" s="35">
        <f t="shared" si="17"/>
        <v>0.65263157894736845</v>
      </c>
      <c r="L408" s="18"/>
      <c r="M408" s="19"/>
      <c r="N408" s="19"/>
      <c r="O408" s="19"/>
      <c r="P408" s="19"/>
      <c r="Q408" s="16"/>
      <c r="R408" s="16"/>
      <c r="S408" s="16"/>
      <c r="T408" s="16"/>
      <c r="U408" s="16"/>
      <c r="V408" s="16"/>
      <c r="W408" s="16"/>
      <c r="X408" s="16"/>
      <c r="AD408"/>
      <c r="AE408"/>
    </row>
    <row r="409" spans="1:31" hidden="1" x14ac:dyDescent="0.2">
      <c r="A409" s="44">
        <v>405</v>
      </c>
      <c r="B409" s="15" t="s">
        <v>1041</v>
      </c>
      <c r="C409" s="14">
        <v>1</v>
      </c>
      <c r="D409" s="36">
        <v>0</v>
      </c>
      <c r="E409" s="36">
        <v>0</v>
      </c>
      <c r="F409" s="36">
        <v>1228</v>
      </c>
      <c r="G409" s="36">
        <v>1210</v>
      </c>
      <c r="H409" s="36">
        <v>0</v>
      </c>
      <c r="I409" s="37" t="str">
        <f t="shared" si="16"/>
        <v>-</v>
      </c>
      <c r="J409" s="37">
        <f t="shared" si="17"/>
        <v>0.98534201954397393</v>
      </c>
      <c r="L409" s="18"/>
      <c r="M409" s="19"/>
      <c r="N409" s="19"/>
      <c r="O409" s="19"/>
      <c r="P409" s="19"/>
      <c r="Q409" s="16"/>
      <c r="R409" s="16"/>
      <c r="S409" s="16"/>
      <c r="T409" s="16"/>
      <c r="U409" s="16"/>
      <c r="V409" s="16"/>
      <c r="W409" s="16"/>
      <c r="X409" s="16"/>
      <c r="AD409"/>
      <c r="AE409"/>
    </row>
    <row r="410" spans="1:31" hidden="1" x14ac:dyDescent="0.2">
      <c r="A410" s="43">
        <v>406</v>
      </c>
      <c r="B410" s="13" t="s">
        <v>1008</v>
      </c>
      <c r="C410" s="33">
        <v>2</v>
      </c>
      <c r="D410" s="34">
        <v>0</v>
      </c>
      <c r="E410" s="34">
        <v>0</v>
      </c>
      <c r="F410" s="34">
        <v>3601</v>
      </c>
      <c r="G410" s="34">
        <v>3567</v>
      </c>
      <c r="H410" s="34">
        <v>0</v>
      </c>
      <c r="I410" s="35" t="str">
        <f t="shared" si="16"/>
        <v>-</v>
      </c>
      <c r="J410" s="35">
        <f t="shared" si="17"/>
        <v>0.9905581782838101</v>
      </c>
      <c r="L410" s="18"/>
      <c r="M410" s="19"/>
      <c r="N410" s="19"/>
      <c r="O410" s="19"/>
      <c r="P410" s="19"/>
      <c r="Q410" s="16"/>
      <c r="R410" s="16"/>
      <c r="S410" s="16"/>
      <c r="T410" s="16"/>
      <c r="U410" s="16"/>
      <c r="V410" s="16"/>
      <c r="W410" s="16"/>
      <c r="X410" s="16"/>
      <c r="AD410"/>
      <c r="AE410"/>
    </row>
    <row r="411" spans="1:31" hidden="1" x14ac:dyDescent="0.2">
      <c r="A411" s="44">
        <v>407</v>
      </c>
      <c r="B411" s="15" t="s">
        <v>1248</v>
      </c>
      <c r="C411" s="14">
        <v>2</v>
      </c>
      <c r="D411" s="36">
        <v>0</v>
      </c>
      <c r="E411" s="36">
        <v>0</v>
      </c>
      <c r="F411" s="36">
        <v>187</v>
      </c>
      <c r="G411" s="36">
        <v>187</v>
      </c>
      <c r="H411" s="36">
        <v>0</v>
      </c>
      <c r="I411" s="37" t="str">
        <f t="shared" si="16"/>
        <v>-</v>
      </c>
      <c r="J411" s="37">
        <f t="shared" si="17"/>
        <v>1</v>
      </c>
      <c r="L411" s="18"/>
      <c r="M411" s="19"/>
      <c r="N411" s="19"/>
      <c r="O411" s="19"/>
      <c r="P411" s="19"/>
      <c r="Q411" s="16"/>
      <c r="R411" s="16"/>
      <c r="S411" s="16"/>
      <c r="T411" s="16"/>
      <c r="U411" s="16"/>
      <c r="V411" s="16"/>
      <c r="W411" s="16"/>
      <c r="X411" s="16"/>
      <c r="AD411"/>
      <c r="AE411"/>
    </row>
    <row r="412" spans="1:31" hidden="1" x14ac:dyDescent="0.2">
      <c r="A412" s="43">
        <v>408</v>
      </c>
      <c r="B412" s="13" t="s">
        <v>1374</v>
      </c>
      <c r="C412" s="33">
        <v>4</v>
      </c>
      <c r="D412" s="34">
        <v>0</v>
      </c>
      <c r="E412" s="34">
        <v>0</v>
      </c>
      <c r="F412" s="34">
        <v>64</v>
      </c>
      <c r="G412" s="34">
        <v>62</v>
      </c>
      <c r="H412" s="34">
        <v>0</v>
      </c>
      <c r="I412" s="35" t="str">
        <f t="shared" si="16"/>
        <v>-</v>
      </c>
      <c r="J412" s="35">
        <f t="shared" si="17"/>
        <v>0.96875</v>
      </c>
      <c r="L412" s="18"/>
      <c r="M412" s="19"/>
      <c r="N412" s="19"/>
      <c r="O412" s="19"/>
      <c r="P412" s="19"/>
      <c r="Q412" s="16"/>
      <c r="R412" s="16"/>
      <c r="S412" s="16"/>
      <c r="T412" s="16"/>
      <c r="U412" s="16"/>
      <c r="V412" s="16"/>
      <c r="W412" s="16"/>
      <c r="X412" s="16"/>
      <c r="AD412"/>
      <c r="AE412"/>
    </row>
    <row r="413" spans="1:31" hidden="1" x14ac:dyDescent="0.2">
      <c r="A413" s="44">
        <v>409</v>
      </c>
      <c r="B413" s="15" t="s">
        <v>1137</v>
      </c>
      <c r="C413" s="14">
        <v>8</v>
      </c>
      <c r="D413" s="36">
        <v>0</v>
      </c>
      <c r="E413" s="36">
        <v>0</v>
      </c>
      <c r="F413" s="36">
        <v>1207</v>
      </c>
      <c r="G413" s="36">
        <v>1091</v>
      </c>
      <c r="H413" s="36">
        <v>0</v>
      </c>
      <c r="I413" s="37" t="str">
        <f t="shared" si="16"/>
        <v>-</v>
      </c>
      <c r="J413" s="37">
        <f t="shared" si="17"/>
        <v>0.90389395194697597</v>
      </c>
      <c r="L413" s="18"/>
      <c r="M413" s="19"/>
      <c r="N413" s="19"/>
      <c r="O413" s="19"/>
      <c r="P413" s="19"/>
      <c r="Q413" s="16"/>
      <c r="R413" s="16"/>
      <c r="S413" s="16"/>
      <c r="T413" s="16"/>
      <c r="U413" s="16"/>
      <c r="V413" s="16"/>
      <c r="W413" s="16"/>
      <c r="X413" s="16"/>
      <c r="AD413"/>
      <c r="AE413"/>
    </row>
    <row r="414" spans="1:31" hidden="1" x14ac:dyDescent="0.2">
      <c r="A414" s="43">
        <v>410</v>
      </c>
      <c r="B414" s="13" t="s">
        <v>1235</v>
      </c>
      <c r="C414" s="33">
        <v>2</v>
      </c>
      <c r="D414" s="34">
        <v>0</v>
      </c>
      <c r="E414" s="34">
        <v>0</v>
      </c>
      <c r="F414" s="34">
        <v>303</v>
      </c>
      <c r="G414" s="34">
        <v>302</v>
      </c>
      <c r="H414" s="34">
        <v>0</v>
      </c>
      <c r="I414" s="35" t="str">
        <f t="shared" si="16"/>
        <v>-</v>
      </c>
      <c r="J414" s="35">
        <f t="shared" si="17"/>
        <v>0.99669966996699666</v>
      </c>
      <c r="L414" s="18"/>
      <c r="M414" s="19"/>
      <c r="N414" s="19"/>
      <c r="O414" s="19"/>
      <c r="P414" s="19"/>
      <c r="Q414" s="16"/>
      <c r="R414" s="16"/>
      <c r="S414" s="16"/>
      <c r="T414" s="16"/>
      <c r="U414" s="16"/>
      <c r="V414" s="16"/>
      <c r="W414" s="16"/>
      <c r="X414" s="16"/>
      <c r="AD414"/>
      <c r="AE414"/>
    </row>
    <row r="415" spans="1:31" hidden="1" x14ac:dyDescent="0.2">
      <c r="A415" s="44">
        <v>411</v>
      </c>
      <c r="B415" s="15" t="s">
        <v>1063</v>
      </c>
      <c r="C415" s="14">
        <v>2</v>
      </c>
      <c r="D415" s="36">
        <v>0</v>
      </c>
      <c r="E415" s="36">
        <v>0</v>
      </c>
      <c r="F415" s="36">
        <v>988</v>
      </c>
      <c r="G415" s="36">
        <v>913</v>
      </c>
      <c r="H415" s="36">
        <v>0</v>
      </c>
      <c r="I415" s="37" t="str">
        <f t="shared" si="16"/>
        <v>-</v>
      </c>
      <c r="J415" s="37">
        <f t="shared" si="17"/>
        <v>0.92408906882591091</v>
      </c>
      <c r="L415" s="18"/>
      <c r="M415" s="19"/>
      <c r="N415" s="19"/>
      <c r="O415" s="19"/>
      <c r="P415" s="19"/>
      <c r="Q415" s="16"/>
      <c r="R415" s="16"/>
      <c r="S415" s="16"/>
      <c r="T415" s="16"/>
      <c r="U415" s="16"/>
      <c r="V415" s="16"/>
      <c r="W415" s="16"/>
      <c r="X415" s="16"/>
      <c r="AD415"/>
      <c r="AE415"/>
    </row>
    <row r="416" spans="1:31" hidden="1" x14ac:dyDescent="0.2">
      <c r="A416" s="43">
        <v>412</v>
      </c>
      <c r="B416" s="13" t="s">
        <v>1312</v>
      </c>
      <c r="C416" s="33">
        <v>2</v>
      </c>
      <c r="D416" s="34">
        <v>0</v>
      </c>
      <c r="E416" s="34">
        <v>0</v>
      </c>
      <c r="F416" s="34">
        <v>105</v>
      </c>
      <c r="G416" s="34">
        <v>105</v>
      </c>
      <c r="H416" s="34">
        <v>0</v>
      </c>
      <c r="I416" s="35" t="str">
        <f t="shared" si="16"/>
        <v>-</v>
      </c>
      <c r="J416" s="35">
        <f t="shared" si="17"/>
        <v>1</v>
      </c>
      <c r="L416" s="18"/>
      <c r="M416" s="19"/>
      <c r="N416" s="19"/>
      <c r="O416" s="19"/>
      <c r="P416" s="19"/>
      <c r="Q416" s="16"/>
      <c r="R416" s="16"/>
      <c r="S416" s="16"/>
      <c r="T416" s="16"/>
      <c r="U416" s="16"/>
      <c r="V416" s="16"/>
      <c r="W416" s="16"/>
      <c r="X416" s="16"/>
      <c r="AD416"/>
      <c r="AE416"/>
    </row>
    <row r="417" spans="1:31" hidden="1" x14ac:dyDescent="0.2">
      <c r="A417" s="44">
        <v>413</v>
      </c>
      <c r="B417" s="15" t="s">
        <v>1131</v>
      </c>
      <c r="C417" s="14">
        <v>5</v>
      </c>
      <c r="D417" s="36">
        <v>0</v>
      </c>
      <c r="E417" s="36">
        <v>0</v>
      </c>
      <c r="F417" s="36">
        <v>738</v>
      </c>
      <c r="G417" s="36">
        <v>668</v>
      </c>
      <c r="H417" s="36">
        <v>0</v>
      </c>
      <c r="I417" s="37" t="str">
        <f t="shared" si="16"/>
        <v>-</v>
      </c>
      <c r="J417" s="37">
        <f t="shared" si="17"/>
        <v>0.90514905149051494</v>
      </c>
      <c r="L417" s="18"/>
      <c r="M417" s="19"/>
      <c r="N417" s="19"/>
      <c r="O417" s="19"/>
      <c r="P417" s="19"/>
      <c r="Q417" s="16"/>
      <c r="R417" s="16"/>
      <c r="S417" s="16"/>
      <c r="T417" s="16"/>
      <c r="U417" s="16"/>
      <c r="V417" s="16"/>
      <c r="W417" s="16"/>
      <c r="X417" s="16"/>
      <c r="AD417"/>
      <c r="AE417"/>
    </row>
    <row r="418" spans="1:31" hidden="1" x14ac:dyDescent="0.2">
      <c r="A418" s="43">
        <v>414</v>
      </c>
      <c r="B418" s="13" t="s">
        <v>1009</v>
      </c>
      <c r="C418" s="33">
        <v>1</v>
      </c>
      <c r="D418" s="34">
        <v>0</v>
      </c>
      <c r="E418" s="34">
        <v>0</v>
      </c>
      <c r="F418" s="34">
        <v>3341</v>
      </c>
      <c r="G418" s="34">
        <v>3336</v>
      </c>
      <c r="H418" s="34">
        <v>0</v>
      </c>
      <c r="I418" s="35" t="str">
        <f t="shared" si="16"/>
        <v>-</v>
      </c>
      <c r="J418" s="35">
        <f t="shared" si="17"/>
        <v>0.99850344208320863</v>
      </c>
      <c r="L418" s="18"/>
      <c r="M418" s="19"/>
      <c r="N418" s="19"/>
      <c r="O418" s="19"/>
      <c r="P418" s="19"/>
      <c r="Q418" s="16"/>
      <c r="R418" s="16"/>
      <c r="S418" s="16"/>
      <c r="T418" s="16"/>
      <c r="U418" s="16"/>
      <c r="V418" s="16"/>
      <c r="W418" s="16"/>
      <c r="X418" s="16"/>
      <c r="AD418"/>
      <c r="AE418"/>
    </row>
    <row r="419" spans="1:31" hidden="1" x14ac:dyDescent="0.2">
      <c r="A419" s="44">
        <v>415</v>
      </c>
      <c r="B419" s="15" t="s">
        <v>801</v>
      </c>
      <c r="C419" s="14">
        <v>1</v>
      </c>
      <c r="D419" s="36">
        <v>0</v>
      </c>
      <c r="E419" s="36">
        <v>43</v>
      </c>
      <c r="F419" s="36">
        <v>0</v>
      </c>
      <c r="G419" s="36">
        <v>0</v>
      </c>
      <c r="H419" s="36">
        <v>0</v>
      </c>
      <c r="I419" s="37" t="str">
        <f t="shared" si="16"/>
        <v>-</v>
      </c>
      <c r="J419" s="37" t="str">
        <f t="shared" si="17"/>
        <v>-</v>
      </c>
      <c r="L419" s="18"/>
      <c r="M419" s="19"/>
      <c r="N419" s="19"/>
      <c r="O419" s="19"/>
      <c r="P419" s="19"/>
      <c r="Q419" s="16"/>
      <c r="R419" s="16"/>
      <c r="S419" s="16"/>
      <c r="T419" s="16"/>
      <c r="U419" s="16"/>
      <c r="V419" s="16"/>
      <c r="W419" s="16"/>
      <c r="X419" s="16"/>
      <c r="AD419"/>
      <c r="AE419"/>
    </row>
    <row r="420" spans="1:31" hidden="1" x14ac:dyDescent="0.2">
      <c r="A420" s="43">
        <v>416</v>
      </c>
      <c r="B420" s="13" t="s">
        <v>1090</v>
      </c>
      <c r="C420" s="33">
        <v>1</v>
      </c>
      <c r="D420" s="34">
        <v>0</v>
      </c>
      <c r="E420" s="34">
        <v>0</v>
      </c>
      <c r="F420" s="34">
        <v>545</v>
      </c>
      <c r="G420" s="34">
        <v>544</v>
      </c>
      <c r="H420" s="34">
        <v>0</v>
      </c>
      <c r="I420" s="35" t="str">
        <f t="shared" si="16"/>
        <v>-</v>
      </c>
      <c r="J420" s="35">
        <f t="shared" si="17"/>
        <v>0.99816513761467895</v>
      </c>
      <c r="L420" s="18"/>
      <c r="M420" s="19"/>
      <c r="N420" s="19"/>
      <c r="O420" s="19"/>
      <c r="P420" s="19"/>
      <c r="Q420" s="16"/>
      <c r="R420" s="16"/>
      <c r="S420" s="16"/>
      <c r="T420" s="16"/>
      <c r="U420" s="16"/>
      <c r="V420" s="16"/>
      <c r="W420" s="16"/>
      <c r="X420" s="16"/>
      <c r="AD420"/>
      <c r="AE420"/>
    </row>
    <row r="421" spans="1:31" hidden="1" x14ac:dyDescent="0.2">
      <c r="A421" s="44">
        <v>417</v>
      </c>
      <c r="B421" s="15" t="s">
        <v>1160</v>
      </c>
      <c r="C421" s="14">
        <v>1</v>
      </c>
      <c r="D421" s="36">
        <v>0</v>
      </c>
      <c r="E421" s="36">
        <v>0</v>
      </c>
      <c r="F421" s="36">
        <v>308</v>
      </c>
      <c r="G421" s="36">
        <v>308</v>
      </c>
      <c r="H421" s="36">
        <v>0</v>
      </c>
      <c r="I421" s="37" t="str">
        <f t="shared" si="16"/>
        <v>-</v>
      </c>
      <c r="J421" s="37">
        <f t="shared" si="17"/>
        <v>1</v>
      </c>
      <c r="L421" s="18"/>
      <c r="M421" s="19"/>
      <c r="N421" s="19"/>
      <c r="O421" s="19"/>
      <c r="P421" s="19"/>
      <c r="Q421" s="16"/>
      <c r="R421" s="16"/>
      <c r="S421" s="16"/>
      <c r="T421" s="16"/>
      <c r="U421" s="16"/>
      <c r="V421" s="16"/>
      <c r="W421" s="16"/>
      <c r="X421" s="16"/>
      <c r="AD421"/>
      <c r="AE421"/>
    </row>
    <row r="422" spans="1:31" hidden="1" x14ac:dyDescent="0.2">
      <c r="A422" s="43">
        <v>418</v>
      </c>
      <c r="B422" s="13" t="s">
        <v>1347</v>
      </c>
      <c r="C422" s="33">
        <v>1</v>
      </c>
      <c r="D422" s="34">
        <v>0</v>
      </c>
      <c r="E422" s="34">
        <v>0</v>
      </c>
      <c r="F422" s="34">
        <v>37</v>
      </c>
      <c r="G422" s="34">
        <v>33</v>
      </c>
      <c r="H422" s="34">
        <v>0</v>
      </c>
      <c r="I422" s="35" t="str">
        <f t="shared" si="16"/>
        <v>-</v>
      </c>
      <c r="J422" s="35">
        <f t="shared" si="17"/>
        <v>0.89189189189189189</v>
      </c>
      <c r="L422" s="18"/>
      <c r="M422" s="19"/>
      <c r="N422" s="19"/>
      <c r="O422" s="19"/>
      <c r="P422" s="19"/>
      <c r="Q422" s="16"/>
      <c r="R422" s="16"/>
      <c r="S422" s="16"/>
      <c r="T422" s="16"/>
      <c r="U422" s="16"/>
      <c r="V422" s="16"/>
      <c r="W422" s="16"/>
      <c r="X422" s="16"/>
      <c r="AD422"/>
      <c r="AE422"/>
    </row>
    <row r="423" spans="1:31" hidden="1" x14ac:dyDescent="0.2">
      <c r="A423" s="44">
        <v>419</v>
      </c>
      <c r="B423" s="15" t="s">
        <v>1025</v>
      </c>
      <c r="C423" s="14">
        <v>9</v>
      </c>
      <c r="D423" s="36">
        <v>0</v>
      </c>
      <c r="E423" s="36">
        <v>0</v>
      </c>
      <c r="F423" s="36">
        <v>4786</v>
      </c>
      <c r="G423" s="36">
        <v>5658</v>
      </c>
      <c r="H423" s="36">
        <v>0</v>
      </c>
      <c r="I423" s="37" t="str">
        <f t="shared" si="16"/>
        <v>-</v>
      </c>
      <c r="J423" s="37">
        <f t="shared" si="17"/>
        <v>1.1821980777267029</v>
      </c>
      <c r="L423" s="18"/>
      <c r="M423" s="19"/>
      <c r="N423" s="19"/>
      <c r="O423" s="19"/>
      <c r="P423" s="19"/>
      <c r="Q423" s="16"/>
      <c r="R423" s="16"/>
      <c r="S423" s="16"/>
      <c r="T423" s="16"/>
      <c r="U423" s="16"/>
      <c r="V423" s="16"/>
      <c r="W423" s="16"/>
      <c r="X423" s="16"/>
      <c r="AD423"/>
      <c r="AE423"/>
    </row>
    <row r="424" spans="1:31" hidden="1" x14ac:dyDescent="0.2">
      <c r="A424" s="43">
        <v>420</v>
      </c>
      <c r="B424" s="13" t="s">
        <v>1062</v>
      </c>
      <c r="C424" s="33">
        <v>5</v>
      </c>
      <c r="D424" s="34">
        <v>0</v>
      </c>
      <c r="E424" s="34">
        <v>0</v>
      </c>
      <c r="F424" s="34">
        <v>1441</v>
      </c>
      <c r="G424" s="34">
        <v>1440</v>
      </c>
      <c r="H424" s="34">
        <v>0</v>
      </c>
      <c r="I424" s="35" t="str">
        <f t="shared" si="16"/>
        <v>-</v>
      </c>
      <c r="J424" s="35">
        <f t="shared" si="17"/>
        <v>0.99930603747397639</v>
      </c>
      <c r="L424" s="18"/>
      <c r="M424" s="19"/>
      <c r="N424" s="19"/>
      <c r="O424" s="19"/>
      <c r="P424" s="19"/>
      <c r="Q424" s="16"/>
      <c r="R424" s="16"/>
      <c r="S424" s="16"/>
      <c r="T424" s="16"/>
      <c r="U424" s="16"/>
      <c r="V424" s="16"/>
      <c r="W424" s="16"/>
      <c r="X424" s="16"/>
      <c r="AD424"/>
      <c r="AE424"/>
    </row>
    <row r="425" spans="1:31" hidden="1" x14ac:dyDescent="0.2">
      <c r="A425" s="44">
        <v>421</v>
      </c>
      <c r="B425" s="15" t="s">
        <v>1093</v>
      </c>
      <c r="C425" s="14">
        <v>4</v>
      </c>
      <c r="D425" s="36">
        <v>0</v>
      </c>
      <c r="E425" s="36">
        <v>0</v>
      </c>
      <c r="F425" s="36">
        <v>740</v>
      </c>
      <c r="G425" s="36">
        <v>709</v>
      </c>
      <c r="H425" s="36">
        <v>0</v>
      </c>
      <c r="I425" s="37" t="str">
        <f t="shared" si="16"/>
        <v>-</v>
      </c>
      <c r="J425" s="37">
        <f t="shared" si="17"/>
        <v>0.95810810810810809</v>
      </c>
      <c r="L425" s="18"/>
      <c r="M425" s="19"/>
      <c r="N425" s="19"/>
      <c r="O425" s="19"/>
      <c r="P425" s="19"/>
      <c r="Q425" s="16"/>
      <c r="R425" s="16"/>
      <c r="S425" s="16"/>
      <c r="T425" s="16"/>
      <c r="U425" s="16"/>
      <c r="V425" s="16"/>
      <c r="W425" s="16"/>
      <c r="X425" s="16"/>
      <c r="AD425"/>
      <c r="AE425"/>
    </row>
    <row r="426" spans="1:31" hidden="1" x14ac:dyDescent="0.2">
      <c r="A426" s="43">
        <v>422</v>
      </c>
      <c r="B426" s="13" t="s">
        <v>1139</v>
      </c>
      <c r="C426" s="33">
        <v>2</v>
      </c>
      <c r="D426" s="34">
        <v>0</v>
      </c>
      <c r="E426" s="34">
        <v>0</v>
      </c>
      <c r="F426" s="34">
        <v>469</v>
      </c>
      <c r="G426" s="34">
        <v>469</v>
      </c>
      <c r="H426" s="34">
        <v>0</v>
      </c>
      <c r="I426" s="35" t="str">
        <f t="shared" si="16"/>
        <v>-</v>
      </c>
      <c r="J426" s="35">
        <f t="shared" si="17"/>
        <v>1</v>
      </c>
      <c r="L426" s="18"/>
      <c r="M426" s="19"/>
      <c r="N426" s="19"/>
      <c r="O426" s="19"/>
      <c r="P426" s="19"/>
      <c r="Q426" s="16"/>
      <c r="R426" s="16"/>
      <c r="S426" s="16"/>
      <c r="T426" s="16"/>
      <c r="U426" s="16"/>
      <c r="V426" s="16"/>
      <c r="W426" s="16"/>
      <c r="X426" s="16"/>
      <c r="AD426"/>
      <c r="AE426"/>
    </row>
    <row r="427" spans="1:31" hidden="1" x14ac:dyDescent="0.2">
      <c r="A427" s="44">
        <v>423</v>
      </c>
      <c r="B427" s="15" t="s">
        <v>1030</v>
      </c>
      <c r="C427" s="14">
        <v>1</v>
      </c>
      <c r="D427" s="36">
        <v>0</v>
      </c>
      <c r="E427" s="36">
        <v>0</v>
      </c>
      <c r="F427" s="36">
        <v>1469</v>
      </c>
      <c r="G427" s="36">
        <v>1467</v>
      </c>
      <c r="H427" s="36">
        <v>0</v>
      </c>
      <c r="I427" s="37" t="str">
        <f t="shared" si="16"/>
        <v>-</v>
      </c>
      <c r="J427" s="37">
        <f t="shared" si="17"/>
        <v>0.99863852961198096</v>
      </c>
      <c r="L427" s="18"/>
      <c r="M427" s="19"/>
      <c r="N427" s="19"/>
      <c r="O427" s="19"/>
      <c r="P427" s="19"/>
      <c r="Q427" s="16"/>
      <c r="R427" s="16"/>
      <c r="S427" s="16"/>
      <c r="T427" s="16"/>
      <c r="U427" s="16"/>
      <c r="V427" s="16"/>
      <c r="W427" s="16"/>
      <c r="X427" s="16"/>
      <c r="AD427"/>
      <c r="AE427"/>
    </row>
    <row r="428" spans="1:31" hidden="1" x14ac:dyDescent="0.2">
      <c r="A428" s="43">
        <v>424</v>
      </c>
      <c r="B428" s="13" t="s">
        <v>1080</v>
      </c>
      <c r="C428" s="33">
        <v>4</v>
      </c>
      <c r="D428" s="34">
        <v>0</v>
      </c>
      <c r="E428" s="34">
        <v>0</v>
      </c>
      <c r="F428" s="34">
        <v>944</v>
      </c>
      <c r="G428" s="34">
        <v>935</v>
      </c>
      <c r="H428" s="34">
        <v>0</v>
      </c>
      <c r="I428" s="35" t="str">
        <f t="shared" si="16"/>
        <v>-</v>
      </c>
      <c r="J428" s="35">
        <f t="shared" si="17"/>
        <v>0.99046610169491522</v>
      </c>
      <c r="L428" s="18"/>
      <c r="M428" s="19"/>
      <c r="N428" s="19"/>
      <c r="O428" s="19"/>
      <c r="P428" s="19"/>
      <c r="Q428" s="16"/>
      <c r="R428" s="16"/>
      <c r="S428" s="16"/>
      <c r="T428" s="16"/>
      <c r="U428" s="16"/>
      <c r="V428" s="16"/>
      <c r="W428" s="16"/>
      <c r="X428" s="16"/>
      <c r="AD428"/>
      <c r="AE428"/>
    </row>
    <row r="429" spans="1:31" hidden="1" x14ac:dyDescent="0.2">
      <c r="A429" s="44">
        <v>425</v>
      </c>
      <c r="B429" s="15" t="s">
        <v>1105</v>
      </c>
      <c r="C429" s="14">
        <v>9</v>
      </c>
      <c r="D429" s="36">
        <v>0</v>
      </c>
      <c r="E429" s="36">
        <v>0</v>
      </c>
      <c r="F429" s="36">
        <v>1143</v>
      </c>
      <c r="G429" s="36">
        <v>1142</v>
      </c>
      <c r="H429" s="36">
        <v>0</v>
      </c>
      <c r="I429" s="37" t="str">
        <f t="shared" si="16"/>
        <v>-</v>
      </c>
      <c r="J429" s="37">
        <f t="shared" si="17"/>
        <v>0.99912510936132981</v>
      </c>
      <c r="L429" s="18"/>
      <c r="M429" s="19"/>
      <c r="N429" s="19"/>
      <c r="O429" s="19"/>
      <c r="P429" s="19"/>
      <c r="Q429" s="16"/>
      <c r="R429" s="16"/>
      <c r="S429" s="16"/>
      <c r="T429" s="16"/>
      <c r="U429" s="16"/>
      <c r="V429" s="16"/>
      <c r="W429" s="16"/>
      <c r="X429" s="16"/>
      <c r="AD429"/>
      <c r="AE429"/>
    </row>
    <row r="430" spans="1:31" hidden="1" x14ac:dyDescent="0.2">
      <c r="A430" s="43">
        <v>426</v>
      </c>
      <c r="B430" s="13" t="s">
        <v>1117</v>
      </c>
      <c r="C430" s="33">
        <v>3</v>
      </c>
      <c r="D430" s="34">
        <v>0</v>
      </c>
      <c r="E430" s="34">
        <v>0</v>
      </c>
      <c r="F430" s="34">
        <v>566</v>
      </c>
      <c r="G430" s="34">
        <v>564</v>
      </c>
      <c r="H430" s="34">
        <v>0</v>
      </c>
      <c r="I430" s="35" t="str">
        <f t="shared" si="16"/>
        <v>-</v>
      </c>
      <c r="J430" s="35">
        <f t="shared" si="17"/>
        <v>0.99646643109540634</v>
      </c>
      <c r="L430" s="18"/>
      <c r="M430" s="19"/>
      <c r="N430" s="19"/>
      <c r="O430" s="19"/>
      <c r="P430" s="19"/>
      <c r="Q430" s="16"/>
      <c r="R430" s="16"/>
      <c r="S430" s="16"/>
      <c r="T430" s="16"/>
      <c r="U430" s="16"/>
      <c r="V430" s="16"/>
      <c r="W430" s="16"/>
      <c r="X430" s="16"/>
      <c r="AD430"/>
      <c r="AE430"/>
    </row>
    <row r="431" spans="1:31" hidden="1" x14ac:dyDescent="0.2">
      <c r="A431" s="44">
        <v>427</v>
      </c>
      <c r="B431" s="15" t="s">
        <v>1021</v>
      </c>
      <c r="C431" s="14">
        <v>1</v>
      </c>
      <c r="D431" s="36">
        <v>0</v>
      </c>
      <c r="E431" s="36">
        <v>0</v>
      </c>
      <c r="F431" s="36">
        <v>2148</v>
      </c>
      <c r="G431" s="36">
        <v>2140</v>
      </c>
      <c r="H431" s="36">
        <v>0</v>
      </c>
      <c r="I431" s="37" t="str">
        <f t="shared" si="16"/>
        <v>-</v>
      </c>
      <c r="J431" s="37">
        <f t="shared" si="17"/>
        <v>0.9962756052141527</v>
      </c>
      <c r="L431" s="18"/>
      <c r="M431" s="19"/>
      <c r="N431" s="19"/>
      <c r="O431" s="19"/>
      <c r="P431" s="19"/>
      <c r="Q431" s="16"/>
      <c r="R431" s="16"/>
      <c r="S431" s="16"/>
      <c r="T431" s="16"/>
      <c r="U431" s="16"/>
      <c r="V431" s="16"/>
      <c r="W431" s="16"/>
      <c r="X431" s="16"/>
      <c r="AD431"/>
      <c r="AE431"/>
    </row>
    <row r="432" spans="1:31" hidden="1" x14ac:dyDescent="0.2">
      <c r="A432" s="43">
        <v>428</v>
      </c>
      <c r="B432" s="13" t="s">
        <v>1096</v>
      </c>
      <c r="C432" s="33">
        <v>1</v>
      </c>
      <c r="D432" s="34">
        <v>0</v>
      </c>
      <c r="E432" s="34">
        <v>0</v>
      </c>
      <c r="F432" s="34">
        <v>517</v>
      </c>
      <c r="G432" s="34">
        <v>517</v>
      </c>
      <c r="H432" s="34">
        <v>0</v>
      </c>
      <c r="I432" s="35" t="str">
        <f t="shared" si="16"/>
        <v>-</v>
      </c>
      <c r="J432" s="35">
        <f t="shared" si="17"/>
        <v>1</v>
      </c>
      <c r="L432" s="18"/>
      <c r="M432" s="19"/>
      <c r="N432" s="19"/>
      <c r="O432" s="19"/>
      <c r="P432" s="19"/>
      <c r="Q432" s="16"/>
      <c r="R432" s="16"/>
      <c r="S432" s="16"/>
      <c r="T432" s="16"/>
      <c r="U432" s="16"/>
      <c r="V432" s="16"/>
      <c r="W432" s="16"/>
      <c r="X432" s="16"/>
      <c r="AD432"/>
      <c r="AE432"/>
    </row>
    <row r="433" spans="1:31" hidden="1" x14ac:dyDescent="0.2">
      <c r="A433" s="44">
        <v>429</v>
      </c>
      <c r="B433" s="15" t="s">
        <v>1168</v>
      </c>
      <c r="C433" s="14">
        <v>1</v>
      </c>
      <c r="D433" s="36">
        <v>0</v>
      </c>
      <c r="E433" s="36">
        <v>0</v>
      </c>
      <c r="F433" s="36">
        <v>285</v>
      </c>
      <c r="G433" s="36">
        <v>285</v>
      </c>
      <c r="H433" s="36">
        <v>0</v>
      </c>
      <c r="I433" s="37" t="str">
        <f t="shared" si="16"/>
        <v>-</v>
      </c>
      <c r="J433" s="37">
        <f t="shared" si="17"/>
        <v>1</v>
      </c>
      <c r="L433" s="18"/>
      <c r="M433" s="19"/>
      <c r="N433" s="19"/>
      <c r="O433" s="19"/>
      <c r="P433" s="19"/>
      <c r="Q433" s="16"/>
      <c r="R433" s="16"/>
      <c r="S433" s="16"/>
      <c r="T433" s="16"/>
      <c r="U433" s="16"/>
      <c r="V433" s="16"/>
      <c r="W433" s="16"/>
      <c r="X433" s="16"/>
      <c r="AD433"/>
      <c r="AE433"/>
    </row>
    <row r="434" spans="1:31" hidden="1" x14ac:dyDescent="0.2">
      <c r="A434" s="43">
        <v>430</v>
      </c>
      <c r="B434" s="13" t="s">
        <v>1274</v>
      </c>
      <c r="C434" s="33">
        <v>2</v>
      </c>
      <c r="D434" s="34">
        <v>0</v>
      </c>
      <c r="E434" s="34">
        <v>0</v>
      </c>
      <c r="F434" s="34">
        <v>133</v>
      </c>
      <c r="G434" s="34">
        <v>125</v>
      </c>
      <c r="H434" s="34">
        <v>0</v>
      </c>
      <c r="I434" s="35" t="str">
        <f t="shared" si="16"/>
        <v>-</v>
      </c>
      <c r="J434" s="35">
        <f t="shared" si="17"/>
        <v>0.93984962406015038</v>
      </c>
      <c r="L434" s="18"/>
      <c r="M434" s="19"/>
      <c r="N434" s="19"/>
      <c r="O434" s="19"/>
      <c r="P434" s="19"/>
      <c r="Q434" s="16"/>
      <c r="R434" s="16"/>
      <c r="S434" s="16"/>
      <c r="T434" s="16"/>
      <c r="U434" s="16"/>
      <c r="V434" s="16"/>
      <c r="W434" s="16"/>
      <c r="X434" s="16"/>
      <c r="AD434"/>
      <c r="AE434"/>
    </row>
    <row r="435" spans="1:31" hidden="1" x14ac:dyDescent="0.2">
      <c r="A435" s="44">
        <v>431</v>
      </c>
      <c r="B435" s="15" t="s">
        <v>1242</v>
      </c>
      <c r="C435" s="14">
        <v>3</v>
      </c>
      <c r="D435" s="36">
        <v>0</v>
      </c>
      <c r="E435" s="36">
        <v>0</v>
      </c>
      <c r="F435" s="36">
        <v>206</v>
      </c>
      <c r="G435" s="36">
        <v>179</v>
      </c>
      <c r="H435" s="36">
        <v>0</v>
      </c>
      <c r="I435" s="37" t="str">
        <f t="shared" si="16"/>
        <v>-</v>
      </c>
      <c r="J435" s="37">
        <f t="shared" si="17"/>
        <v>0.8689320388349514</v>
      </c>
      <c r="L435" s="18"/>
      <c r="M435" s="19"/>
      <c r="N435" s="19"/>
      <c r="O435" s="19"/>
      <c r="P435" s="19"/>
      <c r="Q435" s="16"/>
      <c r="R435" s="16"/>
      <c r="S435" s="16"/>
      <c r="T435" s="16"/>
      <c r="U435" s="16"/>
      <c r="V435" s="16"/>
      <c r="W435" s="16"/>
      <c r="X435" s="16"/>
      <c r="AD435"/>
      <c r="AE435"/>
    </row>
    <row r="436" spans="1:31" hidden="1" x14ac:dyDescent="0.2">
      <c r="A436" s="43">
        <v>432</v>
      </c>
      <c r="B436" s="13" t="s">
        <v>1155</v>
      </c>
      <c r="C436" s="33">
        <v>2</v>
      </c>
      <c r="D436" s="34">
        <v>0</v>
      </c>
      <c r="E436" s="34">
        <v>0</v>
      </c>
      <c r="F436" s="34">
        <v>343</v>
      </c>
      <c r="G436" s="34">
        <v>343</v>
      </c>
      <c r="H436" s="34">
        <v>0</v>
      </c>
      <c r="I436" s="35" t="str">
        <f t="shared" si="16"/>
        <v>-</v>
      </c>
      <c r="J436" s="35">
        <f t="shared" si="17"/>
        <v>1</v>
      </c>
      <c r="L436" s="18"/>
      <c r="M436" s="19"/>
      <c r="N436" s="19"/>
      <c r="O436" s="19"/>
      <c r="P436" s="19"/>
      <c r="Q436" s="16"/>
      <c r="R436" s="16"/>
      <c r="S436" s="16"/>
      <c r="T436" s="16"/>
      <c r="U436" s="16"/>
      <c r="V436" s="16"/>
      <c r="W436" s="16"/>
      <c r="X436" s="16"/>
      <c r="AD436"/>
      <c r="AE436"/>
    </row>
    <row r="437" spans="1:31" hidden="1" x14ac:dyDescent="0.2">
      <c r="A437" s="44">
        <v>433</v>
      </c>
      <c r="B437" s="15" t="s">
        <v>1005</v>
      </c>
      <c r="C437" s="14">
        <v>1</v>
      </c>
      <c r="D437" s="36">
        <v>0</v>
      </c>
      <c r="E437" s="36">
        <v>0</v>
      </c>
      <c r="F437" s="36">
        <v>3976</v>
      </c>
      <c r="G437" s="36">
        <v>3951</v>
      </c>
      <c r="H437" s="36">
        <v>0</v>
      </c>
      <c r="I437" s="37" t="str">
        <f t="shared" si="16"/>
        <v>-</v>
      </c>
      <c r="J437" s="37">
        <f t="shared" si="17"/>
        <v>0.99371227364185111</v>
      </c>
      <c r="L437" s="18"/>
      <c r="M437" s="19"/>
      <c r="N437" s="19"/>
      <c r="O437" s="19"/>
      <c r="P437" s="19"/>
      <c r="Q437" s="16"/>
      <c r="R437" s="16"/>
      <c r="S437" s="16"/>
      <c r="T437" s="16"/>
      <c r="U437" s="16"/>
      <c r="V437" s="16"/>
      <c r="W437" s="16"/>
      <c r="X437" s="16"/>
      <c r="AD437"/>
      <c r="AE437"/>
    </row>
    <row r="438" spans="1:31" hidden="1" x14ac:dyDescent="0.2">
      <c r="A438" s="43">
        <v>434</v>
      </c>
      <c r="B438" s="13" t="s">
        <v>1094</v>
      </c>
      <c r="C438" s="33">
        <v>1</v>
      </c>
      <c r="D438" s="34">
        <v>0</v>
      </c>
      <c r="E438" s="34">
        <v>0</v>
      </c>
      <c r="F438" s="34">
        <v>522</v>
      </c>
      <c r="G438" s="34">
        <v>521</v>
      </c>
      <c r="H438" s="34">
        <v>0</v>
      </c>
      <c r="I438" s="35" t="str">
        <f t="shared" si="16"/>
        <v>-</v>
      </c>
      <c r="J438" s="35">
        <f t="shared" si="17"/>
        <v>0.99808429118773945</v>
      </c>
      <c r="L438" s="18"/>
      <c r="M438" s="19"/>
      <c r="N438" s="19"/>
      <c r="O438" s="19"/>
      <c r="P438" s="19"/>
      <c r="Q438" s="16"/>
      <c r="R438" s="16"/>
      <c r="S438" s="16"/>
      <c r="T438" s="16"/>
      <c r="U438" s="16"/>
      <c r="V438" s="16"/>
      <c r="W438" s="16"/>
      <c r="X438" s="16"/>
      <c r="AD438"/>
      <c r="AE438"/>
    </row>
    <row r="439" spans="1:31" hidden="1" x14ac:dyDescent="0.2">
      <c r="A439" s="44">
        <v>435</v>
      </c>
      <c r="B439" s="15" t="s">
        <v>1349</v>
      </c>
      <c r="C439" s="14">
        <v>2</v>
      </c>
      <c r="D439" s="36">
        <v>0</v>
      </c>
      <c r="E439" s="36">
        <v>0</v>
      </c>
      <c r="F439" s="36">
        <v>50</v>
      </c>
      <c r="G439" s="36">
        <v>50</v>
      </c>
      <c r="H439" s="36">
        <v>0</v>
      </c>
      <c r="I439" s="37" t="str">
        <f t="shared" si="16"/>
        <v>-</v>
      </c>
      <c r="J439" s="37">
        <f t="shared" si="17"/>
        <v>1</v>
      </c>
      <c r="L439" s="18"/>
      <c r="M439" s="19"/>
      <c r="N439" s="19"/>
      <c r="O439" s="19"/>
      <c r="P439" s="19"/>
      <c r="Q439" s="16"/>
      <c r="R439" s="16"/>
      <c r="S439" s="16"/>
      <c r="T439" s="16"/>
      <c r="U439" s="16"/>
      <c r="V439" s="16"/>
      <c r="W439" s="16"/>
      <c r="X439" s="16"/>
      <c r="AD439"/>
      <c r="AE439"/>
    </row>
    <row r="440" spans="1:31" hidden="1" x14ac:dyDescent="0.2">
      <c r="A440" s="43">
        <v>436</v>
      </c>
      <c r="B440" s="13" t="s">
        <v>1193</v>
      </c>
      <c r="C440" s="33">
        <v>1</v>
      </c>
      <c r="D440" s="34">
        <v>0</v>
      </c>
      <c r="E440" s="34">
        <v>0</v>
      </c>
      <c r="F440" s="34">
        <v>228</v>
      </c>
      <c r="G440" s="34">
        <v>225</v>
      </c>
      <c r="H440" s="34">
        <v>0</v>
      </c>
      <c r="I440" s="35" t="str">
        <f t="shared" si="16"/>
        <v>-</v>
      </c>
      <c r="J440" s="35">
        <f t="shared" si="17"/>
        <v>0.98684210526315785</v>
      </c>
      <c r="L440" s="18"/>
      <c r="M440" s="19"/>
      <c r="N440" s="19"/>
      <c r="O440" s="19"/>
      <c r="P440" s="19"/>
      <c r="Q440" s="16"/>
      <c r="R440" s="16"/>
      <c r="S440" s="16"/>
      <c r="T440" s="16"/>
      <c r="U440" s="16"/>
      <c r="V440" s="16"/>
      <c r="W440" s="16"/>
      <c r="X440" s="16"/>
      <c r="AD440"/>
      <c r="AE440"/>
    </row>
    <row r="441" spans="1:31" hidden="1" x14ac:dyDescent="0.2">
      <c r="A441" s="44">
        <v>437</v>
      </c>
      <c r="B441" s="15" t="s">
        <v>1408</v>
      </c>
      <c r="C441" s="14">
        <v>1</v>
      </c>
      <c r="D441" s="36">
        <v>0</v>
      </c>
      <c r="E441" s="36">
        <v>0</v>
      </c>
      <c r="F441" s="36">
        <v>0</v>
      </c>
      <c r="G441" s="36">
        <v>0</v>
      </c>
      <c r="H441" s="36">
        <v>0</v>
      </c>
      <c r="I441" s="37" t="str">
        <f t="shared" si="16"/>
        <v>-</v>
      </c>
      <c r="J441" s="37" t="str">
        <f t="shared" si="17"/>
        <v>-</v>
      </c>
      <c r="L441" s="18"/>
      <c r="M441" s="19"/>
      <c r="N441" s="19"/>
      <c r="O441" s="19"/>
      <c r="P441" s="19"/>
      <c r="Q441" s="16"/>
      <c r="R441" s="16"/>
      <c r="S441" s="16"/>
      <c r="T441" s="16"/>
      <c r="U441" s="16"/>
      <c r="V441" s="16"/>
      <c r="W441" s="16"/>
      <c r="X441" s="16"/>
      <c r="AD441"/>
      <c r="AE441"/>
    </row>
    <row r="442" spans="1:31" hidden="1" x14ac:dyDescent="0.2">
      <c r="A442" s="43">
        <v>438</v>
      </c>
      <c r="B442" s="13" t="s">
        <v>1307</v>
      </c>
      <c r="C442" s="33">
        <v>3</v>
      </c>
      <c r="D442" s="34">
        <v>0</v>
      </c>
      <c r="E442" s="34">
        <v>0</v>
      </c>
      <c r="F442" s="34">
        <v>146</v>
      </c>
      <c r="G442" s="34">
        <v>126</v>
      </c>
      <c r="H442" s="34">
        <v>0</v>
      </c>
      <c r="I442" s="35" t="str">
        <f t="shared" si="16"/>
        <v>-</v>
      </c>
      <c r="J442" s="35">
        <f t="shared" si="17"/>
        <v>0.86301369863013699</v>
      </c>
      <c r="L442" s="18"/>
      <c r="M442" s="19"/>
      <c r="N442" s="19"/>
      <c r="O442" s="19"/>
      <c r="P442" s="19"/>
      <c r="Q442" s="16"/>
      <c r="R442" s="16"/>
      <c r="S442" s="16"/>
      <c r="T442" s="16"/>
      <c r="U442" s="16"/>
      <c r="V442" s="16"/>
      <c r="W442" s="16"/>
      <c r="X442" s="16"/>
      <c r="AD442"/>
      <c r="AE442"/>
    </row>
    <row r="443" spans="1:31" hidden="1" x14ac:dyDescent="0.2">
      <c r="A443" s="44">
        <v>439</v>
      </c>
      <c r="B443" s="15" t="s">
        <v>1112</v>
      </c>
      <c r="C443" s="14">
        <v>8</v>
      </c>
      <c r="D443" s="36">
        <v>0</v>
      </c>
      <c r="E443" s="36">
        <v>0</v>
      </c>
      <c r="F443" s="36">
        <v>1198</v>
      </c>
      <c r="G443" s="36">
        <v>1186</v>
      </c>
      <c r="H443" s="36">
        <v>0</v>
      </c>
      <c r="I443" s="37" t="str">
        <f t="shared" si="16"/>
        <v>-</v>
      </c>
      <c r="J443" s="37">
        <f t="shared" si="17"/>
        <v>0.98998330550918201</v>
      </c>
      <c r="L443" s="18"/>
      <c r="M443" s="19"/>
      <c r="N443" s="19"/>
      <c r="O443" s="19"/>
      <c r="P443" s="19"/>
      <c r="Q443" s="16"/>
      <c r="R443" s="16"/>
      <c r="S443" s="16"/>
      <c r="T443" s="16"/>
      <c r="U443" s="16"/>
      <c r="V443" s="16"/>
      <c r="W443" s="16"/>
      <c r="X443" s="16"/>
      <c r="AD443"/>
      <c r="AE443"/>
    </row>
    <row r="444" spans="1:31" hidden="1" x14ac:dyDescent="0.2">
      <c r="A444" s="43">
        <v>440</v>
      </c>
      <c r="B444" s="13" t="s">
        <v>1024</v>
      </c>
      <c r="C444" s="33">
        <v>5</v>
      </c>
      <c r="D444" s="34">
        <v>0</v>
      </c>
      <c r="E444" s="34">
        <v>0</v>
      </c>
      <c r="F444" s="34">
        <v>2520</v>
      </c>
      <c r="G444" s="34">
        <v>2509</v>
      </c>
      <c r="H444" s="34">
        <v>0</v>
      </c>
      <c r="I444" s="35" t="str">
        <f t="shared" si="16"/>
        <v>-</v>
      </c>
      <c r="J444" s="35">
        <f t="shared" si="17"/>
        <v>0.99563492063492065</v>
      </c>
      <c r="L444" s="18"/>
      <c r="M444" s="19"/>
      <c r="N444" s="19"/>
      <c r="O444" s="19"/>
      <c r="P444" s="19"/>
      <c r="Q444" s="16"/>
      <c r="R444" s="16"/>
      <c r="S444" s="16"/>
      <c r="T444" s="16"/>
      <c r="U444" s="16"/>
      <c r="V444" s="16"/>
      <c r="W444" s="16"/>
      <c r="X444" s="16"/>
      <c r="AD444"/>
      <c r="AE444"/>
    </row>
    <row r="445" spans="1:31" hidden="1" x14ac:dyDescent="0.2">
      <c r="A445" s="44">
        <v>441</v>
      </c>
      <c r="B445" s="15" t="s">
        <v>1061</v>
      </c>
      <c r="C445" s="14">
        <v>16</v>
      </c>
      <c r="D445" s="36">
        <v>0</v>
      </c>
      <c r="E445" s="36">
        <v>0</v>
      </c>
      <c r="F445" s="36">
        <v>2770</v>
      </c>
      <c r="G445" s="36">
        <v>2691</v>
      </c>
      <c r="H445" s="36">
        <v>0</v>
      </c>
      <c r="I445" s="37" t="str">
        <f t="shared" si="16"/>
        <v>-</v>
      </c>
      <c r="J445" s="37">
        <f t="shared" si="17"/>
        <v>0.97148014440433217</v>
      </c>
      <c r="L445" s="18"/>
      <c r="M445" s="19"/>
      <c r="N445" s="19"/>
      <c r="O445" s="19"/>
      <c r="P445" s="19"/>
      <c r="Q445" s="16"/>
      <c r="R445" s="16"/>
      <c r="S445" s="16"/>
      <c r="T445" s="16"/>
      <c r="U445" s="16"/>
      <c r="V445" s="16"/>
      <c r="W445" s="16"/>
      <c r="X445" s="16"/>
      <c r="AD445"/>
      <c r="AE445"/>
    </row>
    <row r="446" spans="1:31" hidden="1" x14ac:dyDescent="0.2">
      <c r="A446" s="43">
        <v>442</v>
      </c>
      <c r="B446" s="13" t="s">
        <v>1048</v>
      </c>
      <c r="C446" s="33">
        <v>11</v>
      </c>
      <c r="D446" s="34">
        <v>0</v>
      </c>
      <c r="E446" s="34">
        <v>0</v>
      </c>
      <c r="F446" s="34">
        <v>5073</v>
      </c>
      <c r="G446" s="34">
        <v>5026</v>
      </c>
      <c r="H446" s="34">
        <v>0</v>
      </c>
      <c r="I446" s="35" t="str">
        <f t="shared" si="16"/>
        <v>-</v>
      </c>
      <c r="J446" s="35">
        <f t="shared" si="17"/>
        <v>0.99073526512911492</v>
      </c>
      <c r="L446" s="18"/>
      <c r="M446" s="19"/>
      <c r="N446" s="19"/>
      <c r="O446" s="19"/>
      <c r="P446" s="19"/>
      <c r="Q446" s="16"/>
      <c r="R446" s="16"/>
      <c r="S446" s="16"/>
      <c r="T446" s="16"/>
      <c r="U446" s="16"/>
      <c r="V446" s="16"/>
      <c r="W446" s="16"/>
      <c r="X446" s="16"/>
      <c r="AD446"/>
      <c r="AE446"/>
    </row>
    <row r="447" spans="1:31" hidden="1" x14ac:dyDescent="0.2">
      <c r="A447" s="44">
        <v>443</v>
      </c>
      <c r="B447" s="15" t="s">
        <v>1265</v>
      </c>
      <c r="C447" s="14">
        <v>1</v>
      </c>
      <c r="D447" s="36">
        <v>0</v>
      </c>
      <c r="E447" s="36">
        <v>0</v>
      </c>
      <c r="F447" s="36">
        <v>117</v>
      </c>
      <c r="G447" s="36">
        <v>116</v>
      </c>
      <c r="H447" s="36">
        <v>0</v>
      </c>
      <c r="I447" s="37" t="str">
        <f t="shared" si="16"/>
        <v>-</v>
      </c>
      <c r="J447" s="37">
        <f t="shared" si="17"/>
        <v>0.99145299145299148</v>
      </c>
      <c r="L447" s="18"/>
      <c r="M447" s="19"/>
      <c r="N447" s="19"/>
      <c r="O447" s="19"/>
      <c r="P447" s="19"/>
      <c r="Q447" s="16"/>
      <c r="R447" s="16"/>
      <c r="S447" s="16"/>
      <c r="T447" s="16"/>
      <c r="U447" s="16"/>
      <c r="V447" s="16"/>
      <c r="W447" s="16"/>
      <c r="X447" s="16"/>
      <c r="AD447"/>
      <c r="AE447"/>
    </row>
    <row r="448" spans="1:31" hidden="1" x14ac:dyDescent="0.2">
      <c r="A448" s="43">
        <v>444</v>
      </c>
      <c r="B448" s="13" t="s">
        <v>1244</v>
      </c>
      <c r="C448" s="33">
        <v>4</v>
      </c>
      <c r="D448" s="34">
        <v>0</v>
      </c>
      <c r="E448" s="34">
        <v>0</v>
      </c>
      <c r="F448" s="34">
        <v>357</v>
      </c>
      <c r="G448" s="34">
        <v>356</v>
      </c>
      <c r="H448" s="34">
        <v>0</v>
      </c>
      <c r="I448" s="35" t="str">
        <f t="shared" si="16"/>
        <v>-</v>
      </c>
      <c r="J448" s="35">
        <f t="shared" si="17"/>
        <v>0.99719887955182074</v>
      </c>
      <c r="L448" s="18"/>
      <c r="M448" s="19"/>
      <c r="N448" s="19"/>
      <c r="O448" s="19"/>
      <c r="P448" s="19"/>
      <c r="Q448" s="16"/>
      <c r="R448" s="16"/>
      <c r="S448" s="16"/>
      <c r="T448" s="16"/>
      <c r="U448" s="16"/>
      <c r="V448" s="16"/>
      <c r="W448" s="16"/>
      <c r="X448" s="16"/>
      <c r="AD448"/>
      <c r="AE448"/>
    </row>
    <row r="449" spans="1:31" hidden="1" x14ac:dyDescent="0.2">
      <c r="A449" s="44">
        <v>445</v>
      </c>
      <c r="B449" s="15" t="s">
        <v>1357</v>
      </c>
      <c r="C449" s="14">
        <v>2</v>
      </c>
      <c r="D449" s="36">
        <v>0</v>
      </c>
      <c r="E449" s="36">
        <v>0</v>
      </c>
      <c r="F449" s="36">
        <v>48</v>
      </c>
      <c r="G449" s="36">
        <v>48</v>
      </c>
      <c r="H449" s="36">
        <v>0</v>
      </c>
      <c r="I449" s="37" t="str">
        <f t="shared" si="16"/>
        <v>-</v>
      </c>
      <c r="J449" s="37">
        <f t="shared" si="17"/>
        <v>1</v>
      </c>
      <c r="L449" s="18"/>
      <c r="M449" s="19"/>
      <c r="N449" s="19"/>
      <c r="O449" s="19"/>
      <c r="P449" s="19"/>
      <c r="Q449" s="16"/>
      <c r="R449" s="16"/>
      <c r="S449" s="16"/>
      <c r="T449" s="16"/>
      <c r="U449" s="16"/>
      <c r="V449" s="16"/>
      <c r="W449" s="16"/>
      <c r="X449" s="16"/>
      <c r="AD449"/>
      <c r="AE449"/>
    </row>
    <row r="450" spans="1:31" hidden="1" x14ac:dyDescent="0.2">
      <c r="A450" s="43">
        <v>446</v>
      </c>
      <c r="B450" s="13" t="s">
        <v>1145</v>
      </c>
      <c r="C450" s="33">
        <v>9</v>
      </c>
      <c r="D450" s="34">
        <v>0</v>
      </c>
      <c r="E450" s="34">
        <v>0</v>
      </c>
      <c r="F450" s="34">
        <v>1264</v>
      </c>
      <c r="G450" s="34">
        <v>1233</v>
      </c>
      <c r="H450" s="34">
        <v>0</v>
      </c>
      <c r="I450" s="35" t="str">
        <f t="shared" si="16"/>
        <v>-</v>
      </c>
      <c r="J450" s="35">
        <f t="shared" si="17"/>
        <v>0.97547468354430378</v>
      </c>
      <c r="L450" s="18"/>
      <c r="M450" s="19"/>
      <c r="N450" s="19"/>
      <c r="O450" s="19"/>
      <c r="P450" s="19"/>
      <c r="Q450" s="16"/>
      <c r="R450" s="16"/>
      <c r="S450" s="16"/>
      <c r="T450" s="16"/>
      <c r="U450" s="16"/>
      <c r="V450" s="16"/>
      <c r="W450" s="16"/>
      <c r="X450" s="16"/>
      <c r="AD450"/>
      <c r="AE450"/>
    </row>
    <row r="451" spans="1:31" hidden="1" x14ac:dyDescent="0.2">
      <c r="A451" s="44">
        <v>447</v>
      </c>
      <c r="B451" s="15" t="s">
        <v>1113</v>
      </c>
      <c r="C451" s="14">
        <v>8</v>
      </c>
      <c r="D451" s="36">
        <v>0</v>
      </c>
      <c r="E451" s="36">
        <v>0</v>
      </c>
      <c r="F451" s="36">
        <v>1526</v>
      </c>
      <c r="G451" s="36">
        <v>1504</v>
      </c>
      <c r="H451" s="36">
        <v>0</v>
      </c>
      <c r="I451" s="37" t="str">
        <f t="shared" si="16"/>
        <v>-</v>
      </c>
      <c r="J451" s="37">
        <f t="shared" si="17"/>
        <v>0.98558322411533417</v>
      </c>
      <c r="L451" s="18"/>
      <c r="M451" s="19"/>
      <c r="N451" s="19"/>
      <c r="O451" s="19"/>
      <c r="P451" s="19"/>
      <c r="Q451" s="16"/>
      <c r="R451" s="16"/>
      <c r="S451" s="16"/>
      <c r="T451" s="16"/>
      <c r="U451" s="16"/>
      <c r="V451" s="16"/>
      <c r="W451" s="16"/>
      <c r="X451" s="16"/>
      <c r="AD451"/>
      <c r="AE451"/>
    </row>
    <row r="452" spans="1:31" hidden="1" x14ac:dyDescent="0.2">
      <c r="A452" s="43">
        <v>448</v>
      </c>
      <c r="B452" s="13" t="s">
        <v>1023</v>
      </c>
      <c r="C452" s="33">
        <v>1</v>
      </c>
      <c r="D452" s="34">
        <v>0</v>
      </c>
      <c r="E452" s="34">
        <v>0</v>
      </c>
      <c r="F452" s="34">
        <v>1991</v>
      </c>
      <c r="G452" s="34">
        <v>1936</v>
      </c>
      <c r="H452" s="34">
        <v>0</v>
      </c>
      <c r="I452" s="35" t="str">
        <f t="shared" si="16"/>
        <v>-</v>
      </c>
      <c r="J452" s="35">
        <f t="shared" si="17"/>
        <v>0.97237569060773477</v>
      </c>
      <c r="L452" s="18"/>
      <c r="M452" s="19"/>
      <c r="N452" s="19"/>
      <c r="O452" s="19"/>
      <c r="P452" s="19"/>
      <c r="Q452" s="16"/>
      <c r="R452" s="16"/>
      <c r="S452" s="16"/>
      <c r="T452" s="16"/>
      <c r="U452" s="16"/>
      <c r="V452" s="16"/>
      <c r="W452" s="16"/>
      <c r="X452" s="16"/>
      <c r="AD452"/>
      <c r="AE452"/>
    </row>
    <row r="453" spans="1:31" hidden="1" x14ac:dyDescent="0.2">
      <c r="A453" s="44">
        <v>449</v>
      </c>
      <c r="B453" s="15" t="s">
        <v>1011</v>
      </c>
      <c r="C453" s="14">
        <v>1</v>
      </c>
      <c r="D453" s="36">
        <v>0</v>
      </c>
      <c r="E453" s="36">
        <v>0</v>
      </c>
      <c r="F453" s="36">
        <v>3104</v>
      </c>
      <c r="G453" s="36">
        <v>3101</v>
      </c>
      <c r="H453" s="36">
        <v>0</v>
      </c>
      <c r="I453" s="37" t="str">
        <f t="shared" ref="I453:I516" si="18">IF(D453=0,"-",E453/D453)</f>
        <v>-</v>
      </c>
      <c r="J453" s="37">
        <f t="shared" ref="J453:J516" si="19">IF(F453=0,"-",G453/F453)</f>
        <v>0.99903350515463918</v>
      </c>
      <c r="L453" s="18"/>
      <c r="M453" s="19"/>
      <c r="N453" s="19"/>
      <c r="O453" s="19"/>
      <c r="P453" s="19"/>
      <c r="Q453" s="16"/>
      <c r="R453" s="16"/>
      <c r="S453" s="16"/>
      <c r="T453" s="16"/>
      <c r="U453" s="16"/>
      <c r="V453" s="16"/>
      <c r="W453" s="16"/>
      <c r="X453" s="16"/>
      <c r="AD453"/>
      <c r="AE453"/>
    </row>
    <row r="454" spans="1:31" hidden="1" x14ac:dyDescent="0.2">
      <c r="A454" s="43">
        <v>450</v>
      </c>
      <c r="B454" s="13" t="s">
        <v>1060</v>
      </c>
      <c r="C454" s="33">
        <v>1</v>
      </c>
      <c r="D454" s="34">
        <v>0</v>
      </c>
      <c r="E454" s="34">
        <v>0</v>
      </c>
      <c r="F454" s="34">
        <v>883</v>
      </c>
      <c r="G454" s="34">
        <v>873</v>
      </c>
      <c r="H454" s="34">
        <v>0</v>
      </c>
      <c r="I454" s="35" t="str">
        <f t="shared" si="18"/>
        <v>-</v>
      </c>
      <c r="J454" s="35">
        <f t="shared" si="19"/>
        <v>0.98867497168742924</v>
      </c>
      <c r="L454" s="18"/>
      <c r="M454" s="19"/>
      <c r="N454" s="19"/>
      <c r="O454" s="19"/>
      <c r="P454" s="19"/>
      <c r="Q454" s="16"/>
      <c r="R454" s="16"/>
      <c r="S454" s="16"/>
      <c r="T454" s="16"/>
      <c r="U454" s="16"/>
      <c r="V454" s="16"/>
      <c r="W454" s="16"/>
      <c r="X454" s="16"/>
      <c r="AD454"/>
      <c r="AE454"/>
    </row>
    <row r="455" spans="1:31" hidden="1" x14ac:dyDescent="0.2">
      <c r="A455" s="44">
        <v>451</v>
      </c>
      <c r="B455" s="15" t="s">
        <v>1122</v>
      </c>
      <c r="C455" s="14">
        <v>8</v>
      </c>
      <c r="D455" s="36">
        <v>0</v>
      </c>
      <c r="E455" s="36">
        <v>0</v>
      </c>
      <c r="F455" s="36">
        <v>1740</v>
      </c>
      <c r="G455" s="36">
        <v>1708</v>
      </c>
      <c r="H455" s="36">
        <v>0</v>
      </c>
      <c r="I455" s="37" t="str">
        <f t="shared" si="18"/>
        <v>-</v>
      </c>
      <c r="J455" s="37">
        <f t="shared" si="19"/>
        <v>0.98160919540229885</v>
      </c>
      <c r="L455" s="18"/>
      <c r="M455" s="19"/>
      <c r="N455" s="19"/>
      <c r="O455" s="19"/>
      <c r="P455" s="19"/>
      <c r="Q455" s="16"/>
      <c r="R455" s="16"/>
      <c r="S455" s="16"/>
      <c r="T455" s="16"/>
      <c r="U455" s="16"/>
      <c r="V455" s="16"/>
      <c r="W455" s="16"/>
      <c r="X455" s="16"/>
      <c r="AD455"/>
      <c r="AE455"/>
    </row>
    <row r="456" spans="1:31" hidden="1" x14ac:dyDescent="0.2">
      <c r="A456" s="43">
        <v>452</v>
      </c>
      <c r="B456" s="13" t="s">
        <v>1018</v>
      </c>
      <c r="C456" s="33">
        <v>2</v>
      </c>
      <c r="D456" s="34">
        <v>0</v>
      </c>
      <c r="E456" s="34">
        <v>0</v>
      </c>
      <c r="F456" s="34">
        <v>2425</v>
      </c>
      <c r="G456" s="34">
        <v>2420</v>
      </c>
      <c r="H456" s="34">
        <v>0</v>
      </c>
      <c r="I456" s="35" t="str">
        <f t="shared" si="18"/>
        <v>-</v>
      </c>
      <c r="J456" s="35">
        <f t="shared" si="19"/>
        <v>0.99793814432989691</v>
      </c>
      <c r="L456" s="18"/>
      <c r="M456" s="19"/>
      <c r="N456" s="19"/>
      <c r="O456" s="19"/>
      <c r="P456" s="19"/>
      <c r="Q456" s="16"/>
      <c r="R456" s="16"/>
      <c r="S456" s="16"/>
      <c r="T456" s="16"/>
      <c r="U456" s="16"/>
      <c r="V456" s="16"/>
      <c r="W456" s="16"/>
      <c r="X456" s="16"/>
      <c r="AD456"/>
      <c r="AE456"/>
    </row>
    <row r="457" spans="1:31" hidden="1" x14ac:dyDescent="0.2">
      <c r="A457" s="44">
        <v>453</v>
      </c>
      <c r="B457" s="15" t="s">
        <v>1064</v>
      </c>
      <c r="C457" s="14">
        <v>1</v>
      </c>
      <c r="D457" s="36">
        <v>0</v>
      </c>
      <c r="E457" s="36">
        <v>0</v>
      </c>
      <c r="F457" s="36">
        <v>809</v>
      </c>
      <c r="G457" s="36">
        <v>806</v>
      </c>
      <c r="H457" s="36">
        <v>0</v>
      </c>
      <c r="I457" s="37" t="str">
        <f t="shared" si="18"/>
        <v>-</v>
      </c>
      <c r="J457" s="37">
        <f t="shared" si="19"/>
        <v>0.99629171817058093</v>
      </c>
      <c r="L457" s="18"/>
      <c r="M457" s="19"/>
      <c r="N457" s="19"/>
      <c r="O457" s="19"/>
      <c r="P457" s="19"/>
      <c r="Q457" s="16"/>
      <c r="R457" s="16"/>
      <c r="S457" s="16"/>
      <c r="T457" s="16"/>
      <c r="U457" s="16"/>
      <c r="V457" s="16"/>
      <c r="W457" s="16"/>
      <c r="X457" s="16"/>
      <c r="AD457"/>
      <c r="AE457"/>
    </row>
    <row r="458" spans="1:31" hidden="1" x14ac:dyDescent="0.2">
      <c r="A458" s="43">
        <v>454</v>
      </c>
      <c r="B458" s="13" t="s">
        <v>1328</v>
      </c>
      <c r="C458" s="33">
        <v>1</v>
      </c>
      <c r="D458" s="34">
        <v>0</v>
      </c>
      <c r="E458" s="34">
        <v>0</v>
      </c>
      <c r="F458" s="34">
        <v>53</v>
      </c>
      <c r="G458" s="34">
        <v>53</v>
      </c>
      <c r="H458" s="34">
        <v>0</v>
      </c>
      <c r="I458" s="35" t="str">
        <f t="shared" si="18"/>
        <v>-</v>
      </c>
      <c r="J458" s="35">
        <f t="shared" si="19"/>
        <v>1</v>
      </c>
      <c r="L458" s="18"/>
      <c r="M458" s="19"/>
      <c r="N458" s="19"/>
      <c r="O458" s="19"/>
      <c r="P458" s="19"/>
      <c r="Q458" s="16"/>
      <c r="R458" s="16"/>
      <c r="S458" s="16"/>
      <c r="T458" s="16"/>
      <c r="U458" s="16"/>
      <c r="V458" s="16"/>
      <c r="W458" s="16"/>
      <c r="X458" s="16"/>
      <c r="AD458"/>
      <c r="AE458"/>
    </row>
    <row r="459" spans="1:31" hidden="1" x14ac:dyDescent="0.2">
      <c r="A459" s="44">
        <v>455</v>
      </c>
      <c r="B459" s="15" t="s">
        <v>1125</v>
      </c>
      <c r="C459" s="14">
        <v>1</v>
      </c>
      <c r="D459" s="36">
        <v>0</v>
      </c>
      <c r="E459" s="36">
        <v>0</v>
      </c>
      <c r="F459" s="36">
        <v>403</v>
      </c>
      <c r="G459" s="36">
        <v>393</v>
      </c>
      <c r="H459" s="36">
        <v>0</v>
      </c>
      <c r="I459" s="37" t="str">
        <f t="shared" si="18"/>
        <v>-</v>
      </c>
      <c r="J459" s="37">
        <f t="shared" si="19"/>
        <v>0.97518610421836227</v>
      </c>
      <c r="L459" s="18"/>
      <c r="M459" s="19"/>
      <c r="N459" s="19"/>
      <c r="O459" s="19"/>
      <c r="P459" s="19"/>
      <c r="Q459" s="16"/>
      <c r="R459" s="16"/>
      <c r="S459" s="16"/>
      <c r="T459" s="16"/>
      <c r="U459" s="16"/>
      <c r="V459" s="16"/>
      <c r="W459" s="16"/>
      <c r="X459" s="16"/>
      <c r="AD459"/>
      <c r="AE459"/>
    </row>
    <row r="460" spans="1:31" hidden="1" x14ac:dyDescent="0.2">
      <c r="A460" s="43">
        <v>456</v>
      </c>
      <c r="B460" s="13" t="s">
        <v>1282</v>
      </c>
      <c r="C460" s="33">
        <v>5</v>
      </c>
      <c r="D460" s="34">
        <v>0</v>
      </c>
      <c r="E460" s="34">
        <v>0</v>
      </c>
      <c r="F460" s="34">
        <v>195</v>
      </c>
      <c r="G460" s="34">
        <v>171</v>
      </c>
      <c r="H460" s="34">
        <v>0</v>
      </c>
      <c r="I460" s="35" t="str">
        <f t="shared" si="18"/>
        <v>-</v>
      </c>
      <c r="J460" s="35">
        <f t="shared" si="19"/>
        <v>0.87692307692307692</v>
      </c>
      <c r="L460" s="18"/>
      <c r="M460" s="19"/>
      <c r="N460" s="19"/>
      <c r="O460" s="19"/>
      <c r="P460" s="19"/>
      <c r="Q460" s="16"/>
      <c r="R460" s="16"/>
      <c r="S460" s="16"/>
      <c r="T460" s="16"/>
      <c r="U460" s="16"/>
      <c r="V460" s="16"/>
      <c r="W460" s="16"/>
      <c r="X460" s="16"/>
      <c r="AD460"/>
      <c r="AE460"/>
    </row>
    <row r="461" spans="1:31" hidden="1" x14ac:dyDescent="0.2">
      <c r="A461" s="44">
        <v>457</v>
      </c>
      <c r="B461" s="15" t="s">
        <v>1315</v>
      </c>
      <c r="C461" s="14">
        <v>2</v>
      </c>
      <c r="D461" s="36">
        <v>0</v>
      </c>
      <c r="E461" s="36">
        <v>0</v>
      </c>
      <c r="F461" s="36">
        <v>89</v>
      </c>
      <c r="G461" s="36">
        <v>89</v>
      </c>
      <c r="H461" s="36">
        <v>0</v>
      </c>
      <c r="I461" s="37" t="str">
        <f t="shared" si="18"/>
        <v>-</v>
      </c>
      <c r="J461" s="37">
        <f t="shared" si="19"/>
        <v>1</v>
      </c>
      <c r="L461" s="18"/>
      <c r="M461" s="19"/>
      <c r="N461" s="19"/>
      <c r="O461" s="19"/>
      <c r="P461" s="19"/>
      <c r="Q461" s="16"/>
      <c r="R461" s="16"/>
      <c r="S461" s="16"/>
      <c r="T461" s="16"/>
      <c r="U461" s="16"/>
      <c r="V461" s="16"/>
      <c r="W461" s="16"/>
      <c r="X461" s="16"/>
      <c r="AD461"/>
      <c r="AE461"/>
    </row>
    <row r="462" spans="1:31" hidden="1" x14ac:dyDescent="0.2">
      <c r="A462" s="43">
        <v>458</v>
      </c>
      <c r="B462" s="13" t="s">
        <v>575</v>
      </c>
      <c r="C462" s="33">
        <v>3</v>
      </c>
      <c r="D462" s="34">
        <v>0</v>
      </c>
      <c r="E462" s="34">
        <v>142</v>
      </c>
      <c r="F462" s="34">
        <v>0</v>
      </c>
      <c r="G462" s="34">
        <v>0</v>
      </c>
      <c r="H462" s="34">
        <v>0</v>
      </c>
      <c r="I462" s="35" t="str">
        <f t="shared" si="18"/>
        <v>-</v>
      </c>
      <c r="J462" s="35" t="str">
        <f t="shared" si="19"/>
        <v>-</v>
      </c>
      <c r="L462" s="18"/>
      <c r="M462" s="19"/>
      <c r="N462" s="19"/>
      <c r="O462" s="19"/>
      <c r="P462" s="19"/>
      <c r="Q462" s="16"/>
      <c r="R462" s="16"/>
      <c r="S462" s="16"/>
      <c r="T462" s="16"/>
      <c r="U462" s="16"/>
      <c r="V462" s="16"/>
      <c r="W462" s="16"/>
      <c r="X462" s="16"/>
      <c r="AD462"/>
      <c r="AE462"/>
    </row>
    <row r="463" spans="1:31" hidden="1" x14ac:dyDescent="0.2">
      <c r="A463" s="44">
        <v>459</v>
      </c>
      <c r="B463" s="15" t="s">
        <v>1341</v>
      </c>
      <c r="C463" s="14">
        <v>1</v>
      </c>
      <c r="D463" s="36">
        <v>0</v>
      </c>
      <c r="E463" s="36">
        <v>0</v>
      </c>
      <c r="F463" s="36">
        <v>41</v>
      </c>
      <c r="G463" s="36">
        <v>41</v>
      </c>
      <c r="H463" s="36">
        <v>0</v>
      </c>
      <c r="I463" s="37" t="str">
        <f t="shared" si="18"/>
        <v>-</v>
      </c>
      <c r="J463" s="37">
        <f t="shared" si="19"/>
        <v>1</v>
      </c>
      <c r="L463" s="18"/>
      <c r="M463" s="19"/>
      <c r="N463" s="19"/>
      <c r="O463" s="19"/>
      <c r="P463" s="19"/>
      <c r="Q463" s="16"/>
      <c r="R463" s="16"/>
      <c r="S463" s="16"/>
      <c r="T463" s="16"/>
      <c r="U463" s="16"/>
      <c r="V463" s="16"/>
      <c r="W463" s="16"/>
      <c r="X463" s="16"/>
      <c r="AD463"/>
      <c r="AE463"/>
    </row>
    <row r="464" spans="1:31" hidden="1" x14ac:dyDescent="0.2">
      <c r="A464" s="43">
        <v>460</v>
      </c>
      <c r="B464" s="13" t="s">
        <v>1154</v>
      </c>
      <c r="C464" s="33">
        <v>6</v>
      </c>
      <c r="D464" s="34">
        <v>0</v>
      </c>
      <c r="E464" s="34">
        <v>0</v>
      </c>
      <c r="F464" s="34">
        <v>865</v>
      </c>
      <c r="G464" s="34">
        <v>848</v>
      </c>
      <c r="H464" s="34">
        <v>0</v>
      </c>
      <c r="I464" s="35" t="str">
        <f t="shared" si="18"/>
        <v>-</v>
      </c>
      <c r="J464" s="35">
        <f t="shared" si="19"/>
        <v>0.98034682080924851</v>
      </c>
      <c r="L464" s="18"/>
      <c r="M464" s="19"/>
      <c r="N464" s="19"/>
      <c r="O464" s="19"/>
      <c r="P464" s="19"/>
      <c r="Q464" s="16"/>
      <c r="R464" s="16"/>
      <c r="S464" s="16"/>
      <c r="T464" s="16"/>
      <c r="U464" s="16"/>
      <c r="V464" s="16"/>
      <c r="W464" s="16"/>
      <c r="X464" s="16"/>
      <c r="AD464"/>
      <c r="AE464"/>
    </row>
    <row r="465" spans="1:31" hidden="1" x14ac:dyDescent="0.2">
      <c r="A465" s="44">
        <v>461</v>
      </c>
      <c r="B465" s="15" t="s">
        <v>1319</v>
      </c>
      <c r="C465" s="14">
        <v>2</v>
      </c>
      <c r="D465" s="36">
        <v>0</v>
      </c>
      <c r="E465" s="36">
        <v>0</v>
      </c>
      <c r="F465" s="36">
        <v>72</v>
      </c>
      <c r="G465" s="36">
        <v>72</v>
      </c>
      <c r="H465" s="36">
        <v>0</v>
      </c>
      <c r="I465" s="37" t="str">
        <f t="shared" si="18"/>
        <v>-</v>
      </c>
      <c r="J465" s="37">
        <f t="shared" si="19"/>
        <v>1</v>
      </c>
      <c r="L465" s="18"/>
      <c r="M465" s="19"/>
      <c r="N465" s="19"/>
      <c r="O465" s="19"/>
      <c r="P465" s="19"/>
      <c r="Q465" s="16"/>
      <c r="R465" s="16"/>
      <c r="S465" s="16"/>
      <c r="T465" s="16"/>
      <c r="U465" s="16"/>
      <c r="V465" s="16"/>
      <c r="W465" s="16"/>
      <c r="X465" s="16"/>
      <c r="AD465"/>
      <c r="AE465"/>
    </row>
    <row r="466" spans="1:31" hidden="1" x14ac:dyDescent="0.2">
      <c r="A466" s="43">
        <v>462</v>
      </c>
      <c r="B466" s="13" t="s">
        <v>1123</v>
      </c>
      <c r="C466" s="33">
        <v>5</v>
      </c>
      <c r="D466" s="34">
        <v>0</v>
      </c>
      <c r="E466" s="34">
        <v>0</v>
      </c>
      <c r="F466" s="34">
        <v>1073</v>
      </c>
      <c r="G466" s="34">
        <v>1061</v>
      </c>
      <c r="H466" s="34">
        <v>0</v>
      </c>
      <c r="I466" s="35" t="str">
        <f t="shared" si="18"/>
        <v>-</v>
      </c>
      <c r="J466" s="35">
        <f t="shared" si="19"/>
        <v>0.9888164026095061</v>
      </c>
      <c r="L466" s="18"/>
      <c r="M466" s="19"/>
      <c r="N466" s="19"/>
      <c r="O466" s="19"/>
      <c r="P466" s="19"/>
      <c r="Q466" s="16"/>
      <c r="R466" s="16"/>
      <c r="S466" s="16"/>
      <c r="T466" s="16"/>
      <c r="U466" s="16"/>
      <c r="V466" s="16"/>
      <c r="W466" s="16"/>
      <c r="X466" s="16"/>
      <c r="AD466"/>
      <c r="AE466"/>
    </row>
    <row r="467" spans="1:31" hidden="1" x14ac:dyDescent="0.2">
      <c r="A467" s="44">
        <v>463</v>
      </c>
      <c r="B467" s="15" t="s">
        <v>1269</v>
      </c>
      <c r="C467" s="14">
        <v>1</v>
      </c>
      <c r="D467" s="36">
        <v>0</v>
      </c>
      <c r="E467" s="36">
        <v>0</v>
      </c>
      <c r="F467" s="36">
        <v>116</v>
      </c>
      <c r="G467" s="36">
        <v>114</v>
      </c>
      <c r="H467" s="36">
        <v>0</v>
      </c>
      <c r="I467" s="37" t="str">
        <f t="shared" si="18"/>
        <v>-</v>
      </c>
      <c r="J467" s="37">
        <f t="shared" si="19"/>
        <v>0.98275862068965514</v>
      </c>
      <c r="L467" s="18"/>
      <c r="M467" s="19"/>
      <c r="N467" s="19"/>
      <c r="O467" s="19"/>
      <c r="P467" s="19"/>
      <c r="Q467" s="16"/>
      <c r="R467" s="16"/>
      <c r="S467" s="16"/>
      <c r="T467" s="16"/>
      <c r="U467" s="16"/>
      <c r="V467" s="16"/>
      <c r="W467" s="16"/>
      <c r="X467" s="16"/>
      <c r="AD467"/>
      <c r="AE467"/>
    </row>
    <row r="468" spans="1:31" hidden="1" x14ac:dyDescent="0.2">
      <c r="A468" s="43">
        <v>464</v>
      </c>
      <c r="B468" s="13" t="s">
        <v>1079</v>
      </c>
      <c r="C468" s="33">
        <v>11</v>
      </c>
      <c r="D468" s="34">
        <v>0</v>
      </c>
      <c r="E468" s="34">
        <v>0</v>
      </c>
      <c r="F468" s="34">
        <v>3118</v>
      </c>
      <c r="G468" s="34">
        <v>3101</v>
      </c>
      <c r="H468" s="34">
        <v>0</v>
      </c>
      <c r="I468" s="35" t="str">
        <f t="shared" si="18"/>
        <v>-</v>
      </c>
      <c r="J468" s="35">
        <f t="shared" si="19"/>
        <v>0.99454778704297631</v>
      </c>
      <c r="L468" s="18"/>
      <c r="M468" s="19"/>
      <c r="N468" s="19"/>
      <c r="O468" s="19"/>
      <c r="P468" s="19"/>
      <c r="Q468" s="16"/>
      <c r="R468" s="16"/>
      <c r="S468" s="16"/>
      <c r="T468" s="16"/>
      <c r="U468" s="16"/>
      <c r="V468" s="16"/>
      <c r="W468" s="16"/>
      <c r="X468" s="16"/>
      <c r="AD468"/>
      <c r="AE468"/>
    </row>
    <row r="469" spans="1:31" hidden="1" x14ac:dyDescent="0.2">
      <c r="A469" s="44">
        <v>465</v>
      </c>
      <c r="B469" s="15" t="s">
        <v>1107</v>
      </c>
      <c r="C469" s="14">
        <v>4</v>
      </c>
      <c r="D469" s="36">
        <v>0</v>
      </c>
      <c r="E469" s="36">
        <v>0</v>
      </c>
      <c r="F469" s="36">
        <v>1276</v>
      </c>
      <c r="G469" s="36">
        <v>1208</v>
      </c>
      <c r="H469" s="36">
        <v>0</v>
      </c>
      <c r="I469" s="37" t="str">
        <f t="shared" si="18"/>
        <v>-</v>
      </c>
      <c r="J469" s="37">
        <f t="shared" si="19"/>
        <v>0.94670846394984332</v>
      </c>
      <c r="L469" s="18"/>
      <c r="M469" s="19"/>
      <c r="N469" s="19"/>
      <c r="O469" s="19"/>
      <c r="P469" s="19"/>
      <c r="Q469" s="16"/>
      <c r="R469" s="16"/>
      <c r="S469" s="16"/>
      <c r="T469" s="16"/>
      <c r="U469" s="16"/>
      <c r="V469" s="16"/>
      <c r="W469" s="16"/>
      <c r="X469" s="16"/>
      <c r="AD469"/>
      <c r="AE469"/>
    </row>
    <row r="470" spans="1:31" hidden="1" x14ac:dyDescent="0.2">
      <c r="A470" s="43">
        <v>466</v>
      </c>
      <c r="B470" s="13" t="s">
        <v>1394</v>
      </c>
      <c r="C470" s="33">
        <v>2</v>
      </c>
      <c r="D470" s="34">
        <v>0</v>
      </c>
      <c r="E470" s="34">
        <v>0</v>
      </c>
      <c r="F470" s="34">
        <v>30</v>
      </c>
      <c r="G470" s="34">
        <v>10</v>
      </c>
      <c r="H470" s="34">
        <v>0</v>
      </c>
      <c r="I470" s="35" t="str">
        <f t="shared" si="18"/>
        <v>-</v>
      </c>
      <c r="J470" s="35">
        <f t="shared" si="19"/>
        <v>0.33333333333333331</v>
      </c>
      <c r="L470" s="18"/>
      <c r="M470" s="19"/>
      <c r="N470" s="19"/>
      <c r="O470" s="19"/>
      <c r="P470" s="19"/>
      <c r="Q470" s="16"/>
      <c r="R470" s="16"/>
      <c r="S470" s="16"/>
      <c r="T470" s="16"/>
      <c r="U470" s="16"/>
      <c r="V470" s="16"/>
      <c r="W470" s="16"/>
      <c r="X470" s="16"/>
      <c r="AD470"/>
      <c r="AE470"/>
    </row>
    <row r="471" spans="1:31" hidden="1" x14ac:dyDescent="0.2">
      <c r="A471" s="44">
        <v>467</v>
      </c>
      <c r="B471" s="15" t="s">
        <v>1227</v>
      </c>
      <c r="C471" s="14">
        <v>3</v>
      </c>
      <c r="D471" s="36">
        <v>0</v>
      </c>
      <c r="E471" s="36">
        <v>0</v>
      </c>
      <c r="F471" s="36">
        <v>362</v>
      </c>
      <c r="G471" s="36">
        <v>362</v>
      </c>
      <c r="H471" s="36">
        <v>0</v>
      </c>
      <c r="I471" s="37" t="str">
        <f t="shared" si="18"/>
        <v>-</v>
      </c>
      <c r="J471" s="37">
        <f t="shared" si="19"/>
        <v>1</v>
      </c>
      <c r="L471" s="18"/>
      <c r="M471" s="19"/>
      <c r="N471" s="19"/>
      <c r="O471" s="19"/>
      <c r="P471" s="19"/>
      <c r="Q471" s="16"/>
      <c r="R471" s="16"/>
      <c r="S471" s="16"/>
      <c r="T471" s="16"/>
      <c r="U471" s="16"/>
      <c r="V471" s="16"/>
      <c r="W471" s="16"/>
      <c r="X471" s="16"/>
      <c r="AD471"/>
      <c r="AE471"/>
    </row>
    <row r="472" spans="1:31" hidden="1" x14ac:dyDescent="0.2">
      <c r="A472" s="43">
        <v>468</v>
      </c>
      <c r="B472" s="13" t="s">
        <v>1012</v>
      </c>
      <c r="C472" s="33">
        <v>1</v>
      </c>
      <c r="D472" s="34">
        <v>0</v>
      </c>
      <c r="E472" s="34">
        <v>0</v>
      </c>
      <c r="F472" s="34">
        <v>3158</v>
      </c>
      <c r="G472" s="34">
        <v>3067</v>
      </c>
      <c r="H472" s="34">
        <v>0</v>
      </c>
      <c r="I472" s="35" t="str">
        <f t="shared" si="18"/>
        <v>-</v>
      </c>
      <c r="J472" s="35">
        <f t="shared" si="19"/>
        <v>0.97118429385687144</v>
      </c>
      <c r="L472" s="18"/>
      <c r="M472" s="19"/>
      <c r="N472" s="19"/>
      <c r="O472" s="19"/>
      <c r="P472" s="19"/>
      <c r="Q472" s="16"/>
      <c r="R472" s="16"/>
      <c r="S472" s="16"/>
      <c r="T472" s="16"/>
      <c r="U472" s="16"/>
      <c r="V472" s="16"/>
      <c r="W472" s="16"/>
      <c r="X472" s="16"/>
      <c r="AD472"/>
      <c r="AE472"/>
    </row>
    <row r="473" spans="1:31" hidden="1" x14ac:dyDescent="0.2">
      <c r="A473" s="44">
        <v>469</v>
      </c>
      <c r="B473" s="15" t="s">
        <v>1176</v>
      </c>
      <c r="C473" s="14">
        <v>2</v>
      </c>
      <c r="D473" s="36">
        <v>0</v>
      </c>
      <c r="E473" s="36">
        <v>0</v>
      </c>
      <c r="F473" s="36">
        <v>468</v>
      </c>
      <c r="G473" s="36">
        <v>456</v>
      </c>
      <c r="H473" s="36">
        <v>0</v>
      </c>
      <c r="I473" s="37" t="str">
        <f t="shared" si="18"/>
        <v>-</v>
      </c>
      <c r="J473" s="37">
        <f t="shared" si="19"/>
        <v>0.97435897435897434</v>
      </c>
      <c r="L473" s="18"/>
      <c r="M473" s="19"/>
      <c r="N473" s="19"/>
      <c r="O473" s="19"/>
      <c r="P473" s="19"/>
      <c r="Q473" s="16"/>
      <c r="R473" s="16"/>
      <c r="S473" s="16"/>
      <c r="T473" s="16"/>
      <c r="U473" s="16"/>
      <c r="V473" s="16"/>
      <c r="W473" s="16"/>
      <c r="X473" s="16"/>
      <c r="AD473"/>
      <c r="AE473"/>
    </row>
    <row r="474" spans="1:31" hidden="1" x14ac:dyDescent="0.2">
      <c r="A474" s="43">
        <v>470</v>
      </c>
      <c r="B474" s="13" t="s">
        <v>1077</v>
      </c>
      <c r="C474" s="33">
        <v>6</v>
      </c>
      <c r="D474" s="34">
        <v>0</v>
      </c>
      <c r="E474" s="34">
        <v>0</v>
      </c>
      <c r="F474" s="34">
        <v>1117</v>
      </c>
      <c r="G474" s="34">
        <v>1117</v>
      </c>
      <c r="H474" s="34">
        <v>0</v>
      </c>
      <c r="I474" s="35" t="str">
        <f t="shared" si="18"/>
        <v>-</v>
      </c>
      <c r="J474" s="35">
        <f t="shared" si="19"/>
        <v>1</v>
      </c>
      <c r="L474" s="18"/>
      <c r="M474" s="19"/>
      <c r="N474" s="19"/>
      <c r="O474" s="19"/>
      <c r="P474" s="19"/>
      <c r="Q474" s="16"/>
      <c r="R474" s="16"/>
      <c r="S474" s="16"/>
      <c r="T474" s="16"/>
      <c r="U474" s="16"/>
      <c r="V474" s="16"/>
      <c r="W474" s="16"/>
      <c r="X474" s="16"/>
      <c r="AD474"/>
      <c r="AE474"/>
    </row>
    <row r="475" spans="1:31" hidden="1" x14ac:dyDescent="0.2">
      <c r="A475" s="44">
        <v>471</v>
      </c>
      <c r="B475" s="15" t="s">
        <v>891</v>
      </c>
      <c r="C475" s="14">
        <v>1</v>
      </c>
      <c r="D475" s="36">
        <v>0</v>
      </c>
      <c r="E475" s="36">
        <v>25</v>
      </c>
      <c r="F475" s="36">
        <v>0</v>
      </c>
      <c r="G475" s="36">
        <v>0</v>
      </c>
      <c r="H475" s="36">
        <v>0</v>
      </c>
      <c r="I475" s="37" t="str">
        <f t="shared" si="18"/>
        <v>-</v>
      </c>
      <c r="J475" s="37" t="str">
        <f t="shared" si="19"/>
        <v>-</v>
      </c>
      <c r="L475" s="18"/>
      <c r="M475" s="19"/>
      <c r="N475" s="19"/>
      <c r="O475" s="19"/>
      <c r="P475" s="19"/>
      <c r="Q475" s="16"/>
      <c r="R475" s="16"/>
      <c r="S475" s="16"/>
      <c r="T475" s="16"/>
      <c r="U475" s="16"/>
      <c r="V475" s="16"/>
      <c r="W475" s="16"/>
      <c r="X475" s="16"/>
      <c r="AD475"/>
      <c r="AE475"/>
    </row>
    <row r="476" spans="1:31" hidden="1" x14ac:dyDescent="0.2">
      <c r="A476" s="43">
        <v>472</v>
      </c>
      <c r="B476" s="13" t="s">
        <v>1086</v>
      </c>
      <c r="C476" s="33">
        <v>9</v>
      </c>
      <c r="D476" s="34">
        <v>0</v>
      </c>
      <c r="E476" s="34">
        <v>0</v>
      </c>
      <c r="F476" s="34">
        <v>1855</v>
      </c>
      <c r="G476" s="34">
        <v>1852</v>
      </c>
      <c r="H476" s="34">
        <v>0</v>
      </c>
      <c r="I476" s="35" t="str">
        <f t="shared" si="18"/>
        <v>-</v>
      </c>
      <c r="J476" s="35">
        <f t="shared" si="19"/>
        <v>0.99838274932614557</v>
      </c>
      <c r="L476" s="18"/>
      <c r="M476" s="19"/>
      <c r="N476" s="19"/>
      <c r="O476" s="19"/>
      <c r="P476" s="19"/>
      <c r="Q476" s="16"/>
      <c r="R476" s="16"/>
      <c r="S476" s="16"/>
      <c r="T476" s="16"/>
      <c r="U476" s="16"/>
      <c r="V476" s="16"/>
      <c r="W476" s="16"/>
      <c r="X476" s="16"/>
      <c r="AD476"/>
      <c r="AE476"/>
    </row>
    <row r="477" spans="1:31" hidden="1" x14ac:dyDescent="0.2">
      <c r="A477" s="44">
        <v>473</v>
      </c>
      <c r="B477" s="15" t="s">
        <v>1323</v>
      </c>
      <c r="C477" s="14">
        <v>1</v>
      </c>
      <c r="D477" s="36">
        <v>0</v>
      </c>
      <c r="E477" s="36">
        <v>0</v>
      </c>
      <c r="F477" s="36">
        <v>60</v>
      </c>
      <c r="G477" s="36">
        <v>60</v>
      </c>
      <c r="H477" s="36">
        <v>0</v>
      </c>
      <c r="I477" s="37" t="str">
        <f t="shared" si="18"/>
        <v>-</v>
      </c>
      <c r="J477" s="37">
        <f t="shared" si="19"/>
        <v>1</v>
      </c>
      <c r="L477" s="18"/>
      <c r="M477" s="19"/>
      <c r="N477" s="19"/>
      <c r="O477" s="19"/>
      <c r="P477" s="19"/>
      <c r="Q477" s="16"/>
      <c r="R477" s="16"/>
      <c r="S477" s="16"/>
      <c r="T477" s="16"/>
      <c r="U477" s="16"/>
      <c r="V477" s="16"/>
      <c r="W477" s="16"/>
      <c r="X477" s="16"/>
      <c r="AD477"/>
      <c r="AE477"/>
    </row>
    <row r="478" spans="1:31" hidden="1" x14ac:dyDescent="0.2">
      <c r="A478" s="43">
        <v>474</v>
      </c>
      <c r="B478" s="13" t="s">
        <v>1196</v>
      </c>
      <c r="C478" s="33">
        <v>19</v>
      </c>
      <c r="D478" s="34">
        <v>0</v>
      </c>
      <c r="E478" s="34">
        <v>0</v>
      </c>
      <c r="F478" s="34">
        <v>1797</v>
      </c>
      <c r="G478" s="34">
        <v>1716</v>
      </c>
      <c r="H478" s="34">
        <v>0</v>
      </c>
      <c r="I478" s="35" t="str">
        <f t="shared" si="18"/>
        <v>-</v>
      </c>
      <c r="J478" s="35">
        <f t="shared" si="19"/>
        <v>0.95492487479131882</v>
      </c>
      <c r="L478" s="18"/>
      <c r="M478" s="19"/>
      <c r="N478" s="19"/>
      <c r="O478" s="19"/>
      <c r="P478" s="19"/>
      <c r="Q478" s="16"/>
      <c r="R478" s="16"/>
      <c r="S478" s="16"/>
      <c r="T478" s="16"/>
      <c r="U478" s="16"/>
      <c r="V478" s="16"/>
      <c r="W478" s="16"/>
      <c r="X478" s="16"/>
      <c r="AD478"/>
      <c r="AE478"/>
    </row>
    <row r="479" spans="1:31" hidden="1" x14ac:dyDescent="0.2">
      <c r="A479" s="44">
        <v>475</v>
      </c>
      <c r="B479" s="15" t="s">
        <v>1258</v>
      </c>
      <c r="C479" s="14">
        <v>2</v>
      </c>
      <c r="D479" s="36">
        <v>0</v>
      </c>
      <c r="E479" s="36">
        <v>0</v>
      </c>
      <c r="F479" s="36">
        <v>170</v>
      </c>
      <c r="G479" s="36">
        <v>187</v>
      </c>
      <c r="H479" s="36">
        <v>0</v>
      </c>
      <c r="I479" s="37" t="str">
        <f t="shared" si="18"/>
        <v>-</v>
      </c>
      <c r="J479" s="37">
        <f t="shared" si="19"/>
        <v>1.1000000000000001</v>
      </c>
      <c r="L479" s="18"/>
      <c r="M479" s="19"/>
      <c r="N479" s="19"/>
      <c r="O479" s="19"/>
      <c r="P479" s="19"/>
      <c r="Q479" s="16"/>
      <c r="R479" s="16"/>
      <c r="S479" s="16"/>
      <c r="T479" s="16"/>
      <c r="U479" s="16"/>
      <c r="V479" s="16"/>
      <c r="W479" s="16"/>
      <c r="X479" s="16"/>
      <c r="AD479"/>
      <c r="AE479"/>
    </row>
    <row r="480" spans="1:31" hidden="1" x14ac:dyDescent="0.2">
      <c r="A480" s="43">
        <v>476</v>
      </c>
      <c r="B480" s="13" t="s">
        <v>1076</v>
      </c>
      <c r="C480" s="33">
        <v>10</v>
      </c>
      <c r="D480" s="34">
        <v>0</v>
      </c>
      <c r="E480" s="34">
        <v>0</v>
      </c>
      <c r="F480" s="34">
        <v>2772</v>
      </c>
      <c r="G480" s="34">
        <v>2738</v>
      </c>
      <c r="H480" s="34">
        <v>0</v>
      </c>
      <c r="I480" s="35" t="str">
        <f t="shared" si="18"/>
        <v>-</v>
      </c>
      <c r="J480" s="35">
        <f t="shared" si="19"/>
        <v>0.98773448773448769</v>
      </c>
      <c r="L480" s="18"/>
      <c r="M480" s="19"/>
      <c r="N480" s="19"/>
      <c r="O480" s="19"/>
      <c r="P480" s="19"/>
      <c r="Q480" s="16"/>
      <c r="R480" s="16"/>
      <c r="S480" s="16"/>
      <c r="T480" s="16"/>
      <c r="U480" s="16"/>
      <c r="V480" s="16"/>
      <c r="W480" s="16"/>
      <c r="X480" s="16"/>
      <c r="AD480"/>
      <c r="AE480"/>
    </row>
    <row r="481" spans="1:31" hidden="1" x14ac:dyDescent="0.2">
      <c r="A481" s="44">
        <v>477</v>
      </c>
      <c r="B481" s="15" t="s">
        <v>1045</v>
      </c>
      <c r="C481" s="14">
        <v>1</v>
      </c>
      <c r="D481" s="36">
        <v>0</v>
      </c>
      <c r="E481" s="36">
        <v>0</v>
      </c>
      <c r="F481" s="36">
        <v>1104</v>
      </c>
      <c r="G481" s="36">
        <v>1073</v>
      </c>
      <c r="H481" s="36">
        <v>0</v>
      </c>
      <c r="I481" s="37" t="str">
        <f t="shared" si="18"/>
        <v>-</v>
      </c>
      <c r="J481" s="37">
        <f t="shared" si="19"/>
        <v>0.97192028985507251</v>
      </c>
      <c r="L481" s="18"/>
      <c r="M481" s="19"/>
      <c r="N481" s="19"/>
      <c r="O481" s="19"/>
      <c r="P481" s="19"/>
      <c r="Q481" s="16"/>
      <c r="R481" s="16"/>
      <c r="S481" s="16"/>
      <c r="T481" s="16"/>
      <c r="U481" s="16"/>
      <c r="V481" s="16"/>
      <c r="W481" s="16"/>
      <c r="X481" s="16"/>
      <c r="AD481"/>
      <c r="AE481"/>
    </row>
    <row r="482" spans="1:31" hidden="1" x14ac:dyDescent="0.2">
      <c r="A482" s="43">
        <v>478</v>
      </c>
      <c r="B482" s="13" t="s">
        <v>1189</v>
      </c>
      <c r="C482" s="33">
        <v>6</v>
      </c>
      <c r="D482" s="34">
        <v>0</v>
      </c>
      <c r="E482" s="34">
        <v>0</v>
      </c>
      <c r="F482" s="34">
        <v>701</v>
      </c>
      <c r="G482" s="34">
        <v>699</v>
      </c>
      <c r="H482" s="34">
        <v>0</v>
      </c>
      <c r="I482" s="35" t="str">
        <f t="shared" si="18"/>
        <v>-</v>
      </c>
      <c r="J482" s="35">
        <f t="shared" si="19"/>
        <v>0.99714693295292445</v>
      </c>
      <c r="L482" s="18"/>
      <c r="M482" s="19"/>
      <c r="N482" s="19"/>
      <c r="O482" s="19"/>
      <c r="P482" s="19"/>
      <c r="Q482" s="16"/>
      <c r="R482" s="16"/>
      <c r="S482" s="16"/>
      <c r="T482" s="16"/>
      <c r="U482" s="16"/>
      <c r="V482" s="16"/>
      <c r="W482" s="16"/>
      <c r="X482" s="16"/>
      <c r="AD482"/>
      <c r="AE482"/>
    </row>
    <row r="483" spans="1:31" hidden="1" x14ac:dyDescent="0.2">
      <c r="A483" s="44">
        <v>479</v>
      </c>
      <c r="B483" s="15" t="s">
        <v>1015</v>
      </c>
      <c r="C483" s="14">
        <v>2</v>
      </c>
      <c r="D483" s="36">
        <v>0</v>
      </c>
      <c r="E483" s="36">
        <v>0</v>
      </c>
      <c r="F483" s="36">
        <v>2885</v>
      </c>
      <c r="G483" s="36">
        <v>2806</v>
      </c>
      <c r="H483" s="36">
        <v>0</v>
      </c>
      <c r="I483" s="37" t="str">
        <f t="shared" si="18"/>
        <v>-</v>
      </c>
      <c r="J483" s="37">
        <f t="shared" si="19"/>
        <v>0.97261698440207978</v>
      </c>
      <c r="L483" s="18"/>
      <c r="M483" s="19"/>
      <c r="N483" s="19"/>
      <c r="O483" s="19"/>
      <c r="P483" s="19"/>
      <c r="Q483" s="16"/>
      <c r="R483" s="16"/>
      <c r="S483" s="16"/>
      <c r="T483" s="16"/>
      <c r="U483" s="16"/>
      <c r="V483" s="16"/>
      <c r="W483" s="16"/>
      <c r="X483" s="16"/>
      <c r="AD483"/>
      <c r="AE483"/>
    </row>
    <row r="484" spans="1:31" hidden="1" x14ac:dyDescent="0.2">
      <c r="A484" s="43">
        <v>480</v>
      </c>
      <c r="B484" s="13" t="s">
        <v>1223</v>
      </c>
      <c r="C484" s="33">
        <v>4</v>
      </c>
      <c r="D484" s="34">
        <v>0</v>
      </c>
      <c r="E484" s="34">
        <v>0</v>
      </c>
      <c r="F484" s="34">
        <v>465</v>
      </c>
      <c r="G484" s="34">
        <v>456</v>
      </c>
      <c r="H484" s="34">
        <v>0</v>
      </c>
      <c r="I484" s="35" t="str">
        <f t="shared" si="18"/>
        <v>-</v>
      </c>
      <c r="J484" s="35">
        <f t="shared" si="19"/>
        <v>0.98064516129032253</v>
      </c>
      <c r="L484" s="18"/>
      <c r="M484" s="19"/>
      <c r="N484" s="19"/>
      <c r="O484" s="19"/>
      <c r="P484" s="19"/>
      <c r="Q484" s="16"/>
      <c r="R484" s="16"/>
      <c r="S484" s="16"/>
      <c r="T484" s="16"/>
      <c r="U484" s="16"/>
      <c r="V484" s="16"/>
      <c r="W484" s="16"/>
      <c r="X484" s="16"/>
      <c r="AD484"/>
      <c r="AE484"/>
    </row>
    <row r="485" spans="1:31" hidden="1" x14ac:dyDescent="0.2">
      <c r="A485" s="44">
        <v>481</v>
      </c>
      <c r="B485" s="15" t="s">
        <v>1283</v>
      </c>
      <c r="C485" s="14">
        <v>2</v>
      </c>
      <c r="D485" s="36">
        <v>0</v>
      </c>
      <c r="E485" s="36">
        <v>0</v>
      </c>
      <c r="F485" s="36">
        <v>147</v>
      </c>
      <c r="G485" s="36">
        <v>132</v>
      </c>
      <c r="H485" s="36">
        <v>0</v>
      </c>
      <c r="I485" s="37" t="str">
        <f t="shared" si="18"/>
        <v>-</v>
      </c>
      <c r="J485" s="37">
        <f t="shared" si="19"/>
        <v>0.89795918367346939</v>
      </c>
      <c r="L485" s="18"/>
      <c r="M485" s="19"/>
      <c r="N485" s="19"/>
      <c r="O485" s="19"/>
      <c r="P485" s="19"/>
      <c r="Q485" s="16"/>
      <c r="R485" s="16"/>
      <c r="S485" s="16"/>
      <c r="T485" s="16"/>
      <c r="U485" s="16"/>
      <c r="V485" s="16"/>
      <c r="W485" s="16"/>
      <c r="X485" s="16"/>
      <c r="AD485"/>
      <c r="AE485"/>
    </row>
    <row r="486" spans="1:31" hidden="1" x14ac:dyDescent="0.2">
      <c r="A486" s="43">
        <v>482</v>
      </c>
      <c r="B486" s="13" t="s">
        <v>1239</v>
      </c>
      <c r="C486" s="33">
        <v>2</v>
      </c>
      <c r="D486" s="34">
        <v>0</v>
      </c>
      <c r="E486" s="34">
        <v>0</v>
      </c>
      <c r="F486" s="34">
        <v>193</v>
      </c>
      <c r="G486" s="34">
        <v>191</v>
      </c>
      <c r="H486" s="34">
        <v>0</v>
      </c>
      <c r="I486" s="35" t="str">
        <f t="shared" si="18"/>
        <v>-</v>
      </c>
      <c r="J486" s="35">
        <f t="shared" si="19"/>
        <v>0.98963730569948183</v>
      </c>
      <c r="L486" s="18"/>
      <c r="M486" s="19"/>
      <c r="N486" s="19"/>
      <c r="O486" s="19"/>
      <c r="P486" s="19"/>
      <c r="Q486" s="16"/>
      <c r="R486" s="16"/>
      <c r="S486" s="16"/>
      <c r="T486" s="16"/>
      <c r="U486" s="16"/>
      <c r="V486" s="16"/>
      <c r="W486" s="16"/>
      <c r="X486" s="16"/>
      <c r="AD486"/>
      <c r="AE486"/>
    </row>
    <row r="487" spans="1:31" hidden="1" x14ac:dyDescent="0.2">
      <c r="A487" s="44">
        <v>483</v>
      </c>
      <c r="B487" s="15" t="s">
        <v>1126</v>
      </c>
      <c r="C487" s="14">
        <v>4</v>
      </c>
      <c r="D487" s="36">
        <v>0</v>
      </c>
      <c r="E487" s="36">
        <v>0</v>
      </c>
      <c r="F487" s="36">
        <v>826</v>
      </c>
      <c r="G487" s="36">
        <v>810</v>
      </c>
      <c r="H487" s="36">
        <v>0</v>
      </c>
      <c r="I487" s="37" t="str">
        <f t="shared" si="18"/>
        <v>-</v>
      </c>
      <c r="J487" s="37">
        <f t="shared" si="19"/>
        <v>0.98062953995157387</v>
      </c>
      <c r="L487" s="18"/>
      <c r="M487" s="19"/>
      <c r="N487" s="19"/>
      <c r="O487" s="19"/>
      <c r="P487" s="19"/>
      <c r="Q487" s="16"/>
      <c r="R487" s="16"/>
      <c r="S487" s="16"/>
      <c r="T487" s="16"/>
      <c r="U487" s="16"/>
      <c r="V487" s="16"/>
      <c r="W487" s="16"/>
      <c r="X487" s="16"/>
      <c r="AD487"/>
      <c r="AE487"/>
    </row>
    <row r="488" spans="1:31" hidden="1" x14ac:dyDescent="0.2">
      <c r="A488" s="43">
        <v>484</v>
      </c>
      <c r="B488" s="13" t="s">
        <v>1056</v>
      </c>
      <c r="C488" s="33">
        <v>5</v>
      </c>
      <c r="D488" s="34">
        <v>0</v>
      </c>
      <c r="E488" s="34">
        <v>0</v>
      </c>
      <c r="F488" s="34">
        <v>2072</v>
      </c>
      <c r="G488" s="34">
        <v>2082</v>
      </c>
      <c r="H488" s="34">
        <v>0</v>
      </c>
      <c r="I488" s="35" t="str">
        <f t="shared" si="18"/>
        <v>-</v>
      </c>
      <c r="J488" s="35">
        <f t="shared" si="19"/>
        <v>1.0048262548262548</v>
      </c>
      <c r="L488" s="18"/>
      <c r="M488" s="19"/>
      <c r="N488" s="19"/>
      <c r="O488" s="19"/>
      <c r="P488" s="19"/>
      <c r="Q488" s="16"/>
      <c r="R488" s="16"/>
      <c r="S488" s="16"/>
      <c r="T488" s="16"/>
      <c r="U488" s="16"/>
      <c r="V488" s="16"/>
      <c r="W488" s="16"/>
      <c r="X488" s="16"/>
      <c r="AD488"/>
      <c r="AE488"/>
    </row>
    <row r="489" spans="1:31" hidden="1" x14ac:dyDescent="0.2">
      <c r="A489" s="44">
        <v>485</v>
      </c>
      <c r="B489" s="15" t="s">
        <v>1231</v>
      </c>
      <c r="C489" s="14">
        <v>1</v>
      </c>
      <c r="D489" s="36">
        <v>0</v>
      </c>
      <c r="E489" s="36">
        <v>0</v>
      </c>
      <c r="F489" s="36">
        <v>174</v>
      </c>
      <c r="G489" s="36">
        <v>174</v>
      </c>
      <c r="H489" s="36">
        <v>0</v>
      </c>
      <c r="I489" s="37" t="str">
        <f t="shared" si="18"/>
        <v>-</v>
      </c>
      <c r="J489" s="37">
        <f t="shared" si="19"/>
        <v>1</v>
      </c>
      <c r="L489" s="18"/>
      <c r="M489" s="19"/>
      <c r="N489" s="19"/>
      <c r="O489" s="19"/>
      <c r="P489" s="19"/>
      <c r="Q489" s="16"/>
      <c r="R489" s="16"/>
      <c r="S489" s="16"/>
      <c r="T489" s="16"/>
      <c r="U489" s="16"/>
      <c r="V489" s="16"/>
      <c r="W489" s="16"/>
      <c r="X489" s="16"/>
      <c r="AD489"/>
      <c r="AE489"/>
    </row>
    <row r="490" spans="1:31" hidden="1" x14ac:dyDescent="0.2">
      <c r="A490" s="43">
        <v>486</v>
      </c>
      <c r="B490" s="13" t="s">
        <v>1127</v>
      </c>
      <c r="C490" s="33">
        <v>5</v>
      </c>
      <c r="D490" s="34">
        <v>0</v>
      </c>
      <c r="E490" s="34">
        <v>0</v>
      </c>
      <c r="F490" s="34">
        <v>549</v>
      </c>
      <c r="G490" s="34">
        <v>517</v>
      </c>
      <c r="H490" s="34">
        <v>0</v>
      </c>
      <c r="I490" s="35" t="str">
        <f t="shared" si="18"/>
        <v>-</v>
      </c>
      <c r="J490" s="35">
        <f t="shared" si="19"/>
        <v>0.94171220400728595</v>
      </c>
      <c r="L490" s="18"/>
      <c r="M490" s="19"/>
      <c r="N490" s="19"/>
      <c r="O490" s="19"/>
      <c r="P490" s="19"/>
      <c r="Q490" s="16"/>
      <c r="R490" s="16"/>
      <c r="S490" s="16"/>
      <c r="T490" s="16"/>
      <c r="U490" s="16"/>
      <c r="V490" s="16"/>
      <c r="W490" s="16"/>
      <c r="X490" s="16"/>
      <c r="AD490"/>
      <c r="AE490"/>
    </row>
    <row r="491" spans="1:31" hidden="1" x14ac:dyDescent="0.2">
      <c r="A491" s="44">
        <v>487</v>
      </c>
      <c r="B491" s="15" t="s">
        <v>1053</v>
      </c>
      <c r="C491" s="14">
        <v>4</v>
      </c>
      <c r="D491" s="36">
        <v>0</v>
      </c>
      <c r="E491" s="36">
        <v>0</v>
      </c>
      <c r="F491" s="36">
        <v>1211</v>
      </c>
      <c r="G491" s="36">
        <v>1204</v>
      </c>
      <c r="H491" s="36">
        <v>0</v>
      </c>
      <c r="I491" s="37" t="str">
        <f t="shared" si="18"/>
        <v>-</v>
      </c>
      <c r="J491" s="37">
        <f t="shared" si="19"/>
        <v>0.9942196531791907</v>
      </c>
      <c r="L491" s="18"/>
      <c r="M491" s="19"/>
      <c r="N491" s="19"/>
      <c r="O491" s="19"/>
      <c r="P491" s="19"/>
      <c r="Q491" s="16"/>
      <c r="R491" s="16"/>
      <c r="S491" s="16"/>
      <c r="T491" s="16"/>
      <c r="U491" s="16"/>
      <c r="V491" s="16"/>
      <c r="W491" s="16"/>
      <c r="X491" s="16"/>
      <c r="AD491"/>
      <c r="AE491"/>
    </row>
    <row r="492" spans="1:31" hidden="1" x14ac:dyDescent="0.2">
      <c r="A492" s="43">
        <v>488</v>
      </c>
      <c r="B492" s="13" t="s">
        <v>1253</v>
      </c>
      <c r="C492" s="33">
        <v>2</v>
      </c>
      <c r="D492" s="34">
        <v>0</v>
      </c>
      <c r="E492" s="34">
        <v>0</v>
      </c>
      <c r="F492" s="34">
        <v>294</v>
      </c>
      <c r="G492" s="34">
        <v>188</v>
      </c>
      <c r="H492" s="34">
        <v>0</v>
      </c>
      <c r="I492" s="35" t="str">
        <f t="shared" si="18"/>
        <v>-</v>
      </c>
      <c r="J492" s="35">
        <f t="shared" si="19"/>
        <v>0.63945578231292521</v>
      </c>
      <c r="L492" s="18"/>
      <c r="M492" s="19"/>
      <c r="N492" s="19"/>
      <c r="O492" s="19"/>
      <c r="P492" s="19"/>
      <c r="Q492" s="16"/>
      <c r="R492" s="16"/>
      <c r="S492" s="16"/>
      <c r="T492" s="16"/>
      <c r="U492" s="16"/>
      <c r="V492" s="16"/>
      <c r="W492" s="16"/>
      <c r="X492" s="16"/>
      <c r="AD492"/>
      <c r="AE492"/>
    </row>
    <row r="493" spans="1:31" hidden="1" x14ac:dyDescent="0.2">
      <c r="A493" s="44">
        <v>489</v>
      </c>
      <c r="B493" s="15" t="s">
        <v>1213</v>
      </c>
      <c r="C493" s="14">
        <v>2</v>
      </c>
      <c r="D493" s="36">
        <v>0</v>
      </c>
      <c r="E493" s="36">
        <v>0</v>
      </c>
      <c r="F493" s="36">
        <v>247</v>
      </c>
      <c r="G493" s="36">
        <v>209</v>
      </c>
      <c r="H493" s="36">
        <v>0</v>
      </c>
      <c r="I493" s="37" t="str">
        <f t="shared" si="18"/>
        <v>-</v>
      </c>
      <c r="J493" s="37">
        <f t="shared" si="19"/>
        <v>0.84615384615384615</v>
      </c>
      <c r="L493" s="18"/>
      <c r="M493" s="19"/>
      <c r="N493" s="19"/>
      <c r="O493" s="19"/>
      <c r="P493" s="19"/>
      <c r="Q493" s="16"/>
      <c r="R493" s="16"/>
      <c r="S493" s="16"/>
      <c r="T493" s="16"/>
      <c r="U493" s="16"/>
      <c r="V493" s="16"/>
      <c r="W493" s="16"/>
      <c r="X493" s="16"/>
      <c r="AD493"/>
      <c r="AE493"/>
    </row>
    <row r="494" spans="1:31" hidden="1" x14ac:dyDescent="0.2">
      <c r="A494" s="43">
        <v>490</v>
      </c>
      <c r="B494" s="13" t="s">
        <v>1039</v>
      </c>
      <c r="C494" s="33">
        <v>1</v>
      </c>
      <c r="D494" s="34">
        <v>0</v>
      </c>
      <c r="E494" s="34">
        <v>0</v>
      </c>
      <c r="F494" s="34">
        <v>1270</v>
      </c>
      <c r="G494" s="34">
        <v>1235</v>
      </c>
      <c r="H494" s="34">
        <v>0</v>
      </c>
      <c r="I494" s="35" t="str">
        <f t="shared" si="18"/>
        <v>-</v>
      </c>
      <c r="J494" s="35">
        <f t="shared" si="19"/>
        <v>0.97244094488188981</v>
      </c>
      <c r="L494" s="18"/>
      <c r="M494" s="19"/>
      <c r="N494" s="19"/>
      <c r="O494" s="19"/>
      <c r="P494" s="19"/>
      <c r="Q494" s="16"/>
      <c r="R494" s="16"/>
      <c r="S494" s="16"/>
      <c r="T494" s="16"/>
      <c r="U494" s="16"/>
      <c r="V494" s="16"/>
      <c r="W494" s="16"/>
      <c r="X494" s="16"/>
      <c r="AD494"/>
      <c r="AE494"/>
    </row>
    <row r="495" spans="1:31" hidden="1" x14ac:dyDescent="0.2">
      <c r="A495" s="44">
        <v>491</v>
      </c>
      <c r="B495" s="15" t="s">
        <v>1040</v>
      </c>
      <c r="C495" s="14">
        <v>6</v>
      </c>
      <c r="D495" s="36">
        <v>0</v>
      </c>
      <c r="E495" s="36">
        <v>0</v>
      </c>
      <c r="F495" s="36">
        <v>1769</v>
      </c>
      <c r="G495" s="36">
        <v>1719</v>
      </c>
      <c r="H495" s="36">
        <v>0</v>
      </c>
      <c r="I495" s="37" t="str">
        <f t="shared" si="18"/>
        <v>-</v>
      </c>
      <c r="J495" s="37">
        <f t="shared" si="19"/>
        <v>0.97173544375353305</v>
      </c>
      <c r="L495" s="18"/>
      <c r="M495" s="19"/>
      <c r="N495" s="19"/>
      <c r="O495" s="19"/>
      <c r="P495" s="19"/>
      <c r="Q495" s="16"/>
      <c r="R495" s="16"/>
      <c r="S495" s="16"/>
      <c r="T495" s="16"/>
      <c r="U495" s="16"/>
      <c r="V495" s="16"/>
      <c r="W495" s="16"/>
      <c r="X495" s="16"/>
      <c r="AD495"/>
      <c r="AE495"/>
    </row>
    <row r="496" spans="1:31" hidden="1" x14ac:dyDescent="0.2">
      <c r="A496" s="43">
        <v>492</v>
      </c>
      <c r="B496" s="13" t="s">
        <v>1140</v>
      </c>
      <c r="C496" s="33">
        <v>1</v>
      </c>
      <c r="D496" s="34">
        <v>0</v>
      </c>
      <c r="E496" s="34">
        <v>0</v>
      </c>
      <c r="F496" s="34">
        <v>348</v>
      </c>
      <c r="G496" s="34">
        <v>347</v>
      </c>
      <c r="H496" s="34">
        <v>0</v>
      </c>
      <c r="I496" s="35" t="str">
        <f t="shared" si="18"/>
        <v>-</v>
      </c>
      <c r="J496" s="35">
        <f t="shared" si="19"/>
        <v>0.99712643678160917</v>
      </c>
      <c r="L496" s="18"/>
      <c r="M496" s="19"/>
      <c r="N496" s="19"/>
      <c r="O496" s="19"/>
      <c r="P496" s="19"/>
      <c r="Q496" s="16"/>
      <c r="R496" s="16"/>
      <c r="S496" s="16"/>
      <c r="T496" s="16"/>
      <c r="U496" s="16"/>
      <c r="V496" s="16"/>
      <c r="W496" s="16"/>
      <c r="X496" s="16"/>
      <c r="AD496"/>
      <c r="AE496"/>
    </row>
    <row r="497" spans="1:31" hidden="1" x14ac:dyDescent="0.2">
      <c r="A497" s="44">
        <v>493</v>
      </c>
      <c r="B497" s="15" t="s">
        <v>1172</v>
      </c>
      <c r="C497" s="14">
        <v>2</v>
      </c>
      <c r="D497" s="36">
        <v>0</v>
      </c>
      <c r="E497" s="36">
        <v>0</v>
      </c>
      <c r="F497" s="36">
        <v>309</v>
      </c>
      <c r="G497" s="36">
        <v>309</v>
      </c>
      <c r="H497" s="36">
        <v>0</v>
      </c>
      <c r="I497" s="37" t="str">
        <f t="shared" si="18"/>
        <v>-</v>
      </c>
      <c r="J497" s="37">
        <f t="shared" si="19"/>
        <v>1</v>
      </c>
      <c r="L497" s="18"/>
      <c r="M497" s="19"/>
      <c r="N497" s="19"/>
      <c r="O497" s="19"/>
      <c r="P497" s="19"/>
      <c r="Q497" s="16"/>
      <c r="R497" s="16"/>
      <c r="S497" s="16"/>
      <c r="T497" s="16"/>
      <c r="U497" s="16"/>
      <c r="V497" s="16"/>
      <c r="W497" s="16"/>
      <c r="X497" s="16"/>
      <c r="AD497"/>
      <c r="AE497"/>
    </row>
    <row r="498" spans="1:31" hidden="1" x14ac:dyDescent="0.2">
      <c r="A498" s="43">
        <v>494</v>
      </c>
      <c r="B498" s="13" t="s">
        <v>1043</v>
      </c>
      <c r="C498" s="33">
        <v>11</v>
      </c>
      <c r="D498" s="34">
        <v>0</v>
      </c>
      <c r="E498" s="34">
        <v>0</v>
      </c>
      <c r="F498" s="34">
        <v>3074</v>
      </c>
      <c r="G498" s="34">
        <v>3071</v>
      </c>
      <c r="H498" s="34">
        <v>0</v>
      </c>
      <c r="I498" s="35" t="str">
        <f t="shared" si="18"/>
        <v>-</v>
      </c>
      <c r="J498" s="35">
        <f t="shared" si="19"/>
        <v>0.99902407286922579</v>
      </c>
      <c r="L498" s="18"/>
      <c r="M498" s="19"/>
      <c r="N498" s="19"/>
      <c r="O498" s="19"/>
      <c r="P498" s="19"/>
      <c r="Q498" s="16"/>
      <c r="R498" s="16"/>
      <c r="S498" s="16"/>
      <c r="T498" s="16"/>
      <c r="U498" s="16"/>
      <c r="V498" s="16"/>
      <c r="W498" s="16"/>
      <c r="X498" s="16"/>
      <c r="AD498"/>
      <c r="AE498"/>
    </row>
    <row r="499" spans="1:31" hidden="1" x14ac:dyDescent="0.2">
      <c r="A499" s="44">
        <v>495</v>
      </c>
      <c r="B499" s="15" t="s">
        <v>1103</v>
      </c>
      <c r="C499" s="14">
        <v>1</v>
      </c>
      <c r="D499" s="36">
        <v>0</v>
      </c>
      <c r="E499" s="36">
        <v>0</v>
      </c>
      <c r="F499" s="36">
        <v>474</v>
      </c>
      <c r="G499" s="36">
        <v>473</v>
      </c>
      <c r="H499" s="36">
        <v>0</v>
      </c>
      <c r="I499" s="37" t="str">
        <f t="shared" si="18"/>
        <v>-</v>
      </c>
      <c r="J499" s="37">
        <f t="shared" si="19"/>
        <v>0.99789029535864981</v>
      </c>
      <c r="L499" s="18"/>
      <c r="M499" s="19"/>
      <c r="N499" s="19"/>
      <c r="O499" s="19"/>
      <c r="P499" s="19"/>
      <c r="Q499" s="16"/>
      <c r="R499" s="16"/>
      <c r="S499" s="16"/>
      <c r="T499" s="16"/>
      <c r="U499" s="16"/>
      <c r="V499" s="16"/>
      <c r="W499" s="16"/>
      <c r="X499" s="16"/>
      <c r="AD499"/>
      <c r="AE499"/>
    </row>
    <row r="500" spans="1:31" hidden="1" x14ac:dyDescent="0.2">
      <c r="A500" s="43">
        <v>496</v>
      </c>
      <c r="B500" s="13" t="s">
        <v>1017</v>
      </c>
      <c r="C500" s="33">
        <v>1</v>
      </c>
      <c r="D500" s="34">
        <v>0</v>
      </c>
      <c r="E500" s="34">
        <v>0</v>
      </c>
      <c r="F500" s="34">
        <v>2505</v>
      </c>
      <c r="G500" s="34">
        <v>2472</v>
      </c>
      <c r="H500" s="34">
        <v>0</v>
      </c>
      <c r="I500" s="35" t="str">
        <f t="shared" si="18"/>
        <v>-</v>
      </c>
      <c r="J500" s="35">
        <f t="shared" si="19"/>
        <v>0.98682634730538921</v>
      </c>
      <c r="L500" s="18"/>
      <c r="M500" s="19"/>
      <c r="N500" s="19"/>
      <c r="O500" s="19"/>
      <c r="P500" s="19"/>
      <c r="Q500" s="16"/>
      <c r="R500" s="16"/>
      <c r="S500" s="16"/>
      <c r="T500" s="16"/>
      <c r="U500" s="16"/>
      <c r="V500" s="16"/>
      <c r="W500" s="16"/>
      <c r="X500" s="16"/>
      <c r="AD500"/>
      <c r="AE500"/>
    </row>
    <row r="501" spans="1:31" hidden="1" x14ac:dyDescent="0.2">
      <c r="A501" s="44">
        <v>497</v>
      </c>
      <c r="B501" s="15" t="s">
        <v>1085</v>
      </c>
      <c r="C501" s="14">
        <v>14</v>
      </c>
      <c r="D501" s="36">
        <v>0</v>
      </c>
      <c r="E501" s="36">
        <v>0</v>
      </c>
      <c r="F501" s="36">
        <v>3378</v>
      </c>
      <c r="G501" s="36">
        <v>3327</v>
      </c>
      <c r="H501" s="36">
        <v>0</v>
      </c>
      <c r="I501" s="37" t="str">
        <f t="shared" si="18"/>
        <v>-</v>
      </c>
      <c r="J501" s="37">
        <f t="shared" si="19"/>
        <v>0.98490230905861453</v>
      </c>
      <c r="L501" s="18"/>
      <c r="M501" s="19"/>
      <c r="N501" s="19"/>
      <c r="O501" s="19"/>
      <c r="P501" s="19"/>
      <c r="Q501" s="16"/>
      <c r="R501" s="16"/>
      <c r="S501" s="16"/>
      <c r="T501" s="16"/>
      <c r="U501" s="16"/>
      <c r="V501" s="16"/>
      <c r="W501" s="16"/>
      <c r="X501" s="16"/>
      <c r="AD501"/>
      <c r="AE501"/>
    </row>
    <row r="502" spans="1:31" hidden="1" x14ac:dyDescent="0.2">
      <c r="A502" s="43">
        <v>498</v>
      </c>
      <c r="B502" s="13" t="s">
        <v>1010</v>
      </c>
      <c r="C502" s="33">
        <v>1</v>
      </c>
      <c r="D502" s="34">
        <v>0</v>
      </c>
      <c r="E502" s="34">
        <v>0</v>
      </c>
      <c r="F502" s="34">
        <v>3134</v>
      </c>
      <c r="G502" s="34">
        <v>3110</v>
      </c>
      <c r="H502" s="34">
        <v>0</v>
      </c>
      <c r="I502" s="35" t="str">
        <f t="shared" si="18"/>
        <v>-</v>
      </c>
      <c r="J502" s="35">
        <f t="shared" si="19"/>
        <v>0.99234205488194005</v>
      </c>
      <c r="L502" s="18"/>
      <c r="M502" s="19"/>
      <c r="N502" s="19"/>
      <c r="O502" s="19"/>
      <c r="P502" s="19"/>
      <c r="Q502" s="16"/>
      <c r="R502" s="16"/>
      <c r="S502" s="16"/>
      <c r="T502" s="16"/>
      <c r="U502" s="16"/>
      <c r="V502" s="16"/>
      <c r="W502" s="16"/>
      <c r="X502" s="16"/>
      <c r="AD502"/>
      <c r="AE502"/>
    </row>
    <row r="503" spans="1:31" hidden="1" x14ac:dyDescent="0.2">
      <c r="A503" s="44">
        <v>499</v>
      </c>
      <c r="B503" s="15" t="s">
        <v>1206</v>
      </c>
      <c r="C503" s="14">
        <v>5</v>
      </c>
      <c r="D503" s="36">
        <v>0</v>
      </c>
      <c r="E503" s="36">
        <v>0</v>
      </c>
      <c r="F503" s="36">
        <v>677</v>
      </c>
      <c r="G503" s="36">
        <v>664</v>
      </c>
      <c r="H503" s="36">
        <v>0</v>
      </c>
      <c r="I503" s="37" t="str">
        <f t="shared" si="18"/>
        <v>-</v>
      </c>
      <c r="J503" s="37">
        <f t="shared" si="19"/>
        <v>0.98079763663220088</v>
      </c>
      <c r="L503" s="18"/>
      <c r="M503" s="19"/>
      <c r="N503" s="19"/>
      <c r="O503" s="19"/>
      <c r="P503" s="19"/>
      <c r="Q503" s="16"/>
      <c r="R503" s="16"/>
      <c r="S503" s="16"/>
      <c r="T503" s="16"/>
      <c r="U503" s="16"/>
      <c r="V503" s="16"/>
      <c r="W503" s="16"/>
      <c r="X503" s="16"/>
      <c r="AD503"/>
      <c r="AE503"/>
    </row>
    <row r="504" spans="1:31" hidden="1" x14ac:dyDescent="0.2">
      <c r="A504" s="43">
        <v>500</v>
      </c>
      <c r="B504" s="13" t="s">
        <v>1365</v>
      </c>
      <c r="C504" s="33">
        <v>1</v>
      </c>
      <c r="D504" s="34">
        <v>0</v>
      </c>
      <c r="E504" s="34">
        <v>0</v>
      </c>
      <c r="F504" s="34">
        <v>25</v>
      </c>
      <c r="G504" s="34">
        <v>25</v>
      </c>
      <c r="H504" s="34">
        <v>0</v>
      </c>
      <c r="I504" s="35" t="str">
        <f t="shared" si="18"/>
        <v>-</v>
      </c>
      <c r="J504" s="35">
        <f t="shared" si="19"/>
        <v>1</v>
      </c>
      <c r="L504" s="18"/>
      <c r="M504" s="19"/>
      <c r="N504" s="19"/>
      <c r="O504" s="19"/>
      <c r="P504" s="19"/>
      <c r="Q504" s="16"/>
      <c r="R504" s="16"/>
      <c r="S504" s="16"/>
      <c r="T504" s="16"/>
      <c r="U504" s="16"/>
      <c r="V504" s="16"/>
      <c r="W504" s="16"/>
      <c r="X504" s="16"/>
      <c r="AD504"/>
      <c r="AE504"/>
    </row>
    <row r="505" spans="1:31" hidden="1" x14ac:dyDescent="0.2">
      <c r="A505" s="44">
        <v>501</v>
      </c>
      <c r="B505" s="15" t="s">
        <v>1355</v>
      </c>
      <c r="C505" s="14">
        <v>1</v>
      </c>
      <c r="D505" s="36">
        <v>0</v>
      </c>
      <c r="E505" s="36">
        <v>0</v>
      </c>
      <c r="F505" s="36">
        <v>29</v>
      </c>
      <c r="G505" s="36">
        <v>29</v>
      </c>
      <c r="H505" s="36">
        <v>0</v>
      </c>
      <c r="I505" s="37" t="str">
        <f t="shared" si="18"/>
        <v>-</v>
      </c>
      <c r="J505" s="37">
        <f t="shared" si="19"/>
        <v>1</v>
      </c>
      <c r="L505" s="18"/>
      <c r="M505" s="19"/>
      <c r="N505" s="19"/>
      <c r="O505" s="19"/>
      <c r="P505" s="19"/>
      <c r="Q505" s="16"/>
      <c r="R505" s="16"/>
      <c r="S505" s="16"/>
      <c r="T505" s="16"/>
      <c r="U505" s="16"/>
      <c r="V505" s="16"/>
      <c r="W505" s="16"/>
      <c r="X505" s="16"/>
      <c r="AD505"/>
      <c r="AE505"/>
    </row>
    <row r="506" spans="1:31" hidden="1" x14ac:dyDescent="0.2">
      <c r="A506" s="43">
        <v>502</v>
      </c>
      <c r="B506" s="13" t="s">
        <v>1266</v>
      </c>
      <c r="C506" s="33">
        <v>2</v>
      </c>
      <c r="D506" s="34">
        <v>0</v>
      </c>
      <c r="E506" s="34">
        <v>0</v>
      </c>
      <c r="F506" s="34">
        <v>227</v>
      </c>
      <c r="G506" s="34">
        <v>227</v>
      </c>
      <c r="H506" s="34">
        <v>0</v>
      </c>
      <c r="I506" s="35" t="str">
        <f t="shared" si="18"/>
        <v>-</v>
      </c>
      <c r="J506" s="35">
        <f t="shared" si="19"/>
        <v>1</v>
      </c>
      <c r="L506" s="18"/>
      <c r="M506" s="19"/>
      <c r="N506" s="19"/>
      <c r="O506" s="19"/>
      <c r="P506" s="19"/>
      <c r="Q506" s="16"/>
      <c r="R506" s="16"/>
      <c r="S506" s="16"/>
      <c r="T506" s="16"/>
      <c r="U506" s="16"/>
      <c r="V506" s="16"/>
      <c r="W506" s="16"/>
      <c r="X506" s="16"/>
      <c r="AD506"/>
      <c r="AE506"/>
    </row>
    <row r="507" spans="1:31" hidden="1" x14ac:dyDescent="0.2">
      <c r="A507" s="44">
        <v>503</v>
      </c>
      <c r="B507" s="15" t="s">
        <v>1187</v>
      </c>
      <c r="C507" s="14">
        <v>3</v>
      </c>
      <c r="D507" s="36">
        <v>0</v>
      </c>
      <c r="E507" s="36">
        <v>0</v>
      </c>
      <c r="F507" s="36">
        <v>397</v>
      </c>
      <c r="G507" s="36">
        <v>362</v>
      </c>
      <c r="H507" s="36">
        <v>0</v>
      </c>
      <c r="I507" s="37" t="str">
        <f t="shared" si="18"/>
        <v>-</v>
      </c>
      <c r="J507" s="37">
        <f t="shared" si="19"/>
        <v>0.91183879093198994</v>
      </c>
      <c r="L507" s="18"/>
      <c r="M507" s="19"/>
      <c r="N507" s="19"/>
      <c r="O507" s="19"/>
      <c r="P507" s="19"/>
      <c r="Q507" s="16"/>
      <c r="R507" s="16"/>
      <c r="S507" s="16"/>
      <c r="T507" s="16"/>
      <c r="U507" s="16"/>
      <c r="V507" s="16"/>
      <c r="W507" s="16"/>
      <c r="X507" s="16"/>
      <c r="AD507"/>
      <c r="AE507"/>
    </row>
    <row r="508" spans="1:31" hidden="1" x14ac:dyDescent="0.2">
      <c r="A508" s="43">
        <v>504</v>
      </c>
      <c r="B508" s="13" t="s">
        <v>1119</v>
      </c>
      <c r="C508" s="33">
        <v>2</v>
      </c>
      <c r="D508" s="34">
        <v>0</v>
      </c>
      <c r="E508" s="34">
        <v>0</v>
      </c>
      <c r="F508" s="34">
        <v>478</v>
      </c>
      <c r="G508" s="34">
        <v>478</v>
      </c>
      <c r="H508" s="34">
        <v>0</v>
      </c>
      <c r="I508" s="35" t="str">
        <f t="shared" si="18"/>
        <v>-</v>
      </c>
      <c r="J508" s="35">
        <f t="shared" si="19"/>
        <v>1</v>
      </c>
      <c r="L508" s="18"/>
      <c r="M508" s="19"/>
      <c r="N508" s="19"/>
      <c r="O508" s="19"/>
      <c r="P508" s="19"/>
      <c r="Q508" s="16"/>
      <c r="R508" s="16"/>
      <c r="S508" s="16"/>
      <c r="T508" s="16"/>
      <c r="U508" s="16"/>
      <c r="V508" s="16"/>
      <c r="W508" s="16"/>
      <c r="X508" s="16"/>
      <c r="AD508"/>
      <c r="AE508"/>
    </row>
    <row r="509" spans="1:31" hidden="1" x14ac:dyDescent="0.2">
      <c r="A509" s="44">
        <v>505</v>
      </c>
      <c r="B509" s="15" t="s">
        <v>1152</v>
      </c>
      <c r="C509" s="14">
        <v>3</v>
      </c>
      <c r="D509" s="36">
        <v>0</v>
      </c>
      <c r="E509" s="36">
        <v>0</v>
      </c>
      <c r="F509" s="36">
        <v>644</v>
      </c>
      <c r="G509" s="36">
        <v>644</v>
      </c>
      <c r="H509" s="36">
        <v>0</v>
      </c>
      <c r="I509" s="37" t="str">
        <f t="shared" si="18"/>
        <v>-</v>
      </c>
      <c r="J509" s="37">
        <f t="shared" si="19"/>
        <v>1</v>
      </c>
      <c r="L509" s="18"/>
      <c r="M509" s="19"/>
      <c r="N509" s="19"/>
      <c r="O509" s="19"/>
      <c r="P509" s="19"/>
      <c r="Q509" s="16"/>
      <c r="R509" s="16"/>
      <c r="S509" s="16"/>
      <c r="T509" s="16"/>
      <c r="U509" s="16"/>
      <c r="V509" s="16"/>
      <c r="W509" s="16"/>
      <c r="X509" s="16"/>
      <c r="AD509"/>
      <c r="AE509"/>
    </row>
    <row r="510" spans="1:31" hidden="1" x14ac:dyDescent="0.2">
      <c r="A510" s="43">
        <v>506</v>
      </c>
      <c r="B510" s="13" t="s">
        <v>1236</v>
      </c>
      <c r="C510" s="33">
        <v>4</v>
      </c>
      <c r="D510" s="34">
        <v>0</v>
      </c>
      <c r="E510" s="34">
        <v>0</v>
      </c>
      <c r="F510" s="34">
        <v>419</v>
      </c>
      <c r="G510" s="34">
        <v>419</v>
      </c>
      <c r="H510" s="34">
        <v>0</v>
      </c>
      <c r="I510" s="35" t="str">
        <f t="shared" si="18"/>
        <v>-</v>
      </c>
      <c r="J510" s="35">
        <f t="shared" si="19"/>
        <v>1</v>
      </c>
      <c r="L510" s="18"/>
      <c r="M510" s="19"/>
      <c r="N510" s="19"/>
      <c r="O510" s="19"/>
      <c r="P510" s="19"/>
      <c r="Q510" s="16"/>
      <c r="R510" s="16"/>
      <c r="S510" s="16"/>
      <c r="T510" s="16"/>
      <c r="U510" s="16"/>
      <c r="V510" s="16"/>
      <c r="W510" s="16"/>
      <c r="X510" s="16"/>
      <c r="AD510"/>
      <c r="AE510"/>
    </row>
    <row r="511" spans="1:31" hidden="1" x14ac:dyDescent="0.2">
      <c r="A511" s="44">
        <v>507</v>
      </c>
      <c r="B511" s="15" t="s">
        <v>1014</v>
      </c>
      <c r="C511" s="14">
        <v>1</v>
      </c>
      <c r="D511" s="36">
        <v>0</v>
      </c>
      <c r="E511" s="36">
        <v>0</v>
      </c>
      <c r="F511" s="36">
        <v>2701</v>
      </c>
      <c r="G511" s="36">
        <v>2649</v>
      </c>
      <c r="H511" s="36">
        <v>0</v>
      </c>
      <c r="I511" s="37" t="str">
        <f t="shared" si="18"/>
        <v>-</v>
      </c>
      <c r="J511" s="37">
        <f t="shared" si="19"/>
        <v>0.98074787115883011</v>
      </c>
      <c r="L511" s="18"/>
      <c r="M511" s="19"/>
      <c r="N511" s="19"/>
      <c r="O511" s="19"/>
      <c r="P511" s="19"/>
      <c r="Q511" s="16"/>
      <c r="R511" s="16"/>
      <c r="S511" s="16"/>
      <c r="T511" s="16"/>
      <c r="U511" s="16"/>
      <c r="V511" s="16"/>
      <c r="W511" s="16"/>
      <c r="X511" s="16"/>
      <c r="AD511"/>
      <c r="AE511"/>
    </row>
    <row r="512" spans="1:31" hidden="1" x14ac:dyDescent="0.2">
      <c r="A512" s="43">
        <v>508</v>
      </c>
      <c r="B512" s="13" t="s">
        <v>1036</v>
      </c>
      <c r="C512" s="33">
        <v>3</v>
      </c>
      <c r="D512" s="34">
        <v>0</v>
      </c>
      <c r="E512" s="34">
        <v>0</v>
      </c>
      <c r="F512" s="34">
        <v>1689</v>
      </c>
      <c r="G512" s="34">
        <v>1640</v>
      </c>
      <c r="H512" s="34">
        <v>0</v>
      </c>
      <c r="I512" s="35" t="str">
        <f t="shared" si="18"/>
        <v>-</v>
      </c>
      <c r="J512" s="35">
        <f t="shared" si="19"/>
        <v>0.97098875074008284</v>
      </c>
      <c r="L512" s="18"/>
      <c r="M512" s="19"/>
      <c r="N512" s="19"/>
      <c r="O512" s="19"/>
      <c r="P512" s="19"/>
      <c r="Q512" s="16"/>
      <c r="R512" s="16"/>
      <c r="S512" s="16"/>
      <c r="T512" s="16"/>
      <c r="U512" s="16"/>
      <c r="V512" s="16"/>
      <c r="W512" s="16"/>
      <c r="X512" s="16"/>
      <c r="AD512"/>
      <c r="AE512"/>
    </row>
    <row r="513" spans="1:31" hidden="1" x14ac:dyDescent="0.2">
      <c r="A513" s="44">
        <v>509</v>
      </c>
      <c r="B513" s="15" t="s">
        <v>1177</v>
      </c>
      <c r="C513" s="14">
        <v>1</v>
      </c>
      <c r="D513" s="36">
        <v>0</v>
      </c>
      <c r="E513" s="36">
        <v>0</v>
      </c>
      <c r="F513" s="36">
        <v>266</v>
      </c>
      <c r="G513" s="36">
        <v>265</v>
      </c>
      <c r="H513" s="36">
        <v>0</v>
      </c>
      <c r="I513" s="37" t="str">
        <f t="shared" si="18"/>
        <v>-</v>
      </c>
      <c r="J513" s="37">
        <f t="shared" si="19"/>
        <v>0.99624060150375937</v>
      </c>
      <c r="L513" s="18"/>
      <c r="M513" s="19"/>
      <c r="N513" s="19"/>
      <c r="O513" s="19"/>
      <c r="P513" s="19"/>
      <c r="Q513" s="16"/>
      <c r="R513" s="16"/>
      <c r="S513" s="16"/>
      <c r="T513" s="16"/>
      <c r="U513" s="16"/>
      <c r="V513" s="16"/>
      <c r="W513" s="16"/>
      <c r="X513" s="16"/>
      <c r="AD513"/>
      <c r="AE513"/>
    </row>
    <row r="514" spans="1:31" hidden="1" x14ac:dyDescent="0.2">
      <c r="A514" s="43">
        <v>510</v>
      </c>
      <c r="B514" s="13" t="s">
        <v>1028</v>
      </c>
      <c r="C514" s="33">
        <v>8</v>
      </c>
      <c r="D514" s="34">
        <v>0</v>
      </c>
      <c r="E514" s="34">
        <v>0</v>
      </c>
      <c r="F514" s="34">
        <v>3095</v>
      </c>
      <c r="G514" s="34">
        <v>3030</v>
      </c>
      <c r="H514" s="34">
        <v>0</v>
      </c>
      <c r="I514" s="35" t="str">
        <f t="shared" si="18"/>
        <v>-</v>
      </c>
      <c r="J514" s="35">
        <f t="shared" si="19"/>
        <v>0.97899838449111465</v>
      </c>
      <c r="L514" s="18"/>
      <c r="M514" s="19"/>
      <c r="N514" s="19"/>
      <c r="O514" s="19"/>
      <c r="P514" s="19"/>
      <c r="Q514" s="16"/>
      <c r="R514" s="16"/>
      <c r="S514" s="16"/>
      <c r="T514" s="16"/>
      <c r="U514" s="16"/>
      <c r="V514" s="16"/>
      <c r="W514" s="16"/>
      <c r="X514" s="16"/>
      <c r="AD514"/>
      <c r="AE514"/>
    </row>
    <row r="515" spans="1:31" hidden="1" x14ac:dyDescent="0.2">
      <c r="A515" s="44">
        <v>511</v>
      </c>
      <c r="B515" s="15" t="s">
        <v>1203</v>
      </c>
      <c r="C515" s="14">
        <v>1</v>
      </c>
      <c r="D515" s="36">
        <v>0</v>
      </c>
      <c r="E515" s="36">
        <v>0</v>
      </c>
      <c r="F515" s="36">
        <v>228</v>
      </c>
      <c r="G515" s="36">
        <v>212</v>
      </c>
      <c r="H515" s="36">
        <v>0</v>
      </c>
      <c r="I515" s="37" t="str">
        <f t="shared" si="18"/>
        <v>-</v>
      </c>
      <c r="J515" s="37">
        <f t="shared" si="19"/>
        <v>0.92982456140350878</v>
      </c>
      <c r="L515" s="18"/>
      <c r="M515" s="19"/>
      <c r="N515" s="19"/>
      <c r="O515" s="19"/>
      <c r="P515" s="19"/>
      <c r="Q515" s="16"/>
      <c r="R515" s="16"/>
      <c r="S515" s="16"/>
      <c r="T515" s="16"/>
      <c r="U515" s="16"/>
      <c r="V515" s="16"/>
      <c r="W515" s="16"/>
      <c r="X515" s="16"/>
      <c r="AD515"/>
      <c r="AE515"/>
    </row>
    <row r="516" spans="1:31" hidden="1" x14ac:dyDescent="0.2">
      <c r="A516" s="43">
        <v>512</v>
      </c>
      <c r="B516" s="13" t="s">
        <v>1360</v>
      </c>
      <c r="C516" s="33">
        <v>1</v>
      </c>
      <c r="D516" s="34">
        <v>0</v>
      </c>
      <c r="E516" s="34">
        <v>0</v>
      </c>
      <c r="F516" s="34">
        <v>26</v>
      </c>
      <c r="G516" s="34">
        <v>26</v>
      </c>
      <c r="H516" s="34">
        <v>0</v>
      </c>
      <c r="I516" s="35" t="str">
        <f t="shared" si="18"/>
        <v>-</v>
      </c>
      <c r="J516" s="35">
        <f t="shared" si="19"/>
        <v>1</v>
      </c>
      <c r="L516" s="18"/>
      <c r="M516" s="19"/>
      <c r="N516" s="19"/>
      <c r="O516" s="19"/>
      <c r="P516" s="19"/>
      <c r="Q516" s="16"/>
      <c r="R516" s="16"/>
      <c r="S516" s="16"/>
      <c r="T516" s="16"/>
      <c r="U516" s="16"/>
      <c r="V516" s="16"/>
      <c r="W516" s="16"/>
      <c r="X516" s="16"/>
      <c r="AD516"/>
      <c r="AE516"/>
    </row>
    <row r="517" spans="1:31" hidden="1" x14ac:dyDescent="0.2">
      <c r="A517" s="44">
        <v>513</v>
      </c>
      <c r="B517" s="15" t="s">
        <v>1083</v>
      </c>
      <c r="C517" s="14">
        <v>2</v>
      </c>
      <c r="D517" s="36">
        <v>0</v>
      </c>
      <c r="E517" s="36">
        <v>0</v>
      </c>
      <c r="F517" s="36">
        <v>686</v>
      </c>
      <c r="G517" s="36">
        <v>677</v>
      </c>
      <c r="H517" s="36">
        <v>0</v>
      </c>
      <c r="I517" s="37" t="str">
        <f t="shared" ref="I517:I550" si="20">IF(D517=0,"-",E517/D517)</f>
        <v>-</v>
      </c>
      <c r="J517" s="37">
        <f t="shared" ref="J517:J550" si="21">IF(F517=0,"-",G517/F517)</f>
        <v>0.98688046647230321</v>
      </c>
      <c r="L517" s="18"/>
      <c r="M517" s="19"/>
      <c r="N517" s="19"/>
      <c r="O517" s="19"/>
      <c r="P517" s="19"/>
      <c r="Q517" s="16"/>
      <c r="R517" s="16"/>
      <c r="S517" s="16"/>
      <c r="T517" s="16"/>
      <c r="U517" s="16"/>
      <c r="V517" s="16"/>
      <c r="W517" s="16"/>
      <c r="X517" s="16"/>
      <c r="AD517"/>
      <c r="AE517"/>
    </row>
    <row r="518" spans="1:31" hidden="1" x14ac:dyDescent="0.2">
      <c r="A518" s="43">
        <v>514</v>
      </c>
      <c r="B518" s="13" t="s">
        <v>1129</v>
      </c>
      <c r="C518" s="33">
        <v>3</v>
      </c>
      <c r="D518" s="34">
        <v>0</v>
      </c>
      <c r="E518" s="34">
        <v>0</v>
      </c>
      <c r="F518" s="34">
        <v>508</v>
      </c>
      <c r="G518" s="34">
        <v>497</v>
      </c>
      <c r="H518" s="34">
        <v>0</v>
      </c>
      <c r="I518" s="35" t="str">
        <f t="shared" si="20"/>
        <v>-</v>
      </c>
      <c r="J518" s="35">
        <f t="shared" si="21"/>
        <v>0.97834645669291342</v>
      </c>
      <c r="L518" s="18"/>
      <c r="M518" s="19"/>
      <c r="N518" s="19"/>
      <c r="O518" s="19"/>
      <c r="P518" s="19"/>
      <c r="Q518" s="16"/>
      <c r="R518" s="16"/>
      <c r="S518" s="16"/>
      <c r="T518" s="16"/>
      <c r="U518" s="16"/>
      <c r="V518" s="16"/>
      <c r="W518" s="16"/>
      <c r="X518" s="16"/>
      <c r="AD518"/>
      <c r="AE518"/>
    </row>
    <row r="519" spans="1:31" hidden="1" x14ac:dyDescent="0.2">
      <c r="A519" s="44">
        <v>515</v>
      </c>
      <c r="B519" s="15" t="s">
        <v>1022</v>
      </c>
      <c r="C519" s="14">
        <v>3</v>
      </c>
      <c r="D519" s="36">
        <v>0</v>
      </c>
      <c r="E519" s="36">
        <v>0</v>
      </c>
      <c r="F519" s="36">
        <v>3522</v>
      </c>
      <c r="G519" s="36">
        <v>3472</v>
      </c>
      <c r="H519" s="36">
        <v>0</v>
      </c>
      <c r="I519" s="37" t="str">
        <f t="shared" si="20"/>
        <v>-</v>
      </c>
      <c r="J519" s="37">
        <f t="shared" si="21"/>
        <v>0.98580352072685973</v>
      </c>
      <c r="L519" s="18"/>
      <c r="M519" s="19"/>
      <c r="N519" s="19"/>
      <c r="O519" s="19"/>
      <c r="P519" s="19"/>
      <c r="Q519" s="16"/>
      <c r="R519" s="16"/>
      <c r="S519" s="16"/>
      <c r="T519" s="16"/>
      <c r="U519" s="16"/>
      <c r="V519" s="16"/>
      <c r="W519" s="16"/>
      <c r="X519" s="16"/>
      <c r="AD519"/>
      <c r="AE519"/>
    </row>
    <row r="520" spans="1:31" hidden="1" x14ac:dyDescent="0.2">
      <c r="A520" s="43">
        <v>516</v>
      </c>
      <c r="B520" s="13" t="s">
        <v>1340</v>
      </c>
      <c r="C520" s="33">
        <v>1</v>
      </c>
      <c r="D520" s="34">
        <v>0</v>
      </c>
      <c r="E520" s="34">
        <v>0</v>
      </c>
      <c r="F520" s="34">
        <v>42</v>
      </c>
      <c r="G520" s="34">
        <v>41</v>
      </c>
      <c r="H520" s="34">
        <v>0</v>
      </c>
      <c r="I520" s="35" t="str">
        <f t="shared" si="20"/>
        <v>-</v>
      </c>
      <c r="J520" s="35">
        <f t="shared" si="21"/>
        <v>0.97619047619047616</v>
      </c>
      <c r="L520" s="18"/>
      <c r="M520" s="19"/>
      <c r="N520" s="19"/>
      <c r="O520" s="19"/>
      <c r="P520" s="19"/>
      <c r="Q520" s="16"/>
      <c r="R520" s="16"/>
      <c r="S520" s="16"/>
      <c r="T520" s="16"/>
      <c r="U520" s="16"/>
      <c r="V520" s="16"/>
      <c r="W520" s="16"/>
      <c r="X520" s="16"/>
      <c r="AD520"/>
      <c r="AE520"/>
    </row>
    <row r="521" spans="1:31" hidden="1" x14ac:dyDescent="0.2">
      <c r="A521" s="44">
        <v>517</v>
      </c>
      <c r="B521" s="15" t="s">
        <v>1058</v>
      </c>
      <c r="C521" s="14">
        <v>5</v>
      </c>
      <c r="D521" s="36">
        <v>0</v>
      </c>
      <c r="E521" s="36">
        <v>0</v>
      </c>
      <c r="F521" s="36">
        <v>1525</v>
      </c>
      <c r="G521" s="36">
        <v>1524</v>
      </c>
      <c r="H521" s="36">
        <v>0</v>
      </c>
      <c r="I521" s="37" t="str">
        <f t="shared" si="20"/>
        <v>-</v>
      </c>
      <c r="J521" s="37">
        <f t="shared" si="21"/>
        <v>0.999344262295082</v>
      </c>
      <c r="L521" s="18"/>
      <c r="M521" s="19"/>
      <c r="N521" s="19"/>
      <c r="O521" s="19"/>
      <c r="P521" s="19"/>
      <c r="Q521" s="16"/>
      <c r="R521" s="16"/>
      <c r="S521" s="16"/>
      <c r="T521" s="16"/>
      <c r="U521" s="16"/>
      <c r="V521" s="16"/>
      <c r="W521" s="16"/>
      <c r="X521" s="16"/>
      <c r="AD521"/>
      <c r="AE521"/>
    </row>
    <row r="522" spans="1:31" hidden="1" x14ac:dyDescent="0.2">
      <c r="A522" s="43">
        <v>518</v>
      </c>
      <c r="B522" s="13" t="s">
        <v>1389</v>
      </c>
      <c r="C522" s="33">
        <v>1</v>
      </c>
      <c r="D522" s="34">
        <v>0</v>
      </c>
      <c r="E522" s="34">
        <v>0</v>
      </c>
      <c r="F522" s="34">
        <v>10</v>
      </c>
      <c r="G522" s="34">
        <v>10</v>
      </c>
      <c r="H522" s="34">
        <v>0</v>
      </c>
      <c r="I522" s="35" t="str">
        <f t="shared" si="20"/>
        <v>-</v>
      </c>
      <c r="J522" s="35">
        <f t="shared" si="21"/>
        <v>1</v>
      </c>
      <c r="L522" s="18"/>
      <c r="M522" s="19"/>
      <c r="N522" s="19"/>
      <c r="O522" s="19"/>
      <c r="P522" s="19"/>
      <c r="Q522" s="16"/>
      <c r="R522" s="16"/>
      <c r="S522" s="16"/>
      <c r="T522" s="16"/>
      <c r="U522" s="16"/>
      <c r="V522" s="16"/>
      <c r="W522" s="16"/>
      <c r="X522" s="16"/>
      <c r="AD522"/>
      <c r="AE522"/>
    </row>
    <row r="523" spans="1:31" hidden="1" x14ac:dyDescent="0.2">
      <c r="A523" s="44">
        <v>519</v>
      </c>
      <c r="B523" s="15" t="s">
        <v>1170</v>
      </c>
      <c r="C523" s="14">
        <v>6</v>
      </c>
      <c r="D523" s="36">
        <v>0</v>
      </c>
      <c r="E523" s="36">
        <v>0</v>
      </c>
      <c r="F523" s="36">
        <v>760</v>
      </c>
      <c r="G523" s="36">
        <v>745</v>
      </c>
      <c r="H523" s="36">
        <v>0</v>
      </c>
      <c r="I523" s="37" t="str">
        <f t="shared" si="20"/>
        <v>-</v>
      </c>
      <c r="J523" s="37">
        <f t="shared" si="21"/>
        <v>0.98026315789473684</v>
      </c>
      <c r="L523" s="18"/>
      <c r="M523" s="19"/>
      <c r="N523" s="19"/>
      <c r="O523" s="19"/>
      <c r="P523" s="19"/>
      <c r="Q523" s="16"/>
      <c r="R523" s="16"/>
      <c r="S523" s="16"/>
      <c r="T523" s="16"/>
      <c r="U523" s="16"/>
      <c r="V523" s="16"/>
      <c r="W523" s="16"/>
      <c r="X523" s="16"/>
      <c r="AD523"/>
      <c r="AE523"/>
    </row>
    <row r="524" spans="1:31" hidden="1" x14ac:dyDescent="0.2">
      <c r="A524" s="43">
        <v>520</v>
      </c>
      <c r="B524" s="13" t="s">
        <v>1310</v>
      </c>
      <c r="C524" s="33">
        <v>3</v>
      </c>
      <c r="D524" s="34">
        <v>0</v>
      </c>
      <c r="E524" s="34">
        <v>0</v>
      </c>
      <c r="F524" s="34">
        <v>114</v>
      </c>
      <c r="G524" s="34">
        <v>85</v>
      </c>
      <c r="H524" s="34">
        <v>0</v>
      </c>
      <c r="I524" s="35" t="str">
        <f t="shared" si="20"/>
        <v>-</v>
      </c>
      <c r="J524" s="35">
        <f t="shared" si="21"/>
        <v>0.74561403508771928</v>
      </c>
      <c r="L524" s="18"/>
      <c r="M524" s="19"/>
      <c r="N524" s="19"/>
      <c r="O524" s="19"/>
      <c r="P524" s="19"/>
      <c r="Q524" s="16"/>
      <c r="R524" s="16"/>
      <c r="S524" s="16"/>
      <c r="T524" s="16"/>
      <c r="U524" s="16"/>
      <c r="V524" s="16"/>
      <c r="W524" s="16"/>
      <c r="X524" s="16"/>
      <c r="AD524"/>
      <c r="AE524"/>
    </row>
    <row r="525" spans="1:31" hidden="1" x14ac:dyDescent="0.2">
      <c r="A525" s="44">
        <v>521</v>
      </c>
      <c r="B525" s="15" t="s">
        <v>1237</v>
      </c>
      <c r="C525" s="14">
        <v>5</v>
      </c>
      <c r="D525" s="36">
        <v>0</v>
      </c>
      <c r="E525" s="36">
        <v>0</v>
      </c>
      <c r="F525" s="36">
        <v>525</v>
      </c>
      <c r="G525" s="36">
        <v>525</v>
      </c>
      <c r="H525" s="36">
        <v>0</v>
      </c>
      <c r="I525" s="37" t="str">
        <f t="shared" si="20"/>
        <v>-</v>
      </c>
      <c r="J525" s="37">
        <f t="shared" si="21"/>
        <v>1</v>
      </c>
      <c r="L525" s="18"/>
      <c r="M525" s="19"/>
      <c r="N525" s="19"/>
      <c r="O525" s="19"/>
      <c r="P525" s="19"/>
      <c r="Q525" s="16"/>
      <c r="R525" s="16"/>
      <c r="S525" s="16"/>
      <c r="T525" s="16"/>
      <c r="U525" s="16"/>
      <c r="V525" s="16"/>
      <c r="W525" s="16"/>
      <c r="X525" s="16"/>
      <c r="AD525"/>
      <c r="AE525"/>
    </row>
    <row r="526" spans="1:31" hidden="1" x14ac:dyDescent="0.2">
      <c r="A526" s="43">
        <v>522</v>
      </c>
      <c r="B526" s="13" t="s">
        <v>1051</v>
      </c>
      <c r="C526" s="33">
        <v>1</v>
      </c>
      <c r="D526" s="34">
        <v>0</v>
      </c>
      <c r="E526" s="34">
        <v>0</v>
      </c>
      <c r="F526" s="34">
        <v>1030</v>
      </c>
      <c r="G526" s="34">
        <v>1020</v>
      </c>
      <c r="H526" s="34">
        <v>0</v>
      </c>
      <c r="I526" s="35" t="str">
        <f t="shared" si="20"/>
        <v>-</v>
      </c>
      <c r="J526" s="35">
        <f t="shared" si="21"/>
        <v>0.99029126213592233</v>
      </c>
      <c r="L526" s="18"/>
      <c r="M526" s="19"/>
      <c r="N526" s="19"/>
      <c r="O526" s="19"/>
      <c r="P526" s="19"/>
      <c r="Q526" s="16"/>
      <c r="R526" s="16"/>
      <c r="S526" s="16"/>
      <c r="T526" s="16"/>
      <c r="U526" s="16"/>
      <c r="V526" s="16"/>
      <c r="W526" s="16"/>
      <c r="X526" s="16"/>
      <c r="AD526"/>
      <c r="AE526"/>
    </row>
    <row r="527" spans="1:31" hidden="1" x14ac:dyDescent="0.2">
      <c r="A527" s="44">
        <v>523</v>
      </c>
      <c r="B527" s="15" t="s">
        <v>1382</v>
      </c>
      <c r="C527" s="14">
        <v>1</v>
      </c>
      <c r="D527" s="36">
        <v>0</v>
      </c>
      <c r="E527" s="36">
        <v>0</v>
      </c>
      <c r="F527" s="36">
        <v>15</v>
      </c>
      <c r="G527" s="36">
        <v>15</v>
      </c>
      <c r="H527" s="36">
        <v>0</v>
      </c>
      <c r="I527" s="37" t="str">
        <f t="shared" si="20"/>
        <v>-</v>
      </c>
      <c r="J527" s="37">
        <f t="shared" si="21"/>
        <v>1</v>
      </c>
      <c r="L527" s="18"/>
      <c r="M527" s="19"/>
      <c r="N527" s="19"/>
      <c r="O527" s="19"/>
      <c r="P527" s="19"/>
      <c r="Q527" s="16"/>
      <c r="R527" s="16"/>
      <c r="S527" s="16"/>
      <c r="T527" s="16"/>
      <c r="U527" s="16"/>
      <c r="V527" s="16"/>
      <c r="W527" s="16"/>
      <c r="X527" s="16"/>
      <c r="AD527"/>
      <c r="AE527"/>
    </row>
    <row r="528" spans="1:31" hidden="1" x14ac:dyDescent="0.2">
      <c r="A528" s="43">
        <v>524</v>
      </c>
      <c r="B528" s="13" t="s">
        <v>1416</v>
      </c>
      <c r="C528" s="33">
        <v>1</v>
      </c>
      <c r="D528" s="34">
        <v>0</v>
      </c>
      <c r="E528" s="34">
        <v>0</v>
      </c>
      <c r="F528" s="34">
        <v>0</v>
      </c>
      <c r="G528" s="34">
        <v>0</v>
      </c>
      <c r="H528" s="34">
        <v>0</v>
      </c>
      <c r="I528" s="35" t="str">
        <f t="shared" si="20"/>
        <v>-</v>
      </c>
      <c r="J528" s="35" t="str">
        <f t="shared" si="21"/>
        <v>-</v>
      </c>
      <c r="L528" s="18"/>
      <c r="M528" s="19"/>
      <c r="N528" s="19"/>
      <c r="O528" s="19"/>
      <c r="P528" s="19"/>
      <c r="Q528" s="16"/>
      <c r="R528" s="16"/>
      <c r="S528" s="16"/>
      <c r="T528" s="16"/>
      <c r="U528" s="16"/>
      <c r="V528" s="16"/>
      <c r="W528" s="16"/>
      <c r="X528" s="16"/>
      <c r="AD528"/>
      <c r="AE528"/>
    </row>
    <row r="529" spans="1:31" hidden="1" x14ac:dyDescent="0.2">
      <c r="A529" s="44">
        <v>525</v>
      </c>
      <c r="B529" s="15" t="s">
        <v>1114</v>
      </c>
      <c r="C529" s="14">
        <v>2</v>
      </c>
      <c r="D529" s="36">
        <v>0</v>
      </c>
      <c r="E529" s="36">
        <v>0</v>
      </c>
      <c r="F529" s="36">
        <v>460</v>
      </c>
      <c r="G529" s="36">
        <v>448</v>
      </c>
      <c r="H529" s="36">
        <v>0</v>
      </c>
      <c r="I529" s="37" t="str">
        <f t="shared" si="20"/>
        <v>-</v>
      </c>
      <c r="J529" s="37">
        <f t="shared" si="21"/>
        <v>0.97391304347826091</v>
      </c>
      <c r="L529" s="18"/>
      <c r="M529" s="19"/>
      <c r="N529" s="19"/>
      <c r="O529" s="19"/>
      <c r="P529" s="19"/>
      <c r="Q529" s="16"/>
      <c r="R529" s="16"/>
      <c r="S529" s="16"/>
      <c r="T529" s="16"/>
      <c r="U529" s="16"/>
      <c r="V529" s="16"/>
      <c r="W529" s="16"/>
      <c r="X529" s="16"/>
      <c r="AD529"/>
      <c r="AE529"/>
    </row>
    <row r="530" spans="1:31" hidden="1" x14ac:dyDescent="0.2">
      <c r="A530" s="43">
        <v>526</v>
      </c>
      <c r="B530" s="13" t="s">
        <v>1000</v>
      </c>
      <c r="C530" s="33">
        <v>1</v>
      </c>
      <c r="D530" s="34">
        <v>0</v>
      </c>
      <c r="E530" s="34">
        <v>1</v>
      </c>
      <c r="F530" s="34">
        <v>0</v>
      </c>
      <c r="G530" s="34">
        <v>0</v>
      </c>
      <c r="H530" s="34">
        <v>0</v>
      </c>
      <c r="I530" s="35" t="str">
        <f t="shared" si="20"/>
        <v>-</v>
      </c>
      <c r="J530" s="35" t="str">
        <f t="shared" si="21"/>
        <v>-</v>
      </c>
      <c r="L530" s="18"/>
      <c r="M530" s="19"/>
      <c r="N530" s="19"/>
      <c r="O530" s="19"/>
      <c r="P530" s="19"/>
      <c r="Q530" s="16"/>
      <c r="R530" s="16"/>
      <c r="S530" s="16"/>
      <c r="T530" s="16"/>
      <c r="U530" s="16"/>
      <c r="V530" s="16"/>
      <c r="W530" s="16"/>
      <c r="X530" s="16"/>
      <c r="AD530"/>
      <c r="AE530"/>
    </row>
    <row r="531" spans="1:31" hidden="1" x14ac:dyDescent="0.2">
      <c r="A531" s="44">
        <v>527</v>
      </c>
      <c r="B531" s="15" t="s">
        <v>1339</v>
      </c>
      <c r="C531" s="14">
        <v>2</v>
      </c>
      <c r="D531" s="36">
        <v>0</v>
      </c>
      <c r="E531" s="36">
        <v>0</v>
      </c>
      <c r="F531" s="36">
        <v>61</v>
      </c>
      <c r="G531" s="36">
        <v>81</v>
      </c>
      <c r="H531" s="36">
        <v>0</v>
      </c>
      <c r="I531" s="37" t="str">
        <f t="shared" si="20"/>
        <v>-</v>
      </c>
      <c r="J531" s="37">
        <f t="shared" si="21"/>
        <v>1.3278688524590163</v>
      </c>
      <c r="L531" s="18"/>
      <c r="M531" s="19"/>
      <c r="N531" s="19"/>
      <c r="O531" s="19"/>
      <c r="P531" s="19"/>
      <c r="Q531" s="16"/>
      <c r="R531" s="16"/>
      <c r="S531" s="16"/>
      <c r="T531" s="16"/>
      <c r="U531" s="16"/>
      <c r="V531" s="16"/>
      <c r="W531" s="16"/>
      <c r="X531" s="16"/>
      <c r="AD531"/>
      <c r="AE531"/>
    </row>
    <row r="532" spans="1:31" hidden="1" x14ac:dyDescent="0.2">
      <c r="A532" s="43">
        <v>528</v>
      </c>
      <c r="B532" s="13" t="s">
        <v>1287</v>
      </c>
      <c r="C532" s="33">
        <v>2</v>
      </c>
      <c r="D532" s="34">
        <v>0</v>
      </c>
      <c r="E532" s="34">
        <v>0</v>
      </c>
      <c r="F532" s="34">
        <v>151</v>
      </c>
      <c r="G532" s="34">
        <v>151</v>
      </c>
      <c r="H532" s="34">
        <v>0</v>
      </c>
      <c r="I532" s="35" t="str">
        <f t="shared" si="20"/>
        <v>-</v>
      </c>
      <c r="J532" s="35">
        <f t="shared" si="21"/>
        <v>1</v>
      </c>
      <c r="L532" s="18"/>
      <c r="M532" s="19"/>
      <c r="N532" s="19"/>
      <c r="O532" s="19"/>
      <c r="P532" s="19"/>
      <c r="Q532" s="16"/>
      <c r="R532" s="16"/>
      <c r="S532" s="16"/>
      <c r="T532" s="16"/>
      <c r="U532" s="16"/>
      <c r="V532" s="16"/>
      <c r="W532" s="16"/>
      <c r="X532" s="16"/>
      <c r="AD532"/>
      <c r="AE532"/>
    </row>
    <row r="533" spans="1:31" hidden="1" x14ac:dyDescent="0.2">
      <c r="A533" s="44">
        <v>529</v>
      </c>
      <c r="B533" s="15" t="s">
        <v>1247</v>
      </c>
      <c r="C533" s="14">
        <v>2</v>
      </c>
      <c r="D533" s="36">
        <v>0</v>
      </c>
      <c r="E533" s="36">
        <v>0</v>
      </c>
      <c r="F533" s="36">
        <v>187</v>
      </c>
      <c r="G533" s="36">
        <v>184</v>
      </c>
      <c r="H533" s="36">
        <v>0</v>
      </c>
      <c r="I533" s="37" t="str">
        <f t="shared" si="20"/>
        <v>-</v>
      </c>
      <c r="J533" s="37">
        <f t="shared" si="21"/>
        <v>0.98395721925133695</v>
      </c>
      <c r="L533" s="18"/>
      <c r="M533" s="19"/>
      <c r="N533" s="19"/>
      <c r="O533" s="19"/>
      <c r="P533" s="19"/>
      <c r="Q533" s="16"/>
      <c r="R533" s="16"/>
      <c r="S533" s="16"/>
      <c r="T533" s="16"/>
      <c r="U533" s="16"/>
      <c r="V533" s="16"/>
      <c r="W533" s="16"/>
      <c r="X533" s="16"/>
      <c r="AD533"/>
      <c r="AE533"/>
    </row>
    <row r="534" spans="1:31" hidden="1" x14ac:dyDescent="0.2">
      <c r="A534" s="43">
        <v>530</v>
      </c>
      <c r="B534" s="13" t="s">
        <v>1038</v>
      </c>
      <c r="C534" s="33">
        <v>2</v>
      </c>
      <c r="D534" s="34">
        <v>0</v>
      </c>
      <c r="E534" s="34">
        <v>0</v>
      </c>
      <c r="F534" s="34">
        <v>1695</v>
      </c>
      <c r="G534" s="34">
        <v>1679</v>
      </c>
      <c r="H534" s="34">
        <v>0</v>
      </c>
      <c r="I534" s="35" t="str">
        <f t="shared" si="20"/>
        <v>-</v>
      </c>
      <c r="J534" s="35">
        <f t="shared" si="21"/>
        <v>0.99056047197640118</v>
      </c>
      <c r="L534" s="18"/>
      <c r="M534" s="19"/>
      <c r="N534" s="19"/>
      <c r="O534" s="19"/>
      <c r="P534" s="19"/>
      <c r="Q534" s="16"/>
      <c r="R534" s="16"/>
      <c r="S534" s="16"/>
      <c r="T534" s="16"/>
      <c r="U534" s="16"/>
      <c r="V534" s="16"/>
      <c r="W534" s="16"/>
      <c r="X534" s="16"/>
      <c r="AD534"/>
      <c r="AE534"/>
    </row>
    <row r="535" spans="1:31" hidden="1" x14ac:dyDescent="0.2">
      <c r="A535" s="44">
        <v>531</v>
      </c>
      <c r="B535" s="15" t="s">
        <v>1397</v>
      </c>
      <c r="C535" s="14">
        <v>1</v>
      </c>
      <c r="D535" s="36">
        <v>0</v>
      </c>
      <c r="E535" s="36">
        <v>0</v>
      </c>
      <c r="F535" s="36">
        <v>10</v>
      </c>
      <c r="G535" s="36">
        <v>8</v>
      </c>
      <c r="H535" s="36">
        <v>0</v>
      </c>
      <c r="I535" s="37" t="str">
        <f t="shared" si="20"/>
        <v>-</v>
      </c>
      <c r="J535" s="37">
        <f t="shared" si="21"/>
        <v>0.8</v>
      </c>
      <c r="L535" s="18"/>
      <c r="M535" s="19"/>
      <c r="N535" s="19"/>
      <c r="O535" s="19"/>
      <c r="P535" s="19"/>
      <c r="Q535" s="16"/>
      <c r="R535" s="16"/>
      <c r="S535" s="16"/>
      <c r="T535" s="16"/>
      <c r="U535" s="16"/>
      <c r="V535" s="16"/>
      <c r="W535" s="16"/>
      <c r="X535" s="16"/>
      <c r="AD535"/>
      <c r="AE535"/>
    </row>
    <row r="536" spans="1:31" hidden="1" x14ac:dyDescent="0.2">
      <c r="A536" s="43">
        <v>532</v>
      </c>
      <c r="B536" s="13" t="s">
        <v>1019</v>
      </c>
      <c r="C536" s="33">
        <v>1</v>
      </c>
      <c r="D536" s="34">
        <v>0</v>
      </c>
      <c r="E536" s="34">
        <v>0</v>
      </c>
      <c r="F536" s="34">
        <v>2176</v>
      </c>
      <c r="G536" s="34">
        <v>2149</v>
      </c>
      <c r="H536" s="34">
        <v>0</v>
      </c>
      <c r="I536" s="35" t="str">
        <f t="shared" si="20"/>
        <v>-</v>
      </c>
      <c r="J536" s="35">
        <f t="shared" si="21"/>
        <v>0.98759191176470584</v>
      </c>
      <c r="L536" s="18"/>
      <c r="M536" s="19"/>
      <c r="N536" s="19"/>
      <c r="O536" s="19"/>
      <c r="P536" s="19"/>
      <c r="Q536" s="16"/>
      <c r="R536" s="16"/>
      <c r="S536" s="16"/>
      <c r="T536" s="16"/>
      <c r="U536" s="16"/>
      <c r="V536" s="16"/>
      <c r="W536" s="16"/>
      <c r="X536" s="16"/>
      <c r="AD536"/>
      <c r="AE536"/>
    </row>
    <row r="537" spans="1:31" hidden="1" x14ac:dyDescent="0.2">
      <c r="A537" s="44">
        <v>533</v>
      </c>
      <c r="B537" s="15" t="s">
        <v>1046</v>
      </c>
      <c r="C537" s="14">
        <v>1</v>
      </c>
      <c r="D537" s="36">
        <v>0</v>
      </c>
      <c r="E537" s="36">
        <v>0</v>
      </c>
      <c r="F537" s="36">
        <v>1077</v>
      </c>
      <c r="G537" s="36">
        <v>1069</v>
      </c>
      <c r="H537" s="36">
        <v>0</v>
      </c>
      <c r="I537" s="37" t="str">
        <f t="shared" si="20"/>
        <v>-</v>
      </c>
      <c r="J537" s="37">
        <f t="shared" si="21"/>
        <v>0.99257195914577534</v>
      </c>
      <c r="L537" s="18"/>
      <c r="M537" s="19"/>
      <c r="N537" s="19"/>
      <c r="O537" s="19"/>
      <c r="P537" s="19"/>
      <c r="Q537" s="16"/>
      <c r="R537" s="16"/>
      <c r="S537" s="16"/>
      <c r="T537" s="16"/>
      <c r="U537" s="16"/>
      <c r="V537" s="16"/>
      <c r="W537" s="16"/>
      <c r="X537" s="16"/>
      <c r="AD537"/>
      <c r="AE537"/>
    </row>
    <row r="538" spans="1:31" hidden="1" x14ac:dyDescent="0.2">
      <c r="A538" s="43">
        <v>534</v>
      </c>
      <c r="B538" s="13" t="s">
        <v>1006</v>
      </c>
      <c r="C538" s="33">
        <v>2</v>
      </c>
      <c r="D538" s="34">
        <v>0</v>
      </c>
      <c r="E538" s="34">
        <v>0</v>
      </c>
      <c r="F538" s="34">
        <v>3655</v>
      </c>
      <c r="G538" s="34">
        <v>3554</v>
      </c>
      <c r="H538" s="34">
        <v>0</v>
      </c>
      <c r="I538" s="35" t="str">
        <f t="shared" si="20"/>
        <v>-</v>
      </c>
      <c r="J538" s="35">
        <f t="shared" si="21"/>
        <v>0.97236662106703142</v>
      </c>
      <c r="L538" s="18"/>
      <c r="M538" s="19"/>
      <c r="N538" s="19"/>
      <c r="O538" s="19"/>
      <c r="P538" s="19"/>
      <c r="Q538" s="16"/>
      <c r="R538" s="16"/>
      <c r="S538" s="16"/>
      <c r="T538" s="16"/>
      <c r="U538" s="16"/>
      <c r="V538" s="16"/>
      <c r="W538" s="16"/>
      <c r="X538" s="16"/>
      <c r="AD538"/>
      <c r="AE538"/>
    </row>
    <row r="539" spans="1:31" hidden="1" x14ac:dyDescent="0.2">
      <c r="A539" s="44">
        <v>535</v>
      </c>
      <c r="B539" s="15" t="s">
        <v>1325</v>
      </c>
      <c r="C539" s="14">
        <v>4</v>
      </c>
      <c r="D539" s="36">
        <v>0</v>
      </c>
      <c r="E539" s="36">
        <v>0</v>
      </c>
      <c r="F539" s="36">
        <v>106</v>
      </c>
      <c r="G539" s="36">
        <v>98</v>
      </c>
      <c r="H539" s="36">
        <v>0</v>
      </c>
      <c r="I539" s="37" t="str">
        <f t="shared" si="20"/>
        <v>-</v>
      </c>
      <c r="J539" s="37">
        <f t="shared" si="21"/>
        <v>0.92452830188679247</v>
      </c>
      <c r="L539" s="18"/>
      <c r="M539" s="19"/>
      <c r="N539" s="19"/>
      <c r="O539" s="19"/>
      <c r="P539" s="19"/>
      <c r="Q539" s="16"/>
      <c r="R539" s="16"/>
      <c r="S539" s="16"/>
      <c r="T539" s="16"/>
      <c r="U539" s="16"/>
      <c r="V539" s="16"/>
      <c r="W539" s="16"/>
      <c r="X539" s="16"/>
      <c r="AD539"/>
      <c r="AE539"/>
    </row>
    <row r="540" spans="1:31" hidden="1" x14ac:dyDescent="0.2">
      <c r="A540" s="43">
        <v>536</v>
      </c>
      <c r="B540" s="13" t="s">
        <v>1179</v>
      </c>
      <c r="C540" s="33">
        <v>4</v>
      </c>
      <c r="D540" s="34">
        <v>0</v>
      </c>
      <c r="E540" s="34">
        <v>0</v>
      </c>
      <c r="F540" s="34">
        <v>497</v>
      </c>
      <c r="G540" s="34">
        <v>493</v>
      </c>
      <c r="H540" s="34">
        <v>0</v>
      </c>
      <c r="I540" s="35" t="str">
        <f t="shared" si="20"/>
        <v>-</v>
      </c>
      <c r="J540" s="35">
        <f t="shared" si="21"/>
        <v>0.99195171026156936</v>
      </c>
      <c r="L540" s="18"/>
      <c r="M540" s="19"/>
      <c r="N540" s="19"/>
      <c r="O540" s="19"/>
      <c r="P540" s="19"/>
      <c r="Q540" s="16"/>
      <c r="R540" s="16"/>
      <c r="S540" s="16"/>
      <c r="T540" s="16"/>
      <c r="U540" s="16"/>
      <c r="V540" s="16"/>
      <c r="W540" s="16"/>
      <c r="X540" s="16"/>
      <c r="AD540"/>
      <c r="AE540"/>
    </row>
    <row r="541" spans="1:31" hidden="1" x14ac:dyDescent="0.2">
      <c r="A541" s="44">
        <v>537</v>
      </c>
      <c r="B541" s="15" t="s">
        <v>1359</v>
      </c>
      <c r="C541" s="14">
        <v>3</v>
      </c>
      <c r="D541" s="36">
        <v>0</v>
      </c>
      <c r="E541" s="36">
        <v>0</v>
      </c>
      <c r="F541" s="36">
        <v>71</v>
      </c>
      <c r="G541" s="36">
        <v>71</v>
      </c>
      <c r="H541" s="36">
        <v>0</v>
      </c>
      <c r="I541" s="37" t="str">
        <f t="shared" si="20"/>
        <v>-</v>
      </c>
      <c r="J541" s="37">
        <f t="shared" si="21"/>
        <v>1</v>
      </c>
      <c r="L541" s="18"/>
      <c r="M541" s="19"/>
      <c r="N541" s="19"/>
      <c r="O541" s="19"/>
      <c r="P541" s="19"/>
      <c r="Q541" s="16"/>
      <c r="R541" s="16"/>
      <c r="S541" s="16"/>
      <c r="T541" s="16"/>
      <c r="U541" s="16"/>
      <c r="V541" s="16"/>
      <c r="W541" s="16"/>
      <c r="X541" s="16"/>
      <c r="AD541"/>
      <c r="AE541"/>
    </row>
    <row r="542" spans="1:31" hidden="1" x14ac:dyDescent="0.2">
      <c r="A542" s="43">
        <v>538</v>
      </c>
      <c r="B542" s="13" t="s">
        <v>1369</v>
      </c>
      <c r="C542" s="33">
        <v>1</v>
      </c>
      <c r="D542" s="34">
        <v>0</v>
      </c>
      <c r="E542" s="34">
        <v>0</v>
      </c>
      <c r="F542" s="34">
        <v>24</v>
      </c>
      <c r="G542" s="34">
        <v>24</v>
      </c>
      <c r="H542" s="34">
        <v>0</v>
      </c>
      <c r="I542" s="35" t="str">
        <f t="shared" si="20"/>
        <v>-</v>
      </c>
      <c r="J542" s="35">
        <f t="shared" si="21"/>
        <v>1</v>
      </c>
      <c r="L542" s="18"/>
      <c r="M542" s="19"/>
      <c r="N542" s="19"/>
      <c r="O542" s="19"/>
      <c r="P542" s="19"/>
      <c r="Q542" s="16"/>
      <c r="R542" s="16"/>
      <c r="S542" s="16"/>
      <c r="T542" s="16"/>
      <c r="U542" s="16"/>
      <c r="V542" s="16"/>
      <c r="W542" s="16"/>
      <c r="X542" s="16"/>
      <c r="AD542"/>
      <c r="AE542"/>
    </row>
    <row r="543" spans="1:31" hidden="1" x14ac:dyDescent="0.2">
      <c r="A543" s="44">
        <v>539</v>
      </c>
      <c r="B543" s="15" t="s">
        <v>1254</v>
      </c>
      <c r="C543" s="14">
        <v>2</v>
      </c>
      <c r="D543" s="36">
        <v>0</v>
      </c>
      <c r="E543" s="36">
        <v>0</v>
      </c>
      <c r="F543" s="36">
        <v>180</v>
      </c>
      <c r="G543" s="36">
        <v>180</v>
      </c>
      <c r="H543" s="36">
        <v>0</v>
      </c>
      <c r="I543" s="37" t="str">
        <f t="shared" si="20"/>
        <v>-</v>
      </c>
      <c r="J543" s="37">
        <f t="shared" si="21"/>
        <v>1</v>
      </c>
      <c r="L543" s="18"/>
      <c r="M543" s="19"/>
      <c r="N543" s="19"/>
      <c r="O543" s="19"/>
      <c r="P543" s="19"/>
      <c r="Q543" s="16"/>
      <c r="R543" s="16"/>
      <c r="S543" s="16"/>
      <c r="T543" s="16"/>
      <c r="U543" s="16"/>
      <c r="V543" s="16"/>
      <c r="W543" s="16"/>
      <c r="X543" s="16"/>
      <c r="AD543"/>
      <c r="AE543"/>
    </row>
    <row r="544" spans="1:31" hidden="1" x14ac:dyDescent="0.2">
      <c r="A544" s="43">
        <v>540</v>
      </c>
      <c r="B544" s="13" t="s">
        <v>1221</v>
      </c>
      <c r="C544" s="33">
        <v>2</v>
      </c>
      <c r="D544" s="34">
        <v>0</v>
      </c>
      <c r="E544" s="34">
        <v>0</v>
      </c>
      <c r="F544" s="34">
        <v>275</v>
      </c>
      <c r="G544" s="34">
        <v>269</v>
      </c>
      <c r="H544" s="34">
        <v>0</v>
      </c>
      <c r="I544" s="35" t="str">
        <f t="shared" si="20"/>
        <v>-</v>
      </c>
      <c r="J544" s="35">
        <f t="shared" si="21"/>
        <v>0.97818181818181815</v>
      </c>
      <c r="L544" s="18"/>
      <c r="M544" s="19"/>
      <c r="N544" s="19"/>
      <c r="O544" s="19"/>
      <c r="P544" s="19"/>
      <c r="Q544" s="16"/>
      <c r="R544" s="16"/>
      <c r="S544" s="16"/>
      <c r="T544" s="16"/>
      <c r="U544" s="16"/>
      <c r="V544" s="16"/>
      <c r="W544" s="16"/>
      <c r="X544" s="16"/>
      <c r="AD544"/>
      <c r="AE544"/>
    </row>
    <row r="545" spans="1:31" hidden="1" x14ac:dyDescent="0.2">
      <c r="A545" s="44">
        <v>541</v>
      </c>
      <c r="B545" s="15" t="s">
        <v>935</v>
      </c>
      <c r="C545" s="14">
        <v>1</v>
      </c>
      <c r="D545" s="36">
        <v>0</v>
      </c>
      <c r="E545" s="36">
        <v>19</v>
      </c>
      <c r="F545" s="36">
        <v>0</v>
      </c>
      <c r="G545" s="36">
        <v>0</v>
      </c>
      <c r="H545" s="36">
        <v>0</v>
      </c>
      <c r="I545" s="37" t="str">
        <f t="shared" si="20"/>
        <v>-</v>
      </c>
      <c r="J545" s="37" t="str">
        <f t="shared" si="21"/>
        <v>-</v>
      </c>
      <c r="L545" s="18"/>
      <c r="M545" s="19"/>
      <c r="N545" s="19"/>
      <c r="O545" s="19"/>
      <c r="P545" s="19"/>
      <c r="Q545" s="16"/>
      <c r="R545" s="16"/>
      <c r="S545" s="16"/>
      <c r="T545" s="16"/>
      <c r="U545" s="16"/>
      <c r="V545" s="16"/>
      <c r="W545" s="16"/>
      <c r="X545" s="16"/>
      <c r="AD545"/>
      <c r="AE545"/>
    </row>
    <row r="546" spans="1:31" hidden="1" x14ac:dyDescent="0.2">
      <c r="A546" s="43">
        <v>542</v>
      </c>
      <c r="B546" s="13" t="s">
        <v>1124</v>
      </c>
      <c r="C546" s="33">
        <v>1</v>
      </c>
      <c r="D546" s="34">
        <v>0</v>
      </c>
      <c r="E546" s="34">
        <v>0</v>
      </c>
      <c r="F546" s="34">
        <v>405</v>
      </c>
      <c r="G546" s="34">
        <v>393</v>
      </c>
      <c r="H546" s="34">
        <v>0</v>
      </c>
      <c r="I546" s="35" t="str">
        <f t="shared" si="20"/>
        <v>-</v>
      </c>
      <c r="J546" s="35">
        <f t="shared" si="21"/>
        <v>0.97037037037037033</v>
      </c>
      <c r="L546" s="18"/>
      <c r="M546" s="19"/>
      <c r="N546" s="19"/>
      <c r="O546" s="19"/>
      <c r="P546" s="19"/>
      <c r="Q546" s="16"/>
      <c r="R546" s="16"/>
      <c r="S546" s="16"/>
      <c r="T546" s="16"/>
      <c r="U546" s="16"/>
      <c r="V546" s="16"/>
      <c r="W546" s="16"/>
      <c r="X546" s="16"/>
      <c r="AD546"/>
      <c r="AE546"/>
    </row>
    <row r="547" spans="1:31" hidden="1" x14ac:dyDescent="0.2">
      <c r="A547" s="44">
        <v>543</v>
      </c>
      <c r="B547" s="15" t="s">
        <v>1004</v>
      </c>
      <c r="C547" s="14">
        <v>1</v>
      </c>
      <c r="D547" s="36">
        <v>0</v>
      </c>
      <c r="E547" s="36">
        <v>0</v>
      </c>
      <c r="F547" s="36">
        <v>4831</v>
      </c>
      <c r="G547" s="36">
        <v>4687</v>
      </c>
      <c r="H547" s="36">
        <v>0</v>
      </c>
      <c r="I547" s="37" t="str">
        <f t="shared" si="20"/>
        <v>-</v>
      </c>
      <c r="J547" s="37">
        <f t="shared" si="21"/>
        <v>0.97019250672738566</v>
      </c>
      <c r="L547" s="18"/>
      <c r="M547" s="19"/>
      <c r="N547" s="19"/>
      <c r="O547" s="19"/>
      <c r="P547" s="19"/>
      <c r="Q547" s="16"/>
      <c r="R547" s="16"/>
      <c r="S547" s="16"/>
      <c r="T547" s="16"/>
      <c r="U547" s="16"/>
      <c r="V547" s="16"/>
      <c r="W547" s="16"/>
      <c r="X547" s="16"/>
      <c r="AD547"/>
      <c r="AE547"/>
    </row>
    <row r="548" spans="1:31" hidden="1" x14ac:dyDescent="0.2">
      <c r="A548" s="43">
        <v>544</v>
      </c>
      <c r="B548" s="13" t="s">
        <v>1016</v>
      </c>
      <c r="C548" s="33">
        <v>1</v>
      </c>
      <c r="D548" s="34">
        <v>0</v>
      </c>
      <c r="E548" s="34">
        <v>0</v>
      </c>
      <c r="F548" s="34">
        <v>2526</v>
      </c>
      <c r="G548" s="34">
        <v>2520</v>
      </c>
      <c r="H548" s="34">
        <v>0</v>
      </c>
      <c r="I548" s="35" t="str">
        <f t="shared" si="20"/>
        <v>-</v>
      </c>
      <c r="J548" s="35">
        <f t="shared" si="21"/>
        <v>0.99762470308788598</v>
      </c>
      <c r="L548" s="18"/>
      <c r="M548" s="19"/>
      <c r="N548" s="19"/>
      <c r="O548" s="19"/>
      <c r="P548" s="19"/>
      <c r="Q548" s="16"/>
      <c r="R548" s="16"/>
      <c r="S548" s="16"/>
      <c r="T548" s="16"/>
      <c r="U548" s="16"/>
      <c r="V548" s="16"/>
      <c r="W548" s="16"/>
      <c r="X548" s="16"/>
      <c r="AD548"/>
      <c r="AE548"/>
    </row>
    <row r="549" spans="1:31" hidden="1" x14ac:dyDescent="0.2">
      <c r="A549" s="44">
        <v>545</v>
      </c>
      <c r="B549" s="15" t="s">
        <v>1375</v>
      </c>
      <c r="C549" s="14">
        <v>1</v>
      </c>
      <c r="D549" s="36">
        <v>0</v>
      </c>
      <c r="E549" s="36">
        <v>0</v>
      </c>
      <c r="F549" s="36">
        <v>19</v>
      </c>
      <c r="G549" s="36">
        <v>19</v>
      </c>
      <c r="H549" s="36">
        <v>0</v>
      </c>
      <c r="I549" s="37" t="str">
        <f t="shared" si="20"/>
        <v>-</v>
      </c>
      <c r="J549" s="37">
        <f t="shared" si="21"/>
        <v>1</v>
      </c>
      <c r="L549" s="18"/>
      <c r="M549" s="19"/>
      <c r="N549" s="19"/>
      <c r="O549" s="19"/>
      <c r="P549" s="19"/>
      <c r="Q549" s="16"/>
      <c r="R549" s="16"/>
      <c r="S549" s="16"/>
      <c r="T549" s="16"/>
      <c r="U549" s="16"/>
      <c r="V549" s="16"/>
      <c r="W549" s="16"/>
      <c r="X549" s="16"/>
      <c r="AD549"/>
      <c r="AE549"/>
    </row>
    <row r="550" spans="1:31" hidden="1" x14ac:dyDescent="0.2">
      <c r="A550" s="43">
        <v>546</v>
      </c>
      <c r="B550" s="13" t="s">
        <v>1240</v>
      </c>
      <c r="C550" s="33">
        <v>2</v>
      </c>
      <c r="D550" s="34">
        <v>0</v>
      </c>
      <c r="E550" s="34">
        <v>0</v>
      </c>
      <c r="F550" s="34">
        <v>284</v>
      </c>
      <c r="G550" s="34">
        <v>288</v>
      </c>
      <c r="H550" s="34">
        <v>0</v>
      </c>
      <c r="I550" s="35" t="str">
        <f t="shared" si="20"/>
        <v>-</v>
      </c>
      <c r="J550" s="35">
        <f t="shared" si="21"/>
        <v>1.0140845070422535</v>
      </c>
      <c r="L550" s="18"/>
      <c r="M550" s="19"/>
      <c r="N550" s="19"/>
      <c r="O550" s="19"/>
      <c r="P550" s="19"/>
      <c r="Q550" s="16"/>
      <c r="R550" s="16"/>
      <c r="S550" s="16"/>
      <c r="T550" s="16"/>
      <c r="U550" s="16"/>
      <c r="V550" s="16"/>
      <c r="W550" s="16"/>
      <c r="X550" s="16"/>
      <c r="AD550"/>
      <c r="AE550"/>
    </row>
    <row r="551" spans="1:31" x14ac:dyDescent="0.2">
      <c r="J551">
        <f>COUNTIF(K:K, "1")</f>
        <v>83</v>
      </c>
    </row>
    <row r="552" spans="1:31" x14ac:dyDescent="0.2">
      <c r="D552" s="46"/>
    </row>
    <row r="553" spans="1:31" x14ac:dyDescent="0.2">
      <c r="R553">
        <f>COUNTIF(S:S, "Yes")</f>
        <v>17</v>
      </c>
    </row>
    <row r="554" spans="1:31" x14ac:dyDescent="0.2">
      <c r="R554">
        <f>COUNTIF(S:S, "2nd Priority")</f>
        <v>6</v>
      </c>
    </row>
    <row r="558" spans="1:31" x14ac:dyDescent="0.2">
      <c r="Q558" s="11"/>
      <c r="R558" s="11"/>
      <c r="S558" s="11"/>
      <c r="T558" s="11"/>
      <c r="U558" s="11"/>
      <c r="V558" s="11"/>
      <c r="W558" s="11"/>
      <c r="X558" s="11"/>
    </row>
    <row r="560" spans="1:31" x14ac:dyDescent="0.2">
      <c r="Q560" s="41"/>
      <c r="R560" s="41"/>
      <c r="S560" s="41"/>
      <c r="T560" s="41"/>
      <c r="U560" s="41"/>
      <c r="V560" s="41"/>
      <c r="W560" s="41"/>
      <c r="X560" s="41"/>
    </row>
  </sheetData>
  <hyperlinks>
    <hyperlink ref="AE6" r:id="rId1" xr:uid="{F13CEF64-31CD-F742-976C-99BD3F5AE1B8}"/>
    <hyperlink ref="AD21" r:id="rId2" display="tel:0285538078" xr:uid="{78838A50-DF4C-7B47-9419-F4D91F65689B}"/>
    <hyperlink ref="AE25" r:id="rId3" display="mailto:donboscoyouthcentertvet@gmail.com?subject=Don%20Bosco%20Youth%20Center%20Tondo%20TVET" xr:uid="{AA3519FB-7FFB-2E42-8FAB-A43F73C07F1F}"/>
    <hyperlink ref="AE66" r:id="rId4" display="mailto:is.apae@lsgh.edu.ph" xr:uid="{682E9A78-4F75-E947-9196-14976C47F004}"/>
    <hyperlink ref="AE56" r:id="rId5" xr:uid="{A928D6CE-F116-3841-B950-4A5F5FB3F618}"/>
    <hyperlink ref="AE50" r:id="rId6" display="mailto:seamactraining@yahoo.com" xr:uid="{87FBC9D4-AA53-1A4E-9E70-8F386BAFC350}"/>
    <hyperlink ref="AE74" r:id="rId7" display="mailto:plmarikina2003@yahoo.com.ph" xr:uid="{27BAEA99-DDC3-4440-83E0-E856AB5BCA37}"/>
    <hyperlink ref="AE83" r:id="rId8" xr:uid="{A2296D82-83FB-F147-B1FF-93DFBF50FDCA}"/>
    <hyperlink ref="R6" r:id="rId9" xr:uid="{EEC10DD5-B1AC-DB41-9284-C944FD0D0E03}"/>
    <hyperlink ref="R12" r:id="rId10" xr:uid="{3D106BB7-D96A-F740-A26C-90BE61A1B48A}"/>
    <hyperlink ref="R13" r:id="rId11" xr:uid="{B4BABAE2-5852-2842-B4B3-6AB9DFCCB159}"/>
    <hyperlink ref="R7" r:id="rId12" xr:uid="{1F0A83DF-C6FF-C547-BBAF-807FAC859F92}"/>
    <hyperlink ref="R21" r:id="rId13" xr:uid="{A7734274-07D6-A343-970F-6AD1ACED18D5}"/>
    <hyperlink ref="R22" r:id="rId14" xr:uid="{40682D22-AF59-F94C-A46D-CDADB7AF90ED}"/>
    <hyperlink ref="R45" r:id="rId15" xr:uid="{0CA61389-EB9D-7245-AA06-2F66803F1B8A}"/>
    <hyperlink ref="R71" r:id="rId16" xr:uid="{09D5D943-14F7-AF48-9D17-AA5FE369F9AD}"/>
    <hyperlink ref="R25" r:id="rId17" xr:uid="{B6935B0A-5E10-4348-9589-33BFC8E55A01}"/>
    <hyperlink ref="R24" r:id="rId18" xr:uid="{0C4B222F-309A-084F-BE48-8A1F5AD01772}"/>
    <hyperlink ref="R23" r:id="rId19" xr:uid="{E6B8DF79-9EE7-5A40-B618-F798F0E1D2C0}"/>
    <hyperlink ref="R43" r:id="rId20" xr:uid="{26789E10-0643-3644-B4EC-93E87C4D324C}"/>
    <hyperlink ref="R33" r:id="rId21" xr:uid="{C1871310-32B2-6641-932B-8B3DFF2F0530}"/>
    <hyperlink ref="R49" r:id="rId22" xr:uid="{CAA5FB57-58CA-F649-AF2A-3C27CF98715B}"/>
    <hyperlink ref="R54" r:id="rId23" xr:uid="{AE429C25-289F-CC47-9B58-3AA38F636B9C}"/>
    <hyperlink ref="R66" r:id="rId24" xr:uid="{E5C7334F-FF72-4A4E-A3F9-55B5BA36D37E}"/>
    <hyperlink ref="R26" r:id="rId25" xr:uid="{24D130F8-C622-5142-96A7-229EC12AAB2D}"/>
    <hyperlink ref="R60" r:id="rId26" xr:uid="{C3A7B583-F4C4-5841-AC23-83C625B7EB49}"/>
    <hyperlink ref="R41" r:id="rId27" xr:uid="{7EACF4BC-4386-4844-B5D9-26D6BD078631}"/>
    <hyperlink ref="R50" r:id="rId28" xr:uid="{0F3E5FEB-AE10-9A42-927B-8C23BDC9872C}"/>
    <hyperlink ref="R74" r:id="rId29" xr:uid="{0F53D3DC-E045-D94F-A3C1-4FDE7A66689A}"/>
    <hyperlink ref="R64" r:id="rId30" xr:uid="{EE720781-F792-7240-8D36-2E22EC2A2A75}"/>
    <hyperlink ref="R61" r:id="rId31" xr:uid="{A751D8CD-4420-4544-85B3-201350623326}"/>
    <hyperlink ref="R42" r:id="rId32" xr:uid="{0497F32B-68D4-874B-B4F7-57BFE8A19A07}"/>
    <hyperlink ref="W6" r:id="rId33" display="mailto:gdbalbin@tesda.gov.ph" xr:uid="{05860EF6-2ADC-444B-8036-178CE4CFAE4A}"/>
  </hyperlinks>
  <pageMargins left="0.75" right="0.75" top="1" bottom="1" header="0.511811023622047" footer="0.511811023622047"/>
  <pageSetup paperSize="9" orientation="portrait" horizontalDpi="300" verticalDpi="300"/>
  <tableParts count="1">
    <tablePart r:id="rId3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G559"/>
  <sheetViews>
    <sheetView showGridLines="0" tabSelected="1" topLeftCell="A2" zoomScaleNormal="200" workbookViewId="0">
      <pane xSplit="4" ySplit="7" topLeftCell="E9" activePane="bottomRight" state="frozen"/>
      <selection pane="topRight" activeCell="E2" sqref="E2"/>
      <selection pane="bottomLeft" activeCell="A8" sqref="A8"/>
      <selection pane="bottomRight" activeCell="AC5" sqref="AC5"/>
    </sheetView>
  </sheetViews>
  <sheetFormatPr baseColWidth="10" defaultColWidth="8.6640625" defaultRowHeight="15" x14ac:dyDescent="0.2"/>
  <cols>
    <col min="1" max="1" width="8.33203125" style="24" customWidth="1"/>
    <col min="2" max="2" width="62.83203125" style="24" customWidth="1"/>
    <col min="3" max="3" width="8.6640625" style="24" customWidth="1"/>
    <col min="4" max="4" width="11" style="24" customWidth="1"/>
    <col min="5" max="5" width="12.6640625" style="24" customWidth="1"/>
    <col min="6" max="6" width="12.33203125" style="24" customWidth="1"/>
    <col min="7" max="7" width="11" style="24" customWidth="1"/>
    <col min="8" max="8" width="10.6640625" style="24" customWidth="1"/>
    <col min="9" max="9" width="12.33203125" style="24" customWidth="1"/>
    <col min="10" max="10" width="12" style="24" customWidth="1"/>
    <col min="11" max="11" width="11" style="24" customWidth="1"/>
    <col min="12" max="12" width="68.1640625" style="24" customWidth="1"/>
    <col min="13" max="13" width="14" style="24" customWidth="1"/>
    <col min="14" max="14" width="41.1640625" style="24" customWidth="1"/>
    <col min="15" max="15" width="21.6640625" style="24" customWidth="1"/>
    <col min="16" max="16" width="28.6640625" style="24" customWidth="1"/>
    <col min="17" max="17" width="11" style="24" customWidth="1"/>
    <col min="18" max="18" width="32.5" bestFit="1" customWidth="1"/>
    <col min="19" max="19" width="32.5" customWidth="1"/>
    <col min="20" max="20" width="31.83203125" style="24" bestFit="1" customWidth="1"/>
    <col min="21" max="21" width="33.33203125" style="24" bestFit="1" customWidth="1"/>
    <col min="22" max="22" width="28.6640625" bestFit="1" customWidth="1"/>
    <col min="23" max="23" width="21.83203125" bestFit="1" customWidth="1"/>
    <col min="24" max="24" width="11" customWidth="1"/>
    <col min="25" max="25" width="22" style="24" customWidth="1"/>
    <col min="26" max="26" width="15" style="24" customWidth="1"/>
    <col min="27" max="27" width="11" customWidth="1"/>
    <col min="28" max="28" width="15.6640625" customWidth="1"/>
    <col min="29" max="29" width="41.6640625" customWidth="1"/>
    <col min="30" max="30" width="49.1640625" customWidth="1"/>
  </cols>
  <sheetData>
    <row r="1" spans="1:33" ht="19" x14ac:dyDescent="0.2">
      <c r="A1" s="1" t="s">
        <v>1670</v>
      </c>
      <c r="B1"/>
      <c r="C1" s="20" t="s">
        <v>1424</v>
      </c>
      <c r="D1"/>
      <c r="E1"/>
      <c r="F1"/>
      <c r="G1"/>
      <c r="H1"/>
      <c r="I1"/>
      <c r="J1"/>
      <c r="K1"/>
      <c r="L1"/>
      <c r="M1"/>
      <c r="N1"/>
      <c r="O1"/>
      <c r="P1"/>
      <c r="Q1"/>
      <c r="T1"/>
      <c r="U1"/>
      <c r="Y1"/>
      <c r="Z1"/>
    </row>
    <row r="2" spans="1:33" ht="19" x14ac:dyDescent="0.2">
      <c r="A2" s="1" t="s">
        <v>2267</v>
      </c>
      <c r="B2"/>
      <c r="C2" s="20"/>
      <c r="D2"/>
      <c r="E2"/>
      <c r="F2"/>
      <c r="G2"/>
      <c r="H2"/>
      <c r="I2"/>
      <c r="J2"/>
      <c r="K2"/>
      <c r="L2"/>
      <c r="M2"/>
      <c r="N2"/>
      <c r="O2"/>
      <c r="P2"/>
      <c r="Q2"/>
      <c r="T2"/>
      <c r="U2"/>
      <c r="Y2"/>
      <c r="Z2"/>
    </row>
    <row r="3" spans="1:33" x14ac:dyDescent="0.2">
      <c r="A3" s="2" t="s">
        <v>1671</v>
      </c>
      <c r="B3"/>
      <c r="C3" s="21" t="s">
        <v>1426</v>
      </c>
      <c r="D3" s="20"/>
      <c r="E3" s="22" t="s">
        <v>1427</v>
      </c>
      <c r="F3" s="20"/>
      <c r="G3" s="20"/>
      <c r="H3" s="22" t="s">
        <v>1428</v>
      </c>
      <c r="I3"/>
      <c r="J3"/>
      <c r="K3"/>
      <c r="L3"/>
      <c r="M3"/>
      <c r="N3"/>
      <c r="O3"/>
      <c r="P3"/>
      <c r="Q3"/>
      <c r="T3"/>
      <c r="U3"/>
      <c r="Y3"/>
      <c r="Z3"/>
    </row>
    <row r="4" spans="1:33" x14ac:dyDescent="0.2">
      <c r="A4"/>
      <c r="B4"/>
      <c r="C4"/>
      <c r="D4"/>
      <c r="E4"/>
      <c r="F4"/>
      <c r="G4"/>
      <c r="H4"/>
      <c r="I4"/>
      <c r="J4"/>
      <c r="K4"/>
      <c r="L4"/>
      <c r="M4"/>
      <c r="N4"/>
      <c r="O4"/>
      <c r="P4"/>
      <c r="Q4"/>
      <c r="T4"/>
      <c r="U4"/>
      <c r="Y4"/>
      <c r="Z4"/>
    </row>
    <row r="5" spans="1:33" ht="28" x14ac:dyDescent="0.2">
      <c r="A5" s="42" t="s">
        <v>1429</v>
      </c>
      <c r="B5" s="4" t="s">
        <v>1430</v>
      </c>
      <c r="C5" s="4" t="s">
        <v>1431</v>
      </c>
      <c r="D5" s="4" t="s">
        <v>37</v>
      </c>
      <c r="E5" s="4" t="s">
        <v>38</v>
      </c>
      <c r="F5" s="4" t="s">
        <v>40</v>
      </c>
      <c r="G5" s="4" t="s">
        <v>41</v>
      </c>
      <c r="H5" s="4" t="s">
        <v>1432</v>
      </c>
      <c r="I5" s="4" t="s">
        <v>1433</v>
      </c>
      <c r="J5" s="4" t="s">
        <v>1434</v>
      </c>
      <c r="K5" s="80" t="s">
        <v>19</v>
      </c>
      <c r="L5" s="17" t="s">
        <v>1435</v>
      </c>
      <c r="M5" s="17" t="s">
        <v>1436</v>
      </c>
      <c r="N5" s="17" t="s">
        <v>1437</v>
      </c>
      <c r="O5" s="17" t="s">
        <v>1438</v>
      </c>
      <c r="P5" s="17" t="s">
        <v>1439</v>
      </c>
      <c r="Q5" s="40" t="s">
        <v>1440</v>
      </c>
      <c r="R5" s="40" t="s">
        <v>1441</v>
      </c>
      <c r="S5" s="40" t="s">
        <v>1442</v>
      </c>
      <c r="T5" s="80" t="s">
        <v>21</v>
      </c>
      <c r="U5" s="31" t="s">
        <v>1448</v>
      </c>
      <c r="V5" s="31" t="s">
        <v>1449</v>
      </c>
      <c r="W5" s="31" t="s">
        <v>1450</v>
      </c>
      <c r="X5" s="40" t="s">
        <v>1451</v>
      </c>
      <c r="Y5" s="80" t="s">
        <v>23</v>
      </c>
      <c r="Z5" s="17" t="s">
        <v>1452</v>
      </c>
      <c r="AA5" s="17" t="s">
        <v>1453</v>
      </c>
      <c r="AB5" s="80" t="s">
        <v>25</v>
      </c>
      <c r="AC5" s="31" t="s">
        <v>1454</v>
      </c>
      <c r="AD5" s="31" t="s">
        <v>1455</v>
      </c>
    </row>
    <row r="6" spans="1:33" x14ac:dyDescent="0.2">
      <c r="A6" s="44">
        <v>451</v>
      </c>
      <c r="B6" s="15" t="s">
        <v>1047</v>
      </c>
      <c r="C6" s="14">
        <v>38</v>
      </c>
      <c r="D6" s="36">
        <v>0</v>
      </c>
      <c r="E6" s="36">
        <v>0</v>
      </c>
      <c r="F6" s="36">
        <v>5399</v>
      </c>
      <c r="G6" s="36">
        <v>5191</v>
      </c>
      <c r="H6" s="36">
        <v>0</v>
      </c>
      <c r="I6" s="37" t="str">
        <f t="shared" ref="I6:I8" si="0">IF(D6=0,"-",E6/D6)</f>
        <v>-</v>
      </c>
      <c r="J6" s="37">
        <f t="shared" ref="J6:J8" si="1">IF(F6=0,"-",G6/F6)</f>
        <v>0.96147434710131507</v>
      </c>
      <c r="K6">
        <v>1</v>
      </c>
      <c r="L6"/>
      <c r="M6"/>
      <c r="N6"/>
      <c r="O6"/>
      <c r="P6"/>
      <c r="Q6"/>
      <c r="T6"/>
      <c r="U6"/>
      <c r="Y6"/>
      <c r="Z6"/>
    </row>
    <row r="7" spans="1:33" x14ac:dyDescent="0.2">
      <c r="A7" s="44">
        <v>463</v>
      </c>
      <c r="B7" s="15" t="s">
        <v>1130</v>
      </c>
      <c r="C7" s="14">
        <v>30</v>
      </c>
      <c r="D7" s="36">
        <v>0</v>
      </c>
      <c r="E7" s="36">
        <v>0</v>
      </c>
      <c r="F7" s="36">
        <v>3190</v>
      </c>
      <c r="G7" s="36">
        <v>2723</v>
      </c>
      <c r="H7" s="36">
        <v>0</v>
      </c>
      <c r="I7" s="37" t="str">
        <f t="shared" si="0"/>
        <v>-</v>
      </c>
      <c r="J7" s="37">
        <f t="shared" si="1"/>
        <v>0.85360501567398117</v>
      </c>
      <c r="K7">
        <v>1</v>
      </c>
      <c r="L7"/>
      <c r="M7"/>
      <c r="N7"/>
      <c r="O7"/>
      <c r="P7"/>
      <c r="Q7"/>
      <c r="T7"/>
      <c r="U7"/>
      <c r="Y7"/>
      <c r="Z7"/>
      <c r="AG7">
        <f>COUNTIF(P7:P21, "YES")</f>
        <v>5</v>
      </c>
    </row>
    <row r="8" spans="1:33" x14ac:dyDescent="0.2">
      <c r="A8" s="43">
        <v>462</v>
      </c>
      <c r="B8" s="13" t="s">
        <v>1068</v>
      </c>
      <c r="C8" s="33">
        <v>20</v>
      </c>
      <c r="D8" s="34">
        <v>0</v>
      </c>
      <c r="E8" s="34">
        <v>0</v>
      </c>
      <c r="F8" s="34">
        <v>2670</v>
      </c>
      <c r="G8" s="34">
        <v>2703</v>
      </c>
      <c r="H8" s="34">
        <v>0</v>
      </c>
      <c r="I8" s="35" t="str">
        <f t="shared" si="0"/>
        <v>-</v>
      </c>
      <c r="J8" s="35">
        <f t="shared" si="1"/>
        <v>1.0123595505617977</v>
      </c>
      <c r="K8">
        <v>1</v>
      </c>
      <c r="L8"/>
      <c r="M8"/>
      <c r="N8"/>
      <c r="O8"/>
      <c r="P8"/>
      <c r="Q8"/>
      <c r="T8"/>
      <c r="U8"/>
      <c r="Y8"/>
      <c r="Z8"/>
    </row>
    <row r="9" spans="1:33" ht="29" x14ac:dyDescent="0.2">
      <c r="A9" s="44">
        <v>3</v>
      </c>
      <c r="B9" s="15" t="s">
        <v>80</v>
      </c>
      <c r="C9" s="14">
        <v>5</v>
      </c>
      <c r="D9" s="36">
        <v>2146</v>
      </c>
      <c r="E9" s="36">
        <v>1945</v>
      </c>
      <c r="F9" s="36">
        <v>1403</v>
      </c>
      <c r="G9" s="36">
        <v>1363</v>
      </c>
      <c r="H9" s="36">
        <v>24</v>
      </c>
      <c r="I9" s="37">
        <f t="shared" ref="I9:I40" si="2">IF(D9=0,"-",E9/D9)</f>
        <v>0.90633737185461327</v>
      </c>
      <c r="J9" s="37">
        <f t="shared" ref="J9:J40" si="3">IF(F9=0,"-",G9/F9)</f>
        <v>0.97148966500356382</v>
      </c>
      <c r="K9"/>
      <c r="L9" s="55" t="s">
        <v>1672</v>
      </c>
      <c r="M9" s="24" t="s">
        <v>1459</v>
      </c>
      <c r="N9" s="24" t="s">
        <v>1459</v>
      </c>
      <c r="O9" s="24" t="s">
        <v>1459</v>
      </c>
      <c r="P9" s="24" t="s">
        <v>1459</v>
      </c>
      <c r="Q9" s="24" t="s">
        <v>1457</v>
      </c>
      <c r="S9" t="s">
        <v>1578</v>
      </c>
      <c r="T9" s="24">
        <v>2</v>
      </c>
      <c r="U9" s="24" t="s">
        <v>1673</v>
      </c>
      <c r="V9" s="24" t="s">
        <v>1465</v>
      </c>
      <c r="W9" s="24" t="s">
        <v>1459</v>
      </c>
      <c r="X9" s="24" t="s">
        <v>1465</v>
      </c>
      <c r="Z9" s="27" t="s">
        <v>1674</v>
      </c>
      <c r="AA9" s="27" t="s">
        <v>1675</v>
      </c>
      <c r="AC9" cm="1">
        <f t="array" ref="AC9">SUMPRODUCT(--(M9:Q9="YES"))</f>
        <v>4</v>
      </c>
      <c r="AD9">
        <f>COUNTIF($AC$7:AC9, "&gt;=3")</f>
        <v>1</v>
      </c>
    </row>
    <row r="10" spans="1:33" x14ac:dyDescent="0.2">
      <c r="A10" s="43">
        <v>2</v>
      </c>
      <c r="B10" s="13" t="s">
        <v>59</v>
      </c>
      <c r="C10" s="33">
        <v>5</v>
      </c>
      <c r="D10" s="34">
        <v>2170</v>
      </c>
      <c r="E10" s="34">
        <v>1695</v>
      </c>
      <c r="F10" s="34">
        <v>1548</v>
      </c>
      <c r="G10" s="34">
        <v>1733</v>
      </c>
      <c r="H10" s="34">
        <v>14</v>
      </c>
      <c r="I10" s="35">
        <f t="shared" si="2"/>
        <v>0.78110599078341014</v>
      </c>
      <c r="J10" s="35">
        <f t="shared" si="3"/>
        <v>1.1195090439276485</v>
      </c>
      <c r="K10"/>
      <c r="L10" s="24" t="s">
        <v>1676</v>
      </c>
      <c r="M10" s="24" t="s">
        <v>1459</v>
      </c>
      <c r="N10" s="24" t="s">
        <v>1459</v>
      </c>
      <c r="O10" s="24" t="s">
        <v>1459</v>
      </c>
      <c r="P10" s="24" t="s">
        <v>1459</v>
      </c>
      <c r="Q10" s="24" t="s">
        <v>1457</v>
      </c>
      <c r="S10" t="s">
        <v>1578</v>
      </c>
      <c r="T10" s="24">
        <v>2</v>
      </c>
      <c r="U10" s="24" t="s">
        <v>1470</v>
      </c>
      <c r="V10" s="24" t="s">
        <v>1677</v>
      </c>
      <c r="W10" s="24" t="s">
        <v>1472</v>
      </c>
      <c r="X10" s="24" t="s">
        <v>1678</v>
      </c>
      <c r="Z10" s="27" t="s">
        <v>1679</v>
      </c>
      <c r="AA10" s="27" t="s">
        <v>1680</v>
      </c>
      <c r="AC10" cm="1">
        <f t="array" ref="AC10">SUMPRODUCT(--(M10:Q10="YES"))</f>
        <v>4</v>
      </c>
      <c r="AD10">
        <f>COUNTIF($AC$7:AC10, "&gt;=3")</f>
        <v>2</v>
      </c>
    </row>
    <row r="11" spans="1:33" x14ac:dyDescent="0.2">
      <c r="A11" s="44">
        <v>11</v>
      </c>
      <c r="B11" s="15" t="s">
        <v>108</v>
      </c>
      <c r="C11" s="14">
        <v>5</v>
      </c>
      <c r="D11" s="36">
        <v>1107</v>
      </c>
      <c r="E11" s="36">
        <v>1187</v>
      </c>
      <c r="F11" s="36">
        <v>0</v>
      </c>
      <c r="G11" s="36">
        <v>0</v>
      </c>
      <c r="H11" s="36">
        <v>11</v>
      </c>
      <c r="I11" s="37">
        <f t="shared" si="2"/>
        <v>1.0722673893405601</v>
      </c>
      <c r="J11" s="37" t="str">
        <f t="shared" si="3"/>
        <v>-</v>
      </c>
      <c r="K11"/>
      <c r="L11" s="24" t="s">
        <v>1681</v>
      </c>
      <c r="M11" s="24" t="s">
        <v>1459</v>
      </c>
      <c r="N11" s="24" t="s">
        <v>1459</v>
      </c>
      <c r="O11" s="24" t="s">
        <v>1459</v>
      </c>
      <c r="P11" s="24" t="s">
        <v>1457</v>
      </c>
      <c r="Q11" s="24" t="s">
        <v>1459</v>
      </c>
      <c r="R11" s="47" t="s">
        <v>1682</v>
      </c>
      <c r="S11" s="47" t="s">
        <v>1459</v>
      </c>
      <c r="T11" s="24">
        <v>2</v>
      </c>
      <c r="V11" s="24"/>
      <c r="W11" s="24"/>
      <c r="X11" s="24"/>
      <c r="Z11" s="27" t="s">
        <v>1683</v>
      </c>
      <c r="AA11" s="38" t="s">
        <v>1684</v>
      </c>
      <c r="AC11" cm="1">
        <f t="array" ref="AC11">SUMPRODUCT(--(M11:Q11="YES"))</f>
        <v>4</v>
      </c>
      <c r="AD11">
        <f>COUNTIF($AC$7:AC11, "&gt;=3")</f>
        <v>3</v>
      </c>
    </row>
    <row r="12" spans="1:33" x14ac:dyDescent="0.2">
      <c r="A12" s="44">
        <v>411</v>
      </c>
      <c r="B12" s="15" t="s">
        <v>1073</v>
      </c>
      <c r="C12" s="14">
        <v>14</v>
      </c>
      <c r="D12" s="36">
        <v>0</v>
      </c>
      <c r="E12" s="36">
        <v>0</v>
      </c>
      <c r="F12" s="36">
        <v>2650</v>
      </c>
      <c r="G12" s="36">
        <v>2626</v>
      </c>
      <c r="H12" s="36">
        <v>0</v>
      </c>
      <c r="I12" s="37" t="str">
        <f t="shared" si="2"/>
        <v>-</v>
      </c>
      <c r="J12" s="37">
        <f t="shared" si="3"/>
        <v>0.99094339622641514</v>
      </c>
      <c r="K12">
        <v>1</v>
      </c>
      <c r="L12"/>
      <c r="M12"/>
      <c r="N12"/>
      <c r="O12"/>
      <c r="P12"/>
      <c r="Q12"/>
      <c r="T12"/>
      <c r="U12"/>
      <c r="Y12"/>
      <c r="Z12"/>
    </row>
    <row r="13" spans="1:33" x14ac:dyDescent="0.2">
      <c r="A13" s="43">
        <v>524</v>
      </c>
      <c r="B13" s="13" t="s">
        <v>1059</v>
      </c>
      <c r="C13" s="33">
        <v>14</v>
      </c>
      <c r="D13" s="34">
        <v>0</v>
      </c>
      <c r="E13" s="34">
        <v>0</v>
      </c>
      <c r="F13" s="34">
        <v>2709</v>
      </c>
      <c r="G13" s="34">
        <v>2694</v>
      </c>
      <c r="H13" s="34">
        <v>0</v>
      </c>
      <c r="I13" s="35" t="str">
        <f t="shared" si="2"/>
        <v>-</v>
      </c>
      <c r="J13" s="35">
        <f t="shared" si="3"/>
        <v>0.99446290143964566</v>
      </c>
      <c r="K13">
        <v>1</v>
      </c>
      <c r="L13"/>
      <c r="M13"/>
      <c r="N13"/>
      <c r="O13"/>
      <c r="P13"/>
      <c r="Q13"/>
      <c r="T13"/>
      <c r="U13"/>
      <c r="Y13"/>
      <c r="Z13"/>
    </row>
    <row r="14" spans="1:33" x14ac:dyDescent="0.2">
      <c r="A14" s="43">
        <v>16</v>
      </c>
      <c r="B14" s="13" t="s">
        <v>264</v>
      </c>
      <c r="C14" s="33">
        <v>11</v>
      </c>
      <c r="D14" s="34">
        <v>842</v>
      </c>
      <c r="E14" s="34">
        <v>1182</v>
      </c>
      <c r="F14" s="34">
        <v>0</v>
      </c>
      <c r="G14" s="34">
        <v>0</v>
      </c>
      <c r="H14" s="34">
        <v>17</v>
      </c>
      <c r="I14" s="35">
        <f t="shared" si="2"/>
        <v>1.4038004750593824</v>
      </c>
      <c r="J14" s="35" t="str">
        <f t="shared" si="3"/>
        <v>-</v>
      </c>
      <c r="K14"/>
      <c r="L14" s="24" t="s">
        <v>1685</v>
      </c>
      <c r="M14" s="24" t="s">
        <v>1459</v>
      </c>
      <c r="N14" s="24" t="s">
        <v>1459</v>
      </c>
      <c r="O14" s="24" t="s">
        <v>1459</v>
      </c>
      <c r="P14" s="24" t="s">
        <v>1457</v>
      </c>
      <c r="Q14" s="24" t="s">
        <v>1459</v>
      </c>
      <c r="R14" s="47" t="s">
        <v>1686</v>
      </c>
      <c r="S14" s="47" t="s">
        <v>1578</v>
      </c>
      <c r="T14" s="24">
        <v>2</v>
      </c>
      <c r="V14" s="24"/>
      <c r="W14" s="24"/>
      <c r="X14" s="24"/>
      <c r="Z14" s="27" t="s">
        <v>1687</v>
      </c>
      <c r="AA14" s="27" t="s">
        <v>1688</v>
      </c>
      <c r="AC14" cm="1">
        <f t="array" ref="AC14">SUMPRODUCT(--(M14:Q14="YES"))</f>
        <v>4</v>
      </c>
      <c r="AD14">
        <f>COUNTIF($AC$7:AC14, "&gt;=3")</f>
        <v>4</v>
      </c>
    </row>
    <row r="15" spans="1:33" x14ac:dyDescent="0.2">
      <c r="A15" s="43">
        <v>402</v>
      </c>
      <c r="B15" s="13" t="s">
        <v>1262</v>
      </c>
      <c r="C15" s="33">
        <v>12</v>
      </c>
      <c r="D15" s="34">
        <v>0</v>
      </c>
      <c r="E15" s="34">
        <v>0</v>
      </c>
      <c r="F15" s="34">
        <v>561</v>
      </c>
      <c r="G15" s="34">
        <v>560</v>
      </c>
      <c r="H15" s="34">
        <v>0</v>
      </c>
      <c r="I15" s="35" t="str">
        <f t="shared" si="2"/>
        <v>-</v>
      </c>
      <c r="J15" s="35">
        <f t="shared" si="3"/>
        <v>0.99821746880570406</v>
      </c>
      <c r="K15">
        <v>1</v>
      </c>
      <c r="L15"/>
      <c r="M15"/>
      <c r="N15"/>
      <c r="O15"/>
      <c r="P15"/>
      <c r="Q15"/>
      <c r="T15"/>
      <c r="U15"/>
      <c r="Y15"/>
      <c r="Z15"/>
    </row>
    <row r="16" spans="1:33" ht="307" x14ac:dyDescent="0.2">
      <c r="A16" s="44">
        <v>7</v>
      </c>
      <c r="B16" s="15" t="s">
        <v>191</v>
      </c>
      <c r="C16" s="14">
        <v>5</v>
      </c>
      <c r="D16" s="36">
        <v>1237</v>
      </c>
      <c r="E16" s="36">
        <v>1141</v>
      </c>
      <c r="F16" s="36">
        <v>0</v>
      </c>
      <c r="G16" s="36">
        <v>0</v>
      </c>
      <c r="H16" s="36">
        <v>10</v>
      </c>
      <c r="I16" s="37">
        <f t="shared" si="2"/>
        <v>0.92239288601455138</v>
      </c>
      <c r="J16" s="37" t="str">
        <f t="shared" si="3"/>
        <v>-</v>
      </c>
      <c r="K16"/>
      <c r="L16" s="56" t="s">
        <v>1689</v>
      </c>
      <c r="M16" s="24" t="s">
        <v>1459</v>
      </c>
      <c r="N16" s="24" t="s">
        <v>1457</v>
      </c>
      <c r="O16" s="24" t="s">
        <v>1459</v>
      </c>
      <c r="P16" s="24" t="s">
        <v>1459</v>
      </c>
      <c r="Q16" s="24" t="s">
        <v>1459</v>
      </c>
      <c r="R16" s="47" t="s">
        <v>1690</v>
      </c>
      <c r="S16" s="47" t="s">
        <v>1457</v>
      </c>
      <c r="T16" s="24">
        <v>2</v>
      </c>
      <c r="U16" s="24" t="s">
        <v>1470</v>
      </c>
      <c r="V16" s="24" t="s">
        <v>1691</v>
      </c>
      <c r="W16" s="24" t="s">
        <v>1692</v>
      </c>
      <c r="X16" s="24" t="s">
        <v>1693</v>
      </c>
      <c r="Z16" s="27" t="s">
        <v>1694</v>
      </c>
      <c r="AA16" s="38" t="s">
        <v>1695</v>
      </c>
      <c r="AC16" cm="1">
        <f t="array" ref="AC16">SUMPRODUCT(--(M16:Q16="YES"))</f>
        <v>4</v>
      </c>
      <c r="AD16">
        <f>COUNTIF($AC$7:AC16, "&gt;=3")</f>
        <v>5</v>
      </c>
    </row>
    <row r="17" spans="1:30" x14ac:dyDescent="0.2">
      <c r="A17" s="43">
        <v>6</v>
      </c>
      <c r="B17" s="13" t="s">
        <v>127</v>
      </c>
      <c r="C17" s="33">
        <v>3</v>
      </c>
      <c r="D17" s="34">
        <v>1321</v>
      </c>
      <c r="E17" s="34">
        <v>1112</v>
      </c>
      <c r="F17" s="34">
        <v>0</v>
      </c>
      <c r="G17" s="34">
        <v>0</v>
      </c>
      <c r="H17" s="34">
        <v>13</v>
      </c>
      <c r="I17" s="35">
        <f t="shared" si="2"/>
        <v>0.8417865253595761</v>
      </c>
      <c r="J17" s="35" t="str">
        <f t="shared" si="3"/>
        <v>-</v>
      </c>
      <c r="K17"/>
      <c r="L17" s="24" t="s">
        <v>1696</v>
      </c>
      <c r="M17" s="24" t="s">
        <v>1459</v>
      </c>
      <c r="N17" s="24" t="s">
        <v>1457</v>
      </c>
      <c r="O17" s="24" t="s">
        <v>1459</v>
      </c>
      <c r="P17" s="24" t="s">
        <v>1459</v>
      </c>
      <c r="Q17" s="24" t="s">
        <v>1459</v>
      </c>
      <c r="R17" s="47" t="s">
        <v>1697</v>
      </c>
      <c r="S17" s="47" t="s">
        <v>1457</v>
      </c>
      <c r="T17" s="24">
        <v>2</v>
      </c>
      <c r="U17" s="24" t="s">
        <v>1482</v>
      </c>
      <c r="V17" s="24" t="s">
        <v>1698</v>
      </c>
      <c r="W17" s="24" t="s">
        <v>1472</v>
      </c>
      <c r="X17" s="24" t="s">
        <v>1485</v>
      </c>
      <c r="Z17" s="27" t="s">
        <v>1699</v>
      </c>
      <c r="AA17" s="27" t="s">
        <v>1700</v>
      </c>
      <c r="AC17" cm="1">
        <f t="array" ref="AC17">SUMPRODUCT(--(M17:Q17="YES"))</f>
        <v>4</v>
      </c>
      <c r="AD17">
        <f>COUNTIF($AC$7:AC17, "&gt;=3")</f>
        <v>6</v>
      </c>
    </row>
    <row r="18" spans="1:30" x14ac:dyDescent="0.2">
      <c r="A18" s="44">
        <v>209</v>
      </c>
      <c r="B18" s="15" t="s">
        <v>865</v>
      </c>
      <c r="C18" s="14">
        <v>11</v>
      </c>
      <c r="D18" s="36">
        <v>82</v>
      </c>
      <c r="E18" s="36">
        <v>53</v>
      </c>
      <c r="F18" s="36">
        <v>1306</v>
      </c>
      <c r="G18" s="36">
        <v>1064</v>
      </c>
      <c r="H18" s="36">
        <v>2</v>
      </c>
      <c r="I18" s="37">
        <f t="shared" si="2"/>
        <v>0.64634146341463417</v>
      </c>
      <c r="J18" s="37">
        <f t="shared" si="3"/>
        <v>0.81470137825421129</v>
      </c>
      <c r="K18">
        <v>1</v>
      </c>
      <c r="L18"/>
      <c r="M18"/>
      <c r="N18"/>
      <c r="O18"/>
      <c r="P18"/>
      <c r="Q18"/>
      <c r="T18"/>
      <c r="U18"/>
      <c r="Y18"/>
      <c r="Z18"/>
    </row>
    <row r="19" spans="1:30" x14ac:dyDescent="0.2">
      <c r="A19" s="44">
        <v>15</v>
      </c>
      <c r="B19" s="15" t="s">
        <v>88</v>
      </c>
      <c r="C19" s="14">
        <v>3</v>
      </c>
      <c r="D19" s="36">
        <v>848</v>
      </c>
      <c r="E19" s="36">
        <v>1102</v>
      </c>
      <c r="F19" s="36">
        <v>805</v>
      </c>
      <c r="G19" s="36">
        <v>788</v>
      </c>
      <c r="H19" s="36">
        <v>24</v>
      </c>
      <c r="I19" s="37">
        <f t="shared" si="2"/>
        <v>1.2995283018867925</v>
      </c>
      <c r="J19" s="37">
        <f t="shared" si="3"/>
        <v>0.97888198757763978</v>
      </c>
      <c r="K19"/>
      <c r="L19" s="24" t="s">
        <v>1701</v>
      </c>
      <c r="M19" s="24" t="s">
        <v>1459</v>
      </c>
      <c r="N19" s="24" t="s">
        <v>1459</v>
      </c>
      <c r="O19" s="24" t="s">
        <v>1459</v>
      </c>
      <c r="P19" s="24" t="s">
        <v>1459</v>
      </c>
      <c r="Q19" s="24" t="s">
        <v>1457</v>
      </c>
      <c r="S19" t="s">
        <v>1578</v>
      </c>
      <c r="T19" s="24">
        <v>2</v>
      </c>
      <c r="U19" s="24" t="s">
        <v>1482</v>
      </c>
      <c r="V19" s="24" t="s">
        <v>1482</v>
      </c>
      <c r="W19" s="24" t="s">
        <v>1459</v>
      </c>
      <c r="X19" s="24" t="s">
        <v>1702</v>
      </c>
      <c r="Z19" s="27" t="s">
        <v>1703</v>
      </c>
      <c r="AA19" s="27" t="s">
        <v>1704</v>
      </c>
      <c r="AC19" cm="1">
        <f t="array" ref="AC19">SUMPRODUCT(--(M19:Q19="YES"))</f>
        <v>4</v>
      </c>
      <c r="AD19">
        <f>COUNTIF($AC$7:AC19, "&gt;=3")</f>
        <v>7</v>
      </c>
    </row>
    <row r="20" spans="1:30" x14ac:dyDescent="0.2">
      <c r="A20" s="43">
        <v>348</v>
      </c>
      <c r="B20" s="13" t="s">
        <v>853</v>
      </c>
      <c r="C20" s="33">
        <v>10</v>
      </c>
      <c r="D20" s="34">
        <v>23</v>
      </c>
      <c r="E20" s="34">
        <v>30</v>
      </c>
      <c r="F20" s="34">
        <v>2412</v>
      </c>
      <c r="G20" s="34">
        <v>2689</v>
      </c>
      <c r="H20" s="34">
        <v>1</v>
      </c>
      <c r="I20" s="35">
        <f t="shared" si="2"/>
        <v>1.3043478260869565</v>
      </c>
      <c r="J20" s="35">
        <f t="shared" si="3"/>
        <v>1.1148424543946931</v>
      </c>
      <c r="K20">
        <v>1</v>
      </c>
      <c r="L20"/>
      <c r="M20"/>
      <c r="N20"/>
      <c r="O20"/>
      <c r="P20"/>
      <c r="Q20"/>
      <c r="T20"/>
      <c r="U20"/>
      <c r="Y20"/>
      <c r="Z20"/>
    </row>
    <row r="21" spans="1:30" x14ac:dyDescent="0.2">
      <c r="A21" s="43">
        <v>416</v>
      </c>
      <c r="B21" s="13" t="s">
        <v>1190</v>
      </c>
      <c r="C21" s="33">
        <v>10</v>
      </c>
      <c r="D21" s="34">
        <v>0</v>
      </c>
      <c r="E21" s="34">
        <v>0</v>
      </c>
      <c r="F21" s="34">
        <v>1055</v>
      </c>
      <c r="G21" s="34">
        <v>907</v>
      </c>
      <c r="H21" s="34">
        <v>0</v>
      </c>
      <c r="I21" s="35" t="str">
        <f t="shared" si="2"/>
        <v>-</v>
      </c>
      <c r="J21" s="35">
        <f t="shared" si="3"/>
        <v>0.85971563981042654</v>
      </c>
      <c r="K21">
        <v>1</v>
      </c>
      <c r="L21"/>
      <c r="M21"/>
      <c r="N21"/>
      <c r="O21"/>
      <c r="P21"/>
      <c r="Q21"/>
      <c r="T21"/>
      <c r="U21"/>
      <c r="Y21"/>
      <c r="Z21"/>
    </row>
    <row r="22" spans="1:30" x14ac:dyDescent="0.2">
      <c r="A22" s="43">
        <v>456</v>
      </c>
      <c r="B22" s="13" t="s">
        <v>1120</v>
      </c>
      <c r="C22" s="33">
        <v>10</v>
      </c>
      <c r="D22" s="34">
        <v>0</v>
      </c>
      <c r="E22" s="34">
        <v>0</v>
      </c>
      <c r="F22" s="34">
        <v>2588</v>
      </c>
      <c r="G22" s="34">
        <v>2486</v>
      </c>
      <c r="H22" s="34">
        <v>0</v>
      </c>
      <c r="I22" s="35" t="str">
        <f t="shared" si="2"/>
        <v>-</v>
      </c>
      <c r="J22" s="35">
        <f t="shared" si="3"/>
        <v>0.96058732612055642</v>
      </c>
      <c r="K22">
        <v>1</v>
      </c>
      <c r="L22"/>
      <c r="M22"/>
      <c r="N22"/>
      <c r="O22"/>
      <c r="P22"/>
      <c r="Q22"/>
      <c r="T22"/>
      <c r="U22"/>
      <c r="Y22"/>
      <c r="Z22"/>
    </row>
    <row r="23" spans="1:30" x14ac:dyDescent="0.2">
      <c r="A23" s="43">
        <v>458</v>
      </c>
      <c r="B23" s="13" t="s">
        <v>1163</v>
      </c>
      <c r="C23" s="33">
        <v>10</v>
      </c>
      <c r="D23" s="34">
        <v>0</v>
      </c>
      <c r="E23" s="34">
        <v>0</v>
      </c>
      <c r="F23" s="34">
        <v>810</v>
      </c>
      <c r="G23" s="34">
        <v>686</v>
      </c>
      <c r="H23" s="34">
        <v>0</v>
      </c>
      <c r="I23" s="35" t="str">
        <f t="shared" si="2"/>
        <v>-</v>
      </c>
      <c r="J23" s="35">
        <f t="shared" si="3"/>
        <v>0.84691358024691354</v>
      </c>
      <c r="K23">
        <v>1</v>
      </c>
      <c r="L23"/>
      <c r="M23"/>
      <c r="N23"/>
      <c r="O23"/>
      <c r="P23"/>
      <c r="Q23"/>
      <c r="T23"/>
      <c r="U23"/>
      <c r="Y23"/>
      <c r="Z23"/>
    </row>
    <row r="24" spans="1:30" x14ac:dyDescent="0.2">
      <c r="A24" s="44">
        <v>525</v>
      </c>
      <c r="B24" s="15" t="s">
        <v>1286</v>
      </c>
      <c r="C24" s="14">
        <v>10</v>
      </c>
      <c r="D24" s="36">
        <v>0</v>
      </c>
      <c r="E24" s="36">
        <v>0</v>
      </c>
      <c r="F24" s="36">
        <v>454</v>
      </c>
      <c r="G24" s="36">
        <v>442</v>
      </c>
      <c r="H24" s="36">
        <v>0</v>
      </c>
      <c r="I24" s="37" t="str">
        <f t="shared" si="2"/>
        <v>-</v>
      </c>
      <c r="J24" s="37">
        <f t="shared" si="3"/>
        <v>0.97356828193832601</v>
      </c>
      <c r="K24">
        <v>1</v>
      </c>
      <c r="L24"/>
      <c r="M24"/>
      <c r="N24"/>
      <c r="O24"/>
      <c r="P24"/>
      <c r="Q24"/>
      <c r="T24"/>
      <c r="U24"/>
      <c r="Y24"/>
      <c r="Z24"/>
    </row>
    <row r="25" spans="1:30" x14ac:dyDescent="0.2">
      <c r="A25" s="44">
        <v>535</v>
      </c>
      <c r="B25" s="15" t="s">
        <v>1108</v>
      </c>
      <c r="C25" s="14">
        <v>10</v>
      </c>
      <c r="D25" s="36">
        <v>0</v>
      </c>
      <c r="E25" s="36">
        <v>0</v>
      </c>
      <c r="F25" s="36">
        <v>1985</v>
      </c>
      <c r="G25" s="36">
        <v>1907</v>
      </c>
      <c r="H25" s="36">
        <v>0</v>
      </c>
      <c r="I25" s="37" t="str">
        <f t="shared" si="2"/>
        <v>-</v>
      </c>
      <c r="J25" s="37">
        <f t="shared" si="3"/>
        <v>0.96070528967254409</v>
      </c>
      <c r="K25">
        <v>1</v>
      </c>
      <c r="L25"/>
      <c r="M25"/>
      <c r="N25"/>
      <c r="O25"/>
      <c r="P25"/>
      <c r="Q25"/>
      <c r="T25"/>
      <c r="U25"/>
      <c r="Y25"/>
      <c r="Z25"/>
    </row>
    <row r="26" spans="1:30" x14ac:dyDescent="0.2">
      <c r="A26" s="44">
        <v>9</v>
      </c>
      <c r="B26" s="15" t="s">
        <v>110</v>
      </c>
      <c r="C26" s="14">
        <v>5</v>
      </c>
      <c r="D26" s="36">
        <v>1167</v>
      </c>
      <c r="E26" s="36">
        <v>1099</v>
      </c>
      <c r="F26" s="36">
        <v>0</v>
      </c>
      <c r="G26" s="36">
        <v>0</v>
      </c>
      <c r="H26" s="36">
        <v>18</v>
      </c>
      <c r="I26" s="37">
        <f t="shared" si="2"/>
        <v>0.94173093401885177</v>
      </c>
      <c r="J26" s="37" t="str">
        <f t="shared" si="3"/>
        <v>-</v>
      </c>
      <c r="K26"/>
      <c r="L26" s="24" t="s">
        <v>1705</v>
      </c>
      <c r="M26" s="24" t="s">
        <v>1459</v>
      </c>
      <c r="N26" s="24" t="s">
        <v>1459</v>
      </c>
      <c r="O26" s="24" t="s">
        <v>1459</v>
      </c>
      <c r="P26" s="24" t="s">
        <v>1457</v>
      </c>
      <c r="Q26" s="24" t="s">
        <v>1457</v>
      </c>
      <c r="S26" t="s">
        <v>1578</v>
      </c>
      <c r="T26" s="24">
        <v>2</v>
      </c>
      <c r="V26" s="24"/>
      <c r="W26" s="24"/>
      <c r="X26" s="24"/>
      <c r="Z26" s="27" t="s">
        <v>1706</v>
      </c>
      <c r="AA26" s="27"/>
      <c r="AC26" cm="1">
        <f t="array" ref="AC26">SUMPRODUCT(--(M26:Q26="YES"))</f>
        <v>3</v>
      </c>
      <c r="AD26">
        <f>COUNTIF($AC$7:AC26, "&gt;=3")</f>
        <v>8</v>
      </c>
    </row>
    <row r="27" spans="1:30" x14ac:dyDescent="0.2">
      <c r="A27" s="43">
        <v>12</v>
      </c>
      <c r="B27" s="13" t="s">
        <v>168</v>
      </c>
      <c r="C27" s="33">
        <v>4</v>
      </c>
      <c r="D27" s="34">
        <v>971</v>
      </c>
      <c r="E27" s="34">
        <v>1034</v>
      </c>
      <c r="F27" s="34">
        <v>0</v>
      </c>
      <c r="G27" s="34">
        <v>0</v>
      </c>
      <c r="H27" s="34">
        <v>15</v>
      </c>
      <c r="I27" s="35">
        <f t="shared" si="2"/>
        <v>1.0648815653964985</v>
      </c>
      <c r="J27" s="35" t="str">
        <f t="shared" si="3"/>
        <v>-</v>
      </c>
      <c r="K27"/>
      <c r="L27" s="24" t="s">
        <v>1707</v>
      </c>
      <c r="M27" s="24" t="s">
        <v>1459</v>
      </c>
      <c r="N27" s="24" t="s">
        <v>1459</v>
      </c>
      <c r="O27" s="24" t="s">
        <v>1459</v>
      </c>
      <c r="P27" s="24" t="s">
        <v>1459</v>
      </c>
      <c r="Q27" s="24" t="s">
        <v>1457</v>
      </c>
      <c r="S27" t="s">
        <v>1497</v>
      </c>
      <c r="T27" s="24">
        <v>2</v>
      </c>
      <c r="U27" s="24" t="s">
        <v>1482</v>
      </c>
      <c r="V27" s="24" t="s">
        <v>1708</v>
      </c>
      <c r="W27" s="24" t="s">
        <v>1459</v>
      </c>
      <c r="X27" s="24" t="s">
        <v>1678</v>
      </c>
      <c r="Z27" s="27" t="s">
        <v>1709</v>
      </c>
      <c r="AA27" s="27" t="s">
        <v>1710</v>
      </c>
      <c r="AC27" cm="1">
        <f t="array" ref="AC27">SUMPRODUCT(--(M27:Q27="YES"))</f>
        <v>4</v>
      </c>
      <c r="AD27">
        <f>COUNTIF($AC$7:AC27, "&gt;=3")</f>
        <v>9</v>
      </c>
    </row>
    <row r="28" spans="1:30" x14ac:dyDescent="0.2">
      <c r="A28" s="44">
        <v>25</v>
      </c>
      <c r="B28" s="15" t="s">
        <v>250</v>
      </c>
      <c r="C28" s="14">
        <v>18</v>
      </c>
      <c r="D28" s="36">
        <v>715</v>
      </c>
      <c r="E28" s="36">
        <v>871</v>
      </c>
      <c r="F28" s="36">
        <v>0</v>
      </c>
      <c r="G28" s="36">
        <v>0</v>
      </c>
      <c r="H28" s="36">
        <v>22</v>
      </c>
      <c r="I28" s="37">
        <f t="shared" si="2"/>
        <v>1.2181818181818183</v>
      </c>
      <c r="J28" s="37" t="str">
        <f t="shared" si="3"/>
        <v>-</v>
      </c>
      <c r="K28"/>
      <c r="L28" s="24" t="s">
        <v>1711</v>
      </c>
      <c r="M28" s="24" t="s">
        <v>1459</v>
      </c>
      <c r="N28" s="24" t="s">
        <v>1459</v>
      </c>
      <c r="O28" s="24" t="s">
        <v>1459</v>
      </c>
      <c r="P28" s="24" t="s">
        <v>1459</v>
      </c>
      <c r="Q28" s="24" t="s">
        <v>1459</v>
      </c>
      <c r="R28" s="47" t="s">
        <v>1712</v>
      </c>
      <c r="S28" s="47" t="s">
        <v>1459</v>
      </c>
      <c r="T28" s="24">
        <v>2</v>
      </c>
      <c r="U28" s="24" t="s">
        <v>1465</v>
      </c>
      <c r="V28" s="24" t="s">
        <v>1465</v>
      </c>
      <c r="W28" s="24" t="s">
        <v>1465</v>
      </c>
      <c r="X28" s="24" t="s">
        <v>1465</v>
      </c>
      <c r="Z28" s="27" t="s">
        <v>1713</v>
      </c>
      <c r="AA28" s="27" t="s">
        <v>1714</v>
      </c>
      <c r="AC28" cm="1">
        <f t="array" ref="AC28">SUMPRODUCT(--(M28:Q28="YES"))</f>
        <v>5</v>
      </c>
      <c r="AD28">
        <f>COUNTIF($AC$7:AC28, "&gt;=3")</f>
        <v>10</v>
      </c>
    </row>
    <row r="29" spans="1:30" x14ac:dyDescent="0.2">
      <c r="A29" s="44">
        <v>17</v>
      </c>
      <c r="B29" s="15" t="s">
        <v>237</v>
      </c>
      <c r="C29" s="14">
        <v>4</v>
      </c>
      <c r="D29" s="36">
        <v>825</v>
      </c>
      <c r="E29" s="36">
        <v>773</v>
      </c>
      <c r="F29" s="36">
        <v>0</v>
      </c>
      <c r="G29" s="36">
        <v>0</v>
      </c>
      <c r="H29" s="36">
        <v>9</v>
      </c>
      <c r="I29" s="37">
        <f t="shared" si="2"/>
        <v>0.93696969696969701</v>
      </c>
      <c r="J29" s="37" t="str">
        <f t="shared" si="3"/>
        <v>-</v>
      </c>
      <c r="K29"/>
      <c r="L29" s="24" t="s">
        <v>1715</v>
      </c>
      <c r="M29" s="24" t="s">
        <v>1457</v>
      </c>
      <c r="N29" s="24" t="s">
        <v>1457</v>
      </c>
      <c r="O29" s="24" t="s">
        <v>1457</v>
      </c>
      <c r="P29" s="24" t="s">
        <v>1457</v>
      </c>
      <c r="Q29" s="24" t="s">
        <v>1459</v>
      </c>
      <c r="R29" s="47" t="s">
        <v>1716</v>
      </c>
      <c r="S29" s="47" t="s">
        <v>1578</v>
      </c>
      <c r="T29" s="24">
        <v>2</v>
      </c>
      <c r="V29" s="24"/>
      <c r="W29" s="24"/>
      <c r="X29" s="24"/>
      <c r="Z29" s="27"/>
      <c r="AA29" s="27"/>
      <c r="AC29" cm="1">
        <f t="array" ref="AC29">SUMPRODUCT(--(M29:Q29="YES"))</f>
        <v>1</v>
      </c>
      <c r="AD29">
        <f>COUNTIF($AC$7:AC29, "&gt;=3")</f>
        <v>10</v>
      </c>
    </row>
    <row r="30" spans="1:30" x14ac:dyDescent="0.2">
      <c r="A30" s="44">
        <v>13</v>
      </c>
      <c r="B30" s="15" t="s">
        <v>257</v>
      </c>
      <c r="C30" s="14">
        <v>7</v>
      </c>
      <c r="D30" s="36">
        <v>940</v>
      </c>
      <c r="E30" s="36">
        <v>768</v>
      </c>
      <c r="F30" s="36">
        <v>986</v>
      </c>
      <c r="G30" s="36">
        <v>982</v>
      </c>
      <c r="H30" s="36">
        <v>13</v>
      </c>
      <c r="I30" s="37">
        <f t="shared" si="2"/>
        <v>0.81702127659574464</v>
      </c>
      <c r="J30" s="37">
        <f t="shared" si="3"/>
        <v>0.99594320486815413</v>
      </c>
      <c r="K30"/>
      <c r="L30" s="24" t="s">
        <v>1717</v>
      </c>
      <c r="M30" s="24" t="s">
        <v>1459</v>
      </c>
      <c r="N30" s="24" t="s">
        <v>1459</v>
      </c>
      <c r="O30" s="24" t="s">
        <v>1459</v>
      </c>
      <c r="P30" s="24" t="s">
        <v>1457</v>
      </c>
      <c r="Q30" s="24" t="s">
        <v>1457</v>
      </c>
      <c r="T30" s="24">
        <v>2</v>
      </c>
      <c r="V30" s="24"/>
      <c r="W30" s="24"/>
      <c r="X30" s="24"/>
      <c r="Z30" s="27" t="s">
        <v>1718</v>
      </c>
      <c r="AA30" s="27" t="s">
        <v>1719</v>
      </c>
      <c r="AC30" cm="1">
        <f t="array" ref="AC30">SUMPRODUCT(--(M30:Q30="YES"))</f>
        <v>3</v>
      </c>
      <c r="AD30">
        <f>COUNTIF($AC$7:AC30, "&gt;=3")</f>
        <v>11</v>
      </c>
    </row>
    <row r="31" spans="1:30" x14ac:dyDescent="0.2">
      <c r="A31" s="44">
        <v>19</v>
      </c>
      <c r="B31" s="15" t="s">
        <v>224</v>
      </c>
      <c r="C31" s="14">
        <v>3</v>
      </c>
      <c r="D31" s="36">
        <v>765</v>
      </c>
      <c r="E31" s="36">
        <v>766</v>
      </c>
      <c r="F31" s="36">
        <v>0</v>
      </c>
      <c r="G31" s="36">
        <v>0</v>
      </c>
      <c r="H31" s="36">
        <v>13</v>
      </c>
      <c r="I31" s="37">
        <f t="shared" si="2"/>
        <v>1.0013071895424837</v>
      </c>
      <c r="J31" s="37" t="str">
        <f t="shared" si="3"/>
        <v>-</v>
      </c>
      <c r="K31"/>
      <c r="L31" s="24" t="s">
        <v>1720</v>
      </c>
      <c r="M31" s="24" t="s">
        <v>1457</v>
      </c>
      <c r="N31" s="24" t="s">
        <v>1457</v>
      </c>
      <c r="O31" s="24" t="s">
        <v>1459</v>
      </c>
      <c r="P31" s="24" t="s">
        <v>1457</v>
      </c>
      <c r="Q31" s="24" t="s">
        <v>1457</v>
      </c>
      <c r="T31" s="24">
        <v>2</v>
      </c>
      <c r="V31" s="24"/>
      <c r="W31" s="24"/>
      <c r="X31" s="24"/>
      <c r="Z31" s="27"/>
      <c r="AA31" s="27"/>
      <c r="AC31" cm="1">
        <f t="array" ref="AC31">SUMPRODUCT(--(M31:Q31="YES"))</f>
        <v>1</v>
      </c>
      <c r="AD31">
        <f>COUNTIF($AC$7:AC31, "&gt;=3")</f>
        <v>11</v>
      </c>
    </row>
    <row r="32" spans="1:30" x14ac:dyDescent="0.2">
      <c r="A32" s="44">
        <v>395</v>
      </c>
      <c r="B32" s="15" t="s">
        <v>1290</v>
      </c>
      <c r="C32" s="14">
        <v>9</v>
      </c>
      <c r="D32" s="36">
        <v>0</v>
      </c>
      <c r="E32" s="36">
        <v>0</v>
      </c>
      <c r="F32" s="36">
        <v>391</v>
      </c>
      <c r="G32" s="36">
        <v>391</v>
      </c>
      <c r="H32" s="36">
        <v>0</v>
      </c>
      <c r="I32" s="37" t="str">
        <f t="shared" si="2"/>
        <v>-</v>
      </c>
      <c r="J32" s="37">
        <f t="shared" si="3"/>
        <v>1</v>
      </c>
      <c r="K32"/>
      <c r="L32"/>
      <c r="M32"/>
      <c r="N32"/>
      <c r="O32"/>
      <c r="P32"/>
      <c r="Q32"/>
      <c r="T32"/>
      <c r="U32"/>
      <c r="Y32"/>
      <c r="Z32"/>
    </row>
    <row r="33" spans="1:30" x14ac:dyDescent="0.2">
      <c r="A33" s="43">
        <v>428</v>
      </c>
      <c r="B33" s="13" t="s">
        <v>1141</v>
      </c>
      <c r="C33" s="33">
        <v>9</v>
      </c>
      <c r="D33" s="34">
        <v>0</v>
      </c>
      <c r="E33" s="34">
        <v>0</v>
      </c>
      <c r="F33" s="34">
        <v>1415</v>
      </c>
      <c r="G33" s="34">
        <v>1335</v>
      </c>
      <c r="H33" s="34">
        <v>0</v>
      </c>
      <c r="I33" s="35" t="str">
        <f t="shared" si="2"/>
        <v>-</v>
      </c>
      <c r="J33" s="35">
        <f t="shared" si="3"/>
        <v>0.94346289752650181</v>
      </c>
      <c r="K33"/>
      <c r="L33"/>
      <c r="M33"/>
      <c r="N33"/>
      <c r="O33"/>
      <c r="P33"/>
      <c r="Q33"/>
      <c r="T33"/>
      <c r="U33"/>
      <c r="Y33"/>
      <c r="Z33"/>
    </row>
    <row r="34" spans="1:30" x14ac:dyDescent="0.2">
      <c r="A34" s="44">
        <v>513</v>
      </c>
      <c r="B34" s="15" t="s">
        <v>1097</v>
      </c>
      <c r="C34" s="14">
        <v>9</v>
      </c>
      <c r="D34" s="36">
        <v>0</v>
      </c>
      <c r="E34" s="36">
        <v>0</v>
      </c>
      <c r="F34" s="36">
        <v>1702</v>
      </c>
      <c r="G34" s="36">
        <v>1647</v>
      </c>
      <c r="H34" s="36">
        <v>0</v>
      </c>
      <c r="I34" s="37" t="str">
        <f t="shared" si="2"/>
        <v>-</v>
      </c>
      <c r="J34" s="37">
        <f t="shared" si="3"/>
        <v>0.96768507638072854</v>
      </c>
      <c r="K34"/>
      <c r="L34"/>
      <c r="M34"/>
      <c r="N34"/>
      <c r="O34"/>
      <c r="P34"/>
      <c r="Q34"/>
      <c r="T34"/>
      <c r="U34"/>
      <c r="Y34"/>
      <c r="Z34"/>
    </row>
    <row r="35" spans="1:30" ht="155" x14ac:dyDescent="0.2">
      <c r="A35" s="44">
        <v>31</v>
      </c>
      <c r="B35" s="15" t="s">
        <v>192</v>
      </c>
      <c r="C35" s="14">
        <v>4</v>
      </c>
      <c r="D35" s="36">
        <v>595</v>
      </c>
      <c r="E35" s="36">
        <v>737</v>
      </c>
      <c r="F35" s="36">
        <v>0</v>
      </c>
      <c r="G35" s="36">
        <v>0</v>
      </c>
      <c r="H35" s="36">
        <v>11</v>
      </c>
      <c r="I35" s="37">
        <f t="shared" si="2"/>
        <v>1.238655462184874</v>
      </c>
      <c r="J35" s="37" t="str">
        <f t="shared" si="3"/>
        <v>-</v>
      </c>
      <c r="K35"/>
      <c r="L35" s="55" t="s">
        <v>1721</v>
      </c>
      <c r="M35" s="24" t="s">
        <v>1459</v>
      </c>
      <c r="N35" s="24" t="s">
        <v>1459</v>
      </c>
      <c r="O35" s="24" t="s">
        <v>1459</v>
      </c>
      <c r="P35" s="24" t="s">
        <v>1459</v>
      </c>
      <c r="Q35" s="24" t="s">
        <v>1457</v>
      </c>
      <c r="S35" t="s">
        <v>1497</v>
      </c>
      <c r="T35" s="24">
        <v>2</v>
      </c>
      <c r="U35" s="24" t="s">
        <v>1722</v>
      </c>
      <c r="V35" s="24" t="s">
        <v>1723</v>
      </c>
      <c r="W35" s="24" t="s">
        <v>1724</v>
      </c>
      <c r="X35" s="24" t="s">
        <v>1485</v>
      </c>
      <c r="Z35" s="27" t="s">
        <v>1725</v>
      </c>
      <c r="AA35" s="38" t="s">
        <v>1726</v>
      </c>
      <c r="AC35" cm="1">
        <f t="array" ref="AC35">SUMPRODUCT(--(M35:Q35="YES"))</f>
        <v>4</v>
      </c>
      <c r="AD35">
        <f>COUNTIF($AC$7:AC35, "&gt;=3")</f>
        <v>12</v>
      </c>
    </row>
    <row r="36" spans="1:30" x14ac:dyDescent="0.2">
      <c r="A36" s="43">
        <v>26</v>
      </c>
      <c r="B36" s="13" t="s">
        <v>197</v>
      </c>
      <c r="C36" s="33">
        <v>5</v>
      </c>
      <c r="D36" s="34">
        <v>711</v>
      </c>
      <c r="E36" s="34">
        <v>716</v>
      </c>
      <c r="F36" s="34">
        <v>1168</v>
      </c>
      <c r="G36" s="34">
        <v>1141</v>
      </c>
      <c r="H36" s="34">
        <v>12</v>
      </c>
      <c r="I36" s="35">
        <f t="shared" si="2"/>
        <v>1.0070323488045008</v>
      </c>
      <c r="J36" s="35">
        <f t="shared" si="3"/>
        <v>0.97688356164383561</v>
      </c>
      <c r="K36"/>
      <c r="L36" s="24" t="s">
        <v>1727</v>
      </c>
      <c r="M36" s="24" t="s">
        <v>1457</v>
      </c>
      <c r="N36" s="24" t="s">
        <v>1457</v>
      </c>
      <c r="O36" s="24" t="s">
        <v>1459</v>
      </c>
      <c r="P36" s="24" t="s">
        <v>1457</v>
      </c>
      <c r="Q36" s="24" t="s">
        <v>1457</v>
      </c>
      <c r="T36" s="24">
        <v>2</v>
      </c>
      <c r="V36" s="24"/>
      <c r="W36" s="24"/>
      <c r="X36" s="24"/>
      <c r="Z36" s="27"/>
      <c r="AA36" s="27"/>
      <c r="AC36" cm="1">
        <f t="array" ref="AC36">SUMPRODUCT(--(M36:Q36="YES"))</f>
        <v>1</v>
      </c>
      <c r="AD36">
        <f>COUNTIF($AC$7:AC36, "&gt;=3")</f>
        <v>12</v>
      </c>
    </row>
    <row r="37" spans="1:30" x14ac:dyDescent="0.2">
      <c r="A37" s="43">
        <v>32</v>
      </c>
      <c r="B37" s="13" t="s">
        <v>195</v>
      </c>
      <c r="C37" s="33">
        <v>3</v>
      </c>
      <c r="D37" s="34">
        <v>594</v>
      </c>
      <c r="E37" s="34">
        <v>715</v>
      </c>
      <c r="F37" s="34">
        <v>0</v>
      </c>
      <c r="G37" s="34">
        <v>0</v>
      </c>
      <c r="H37" s="34">
        <v>7</v>
      </c>
      <c r="I37" s="35">
        <f t="shared" si="2"/>
        <v>1.2037037037037037</v>
      </c>
      <c r="J37" s="35" t="str">
        <f t="shared" si="3"/>
        <v>-</v>
      </c>
      <c r="K37"/>
      <c r="T37" s="24">
        <v>2</v>
      </c>
      <c r="V37" s="24"/>
      <c r="W37" s="24"/>
      <c r="X37" s="24"/>
      <c r="Z37" s="27"/>
      <c r="AA37" s="27"/>
      <c r="AC37" cm="1">
        <f t="array" ref="AC37">SUMPRODUCT(--(M37:Q37="YES"))</f>
        <v>0</v>
      </c>
      <c r="AD37">
        <f>COUNTIF($AC$7:AC37, "&gt;=3")</f>
        <v>12</v>
      </c>
    </row>
    <row r="38" spans="1:30" x14ac:dyDescent="0.2">
      <c r="A38" s="43">
        <v>400</v>
      </c>
      <c r="B38" s="13" t="s">
        <v>1052</v>
      </c>
      <c r="C38" s="33">
        <v>8</v>
      </c>
      <c r="D38" s="34">
        <v>0</v>
      </c>
      <c r="E38" s="34">
        <v>0</v>
      </c>
      <c r="F38" s="34">
        <v>2876</v>
      </c>
      <c r="G38" s="34">
        <v>2871</v>
      </c>
      <c r="H38" s="34">
        <v>0</v>
      </c>
      <c r="I38" s="35" t="str">
        <f t="shared" si="2"/>
        <v>-</v>
      </c>
      <c r="J38" s="35">
        <f t="shared" si="3"/>
        <v>0.99826147426981915</v>
      </c>
      <c r="K38"/>
      <c r="L38"/>
      <c r="M38"/>
      <c r="N38"/>
      <c r="O38"/>
      <c r="P38"/>
      <c r="Q38"/>
      <c r="T38"/>
      <c r="U38"/>
      <c r="Y38"/>
      <c r="Z38"/>
    </row>
    <row r="39" spans="1:30" x14ac:dyDescent="0.2">
      <c r="A39" s="43">
        <v>422</v>
      </c>
      <c r="B39" s="13" t="s">
        <v>1199</v>
      </c>
      <c r="C39" s="33">
        <v>8</v>
      </c>
      <c r="D39" s="34">
        <v>0</v>
      </c>
      <c r="E39" s="34">
        <v>0</v>
      </c>
      <c r="F39" s="34">
        <v>1253</v>
      </c>
      <c r="G39" s="34">
        <v>1130</v>
      </c>
      <c r="H39" s="34">
        <v>0</v>
      </c>
      <c r="I39" s="35" t="str">
        <f t="shared" si="2"/>
        <v>-</v>
      </c>
      <c r="J39" s="35">
        <f t="shared" si="3"/>
        <v>0.90183559457302476</v>
      </c>
      <c r="K39"/>
      <c r="L39"/>
      <c r="M39"/>
      <c r="N39"/>
      <c r="O39"/>
      <c r="P39"/>
      <c r="Q39"/>
      <c r="T39"/>
      <c r="U39"/>
      <c r="Y39"/>
      <c r="Z39"/>
    </row>
    <row r="40" spans="1:30" x14ac:dyDescent="0.2">
      <c r="A40" s="43">
        <v>436</v>
      </c>
      <c r="B40" s="13" t="s">
        <v>1214</v>
      </c>
      <c r="C40" s="33">
        <v>8</v>
      </c>
      <c r="D40" s="34">
        <v>0</v>
      </c>
      <c r="E40" s="34">
        <v>0</v>
      </c>
      <c r="F40" s="34">
        <v>802</v>
      </c>
      <c r="G40" s="34">
        <v>794</v>
      </c>
      <c r="H40" s="34">
        <v>0</v>
      </c>
      <c r="I40" s="35" t="str">
        <f t="shared" si="2"/>
        <v>-</v>
      </c>
      <c r="J40" s="35">
        <f t="shared" si="3"/>
        <v>0.9900249376558603</v>
      </c>
      <c r="K40"/>
      <c r="L40"/>
      <c r="M40"/>
      <c r="N40"/>
      <c r="O40"/>
      <c r="P40"/>
      <c r="Q40"/>
      <c r="T40"/>
      <c r="U40"/>
      <c r="Y40"/>
      <c r="Z40"/>
    </row>
    <row r="41" spans="1:30" x14ac:dyDescent="0.2">
      <c r="A41" s="43">
        <v>22</v>
      </c>
      <c r="B41" s="13" t="s">
        <v>255</v>
      </c>
      <c r="C41" s="33">
        <v>5</v>
      </c>
      <c r="D41" s="34">
        <v>741</v>
      </c>
      <c r="E41" s="34">
        <v>681</v>
      </c>
      <c r="F41" s="34">
        <v>0</v>
      </c>
      <c r="G41" s="34">
        <v>0</v>
      </c>
      <c r="H41" s="34">
        <v>11</v>
      </c>
      <c r="I41" s="35">
        <f t="shared" ref="I41:I72" si="4">IF(D41=0,"-",E41/D41)</f>
        <v>0.91902834008097167</v>
      </c>
      <c r="J41" s="35" t="str">
        <f t="shared" ref="J41:J72" si="5">IF(F41=0,"-",G41/F41)</f>
        <v>-</v>
      </c>
      <c r="K41"/>
      <c r="L41" s="24" t="s">
        <v>1728</v>
      </c>
      <c r="M41" s="24" t="s">
        <v>1457</v>
      </c>
      <c r="N41" s="24" t="s">
        <v>1457</v>
      </c>
      <c r="O41" s="24" t="s">
        <v>1459</v>
      </c>
      <c r="P41" s="24" t="s">
        <v>1457</v>
      </c>
      <c r="Q41" s="24" t="s">
        <v>1457</v>
      </c>
      <c r="T41" s="24">
        <v>2</v>
      </c>
      <c r="V41" s="24"/>
      <c r="W41" s="24"/>
      <c r="X41" s="24"/>
      <c r="Z41" s="27" t="s">
        <v>1729</v>
      </c>
      <c r="AA41" s="27" t="s">
        <v>1730</v>
      </c>
      <c r="AC41" cm="1">
        <f t="array" ref="AC41">SUMPRODUCT(--(M41:Q41="YES"))</f>
        <v>1</v>
      </c>
      <c r="AD41">
        <f>COUNTIF($AC$7:AC41, "&gt;=3")</f>
        <v>12</v>
      </c>
    </row>
    <row r="42" spans="1:30" x14ac:dyDescent="0.2">
      <c r="A42" s="43">
        <v>18</v>
      </c>
      <c r="B42" s="13" t="s">
        <v>340</v>
      </c>
      <c r="C42" s="33">
        <v>4</v>
      </c>
      <c r="D42" s="34">
        <v>770</v>
      </c>
      <c r="E42" s="34">
        <v>673</v>
      </c>
      <c r="F42" s="34">
        <v>0</v>
      </c>
      <c r="G42" s="34">
        <v>0</v>
      </c>
      <c r="H42" s="34">
        <v>7</v>
      </c>
      <c r="I42" s="35">
        <f t="shared" si="4"/>
        <v>0.87402597402597404</v>
      </c>
      <c r="J42" s="35" t="str">
        <f t="shared" si="5"/>
        <v>-</v>
      </c>
      <c r="K42"/>
      <c r="T42" s="24">
        <v>2</v>
      </c>
      <c r="V42" s="24"/>
      <c r="W42" s="24"/>
      <c r="X42" s="24"/>
      <c r="Z42" s="27"/>
      <c r="AA42" s="27"/>
      <c r="AC42" cm="1">
        <f t="array" ref="AC42">SUMPRODUCT(--(M42:Q42="YES"))</f>
        <v>0</v>
      </c>
      <c r="AD42">
        <f>COUNTIF($AC$7:AC42, "&gt;=3")</f>
        <v>12</v>
      </c>
    </row>
    <row r="43" spans="1:30" x14ac:dyDescent="0.2">
      <c r="A43" s="44">
        <v>27</v>
      </c>
      <c r="B43" s="15" t="s">
        <v>311</v>
      </c>
      <c r="C43" s="14">
        <v>5</v>
      </c>
      <c r="D43" s="36">
        <v>705</v>
      </c>
      <c r="E43" s="36">
        <v>638</v>
      </c>
      <c r="F43" s="36">
        <v>833</v>
      </c>
      <c r="G43" s="36">
        <v>821</v>
      </c>
      <c r="H43" s="36">
        <v>14</v>
      </c>
      <c r="I43" s="37">
        <f t="shared" si="4"/>
        <v>0.90496453900709217</v>
      </c>
      <c r="J43" s="37">
        <f t="shared" si="5"/>
        <v>0.98559423769507803</v>
      </c>
      <c r="K43"/>
      <c r="L43" s="24" t="s">
        <v>1731</v>
      </c>
      <c r="M43" s="24" t="s">
        <v>1459</v>
      </c>
      <c r="N43" s="24" t="s">
        <v>1459</v>
      </c>
      <c r="O43" s="24" t="s">
        <v>1459</v>
      </c>
      <c r="P43" s="24" t="s">
        <v>1457</v>
      </c>
      <c r="Q43" s="24" t="s">
        <v>1457</v>
      </c>
      <c r="T43" s="24">
        <v>2</v>
      </c>
      <c r="V43" s="24"/>
      <c r="W43" s="24"/>
      <c r="X43" s="24"/>
      <c r="Z43" s="27" t="s">
        <v>1732</v>
      </c>
      <c r="AA43" s="27" t="s">
        <v>1733</v>
      </c>
      <c r="AC43" cm="1">
        <f t="array" ref="AC43">SUMPRODUCT(--(M43:Q43="YES"))</f>
        <v>3</v>
      </c>
      <c r="AD43">
        <f>COUNTIF($AC$7:AC43, "&gt;=3")</f>
        <v>13</v>
      </c>
    </row>
    <row r="44" spans="1:30" ht="43" x14ac:dyDescent="0.2">
      <c r="A44" s="44">
        <v>39</v>
      </c>
      <c r="B44" s="15" t="s">
        <v>455</v>
      </c>
      <c r="C44" s="14">
        <v>10</v>
      </c>
      <c r="D44" s="36">
        <v>498</v>
      </c>
      <c r="E44" s="36">
        <v>623</v>
      </c>
      <c r="F44" s="36">
        <v>0</v>
      </c>
      <c r="G44" s="36">
        <v>0</v>
      </c>
      <c r="H44" s="36">
        <v>14</v>
      </c>
      <c r="I44" s="37">
        <f t="shared" si="4"/>
        <v>1.251004016064257</v>
      </c>
      <c r="J44" s="37" t="str">
        <f t="shared" si="5"/>
        <v>-</v>
      </c>
      <c r="K44"/>
      <c r="L44" s="55" t="s">
        <v>1734</v>
      </c>
      <c r="M44" s="24" t="s">
        <v>1459</v>
      </c>
      <c r="N44" s="24" t="s">
        <v>1459</v>
      </c>
      <c r="O44" s="24" t="s">
        <v>1459</v>
      </c>
      <c r="P44" s="24" t="s">
        <v>1459</v>
      </c>
      <c r="Q44" s="47" t="s">
        <v>1459</v>
      </c>
      <c r="R44" s="47" t="s">
        <v>1735</v>
      </c>
      <c r="S44" s="47" t="s">
        <v>1578</v>
      </c>
      <c r="T44" s="24">
        <v>2</v>
      </c>
      <c r="U44" s="24" t="s">
        <v>1470</v>
      </c>
      <c r="V44" s="24" t="s">
        <v>1465</v>
      </c>
      <c r="W44" s="24" t="s">
        <v>1465</v>
      </c>
      <c r="X44" s="24" t="s">
        <v>1485</v>
      </c>
      <c r="Z44" s="27" t="s">
        <v>1736</v>
      </c>
      <c r="AA44" s="27" t="s">
        <v>1737</v>
      </c>
      <c r="AC44" cm="1">
        <f t="array" ref="AC44">SUMPRODUCT(--(M44:Q44="YES"))</f>
        <v>5</v>
      </c>
      <c r="AD44">
        <f>COUNTIF($AC$7:AC44, "&gt;=3")</f>
        <v>14</v>
      </c>
    </row>
    <row r="45" spans="1:30" x14ac:dyDescent="0.2">
      <c r="A45" s="44">
        <v>35</v>
      </c>
      <c r="B45" s="15" t="s">
        <v>383</v>
      </c>
      <c r="C45" s="14">
        <v>15</v>
      </c>
      <c r="D45" s="36">
        <v>531</v>
      </c>
      <c r="E45" s="36">
        <v>587</v>
      </c>
      <c r="F45" s="36">
        <v>2220</v>
      </c>
      <c r="G45" s="36">
        <v>2145</v>
      </c>
      <c r="H45" s="36">
        <v>13</v>
      </c>
      <c r="I45" s="37">
        <f t="shared" si="4"/>
        <v>1.1054613935969868</v>
      </c>
      <c r="J45" s="37">
        <f t="shared" si="5"/>
        <v>0.96621621621621623</v>
      </c>
      <c r="K45"/>
      <c r="L45" s="24" t="s">
        <v>1738</v>
      </c>
      <c r="M45" s="24" t="s">
        <v>1457</v>
      </c>
      <c r="N45" s="24" t="s">
        <v>1457</v>
      </c>
      <c r="O45" s="24" t="s">
        <v>1459</v>
      </c>
      <c r="P45" s="24" t="s">
        <v>1457</v>
      </c>
      <c r="Q45" s="24" t="s">
        <v>1457</v>
      </c>
      <c r="T45" s="24">
        <v>2</v>
      </c>
      <c r="V45" s="24"/>
      <c r="W45" s="24"/>
      <c r="X45" s="24"/>
      <c r="Z45" s="27"/>
      <c r="AA45" s="27"/>
      <c r="AC45" cm="1">
        <f t="array" ref="AC45">SUMPRODUCT(--(M45:Q45="YES"))</f>
        <v>1</v>
      </c>
      <c r="AD45">
        <f>COUNTIF($AC$7:AC45, "&gt;=3")</f>
        <v>14</v>
      </c>
    </row>
    <row r="46" spans="1:30" ht="113" x14ac:dyDescent="0.2">
      <c r="A46" s="43">
        <v>30</v>
      </c>
      <c r="B46" s="13" t="s">
        <v>298</v>
      </c>
      <c r="C46" s="33">
        <v>4</v>
      </c>
      <c r="D46" s="34">
        <v>628</v>
      </c>
      <c r="E46" s="34">
        <v>584</v>
      </c>
      <c r="F46" s="34">
        <v>0</v>
      </c>
      <c r="G46" s="34">
        <v>0</v>
      </c>
      <c r="H46" s="34">
        <v>11</v>
      </c>
      <c r="I46" s="35">
        <f t="shared" si="4"/>
        <v>0.92993630573248409</v>
      </c>
      <c r="J46" s="35" t="str">
        <f t="shared" si="5"/>
        <v>-</v>
      </c>
      <c r="K46"/>
      <c r="L46" s="55" t="s">
        <v>1739</v>
      </c>
      <c r="M46" s="24" t="s">
        <v>1459</v>
      </c>
      <c r="N46" s="24" t="s">
        <v>1459</v>
      </c>
      <c r="O46" s="24" t="s">
        <v>1459</v>
      </c>
      <c r="P46" s="24" t="s">
        <v>1459</v>
      </c>
      <c r="Q46" s="24" t="s">
        <v>1457</v>
      </c>
      <c r="S46" t="s">
        <v>1578</v>
      </c>
      <c r="T46" s="24">
        <v>2</v>
      </c>
      <c r="U46" s="24" t="s">
        <v>1482</v>
      </c>
      <c r="V46" s="24" t="s">
        <v>1740</v>
      </c>
      <c r="W46" s="24" t="s">
        <v>1741</v>
      </c>
      <c r="X46" s="24" t="s">
        <v>1742</v>
      </c>
      <c r="Z46" s="27" t="s">
        <v>1743</v>
      </c>
      <c r="AA46" s="27" t="s">
        <v>1744</v>
      </c>
      <c r="AC46" cm="1">
        <f t="array" ref="AC46">SUMPRODUCT(--(M46:Q46="YES"))</f>
        <v>4</v>
      </c>
      <c r="AD46">
        <f>COUNTIF($AC$7:AC46, "&gt;=3")</f>
        <v>15</v>
      </c>
    </row>
    <row r="47" spans="1:30" x14ac:dyDescent="0.2">
      <c r="A47" s="43">
        <v>388</v>
      </c>
      <c r="B47" s="13" t="s">
        <v>1091</v>
      </c>
      <c r="C47" s="33">
        <v>7</v>
      </c>
      <c r="D47" s="34">
        <v>0</v>
      </c>
      <c r="E47" s="34">
        <v>0</v>
      </c>
      <c r="F47" s="34">
        <v>1706</v>
      </c>
      <c r="G47" s="34">
        <v>1569</v>
      </c>
      <c r="H47" s="34">
        <v>0</v>
      </c>
      <c r="I47" s="35" t="str">
        <f t="shared" si="4"/>
        <v>-</v>
      </c>
      <c r="J47" s="35">
        <f t="shared" si="5"/>
        <v>0.91969519343493555</v>
      </c>
      <c r="K47"/>
      <c r="L47"/>
      <c r="M47"/>
      <c r="N47"/>
      <c r="O47"/>
      <c r="P47"/>
      <c r="Q47"/>
      <c r="T47"/>
      <c r="U47"/>
      <c r="Y47"/>
      <c r="Z47"/>
    </row>
    <row r="48" spans="1:30" x14ac:dyDescent="0.2">
      <c r="A48" s="44">
        <v>477</v>
      </c>
      <c r="B48" s="15" t="s">
        <v>1243</v>
      </c>
      <c r="C48" s="14">
        <v>7</v>
      </c>
      <c r="D48" s="36">
        <v>0</v>
      </c>
      <c r="E48" s="36">
        <v>0</v>
      </c>
      <c r="F48" s="36">
        <v>414</v>
      </c>
      <c r="G48" s="36">
        <v>403</v>
      </c>
      <c r="H48" s="36">
        <v>0</v>
      </c>
      <c r="I48" s="37" t="str">
        <f t="shared" si="4"/>
        <v>-</v>
      </c>
      <c r="J48" s="37">
        <f t="shared" si="5"/>
        <v>0.97342995169082125</v>
      </c>
      <c r="K48"/>
      <c r="L48"/>
      <c r="M48"/>
      <c r="N48"/>
      <c r="O48"/>
      <c r="P48"/>
      <c r="Q48"/>
      <c r="T48"/>
      <c r="U48"/>
      <c r="Y48"/>
      <c r="Z48"/>
    </row>
    <row r="49" spans="1:30" x14ac:dyDescent="0.2">
      <c r="A49" s="43">
        <v>38</v>
      </c>
      <c r="B49" s="13" t="s">
        <v>296</v>
      </c>
      <c r="C49" s="33">
        <v>5</v>
      </c>
      <c r="D49" s="34">
        <v>505</v>
      </c>
      <c r="E49" s="34">
        <v>560</v>
      </c>
      <c r="F49" s="34">
        <v>155</v>
      </c>
      <c r="G49" s="34">
        <v>156</v>
      </c>
      <c r="H49" s="34">
        <v>7</v>
      </c>
      <c r="I49" s="35">
        <f t="shared" si="4"/>
        <v>1.108910891089109</v>
      </c>
      <c r="J49" s="35">
        <f t="shared" si="5"/>
        <v>1.0064516129032257</v>
      </c>
      <c r="K49"/>
      <c r="T49" s="24">
        <v>2</v>
      </c>
      <c r="V49" s="24"/>
      <c r="W49" s="24"/>
      <c r="X49" s="24"/>
      <c r="Z49" s="27"/>
      <c r="AA49" s="27"/>
      <c r="AC49" cm="1">
        <f t="array" ref="AC49">SUMPRODUCT(--(M49:Q49="YES"))</f>
        <v>0</v>
      </c>
      <c r="AD49">
        <f>COUNTIF($AC$7:AC49, "&gt;=3")</f>
        <v>15</v>
      </c>
    </row>
    <row r="50" spans="1:30" ht="71" x14ac:dyDescent="0.2">
      <c r="A50" s="43">
        <v>20</v>
      </c>
      <c r="B50" s="13" t="s">
        <v>376</v>
      </c>
      <c r="C50" s="33">
        <v>8</v>
      </c>
      <c r="D50" s="34">
        <v>757</v>
      </c>
      <c r="E50" s="34">
        <v>551</v>
      </c>
      <c r="F50" s="34">
        <v>945</v>
      </c>
      <c r="G50" s="34">
        <v>923</v>
      </c>
      <c r="H50" s="34">
        <v>11</v>
      </c>
      <c r="I50" s="35">
        <f t="shared" si="4"/>
        <v>0.72787318361955089</v>
      </c>
      <c r="J50" s="35">
        <f t="shared" si="5"/>
        <v>0.97671957671957677</v>
      </c>
      <c r="K50"/>
      <c r="L50" s="55" t="s">
        <v>1745</v>
      </c>
      <c r="M50" s="24" t="s">
        <v>1459</v>
      </c>
      <c r="N50" s="24" t="s">
        <v>1457</v>
      </c>
      <c r="O50" s="24" t="s">
        <v>1459</v>
      </c>
      <c r="P50" s="24" t="s">
        <v>1459</v>
      </c>
      <c r="Q50" s="24" t="s">
        <v>1457</v>
      </c>
      <c r="R50" s="47"/>
      <c r="S50" s="47" t="s">
        <v>1459</v>
      </c>
      <c r="T50" s="24">
        <v>2</v>
      </c>
      <c r="U50" s="24" t="s">
        <v>1470</v>
      </c>
      <c r="V50" s="24" t="s">
        <v>1746</v>
      </c>
      <c r="W50" s="24"/>
      <c r="X50" s="24" t="s">
        <v>1747</v>
      </c>
      <c r="Z50" s="27" t="s">
        <v>1748</v>
      </c>
      <c r="AA50" s="27" t="s">
        <v>1465</v>
      </c>
      <c r="AC50" cm="1">
        <f t="array" ref="AC50">SUMPRODUCT(--(M50:Q50="YES"))</f>
        <v>3</v>
      </c>
      <c r="AD50">
        <f>COUNTIF($AC$7:AC50, "&gt;=3")</f>
        <v>16</v>
      </c>
    </row>
    <row r="51" spans="1:30" ht="155" x14ac:dyDescent="0.2">
      <c r="A51" s="43">
        <v>14</v>
      </c>
      <c r="B51" s="13" t="s">
        <v>560</v>
      </c>
      <c r="C51" s="33">
        <v>19</v>
      </c>
      <c r="D51" s="34">
        <v>880</v>
      </c>
      <c r="E51" s="34">
        <v>533</v>
      </c>
      <c r="F51" s="34">
        <v>0</v>
      </c>
      <c r="G51" s="34">
        <v>0</v>
      </c>
      <c r="H51" s="34">
        <v>26</v>
      </c>
      <c r="I51" s="35">
        <f t="shared" si="4"/>
        <v>0.60568181818181821</v>
      </c>
      <c r="J51" s="35" t="str">
        <f t="shared" si="5"/>
        <v>-</v>
      </c>
      <c r="K51"/>
      <c r="L51" s="55" t="s">
        <v>1749</v>
      </c>
      <c r="M51" s="24" t="s">
        <v>1459</v>
      </c>
      <c r="N51" s="24" t="s">
        <v>1459</v>
      </c>
      <c r="O51" s="24" t="s">
        <v>1459</v>
      </c>
      <c r="P51" s="24" t="s">
        <v>1459</v>
      </c>
      <c r="Q51" s="24" t="s">
        <v>1459</v>
      </c>
      <c r="R51" s="47" t="s">
        <v>1750</v>
      </c>
      <c r="S51" s="47" t="s">
        <v>1459</v>
      </c>
      <c r="T51" s="24">
        <v>2</v>
      </c>
      <c r="U51" s="24" t="s">
        <v>1470</v>
      </c>
      <c r="V51" s="24" t="s">
        <v>1751</v>
      </c>
      <c r="W51" s="24" t="s">
        <v>1459</v>
      </c>
      <c r="X51" s="24" t="s">
        <v>1485</v>
      </c>
      <c r="Z51" s="27" t="s">
        <v>1752</v>
      </c>
      <c r="AA51" s="38" t="s">
        <v>1753</v>
      </c>
      <c r="AC51" cm="1">
        <f t="array" ref="AC51">SUMPRODUCT(--(M51:Q51="YES"))</f>
        <v>5</v>
      </c>
      <c r="AD51">
        <f>COUNTIF($AC$7:AC51, "&gt;=3")</f>
        <v>17</v>
      </c>
    </row>
    <row r="52" spans="1:30" x14ac:dyDescent="0.2">
      <c r="A52" s="44">
        <v>33</v>
      </c>
      <c r="B52" s="15" t="s">
        <v>233</v>
      </c>
      <c r="C52" s="14">
        <v>3</v>
      </c>
      <c r="D52" s="36">
        <v>569</v>
      </c>
      <c r="E52" s="36">
        <v>515</v>
      </c>
      <c r="F52" s="36">
        <v>595</v>
      </c>
      <c r="G52" s="36">
        <v>589</v>
      </c>
      <c r="H52" s="36">
        <v>6</v>
      </c>
      <c r="I52" s="37">
        <f t="shared" si="4"/>
        <v>0.90509666080843587</v>
      </c>
      <c r="J52" s="37">
        <f t="shared" si="5"/>
        <v>0.98991596638655466</v>
      </c>
      <c r="K52"/>
      <c r="T52" s="24">
        <v>2</v>
      </c>
      <c r="V52" s="24"/>
      <c r="W52" s="24"/>
      <c r="X52" s="24"/>
      <c r="Z52" s="27"/>
      <c r="AA52" s="27"/>
      <c r="AC52" cm="1">
        <f t="array" ref="AC52">SUMPRODUCT(--(M52:Q52="YES"))</f>
        <v>0</v>
      </c>
      <c r="AD52">
        <f>COUNTIF($AC$7:AC52, "&gt;=3")</f>
        <v>17</v>
      </c>
    </row>
    <row r="53" spans="1:30" x14ac:dyDescent="0.2">
      <c r="A53" s="43">
        <v>42</v>
      </c>
      <c r="B53" s="13" t="s">
        <v>367</v>
      </c>
      <c r="C53" s="33">
        <v>6</v>
      </c>
      <c r="D53" s="34">
        <v>457</v>
      </c>
      <c r="E53" s="34">
        <v>504</v>
      </c>
      <c r="F53" s="34">
        <v>0</v>
      </c>
      <c r="G53" s="34">
        <v>0</v>
      </c>
      <c r="H53" s="34">
        <v>7</v>
      </c>
      <c r="I53" s="35">
        <f t="shared" si="4"/>
        <v>1.1028446389496718</v>
      </c>
      <c r="J53" s="35" t="str">
        <f t="shared" si="5"/>
        <v>-</v>
      </c>
      <c r="K53"/>
      <c r="T53" s="24">
        <v>2</v>
      </c>
      <c r="V53" s="24"/>
      <c r="W53" s="24"/>
      <c r="X53" s="24"/>
      <c r="Z53" s="27"/>
      <c r="AA53" s="27"/>
      <c r="AC53" cm="1">
        <f t="array" ref="AC53">SUMPRODUCT(--(M53:Q53="YES"))</f>
        <v>0</v>
      </c>
      <c r="AD53">
        <f>COUNTIF($AC$7:AC53, "&gt;=3")</f>
        <v>17</v>
      </c>
    </row>
    <row r="54" spans="1:30" x14ac:dyDescent="0.2">
      <c r="A54" s="43">
        <v>46</v>
      </c>
      <c r="B54" s="13" t="s">
        <v>332</v>
      </c>
      <c r="C54" s="33">
        <v>3</v>
      </c>
      <c r="D54" s="34">
        <v>424</v>
      </c>
      <c r="E54" s="34">
        <v>449</v>
      </c>
      <c r="F54" s="34">
        <v>319</v>
      </c>
      <c r="G54" s="34">
        <v>318</v>
      </c>
      <c r="H54" s="34">
        <v>9</v>
      </c>
      <c r="I54" s="35">
        <f t="shared" si="4"/>
        <v>1.0589622641509433</v>
      </c>
      <c r="J54" s="35">
        <f t="shared" si="5"/>
        <v>0.99686520376175547</v>
      </c>
      <c r="K54"/>
      <c r="L54" s="24" t="s">
        <v>1754</v>
      </c>
      <c r="M54" s="24" t="s">
        <v>1459</v>
      </c>
      <c r="N54" s="24" t="s">
        <v>1459</v>
      </c>
      <c r="O54" s="24" t="s">
        <v>1459</v>
      </c>
      <c r="P54" s="24" t="s">
        <v>1457</v>
      </c>
      <c r="Q54" s="24" t="s">
        <v>1457</v>
      </c>
      <c r="T54" s="24">
        <v>2</v>
      </c>
      <c r="V54" s="24"/>
      <c r="W54" s="24"/>
      <c r="X54" s="24"/>
      <c r="Z54" s="27"/>
      <c r="AA54" s="27"/>
      <c r="AC54" cm="1">
        <f t="array" ref="AC54">SUMPRODUCT(--(M54:Q54="YES"))</f>
        <v>3</v>
      </c>
      <c r="AD54">
        <f>COUNTIF($AC$7:AC54, "&gt;=3")</f>
        <v>18</v>
      </c>
    </row>
    <row r="55" spans="1:30" x14ac:dyDescent="0.2">
      <c r="A55" s="43">
        <v>40</v>
      </c>
      <c r="B55" s="13" t="s">
        <v>243</v>
      </c>
      <c r="C55" s="33">
        <v>3</v>
      </c>
      <c r="D55" s="34">
        <v>491</v>
      </c>
      <c r="E55" s="34">
        <v>429</v>
      </c>
      <c r="F55" s="34">
        <v>0</v>
      </c>
      <c r="G55" s="34">
        <v>0</v>
      </c>
      <c r="H55" s="34">
        <v>8</v>
      </c>
      <c r="I55" s="35">
        <f t="shared" si="4"/>
        <v>0.87372708757637474</v>
      </c>
      <c r="J55" s="35" t="str">
        <f t="shared" si="5"/>
        <v>-</v>
      </c>
      <c r="K55"/>
      <c r="T55" s="24">
        <v>2</v>
      </c>
      <c r="V55" s="24"/>
      <c r="W55" s="24"/>
      <c r="X55" s="24"/>
      <c r="Z55" s="27"/>
      <c r="AA55" s="27"/>
      <c r="AC55" cm="1">
        <f t="array" ref="AC55">SUMPRODUCT(--(M55:Q55="YES"))</f>
        <v>0</v>
      </c>
      <c r="AD55">
        <f>COUNTIF($AC$7:AC55, "&gt;=3")</f>
        <v>18</v>
      </c>
    </row>
    <row r="56" spans="1:30" x14ac:dyDescent="0.2">
      <c r="A56" s="43">
        <v>130</v>
      </c>
      <c r="B56" s="13" t="s">
        <v>288</v>
      </c>
      <c r="C56" s="33">
        <v>6</v>
      </c>
      <c r="D56" s="34">
        <v>174</v>
      </c>
      <c r="E56" s="34">
        <v>210</v>
      </c>
      <c r="F56" s="34">
        <v>469</v>
      </c>
      <c r="G56" s="34">
        <v>399</v>
      </c>
      <c r="H56" s="34">
        <v>1</v>
      </c>
      <c r="I56" s="35">
        <f t="shared" si="4"/>
        <v>1.2068965517241379</v>
      </c>
      <c r="J56" s="35">
        <f t="shared" si="5"/>
        <v>0.85074626865671643</v>
      </c>
      <c r="K56"/>
      <c r="L56"/>
      <c r="M56"/>
      <c r="N56"/>
      <c r="O56"/>
      <c r="P56"/>
      <c r="Q56"/>
      <c r="T56"/>
      <c r="U56"/>
      <c r="Y56"/>
      <c r="Z56"/>
    </row>
    <row r="57" spans="1:30" x14ac:dyDescent="0.2">
      <c r="A57" s="43">
        <v>190</v>
      </c>
      <c r="B57" s="13" t="s">
        <v>667</v>
      </c>
      <c r="C57" s="33">
        <v>6</v>
      </c>
      <c r="D57" s="34">
        <v>100</v>
      </c>
      <c r="E57" s="34">
        <v>99</v>
      </c>
      <c r="F57" s="34">
        <v>587</v>
      </c>
      <c r="G57" s="34">
        <v>570</v>
      </c>
      <c r="H57" s="34">
        <v>2</v>
      </c>
      <c r="I57" s="35">
        <f t="shared" si="4"/>
        <v>0.99</v>
      </c>
      <c r="J57" s="35">
        <f t="shared" si="5"/>
        <v>0.97103918228279384</v>
      </c>
      <c r="K57"/>
      <c r="L57"/>
      <c r="M57"/>
      <c r="N57"/>
      <c r="O57"/>
      <c r="P57"/>
      <c r="Q57"/>
      <c r="T57"/>
      <c r="U57"/>
      <c r="Y57"/>
      <c r="Z57"/>
    </row>
    <row r="58" spans="1:30" x14ac:dyDescent="0.2">
      <c r="A58" s="43">
        <v>350</v>
      </c>
      <c r="B58" s="13" t="s">
        <v>946</v>
      </c>
      <c r="C58" s="33">
        <v>6</v>
      </c>
      <c r="D58" s="34">
        <v>23</v>
      </c>
      <c r="E58" s="34">
        <v>23</v>
      </c>
      <c r="F58" s="34">
        <v>401</v>
      </c>
      <c r="G58" s="34">
        <v>367</v>
      </c>
      <c r="H58" s="34">
        <v>3</v>
      </c>
      <c r="I58" s="35">
        <f t="shared" si="4"/>
        <v>1</v>
      </c>
      <c r="J58" s="35">
        <f t="shared" si="5"/>
        <v>0.91521197007481292</v>
      </c>
      <c r="K58"/>
      <c r="L58"/>
      <c r="M58"/>
      <c r="N58"/>
      <c r="O58"/>
      <c r="P58"/>
      <c r="Q58"/>
      <c r="T58"/>
      <c r="U58"/>
      <c r="Y58"/>
      <c r="Z58"/>
    </row>
    <row r="59" spans="1:30" x14ac:dyDescent="0.2">
      <c r="A59" s="44">
        <v>383</v>
      </c>
      <c r="B59" s="15" t="s">
        <v>991</v>
      </c>
      <c r="C59" s="14">
        <v>6</v>
      </c>
      <c r="D59" s="36">
        <v>5</v>
      </c>
      <c r="E59" s="36">
        <v>5</v>
      </c>
      <c r="F59" s="36">
        <v>481</v>
      </c>
      <c r="G59" s="36">
        <v>448</v>
      </c>
      <c r="H59" s="36">
        <v>2</v>
      </c>
      <c r="I59" s="37">
        <f t="shared" si="4"/>
        <v>1</v>
      </c>
      <c r="J59" s="37">
        <f t="shared" si="5"/>
        <v>0.93139293139293144</v>
      </c>
      <c r="K59"/>
      <c r="L59"/>
      <c r="M59"/>
      <c r="N59"/>
      <c r="O59"/>
      <c r="P59"/>
      <c r="Q59"/>
      <c r="T59"/>
      <c r="U59"/>
      <c r="Y59"/>
      <c r="Z59"/>
    </row>
    <row r="60" spans="1:30" x14ac:dyDescent="0.2">
      <c r="A60" s="44">
        <v>397</v>
      </c>
      <c r="B60" s="15" t="s">
        <v>1238</v>
      </c>
      <c r="C60" s="14">
        <v>6</v>
      </c>
      <c r="D60" s="36">
        <v>0</v>
      </c>
      <c r="E60" s="36">
        <v>0</v>
      </c>
      <c r="F60" s="36">
        <v>512</v>
      </c>
      <c r="G60" s="36">
        <v>545</v>
      </c>
      <c r="H60" s="36">
        <v>0</v>
      </c>
      <c r="I60" s="37" t="str">
        <f t="shared" si="4"/>
        <v>-</v>
      </c>
      <c r="J60" s="37">
        <f t="shared" si="5"/>
        <v>1.064453125</v>
      </c>
      <c r="K60"/>
      <c r="L60"/>
      <c r="M60"/>
      <c r="N60"/>
      <c r="O60"/>
      <c r="P60"/>
      <c r="Q60"/>
      <c r="T60"/>
      <c r="U60"/>
      <c r="Y60"/>
      <c r="Z60"/>
    </row>
    <row r="61" spans="1:30" x14ac:dyDescent="0.2">
      <c r="A61" s="44">
        <v>399</v>
      </c>
      <c r="B61" s="15" t="s">
        <v>1174</v>
      </c>
      <c r="C61" s="14">
        <v>6</v>
      </c>
      <c r="D61" s="36">
        <v>0</v>
      </c>
      <c r="E61" s="36">
        <v>0</v>
      </c>
      <c r="F61" s="36">
        <v>494</v>
      </c>
      <c r="G61" s="36">
        <v>478</v>
      </c>
      <c r="H61" s="36">
        <v>0</v>
      </c>
      <c r="I61" s="37" t="str">
        <f t="shared" si="4"/>
        <v>-</v>
      </c>
      <c r="J61" s="37">
        <f t="shared" si="5"/>
        <v>0.96761133603238869</v>
      </c>
      <c r="K61"/>
      <c r="L61"/>
      <c r="M61"/>
      <c r="N61"/>
      <c r="O61"/>
      <c r="P61"/>
      <c r="Q61"/>
      <c r="T61"/>
      <c r="U61"/>
      <c r="Y61"/>
      <c r="Z61"/>
    </row>
    <row r="62" spans="1:30" x14ac:dyDescent="0.2">
      <c r="A62" s="43">
        <v>418</v>
      </c>
      <c r="B62" s="13" t="s">
        <v>1225</v>
      </c>
      <c r="C62" s="33">
        <v>6</v>
      </c>
      <c r="D62" s="34">
        <v>0</v>
      </c>
      <c r="E62" s="34">
        <v>0</v>
      </c>
      <c r="F62" s="34">
        <v>387</v>
      </c>
      <c r="G62" s="34">
        <v>340</v>
      </c>
      <c r="H62" s="34">
        <v>0</v>
      </c>
      <c r="I62" s="35" t="str">
        <f t="shared" si="4"/>
        <v>-</v>
      </c>
      <c r="J62" s="35">
        <f t="shared" si="5"/>
        <v>0.87855297157622736</v>
      </c>
      <c r="K62"/>
      <c r="L62"/>
      <c r="M62"/>
      <c r="N62"/>
      <c r="O62"/>
      <c r="P62"/>
      <c r="Q62"/>
      <c r="T62"/>
      <c r="U62"/>
      <c r="Y62"/>
      <c r="Z62"/>
    </row>
    <row r="63" spans="1:30" x14ac:dyDescent="0.2">
      <c r="A63" s="44">
        <v>453</v>
      </c>
      <c r="B63" s="15" t="s">
        <v>1109</v>
      </c>
      <c r="C63" s="14">
        <v>6</v>
      </c>
      <c r="D63" s="36">
        <v>0</v>
      </c>
      <c r="E63" s="36">
        <v>0</v>
      </c>
      <c r="F63" s="36">
        <v>1213</v>
      </c>
      <c r="G63" s="36">
        <v>1207</v>
      </c>
      <c r="H63" s="36">
        <v>0</v>
      </c>
      <c r="I63" s="37" t="str">
        <f t="shared" si="4"/>
        <v>-</v>
      </c>
      <c r="J63" s="37">
        <f t="shared" si="5"/>
        <v>0.99505358615004125</v>
      </c>
      <c r="K63"/>
      <c r="L63"/>
      <c r="M63"/>
      <c r="N63"/>
      <c r="O63"/>
      <c r="P63"/>
      <c r="Q63"/>
      <c r="T63"/>
      <c r="U63"/>
      <c r="Y63"/>
      <c r="Z63"/>
    </row>
    <row r="64" spans="1:30" x14ac:dyDescent="0.2">
      <c r="A64" s="44">
        <v>457</v>
      </c>
      <c r="B64" s="15" t="s">
        <v>1082</v>
      </c>
      <c r="C64" s="14">
        <v>6</v>
      </c>
      <c r="D64" s="36">
        <v>0</v>
      </c>
      <c r="E64" s="36">
        <v>0</v>
      </c>
      <c r="F64" s="36">
        <v>1302</v>
      </c>
      <c r="G64" s="36">
        <v>1311</v>
      </c>
      <c r="H64" s="36">
        <v>0</v>
      </c>
      <c r="I64" s="37" t="str">
        <f t="shared" si="4"/>
        <v>-</v>
      </c>
      <c r="J64" s="37">
        <f t="shared" si="5"/>
        <v>1.0069124423963134</v>
      </c>
      <c r="K64"/>
      <c r="L64"/>
      <c r="M64"/>
      <c r="N64"/>
      <c r="O64"/>
      <c r="P64"/>
      <c r="Q64"/>
      <c r="T64"/>
      <c r="U64"/>
      <c r="Y64"/>
      <c r="Z64"/>
    </row>
    <row r="65" spans="1:30" x14ac:dyDescent="0.2">
      <c r="A65" s="44">
        <v>465</v>
      </c>
      <c r="B65" s="15" t="s">
        <v>1289</v>
      </c>
      <c r="C65" s="14">
        <v>6</v>
      </c>
      <c r="D65" s="36">
        <v>0</v>
      </c>
      <c r="E65" s="36">
        <v>0</v>
      </c>
      <c r="F65" s="36">
        <v>274</v>
      </c>
      <c r="G65" s="36">
        <v>270</v>
      </c>
      <c r="H65" s="36">
        <v>0</v>
      </c>
      <c r="I65" s="37" t="str">
        <f t="shared" si="4"/>
        <v>-</v>
      </c>
      <c r="J65" s="37">
        <f t="shared" si="5"/>
        <v>0.98540145985401462</v>
      </c>
      <c r="K65"/>
      <c r="L65"/>
      <c r="M65"/>
      <c r="N65"/>
      <c r="O65"/>
      <c r="P65"/>
      <c r="Q65"/>
      <c r="T65"/>
      <c r="U65"/>
      <c r="Y65"/>
      <c r="Z65"/>
    </row>
    <row r="66" spans="1:30" x14ac:dyDescent="0.2">
      <c r="A66" s="44">
        <v>467</v>
      </c>
      <c r="B66" s="15" t="s">
        <v>1164</v>
      </c>
      <c r="C66" s="14">
        <v>6</v>
      </c>
      <c r="D66" s="36">
        <v>0</v>
      </c>
      <c r="E66" s="36">
        <v>0</v>
      </c>
      <c r="F66" s="36">
        <v>521</v>
      </c>
      <c r="G66" s="36">
        <v>502</v>
      </c>
      <c r="H66" s="36">
        <v>0</v>
      </c>
      <c r="I66" s="37" t="str">
        <f t="shared" si="4"/>
        <v>-</v>
      </c>
      <c r="J66" s="37">
        <f t="shared" si="5"/>
        <v>0.96353166986564298</v>
      </c>
      <c r="K66"/>
      <c r="L66"/>
      <c r="M66"/>
      <c r="N66"/>
      <c r="O66"/>
      <c r="P66"/>
      <c r="Q66"/>
      <c r="T66"/>
      <c r="U66"/>
      <c r="Y66"/>
      <c r="Z66"/>
    </row>
    <row r="67" spans="1:30" x14ac:dyDescent="0.2">
      <c r="A67" s="43">
        <v>478</v>
      </c>
      <c r="B67" s="13" t="s">
        <v>1100</v>
      </c>
      <c r="C67" s="33">
        <v>6</v>
      </c>
      <c r="D67" s="34">
        <v>0</v>
      </c>
      <c r="E67" s="34">
        <v>0</v>
      </c>
      <c r="F67" s="34">
        <v>1910</v>
      </c>
      <c r="G67" s="34">
        <v>1853</v>
      </c>
      <c r="H67" s="34">
        <v>0</v>
      </c>
      <c r="I67" s="35" t="str">
        <f t="shared" si="4"/>
        <v>-</v>
      </c>
      <c r="J67" s="35">
        <f t="shared" si="5"/>
        <v>0.9701570680628272</v>
      </c>
      <c r="K67"/>
      <c r="L67"/>
      <c r="M67"/>
      <c r="N67"/>
      <c r="O67"/>
      <c r="P67"/>
      <c r="Q67"/>
      <c r="T67"/>
      <c r="U67"/>
      <c r="Y67"/>
      <c r="Z67"/>
    </row>
    <row r="68" spans="1:30" x14ac:dyDescent="0.2">
      <c r="A68" s="43">
        <v>490</v>
      </c>
      <c r="B68" s="13" t="s">
        <v>1095</v>
      </c>
      <c r="C68" s="33">
        <v>6</v>
      </c>
      <c r="D68" s="34">
        <v>0</v>
      </c>
      <c r="E68" s="34">
        <v>0</v>
      </c>
      <c r="F68" s="34">
        <v>1474</v>
      </c>
      <c r="G68" s="34">
        <v>1469</v>
      </c>
      <c r="H68" s="34">
        <v>0</v>
      </c>
      <c r="I68" s="35" t="str">
        <f t="shared" si="4"/>
        <v>-</v>
      </c>
      <c r="J68" s="35">
        <f t="shared" si="5"/>
        <v>0.99660786974219806</v>
      </c>
      <c r="K68"/>
      <c r="L68"/>
      <c r="M68"/>
      <c r="N68"/>
      <c r="O68"/>
      <c r="P68"/>
      <c r="Q68"/>
      <c r="T68"/>
      <c r="U68"/>
      <c r="Y68"/>
      <c r="Z68"/>
    </row>
    <row r="69" spans="1:30" x14ac:dyDescent="0.2">
      <c r="A69" s="44">
        <v>521</v>
      </c>
      <c r="B69" s="15" t="s">
        <v>1188</v>
      </c>
      <c r="C69" s="14">
        <v>6</v>
      </c>
      <c r="D69" s="36">
        <v>0</v>
      </c>
      <c r="E69" s="36">
        <v>0</v>
      </c>
      <c r="F69" s="36">
        <v>688</v>
      </c>
      <c r="G69" s="36">
        <v>710</v>
      </c>
      <c r="H69" s="36">
        <v>0</v>
      </c>
      <c r="I69" s="37" t="str">
        <f t="shared" si="4"/>
        <v>-</v>
      </c>
      <c r="J69" s="37">
        <f t="shared" si="5"/>
        <v>1.0319767441860466</v>
      </c>
      <c r="K69"/>
      <c r="L69"/>
      <c r="M69"/>
      <c r="N69"/>
      <c r="O69"/>
      <c r="P69"/>
      <c r="Q69"/>
      <c r="T69"/>
      <c r="U69"/>
      <c r="Y69"/>
      <c r="Z69"/>
    </row>
    <row r="70" spans="1:30" x14ac:dyDescent="0.2">
      <c r="A70" s="43">
        <v>530</v>
      </c>
      <c r="B70" s="13" t="s">
        <v>1069</v>
      </c>
      <c r="C70" s="33">
        <v>6</v>
      </c>
      <c r="D70" s="34">
        <v>0</v>
      </c>
      <c r="E70" s="34">
        <v>0</v>
      </c>
      <c r="F70" s="34">
        <v>1410</v>
      </c>
      <c r="G70" s="34">
        <v>1400</v>
      </c>
      <c r="H70" s="34">
        <v>0</v>
      </c>
      <c r="I70" s="35" t="str">
        <f t="shared" si="4"/>
        <v>-</v>
      </c>
      <c r="J70" s="35">
        <f t="shared" si="5"/>
        <v>0.99290780141843971</v>
      </c>
      <c r="K70"/>
      <c r="L70"/>
      <c r="M70"/>
      <c r="N70"/>
      <c r="O70"/>
      <c r="P70"/>
      <c r="Q70"/>
      <c r="T70"/>
      <c r="U70"/>
      <c r="Y70"/>
      <c r="Z70"/>
    </row>
    <row r="71" spans="1:30" x14ac:dyDescent="0.2">
      <c r="A71" s="43">
        <v>540</v>
      </c>
      <c r="B71" s="13" t="s">
        <v>1032</v>
      </c>
      <c r="C71" s="33">
        <v>6</v>
      </c>
      <c r="D71" s="34">
        <v>0</v>
      </c>
      <c r="E71" s="34">
        <v>0</v>
      </c>
      <c r="F71" s="34">
        <v>2861</v>
      </c>
      <c r="G71" s="34">
        <v>2822</v>
      </c>
      <c r="H71" s="34">
        <v>0</v>
      </c>
      <c r="I71" s="35" t="str">
        <f t="shared" si="4"/>
        <v>-</v>
      </c>
      <c r="J71" s="35">
        <f t="shared" si="5"/>
        <v>0.98636840265641379</v>
      </c>
      <c r="K71"/>
      <c r="L71"/>
      <c r="M71"/>
      <c r="N71"/>
      <c r="O71"/>
      <c r="P71"/>
      <c r="Q71"/>
      <c r="T71"/>
      <c r="U71"/>
      <c r="Y71"/>
      <c r="Z71"/>
    </row>
    <row r="72" spans="1:30" x14ac:dyDescent="0.2">
      <c r="A72" s="43">
        <v>54</v>
      </c>
      <c r="B72" s="13" t="s">
        <v>422</v>
      </c>
      <c r="C72" s="33">
        <v>5</v>
      </c>
      <c r="D72" s="34">
        <v>374</v>
      </c>
      <c r="E72" s="34">
        <v>403</v>
      </c>
      <c r="F72" s="34">
        <v>1372</v>
      </c>
      <c r="G72" s="34">
        <v>1279</v>
      </c>
      <c r="H72" s="34">
        <v>5</v>
      </c>
      <c r="I72" s="35">
        <f t="shared" si="4"/>
        <v>1.0775401069518717</v>
      </c>
      <c r="J72" s="35">
        <f t="shared" si="5"/>
        <v>0.93221574344023328</v>
      </c>
      <c r="K72">
        <v>1</v>
      </c>
      <c r="L72" s="24" t="s">
        <v>1755</v>
      </c>
      <c r="M72" s="24" t="s">
        <v>1457</v>
      </c>
      <c r="N72" s="24" t="s">
        <v>1457</v>
      </c>
      <c r="O72" s="24" t="s">
        <v>1457</v>
      </c>
      <c r="P72" s="24" t="s">
        <v>1457</v>
      </c>
      <c r="Q72" s="24" t="s">
        <v>1459</v>
      </c>
      <c r="R72" s="47" t="s">
        <v>1756</v>
      </c>
      <c r="S72" s="47" t="s">
        <v>1578</v>
      </c>
      <c r="T72" s="24">
        <v>2</v>
      </c>
      <c r="V72" s="24"/>
      <c r="W72" s="24"/>
      <c r="X72" s="24"/>
      <c r="Z72" s="27"/>
      <c r="AA72" s="27"/>
      <c r="AC72" cm="1">
        <f t="array" ref="AC72">SUMPRODUCT(--(M72:Q72="YES"))</f>
        <v>1</v>
      </c>
      <c r="AD72">
        <f>COUNTIF($AC$7:AC72, "&gt;=3")</f>
        <v>18</v>
      </c>
    </row>
    <row r="73" spans="1:30" x14ac:dyDescent="0.2">
      <c r="A73" s="44">
        <v>57</v>
      </c>
      <c r="B73" s="15" t="s">
        <v>310</v>
      </c>
      <c r="C73" s="14">
        <v>4</v>
      </c>
      <c r="D73" s="36">
        <v>363</v>
      </c>
      <c r="E73" s="36">
        <v>399</v>
      </c>
      <c r="F73" s="36">
        <v>0</v>
      </c>
      <c r="G73" s="36">
        <v>0</v>
      </c>
      <c r="H73" s="36">
        <v>5</v>
      </c>
      <c r="I73" s="37">
        <f t="shared" ref="I73:I104" si="6">IF(D73=0,"-",E73/D73)</f>
        <v>1.0991735537190082</v>
      </c>
      <c r="J73" s="37" t="str">
        <f t="shared" ref="J73:J104" si="7">IF(F73=0,"-",G73/F73)</f>
        <v>-</v>
      </c>
      <c r="K73">
        <v>1</v>
      </c>
      <c r="T73" s="24">
        <v>2</v>
      </c>
      <c r="V73" s="24"/>
      <c r="W73" s="24"/>
      <c r="X73" s="24"/>
      <c r="Z73" s="27"/>
      <c r="AA73" s="27"/>
      <c r="AC73" cm="1">
        <f t="array" ref="AC73">SUMPRODUCT(--(M73:Q73="YES"))</f>
        <v>0</v>
      </c>
      <c r="AD73">
        <f>COUNTIF($AC$7:AC73, "&gt;=3")</f>
        <v>18</v>
      </c>
    </row>
    <row r="74" spans="1:30" x14ac:dyDescent="0.2">
      <c r="A74" s="44">
        <v>37</v>
      </c>
      <c r="B74" s="15" t="s">
        <v>343</v>
      </c>
      <c r="C74" s="14">
        <v>9</v>
      </c>
      <c r="D74" s="36">
        <v>513</v>
      </c>
      <c r="E74" s="36">
        <v>376</v>
      </c>
      <c r="F74" s="36">
        <v>1639</v>
      </c>
      <c r="G74" s="36">
        <v>1578</v>
      </c>
      <c r="H74" s="36">
        <v>9</v>
      </c>
      <c r="I74" s="37">
        <f t="shared" si="6"/>
        <v>0.73294346978557501</v>
      </c>
      <c r="J74" s="37">
        <f t="shared" si="7"/>
        <v>0.96278218425869433</v>
      </c>
      <c r="K74">
        <v>1</v>
      </c>
      <c r="L74" s="24" t="s">
        <v>1757</v>
      </c>
      <c r="M74" s="24" t="s">
        <v>1459</v>
      </c>
      <c r="N74" s="24" t="s">
        <v>1457</v>
      </c>
      <c r="O74" s="24" t="s">
        <v>1459</v>
      </c>
      <c r="P74" s="24" t="s">
        <v>1459</v>
      </c>
      <c r="Q74" s="24" t="s">
        <v>1457</v>
      </c>
      <c r="T74" s="24">
        <v>2</v>
      </c>
      <c r="U74" s="24" t="s">
        <v>1482</v>
      </c>
      <c r="V74" s="24" t="s">
        <v>1758</v>
      </c>
      <c r="W74" s="24" t="s">
        <v>1724</v>
      </c>
      <c r="X74" s="24" t="s">
        <v>1485</v>
      </c>
      <c r="Z74" s="27" t="s">
        <v>1759</v>
      </c>
      <c r="AA74" s="27" t="s">
        <v>1760</v>
      </c>
      <c r="AC74" cm="1">
        <f t="array" ref="AC74">SUMPRODUCT(--(M74:Q74="YES"))</f>
        <v>3</v>
      </c>
      <c r="AD74">
        <f>COUNTIF($AC$7:AC74, "&gt;=3")</f>
        <v>19</v>
      </c>
    </row>
    <row r="75" spans="1:30" x14ac:dyDescent="0.2">
      <c r="A75" s="44">
        <v>23</v>
      </c>
      <c r="B75" s="15" t="s">
        <v>502</v>
      </c>
      <c r="C75" s="14">
        <v>9</v>
      </c>
      <c r="D75" s="36">
        <v>734</v>
      </c>
      <c r="E75" s="36">
        <v>362</v>
      </c>
      <c r="F75" s="36">
        <v>530</v>
      </c>
      <c r="G75" s="36">
        <v>504</v>
      </c>
      <c r="H75" s="36">
        <v>10</v>
      </c>
      <c r="I75" s="37">
        <f t="shared" si="6"/>
        <v>0.49318801089918257</v>
      </c>
      <c r="J75" s="37">
        <f t="shared" si="7"/>
        <v>0.95094339622641511</v>
      </c>
      <c r="K75">
        <v>1</v>
      </c>
      <c r="L75" s="24" t="s">
        <v>1761</v>
      </c>
      <c r="M75" s="24" t="s">
        <v>1459</v>
      </c>
      <c r="N75" s="24" t="s">
        <v>1459</v>
      </c>
      <c r="O75" s="24" t="s">
        <v>1459</v>
      </c>
      <c r="P75" s="24" t="s">
        <v>1457</v>
      </c>
      <c r="Q75" s="24" t="s">
        <v>1459</v>
      </c>
      <c r="R75" s="47" t="s">
        <v>1762</v>
      </c>
      <c r="S75" s="47" t="s">
        <v>1459</v>
      </c>
      <c r="T75" s="24">
        <v>2</v>
      </c>
      <c r="V75" s="24"/>
      <c r="W75" s="24"/>
      <c r="X75" s="24"/>
      <c r="Z75" s="27" t="s">
        <v>1763</v>
      </c>
      <c r="AA75" s="38" t="s">
        <v>1764</v>
      </c>
      <c r="AC75" cm="1">
        <f t="array" ref="AC75">SUMPRODUCT(--(M75:Q75="YES"))</f>
        <v>4</v>
      </c>
      <c r="AD75">
        <f>COUNTIF($AC$7:AC75, "&gt;=3")</f>
        <v>20</v>
      </c>
    </row>
    <row r="76" spans="1:30" x14ac:dyDescent="0.2">
      <c r="A76" s="44">
        <v>73</v>
      </c>
      <c r="B76" s="15" t="s">
        <v>325</v>
      </c>
      <c r="C76" s="14">
        <v>7</v>
      </c>
      <c r="D76" s="36">
        <v>307</v>
      </c>
      <c r="E76" s="36">
        <v>330</v>
      </c>
      <c r="F76" s="36">
        <v>1546</v>
      </c>
      <c r="G76" s="36">
        <v>1502</v>
      </c>
      <c r="H76" s="36">
        <v>6</v>
      </c>
      <c r="I76" s="37">
        <f t="shared" si="6"/>
        <v>1.0749185667752443</v>
      </c>
      <c r="J76" s="37">
        <f t="shared" si="7"/>
        <v>0.97153945666235442</v>
      </c>
      <c r="K76">
        <v>1</v>
      </c>
      <c r="L76" s="24" t="s">
        <v>1765</v>
      </c>
      <c r="M76" s="24" t="s">
        <v>1459</v>
      </c>
      <c r="N76" s="24" t="s">
        <v>1459</v>
      </c>
      <c r="O76" s="24" t="s">
        <v>1459</v>
      </c>
      <c r="P76" s="24" t="s">
        <v>1459</v>
      </c>
      <c r="Q76" s="24" t="s">
        <v>1457</v>
      </c>
      <c r="T76" s="24">
        <v>2</v>
      </c>
      <c r="V76" s="24"/>
      <c r="W76" s="24"/>
      <c r="X76" s="24"/>
      <c r="Z76" s="27" t="s">
        <v>1766</v>
      </c>
      <c r="AA76" s="27" t="s">
        <v>1767</v>
      </c>
      <c r="AC76" cm="1">
        <f t="array" ref="AC76">SUMPRODUCT(--(M76:Q76="YES"))</f>
        <v>4</v>
      </c>
      <c r="AD76">
        <f>COUNTIF($AC$7:AC76, "&gt;=3")</f>
        <v>21</v>
      </c>
    </row>
    <row r="77" spans="1:30" x14ac:dyDescent="0.2">
      <c r="A77" s="43">
        <v>58</v>
      </c>
      <c r="B77" s="13" t="s">
        <v>514</v>
      </c>
      <c r="C77" s="33">
        <v>9</v>
      </c>
      <c r="D77" s="34">
        <v>359</v>
      </c>
      <c r="E77" s="34">
        <v>329</v>
      </c>
      <c r="F77" s="34">
        <v>0</v>
      </c>
      <c r="G77" s="34">
        <v>0</v>
      </c>
      <c r="H77" s="34">
        <v>13</v>
      </c>
      <c r="I77" s="35">
        <f t="shared" si="6"/>
        <v>0.91643454038997219</v>
      </c>
      <c r="J77" s="35" t="str">
        <f t="shared" si="7"/>
        <v>-</v>
      </c>
      <c r="K77">
        <v>1</v>
      </c>
      <c r="L77" s="24" t="s">
        <v>1768</v>
      </c>
      <c r="M77" s="24" t="s">
        <v>1459</v>
      </c>
      <c r="N77" s="24" t="s">
        <v>1457</v>
      </c>
      <c r="O77" s="24" t="s">
        <v>1459</v>
      </c>
      <c r="P77" s="24" t="s">
        <v>1457</v>
      </c>
      <c r="Q77" s="24" t="s">
        <v>1459</v>
      </c>
      <c r="R77" s="47" t="s">
        <v>1769</v>
      </c>
      <c r="S77" s="47"/>
      <c r="T77" s="24">
        <v>2</v>
      </c>
      <c r="V77" s="24"/>
      <c r="W77" s="24"/>
      <c r="X77" s="24"/>
      <c r="Z77" s="38" t="s">
        <v>1770</v>
      </c>
      <c r="AA77" s="27" t="s">
        <v>1771</v>
      </c>
      <c r="AC77" cm="1">
        <f t="array" ref="AC77">SUMPRODUCT(--(M77:Q77="YES"))</f>
        <v>3</v>
      </c>
      <c r="AD77">
        <f>COUNTIF($AC$7:AC77, "&gt;=3")</f>
        <v>22</v>
      </c>
    </row>
    <row r="78" spans="1:30" x14ac:dyDescent="0.2">
      <c r="A78" s="43">
        <v>50</v>
      </c>
      <c r="B78" s="13" t="s">
        <v>313</v>
      </c>
      <c r="C78" s="33">
        <v>4</v>
      </c>
      <c r="D78" s="34">
        <v>390</v>
      </c>
      <c r="E78" s="34">
        <v>325</v>
      </c>
      <c r="F78" s="34">
        <v>0</v>
      </c>
      <c r="G78" s="34">
        <v>0</v>
      </c>
      <c r="H78" s="34">
        <v>9</v>
      </c>
      <c r="I78" s="35">
        <f t="shared" si="6"/>
        <v>0.83333333333333337</v>
      </c>
      <c r="J78" s="35" t="str">
        <f t="shared" si="7"/>
        <v>-</v>
      </c>
      <c r="K78">
        <v>1</v>
      </c>
      <c r="L78" s="24" t="s">
        <v>1772</v>
      </c>
      <c r="M78" s="24" t="s">
        <v>1459</v>
      </c>
      <c r="N78" s="24" t="s">
        <v>1459</v>
      </c>
      <c r="O78" s="24" t="s">
        <v>1459</v>
      </c>
      <c r="P78" s="24" t="s">
        <v>1459</v>
      </c>
      <c r="Q78" s="24" t="s">
        <v>1457</v>
      </c>
      <c r="T78" s="24">
        <v>2</v>
      </c>
      <c r="U78" s="24" t="s">
        <v>1465</v>
      </c>
      <c r="V78" s="24" t="s">
        <v>1465</v>
      </c>
      <c r="W78" s="24" t="s">
        <v>1465</v>
      </c>
      <c r="X78" s="24" t="s">
        <v>1465</v>
      </c>
      <c r="Z78" s="27" t="s">
        <v>1773</v>
      </c>
      <c r="AA78" s="27" t="s">
        <v>1774</v>
      </c>
      <c r="AC78" cm="1">
        <f t="array" ref="AC78">SUMPRODUCT(--(M78:Q78="YES"))</f>
        <v>4</v>
      </c>
      <c r="AD78">
        <f>COUNTIF($AC$7:AC78, "&gt;=3")</f>
        <v>23</v>
      </c>
    </row>
    <row r="79" spans="1:30" x14ac:dyDescent="0.2">
      <c r="A79" s="44">
        <v>61</v>
      </c>
      <c r="B79" s="15" t="s">
        <v>366</v>
      </c>
      <c r="C79" s="14">
        <v>5</v>
      </c>
      <c r="D79" s="36">
        <v>352</v>
      </c>
      <c r="E79" s="36">
        <v>325</v>
      </c>
      <c r="F79" s="36">
        <v>0</v>
      </c>
      <c r="G79" s="36">
        <v>0</v>
      </c>
      <c r="H79" s="36">
        <v>8</v>
      </c>
      <c r="I79" s="37">
        <f t="shared" si="6"/>
        <v>0.92329545454545459</v>
      </c>
      <c r="J79" s="37" t="str">
        <f t="shared" si="7"/>
        <v>-</v>
      </c>
      <c r="K79">
        <v>1</v>
      </c>
      <c r="T79" s="24">
        <v>2</v>
      </c>
      <c r="V79" s="24"/>
      <c r="W79" s="24"/>
      <c r="X79" s="24"/>
      <c r="Z79" s="27"/>
      <c r="AA79" s="27"/>
      <c r="AC79" cm="1">
        <f t="array" ref="AC79">SUMPRODUCT(--(M79:Q79="YES"))</f>
        <v>0</v>
      </c>
      <c r="AD79">
        <f>COUNTIF($AC$7:AC79, "&gt;=3")</f>
        <v>23</v>
      </c>
    </row>
    <row r="80" spans="1:30" x14ac:dyDescent="0.2">
      <c r="A80" s="44">
        <v>77</v>
      </c>
      <c r="B80" s="15" t="s">
        <v>580</v>
      </c>
      <c r="C80" s="14">
        <v>7</v>
      </c>
      <c r="D80" s="36">
        <v>302</v>
      </c>
      <c r="E80" s="36">
        <v>321</v>
      </c>
      <c r="F80" s="36">
        <v>170</v>
      </c>
      <c r="G80" s="36">
        <v>170</v>
      </c>
      <c r="H80" s="36">
        <v>9</v>
      </c>
      <c r="I80" s="37">
        <f t="shared" si="6"/>
        <v>1.0629139072847682</v>
      </c>
      <c r="J80" s="37">
        <f t="shared" si="7"/>
        <v>1</v>
      </c>
      <c r="K80">
        <v>1</v>
      </c>
      <c r="T80" s="24">
        <v>2</v>
      </c>
      <c r="V80" s="24"/>
      <c r="W80" s="24"/>
      <c r="X80" s="24"/>
      <c r="Z80" s="27"/>
      <c r="AA80" s="27"/>
      <c r="AC80" cm="1">
        <f t="array" ref="AC80">SUMPRODUCT(--(M80:Q80="YES"))</f>
        <v>0</v>
      </c>
      <c r="AD80">
        <f>COUNTIF($AC$7:AC80, "&gt;=3")</f>
        <v>23</v>
      </c>
    </row>
    <row r="81" spans="1:30" x14ac:dyDescent="0.2">
      <c r="A81" s="43">
        <v>52</v>
      </c>
      <c r="B81" s="13" t="s">
        <v>565</v>
      </c>
      <c r="C81" s="33">
        <v>6</v>
      </c>
      <c r="D81" s="34">
        <v>386</v>
      </c>
      <c r="E81" s="34">
        <v>321</v>
      </c>
      <c r="F81" s="34">
        <v>397</v>
      </c>
      <c r="G81" s="34">
        <v>339</v>
      </c>
      <c r="H81" s="34">
        <v>9</v>
      </c>
      <c r="I81" s="35">
        <f t="shared" si="6"/>
        <v>0.83160621761658027</v>
      </c>
      <c r="J81" s="35">
        <f t="shared" si="7"/>
        <v>0.853904282115869</v>
      </c>
      <c r="K81">
        <v>1</v>
      </c>
      <c r="T81" s="24">
        <v>2</v>
      </c>
      <c r="V81" s="24"/>
      <c r="W81" s="24"/>
      <c r="X81" s="24"/>
      <c r="Z81" s="27"/>
      <c r="AA81" s="27"/>
      <c r="AC81" cm="1">
        <f t="array" ref="AC81">SUMPRODUCT(--(M81:Q81="YES"))</f>
        <v>0</v>
      </c>
      <c r="AD81">
        <f>COUNTIF($AC$7:AC81, "&gt;=3")</f>
        <v>23</v>
      </c>
    </row>
    <row r="82" spans="1:30" x14ac:dyDescent="0.2">
      <c r="A82" s="43">
        <v>70</v>
      </c>
      <c r="B82" s="13" t="s">
        <v>299</v>
      </c>
      <c r="C82" s="33">
        <v>3</v>
      </c>
      <c r="D82" s="34">
        <v>323</v>
      </c>
      <c r="E82" s="34">
        <v>318</v>
      </c>
      <c r="F82" s="34">
        <v>0</v>
      </c>
      <c r="G82" s="34">
        <v>0</v>
      </c>
      <c r="H82" s="34">
        <v>7</v>
      </c>
      <c r="I82" s="35">
        <f t="shared" si="6"/>
        <v>0.98452012383900933</v>
      </c>
      <c r="J82" s="35" t="str">
        <f t="shared" si="7"/>
        <v>-</v>
      </c>
      <c r="K82">
        <v>1</v>
      </c>
      <c r="T82" s="24">
        <v>2</v>
      </c>
      <c r="V82" s="24"/>
      <c r="W82" s="24"/>
      <c r="X82" s="24"/>
      <c r="Z82" s="27"/>
      <c r="AA82" s="27"/>
      <c r="AC82" cm="1">
        <f t="array" ref="AC82">SUMPRODUCT(--(M82:Q82="YES"))</f>
        <v>0</v>
      </c>
      <c r="AD82">
        <f>COUNTIF($AC$7:AC82, "&gt;=3")</f>
        <v>23</v>
      </c>
    </row>
    <row r="83" spans="1:30" x14ac:dyDescent="0.2">
      <c r="A83" s="43">
        <v>78</v>
      </c>
      <c r="B83" s="13" t="s">
        <v>516</v>
      </c>
      <c r="C83" s="33">
        <v>4</v>
      </c>
      <c r="D83" s="34">
        <v>302</v>
      </c>
      <c r="E83" s="34">
        <v>302</v>
      </c>
      <c r="F83" s="34">
        <v>0</v>
      </c>
      <c r="G83" s="34">
        <v>0</v>
      </c>
      <c r="H83" s="34">
        <v>12</v>
      </c>
      <c r="I83" s="35">
        <f t="shared" si="6"/>
        <v>1</v>
      </c>
      <c r="J83" s="35" t="str">
        <f t="shared" si="7"/>
        <v>-</v>
      </c>
      <c r="K83">
        <v>1</v>
      </c>
      <c r="L83" s="24" t="s">
        <v>1775</v>
      </c>
      <c r="M83" s="24" t="s">
        <v>1457</v>
      </c>
      <c r="N83" s="24" t="s">
        <v>1457</v>
      </c>
      <c r="O83" s="24" t="s">
        <v>1459</v>
      </c>
      <c r="P83" s="24" t="s">
        <v>1457</v>
      </c>
      <c r="Q83" s="24" t="s">
        <v>1457</v>
      </c>
      <c r="T83" s="24">
        <v>2</v>
      </c>
      <c r="V83" s="24"/>
      <c r="W83" s="24"/>
      <c r="X83" s="24"/>
      <c r="Z83" s="27"/>
      <c r="AA83" s="27"/>
      <c r="AC83" cm="1">
        <f t="array" ref="AC83">SUMPRODUCT(--(M83:Q83="YES"))</f>
        <v>1</v>
      </c>
      <c r="AD83">
        <f>COUNTIF($AC$7:AC83, "&gt;=3")</f>
        <v>23</v>
      </c>
    </row>
    <row r="84" spans="1:30" x14ac:dyDescent="0.2">
      <c r="A84" s="43">
        <v>62</v>
      </c>
      <c r="B84" s="13" t="s">
        <v>334</v>
      </c>
      <c r="C84" s="33">
        <v>3</v>
      </c>
      <c r="D84" s="34">
        <v>351</v>
      </c>
      <c r="E84" s="34">
        <v>300</v>
      </c>
      <c r="F84" s="34">
        <v>0</v>
      </c>
      <c r="G84" s="34">
        <v>0</v>
      </c>
      <c r="H84" s="34">
        <v>8</v>
      </c>
      <c r="I84" s="35">
        <f t="shared" si="6"/>
        <v>0.85470085470085466</v>
      </c>
      <c r="J84" s="35" t="str">
        <f t="shared" si="7"/>
        <v>-</v>
      </c>
      <c r="K84">
        <v>1</v>
      </c>
      <c r="T84" s="24">
        <v>2</v>
      </c>
      <c r="V84" s="24"/>
      <c r="W84" s="24"/>
      <c r="X84" s="24"/>
      <c r="Z84" s="27"/>
      <c r="AA84" s="27"/>
      <c r="AC84" cm="1">
        <f t="array" ref="AC84">SUMPRODUCT(--(M84:Q84="YES"))</f>
        <v>0</v>
      </c>
      <c r="AD84">
        <f>COUNTIF($AC$7:AC84, "&gt;=3")</f>
        <v>23</v>
      </c>
    </row>
    <row r="85" spans="1:30" x14ac:dyDescent="0.2">
      <c r="A85" s="43">
        <v>92</v>
      </c>
      <c r="B85" s="13" t="s">
        <v>564</v>
      </c>
      <c r="C85" s="33">
        <v>6</v>
      </c>
      <c r="D85" s="34">
        <v>254</v>
      </c>
      <c r="E85" s="34">
        <v>299</v>
      </c>
      <c r="F85" s="34">
        <v>0</v>
      </c>
      <c r="G85" s="34">
        <v>0</v>
      </c>
      <c r="H85" s="34">
        <v>10</v>
      </c>
      <c r="I85" s="35">
        <f t="shared" si="6"/>
        <v>1.1771653543307086</v>
      </c>
      <c r="J85" s="35" t="str">
        <f t="shared" si="7"/>
        <v>-</v>
      </c>
      <c r="K85">
        <v>1</v>
      </c>
      <c r="L85" s="24" t="s">
        <v>1776</v>
      </c>
      <c r="M85" s="24" t="s">
        <v>1457</v>
      </c>
      <c r="N85" s="24" t="s">
        <v>1457</v>
      </c>
      <c r="O85" s="24" t="s">
        <v>1457</v>
      </c>
      <c r="P85" s="24" t="s">
        <v>1457</v>
      </c>
      <c r="Q85" s="24" t="s">
        <v>1457</v>
      </c>
      <c r="T85" s="24">
        <v>2</v>
      </c>
      <c r="V85" s="24"/>
      <c r="W85" s="24"/>
      <c r="X85" s="24"/>
      <c r="Z85" s="39"/>
      <c r="AA85" s="38"/>
      <c r="AC85" cm="1">
        <f t="array" ref="AC85">SUMPRODUCT(--(M85:Q85="YES"))</f>
        <v>0</v>
      </c>
      <c r="AD85">
        <f>COUNTIF($AC$7:AC85, "&gt;=3")</f>
        <v>23</v>
      </c>
    </row>
    <row r="86" spans="1:30" ht="29" x14ac:dyDescent="0.2">
      <c r="A86" s="44">
        <v>109</v>
      </c>
      <c r="B86" s="15" t="s">
        <v>584</v>
      </c>
      <c r="C86" s="14">
        <v>8</v>
      </c>
      <c r="D86" s="36">
        <v>209</v>
      </c>
      <c r="E86" s="36">
        <v>293</v>
      </c>
      <c r="F86" s="36">
        <v>0</v>
      </c>
      <c r="G86" s="36">
        <v>0</v>
      </c>
      <c r="H86" s="36">
        <v>8</v>
      </c>
      <c r="I86" s="37">
        <f t="shared" si="6"/>
        <v>1.4019138755980862</v>
      </c>
      <c r="J86" s="37" t="str">
        <f t="shared" si="7"/>
        <v>-</v>
      </c>
      <c r="K86">
        <v>1</v>
      </c>
      <c r="L86" s="24" t="s">
        <v>1777</v>
      </c>
      <c r="M86" s="24" t="s">
        <v>1459</v>
      </c>
      <c r="N86" s="24" t="s">
        <v>1457</v>
      </c>
      <c r="O86" s="24" t="s">
        <v>1457</v>
      </c>
      <c r="P86" s="24" t="s">
        <v>1459</v>
      </c>
      <c r="Q86" s="24" t="s">
        <v>1459</v>
      </c>
      <c r="R86" s="47" t="s">
        <v>1778</v>
      </c>
      <c r="S86" s="47" t="s">
        <v>1459</v>
      </c>
      <c r="T86" s="24">
        <v>2</v>
      </c>
      <c r="U86" s="24" t="s">
        <v>1465</v>
      </c>
      <c r="V86" s="24" t="s">
        <v>1465</v>
      </c>
      <c r="W86" s="24" t="s">
        <v>1465</v>
      </c>
      <c r="X86" s="24" t="s">
        <v>1465</v>
      </c>
      <c r="Z86" s="39" t="s">
        <v>1779</v>
      </c>
      <c r="AA86" s="38" t="s">
        <v>1780</v>
      </c>
      <c r="AC86" cm="1">
        <f t="array" ref="AC86">SUMPRODUCT(--(M86:Q86="YES"))</f>
        <v>3</v>
      </c>
      <c r="AD86">
        <f>COUNTIF($AC$7:AC86, "&gt;=3")</f>
        <v>24</v>
      </c>
    </row>
    <row r="87" spans="1:30" x14ac:dyDescent="0.2">
      <c r="A87" s="44">
        <v>65</v>
      </c>
      <c r="B87" s="15" t="s">
        <v>537</v>
      </c>
      <c r="C87" s="14">
        <v>4</v>
      </c>
      <c r="D87" s="36">
        <v>343</v>
      </c>
      <c r="E87" s="36">
        <v>293</v>
      </c>
      <c r="F87" s="36">
        <v>794</v>
      </c>
      <c r="G87" s="36">
        <v>789</v>
      </c>
      <c r="H87" s="36">
        <v>10</v>
      </c>
      <c r="I87" s="37">
        <f t="shared" si="6"/>
        <v>0.85422740524781338</v>
      </c>
      <c r="J87" s="37">
        <f t="shared" si="7"/>
        <v>0.99370277078085645</v>
      </c>
      <c r="K87">
        <v>1</v>
      </c>
      <c r="L87" s="24" t="s">
        <v>1781</v>
      </c>
      <c r="M87" s="24" t="s">
        <v>1457</v>
      </c>
      <c r="N87" s="24" t="s">
        <v>1457</v>
      </c>
      <c r="O87" s="24" t="s">
        <v>1459</v>
      </c>
      <c r="P87" s="24" t="s">
        <v>1457</v>
      </c>
      <c r="Q87" s="24" t="s">
        <v>1457</v>
      </c>
      <c r="T87" s="24">
        <v>2</v>
      </c>
      <c r="V87" s="24"/>
      <c r="W87" s="24"/>
      <c r="X87" s="24"/>
      <c r="Z87" s="27"/>
      <c r="AA87" s="27"/>
      <c r="AC87" cm="1">
        <f t="array" ref="AC87">SUMPRODUCT(--(M87:Q87="YES"))</f>
        <v>1</v>
      </c>
      <c r="AD87">
        <f>COUNTIF($AC$7:AC87, "&gt;=3")</f>
        <v>24</v>
      </c>
    </row>
    <row r="88" spans="1:30" x14ac:dyDescent="0.2">
      <c r="A88" s="43">
        <v>276</v>
      </c>
      <c r="B88" s="13" t="s">
        <v>734</v>
      </c>
      <c r="C88" s="33">
        <v>5</v>
      </c>
      <c r="D88" s="34">
        <v>50</v>
      </c>
      <c r="E88" s="34">
        <v>50</v>
      </c>
      <c r="F88" s="34">
        <v>639</v>
      </c>
      <c r="G88" s="34">
        <v>528</v>
      </c>
      <c r="H88" s="34">
        <v>1</v>
      </c>
      <c r="I88" s="35">
        <f t="shared" si="6"/>
        <v>1</v>
      </c>
      <c r="J88" s="35">
        <f t="shared" si="7"/>
        <v>0.82629107981220662</v>
      </c>
      <c r="K88"/>
      <c r="L88"/>
      <c r="M88"/>
      <c r="N88"/>
      <c r="O88"/>
      <c r="P88"/>
      <c r="Q88"/>
      <c r="T88"/>
      <c r="U88"/>
      <c r="Y88"/>
      <c r="Z88"/>
    </row>
    <row r="89" spans="1:30" x14ac:dyDescent="0.2">
      <c r="A89" s="44">
        <v>311</v>
      </c>
      <c r="B89" s="15" t="s">
        <v>901</v>
      </c>
      <c r="C89" s="14">
        <v>5</v>
      </c>
      <c r="D89" s="36">
        <v>41</v>
      </c>
      <c r="E89" s="36">
        <v>24</v>
      </c>
      <c r="F89" s="36">
        <v>203</v>
      </c>
      <c r="G89" s="36">
        <v>203</v>
      </c>
      <c r="H89" s="36">
        <v>1</v>
      </c>
      <c r="I89" s="37">
        <f t="shared" si="6"/>
        <v>0.58536585365853655</v>
      </c>
      <c r="J89" s="37">
        <f t="shared" si="7"/>
        <v>1</v>
      </c>
      <c r="K89"/>
      <c r="L89"/>
      <c r="M89"/>
      <c r="N89"/>
      <c r="O89"/>
      <c r="P89"/>
      <c r="Q89"/>
      <c r="T89"/>
      <c r="U89"/>
      <c r="Y89"/>
      <c r="Z89"/>
    </row>
    <row r="90" spans="1:30" x14ac:dyDescent="0.2">
      <c r="A90" s="44">
        <v>403</v>
      </c>
      <c r="B90" s="15" t="s">
        <v>1195</v>
      </c>
      <c r="C90" s="14">
        <v>5</v>
      </c>
      <c r="D90" s="36">
        <v>0</v>
      </c>
      <c r="E90" s="36">
        <v>0</v>
      </c>
      <c r="F90" s="36">
        <v>522</v>
      </c>
      <c r="G90" s="36">
        <v>512</v>
      </c>
      <c r="H90" s="36">
        <v>0</v>
      </c>
      <c r="I90" s="37" t="str">
        <f t="shared" si="6"/>
        <v>-</v>
      </c>
      <c r="J90" s="37">
        <f t="shared" si="7"/>
        <v>0.98084291187739459</v>
      </c>
      <c r="K90"/>
      <c r="L90"/>
      <c r="M90"/>
      <c r="N90"/>
      <c r="O90"/>
      <c r="P90"/>
      <c r="Q90"/>
      <c r="T90"/>
      <c r="U90"/>
      <c r="Y90"/>
      <c r="Z90"/>
    </row>
    <row r="91" spans="1:30" x14ac:dyDescent="0.2">
      <c r="A91" s="44">
        <v>409</v>
      </c>
      <c r="B91" s="15" t="s">
        <v>1191</v>
      </c>
      <c r="C91" s="14">
        <v>5</v>
      </c>
      <c r="D91" s="36">
        <v>0</v>
      </c>
      <c r="E91" s="36">
        <v>0</v>
      </c>
      <c r="F91" s="36">
        <v>349</v>
      </c>
      <c r="G91" s="36">
        <v>371</v>
      </c>
      <c r="H91" s="36">
        <v>0</v>
      </c>
      <c r="I91" s="37" t="str">
        <f t="shared" si="6"/>
        <v>-</v>
      </c>
      <c r="J91" s="37">
        <f t="shared" si="7"/>
        <v>1.0630372492836677</v>
      </c>
      <c r="K91"/>
      <c r="L91"/>
      <c r="M91"/>
      <c r="N91"/>
      <c r="O91"/>
      <c r="P91"/>
      <c r="Q91"/>
      <c r="T91"/>
      <c r="U91"/>
      <c r="Y91"/>
      <c r="Z91"/>
    </row>
    <row r="92" spans="1:30" x14ac:dyDescent="0.2">
      <c r="A92" s="43">
        <v>410</v>
      </c>
      <c r="B92" s="13" t="s">
        <v>1222</v>
      </c>
      <c r="C92" s="33">
        <v>5</v>
      </c>
      <c r="D92" s="34">
        <v>0</v>
      </c>
      <c r="E92" s="34">
        <v>0</v>
      </c>
      <c r="F92" s="34">
        <v>745</v>
      </c>
      <c r="G92" s="34">
        <v>819</v>
      </c>
      <c r="H92" s="34">
        <v>0</v>
      </c>
      <c r="I92" s="35" t="str">
        <f t="shared" si="6"/>
        <v>-</v>
      </c>
      <c r="J92" s="35">
        <f t="shared" si="7"/>
        <v>1.0993288590604027</v>
      </c>
      <c r="K92"/>
      <c r="L92"/>
      <c r="M92"/>
      <c r="N92"/>
      <c r="O92"/>
      <c r="P92"/>
      <c r="Q92"/>
      <c r="T92"/>
      <c r="U92"/>
      <c r="Y92"/>
      <c r="Z92"/>
    </row>
    <row r="93" spans="1:30" x14ac:dyDescent="0.2">
      <c r="A93" s="43">
        <v>412</v>
      </c>
      <c r="B93" s="13" t="s">
        <v>1217</v>
      </c>
      <c r="C93" s="33">
        <v>5</v>
      </c>
      <c r="D93" s="34">
        <v>0</v>
      </c>
      <c r="E93" s="34">
        <v>0</v>
      </c>
      <c r="F93" s="34">
        <v>759</v>
      </c>
      <c r="G93" s="34">
        <v>732</v>
      </c>
      <c r="H93" s="34">
        <v>0</v>
      </c>
      <c r="I93" s="35" t="str">
        <f t="shared" si="6"/>
        <v>-</v>
      </c>
      <c r="J93" s="35">
        <f t="shared" si="7"/>
        <v>0.96442687747035571</v>
      </c>
      <c r="K93"/>
      <c r="L93"/>
      <c r="M93"/>
      <c r="N93"/>
      <c r="O93"/>
      <c r="P93"/>
      <c r="Q93"/>
      <c r="T93"/>
      <c r="U93"/>
      <c r="Y93"/>
      <c r="Z93"/>
    </row>
    <row r="94" spans="1:30" x14ac:dyDescent="0.2">
      <c r="A94" s="43">
        <v>426</v>
      </c>
      <c r="B94" s="13" t="s">
        <v>1277</v>
      </c>
      <c r="C94" s="33">
        <v>5</v>
      </c>
      <c r="D94" s="34">
        <v>0</v>
      </c>
      <c r="E94" s="34">
        <v>0</v>
      </c>
      <c r="F94" s="34">
        <v>313</v>
      </c>
      <c r="G94" s="34">
        <v>271</v>
      </c>
      <c r="H94" s="34">
        <v>0</v>
      </c>
      <c r="I94" s="35" t="str">
        <f t="shared" si="6"/>
        <v>-</v>
      </c>
      <c r="J94" s="35">
        <f t="shared" si="7"/>
        <v>0.86581469648562304</v>
      </c>
      <c r="K94"/>
      <c r="L94"/>
      <c r="M94"/>
      <c r="N94"/>
      <c r="O94"/>
      <c r="P94"/>
      <c r="Q94"/>
      <c r="T94"/>
      <c r="U94"/>
      <c r="Y94"/>
      <c r="Z94"/>
    </row>
    <row r="95" spans="1:30" x14ac:dyDescent="0.2">
      <c r="A95" s="44">
        <v>431</v>
      </c>
      <c r="B95" s="15" t="s">
        <v>1072</v>
      </c>
      <c r="C95" s="14">
        <v>5</v>
      </c>
      <c r="D95" s="36">
        <v>0</v>
      </c>
      <c r="E95" s="36">
        <v>0</v>
      </c>
      <c r="F95" s="36">
        <v>1575</v>
      </c>
      <c r="G95" s="36">
        <v>1516</v>
      </c>
      <c r="H95" s="36">
        <v>0</v>
      </c>
      <c r="I95" s="37" t="str">
        <f t="shared" si="6"/>
        <v>-</v>
      </c>
      <c r="J95" s="37">
        <f t="shared" si="7"/>
        <v>0.96253968253968258</v>
      </c>
      <c r="K95"/>
      <c r="L95"/>
      <c r="M95"/>
      <c r="N95"/>
      <c r="O95"/>
      <c r="P95"/>
      <c r="Q95"/>
      <c r="T95"/>
      <c r="U95"/>
      <c r="Y95"/>
      <c r="Z95"/>
    </row>
    <row r="96" spans="1:30" x14ac:dyDescent="0.2">
      <c r="A96" s="44">
        <v>447</v>
      </c>
      <c r="B96" s="15" t="s">
        <v>1135</v>
      </c>
      <c r="C96" s="14">
        <v>5</v>
      </c>
      <c r="D96" s="36">
        <v>0</v>
      </c>
      <c r="E96" s="36">
        <v>0</v>
      </c>
      <c r="F96" s="36">
        <v>1156</v>
      </c>
      <c r="G96" s="36">
        <v>1099</v>
      </c>
      <c r="H96" s="36">
        <v>0</v>
      </c>
      <c r="I96" s="37" t="str">
        <f t="shared" si="6"/>
        <v>-</v>
      </c>
      <c r="J96" s="37">
        <f t="shared" si="7"/>
        <v>0.95069204152249132</v>
      </c>
      <c r="K96"/>
      <c r="L96"/>
      <c r="M96"/>
      <c r="N96"/>
      <c r="O96"/>
      <c r="P96"/>
      <c r="Q96"/>
      <c r="T96"/>
      <c r="U96"/>
      <c r="Y96"/>
      <c r="Z96"/>
    </row>
    <row r="97" spans="1:30" x14ac:dyDescent="0.2">
      <c r="A97" s="44">
        <v>485</v>
      </c>
      <c r="B97" s="15" t="s">
        <v>1261</v>
      </c>
      <c r="C97" s="14">
        <v>5</v>
      </c>
      <c r="D97" s="36">
        <v>0</v>
      </c>
      <c r="E97" s="36">
        <v>0</v>
      </c>
      <c r="F97" s="36">
        <v>312</v>
      </c>
      <c r="G97" s="36">
        <v>287</v>
      </c>
      <c r="H97" s="36">
        <v>0</v>
      </c>
      <c r="I97" s="37" t="str">
        <f t="shared" si="6"/>
        <v>-</v>
      </c>
      <c r="J97" s="37">
        <f t="shared" si="7"/>
        <v>0.91987179487179482</v>
      </c>
      <c r="K97"/>
      <c r="L97"/>
      <c r="M97"/>
      <c r="N97"/>
      <c r="O97"/>
      <c r="P97"/>
      <c r="Q97"/>
      <c r="T97"/>
      <c r="U97"/>
      <c r="Y97"/>
      <c r="Z97"/>
    </row>
    <row r="98" spans="1:30" x14ac:dyDescent="0.2">
      <c r="A98" s="44">
        <v>487</v>
      </c>
      <c r="B98" s="15" t="s">
        <v>1268</v>
      </c>
      <c r="C98" s="14">
        <v>5</v>
      </c>
      <c r="D98" s="36">
        <v>0</v>
      </c>
      <c r="E98" s="36">
        <v>0</v>
      </c>
      <c r="F98" s="36">
        <v>378</v>
      </c>
      <c r="G98" s="36">
        <v>353</v>
      </c>
      <c r="H98" s="36">
        <v>0</v>
      </c>
      <c r="I98" s="37" t="str">
        <f t="shared" si="6"/>
        <v>-</v>
      </c>
      <c r="J98" s="37">
        <f t="shared" si="7"/>
        <v>0.93386243386243384</v>
      </c>
      <c r="K98"/>
      <c r="L98"/>
      <c r="M98"/>
      <c r="N98"/>
      <c r="O98"/>
      <c r="P98"/>
      <c r="Q98"/>
      <c r="T98"/>
      <c r="U98"/>
      <c r="Y98"/>
      <c r="Z98"/>
    </row>
    <row r="99" spans="1:30" x14ac:dyDescent="0.2">
      <c r="A99" s="43">
        <v>492</v>
      </c>
      <c r="B99" s="13" t="s">
        <v>1066</v>
      </c>
      <c r="C99" s="33">
        <v>5</v>
      </c>
      <c r="D99" s="34">
        <v>0</v>
      </c>
      <c r="E99" s="34">
        <v>0</v>
      </c>
      <c r="F99" s="34">
        <v>1440</v>
      </c>
      <c r="G99" s="34">
        <v>1352</v>
      </c>
      <c r="H99" s="34">
        <v>0</v>
      </c>
      <c r="I99" s="35" t="str">
        <f t="shared" si="6"/>
        <v>-</v>
      </c>
      <c r="J99" s="35">
        <f t="shared" si="7"/>
        <v>0.93888888888888888</v>
      </c>
      <c r="K99"/>
      <c r="L99"/>
      <c r="M99"/>
      <c r="N99"/>
      <c r="O99"/>
      <c r="P99"/>
      <c r="Q99"/>
      <c r="T99"/>
      <c r="U99"/>
      <c r="Y99"/>
      <c r="Z99"/>
    </row>
    <row r="100" spans="1:30" x14ac:dyDescent="0.2">
      <c r="A100" s="44">
        <v>509</v>
      </c>
      <c r="B100" s="15" t="s">
        <v>1204</v>
      </c>
      <c r="C100" s="14">
        <v>5</v>
      </c>
      <c r="D100" s="36">
        <v>0</v>
      </c>
      <c r="E100" s="36">
        <v>0</v>
      </c>
      <c r="F100" s="36">
        <v>651</v>
      </c>
      <c r="G100" s="36">
        <v>620</v>
      </c>
      <c r="H100" s="36">
        <v>0</v>
      </c>
      <c r="I100" s="37" t="str">
        <f t="shared" si="6"/>
        <v>-</v>
      </c>
      <c r="J100" s="37">
        <f t="shared" si="7"/>
        <v>0.95238095238095233</v>
      </c>
      <c r="K100"/>
      <c r="L100"/>
      <c r="M100"/>
      <c r="N100"/>
      <c r="O100"/>
      <c r="P100"/>
      <c r="Q100"/>
      <c r="T100"/>
      <c r="U100"/>
      <c r="Y100"/>
      <c r="Z100"/>
    </row>
    <row r="101" spans="1:30" x14ac:dyDescent="0.2">
      <c r="A101" s="43">
        <v>534</v>
      </c>
      <c r="B101" s="13" t="s">
        <v>1078</v>
      </c>
      <c r="C101" s="33">
        <v>5</v>
      </c>
      <c r="D101" s="34">
        <v>0</v>
      </c>
      <c r="E101" s="34">
        <v>0</v>
      </c>
      <c r="F101" s="34">
        <v>2061</v>
      </c>
      <c r="G101" s="34">
        <v>2057</v>
      </c>
      <c r="H101" s="34">
        <v>0</v>
      </c>
      <c r="I101" s="35" t="str">
        <f t="shared" si="6"/>
        <v>-</v>
      </c>
      <c r="J101" s="35">
        <f t="shared" si="7"/>
        <v>0.99805919456574477</v>
      </c>
      <c r="K101"/>
      <c r="L101"/>
      <c r="M101"/>
      <c r="N101"/>
      <c r="O101"/>
      <c r="P101"/>
      <c r="Q101"/>
      <c r="T101"/>
      <c r="U101"/>
      <c r="Y101"/>
      <c r="Z101"/>
    </row>
    <row r="102" spans="1:30" x14ac:dyDescent="0.2">
      <c r="A102" s="43">
        <v>542</v>
      </c>
      <c r="B102" s="13" t="s">
        <v>1088</v>
      </c>
      <c r="C102" s="33">
        <v>5</v>
      </c>
      <c r="D102" s="34">
        <v>0</v>
      </c>
      <c r="E102" s="34">
        <v>0</v>
      </c>
      <c r="F102" s="34">
        <v>755</v>
      </c>
      <c r="G102" s="34">
        <v>699</v>
      </c>
      <c r="H102" s="34">
        <v>0</v>
      </c>
      <c r="I102" s="35" t="str">
        <f t="shared" si="6"/>
        <v>-</v>
      </c>
      <c r="J102" s="35">
        <f t="shared" si="7"/>
        <v>0.92582781456953644</v>
      </c>
      <c r="K102"/>
      <c r="L102"/>
      <c r="M102"/>
      <c r="N102"/>
      <c r="O102"/>
      <c r="P102"/>
      <c r="Q102"/>
      <c r="T102"/>
      <c r="U102"/>
      <c r="Y102"/>
      <c r="Z102"/>
    </row>
    <row r="103" spans="1:30" x14ac:dyDescent="0.2">
      <c r="A103" s="43">
        <v>64</v>
      </c>
      <c r="B103" s="13" t="s">
        <v>411</v>
      </c>
      <c r="C103" s="33">
        <v>4</v>
      </c>
      <c r="D103" s="34">
        <v>346</v>
      </c>
      <c r="E103" s="34">
        <v>292</v>
      </c>
      <c r="F103" s="34">
        <v>307</v>
      </c>
      <c r="G103" s="34">
        <v>300</v>
      </c>
      <c r="H103" s="34">
        <v>5</v>
      </c>
      <c r="I103" s="35">
        <f t="shared" si="6"/>
        <v>0.84393063583815031</v>
      </c>
      <c r="J103" s="35">
        <f t="shared" si="7"/>
        <v>0.9771986970684039</v>
      </c>
      <c r="K103">
        <v>1</v>
      </c>
      <c r="T103" s="24">
        <v>2</v>
      </c>
      <c r="V103" s="24"/>
      <c r="W103" s="24"/>
      <c r="X103" s="24"/>
      <c r="Z103" s="27"/>
      <c r="AA103" s="27"/>
      <c r="AC103" cm="1">
        <f t="array" ref="AC103">SUMPRODUCT(--(M103:Q103="YES"))</f>
        <v>0</v>
      </c>
      <c r="AD103">
        <f>COUNTIF($AC$7:AC103, "&gt;=3")</f>
        <v>24</v>
      </c>
    </row>
    <row r="104" spans="1:30" x14ac:dyDescent="0.2">
      <c r="A104" s="43">
        <v>34</v>
      </c>
      <c r="B104" s="13" t="s">
        <v>489</v>
      </c>
      <c r="C104" s="33">
        <v>3</v>
      </c>
      <c r="D104" s="34">
        <v>541</v>
      </c>
      <c r="E104" s="34">
        <v>291</v>
      </c>
      <c r="F104" s="34">
        <v>0</v>
      </c>
      <c r="G104" s="34">
        <v>0</v>
      </c>
      <c r="H104" s="34">
        <v>11</v>
      </c>
      <c r="I104" s="35">
        <f t="shared" si="6"/>
        <v>0.53789279112754163</v>
      </c>
      <c r="J104" s="35" t="str">
        <f t="shared" si="7"/>
        <v>-</v>
      </c>
      <c r="K104">
        <v>1</v>
      </c>
      <c r="L104" s="24" t="s">
        <v>1782</v>
      </c>
      <c r="M104" s="24" t="s">
        <v>1459</v>
      </c>
      <c r="N104" s="24" t="s">
        <v>1459</v>
      </c>
      <c r="O104" s="24" t="s">
        <v>1459</v>
      </c>
      <c r="P104" s="24" t="s">
        <v>1457</v>
      </c>
      <c r="Q104" s="24" t="s">
        <v>1459</v>
      </c>
      <c r="R104" s="47" t="s">
        <v>1783</v>
      </c>
      <c r="S104" s="47" t="s">
        <v>1459</v>
      </c>
      <c r="T104" s="24">
        <v>2</v>
      </c>
      <c r="V104" s="24"/>
      <c r="W104" s="24"/>
      <c r="X104" s="24"/>
      <c r="Z104" s="27" t="s">
        <v>1784</v>
      </c>
      <c r="AA104" s="27" t="s">
        <v>1785</v>
      </c>
      <c r="AC104" cm="1">
        <f t="array" ref="AC104">SUMPRODUCT(--(M104:Q104="YES"))</f>
        <v>4</v>
      </c>
      <c r="AD104">
        <f>COUNTIF($AC$7:AC104, "&gt;=3")</f>
        <v>25</v>
      </c>
    </row>
    <row r="105" spans="1:30" x14ac:dyDescent="0.2">
      <c r="A105" s="43">
        <v>80</v>
      </c>
      <c r="B105" s="13" t="s">
        <v>414</v>
      </c>
      <c r="C105" s="33">
        <v>9</v>
      </c>
      <c r="D105" s="34">
        <v>290</v>
      </c>
      <c r="E105" s="34">
        <v>288</v>
      </c>
      <c r="F105" s="34">
        <v>1386</v>
      </c>
      <c r="G105" s="34">
        <v>1378</v>
      </c>
      <c r="H105" s="34">
        <v>5</v>
      </c>
      <c r="I105" s="35">
        <f t="shared" ref="I105:I136" si="8">IF(D105=0,"-",E105/D105)</f>
        <v>0.99310344827586206</v>
      </c>
      <c r="J105" s="35">
        <f t="shared" ref="J105:J136" si="9">IF(F105=0,"-",G105/F105)</f>
        <v>0.99422799422799424</v>
      </c>
      <c r="K105">
        <v>1</v>
      </c>
      <c r="L105" s="24" t="s">
        <v>1786</v>
      </c>
      <c r="M105" s="24" t="s">
        <v>1459</v>
      </c>
      <c r="N105" s="24" t="s">
        <v>1459</v>
      </c>
      <c r="O105" s="24" t="s">
        <v>1459</v>
      </c>
      <c r="P105" s="24" t="s">
        <v>1459</v>
      </c>
      <c r="Q105" s="24" t="s">
        <v>1457</v>
      </c>
      <c r="T105" s="24">
        <v>2</v>
      </c>
      <c r="U105" s="24" t="s">
        <v>1787</v>
      </c>
      <c r="V105" s="24" t="s">
        <v>1788</v>
      </c>
      <c r="W105" s="24" t="s">
        <v>1724</v>
      </c>
      <c r="X105" s="24" t="s">
        <v>1485</v>
      </c>
      <c r="Z105" s="27" t="s">
        <v>1789</v>
      </c>
      <c r="AA105" s="27" t="s">
        <v>1790</v>
      </c>
      <c r="AC105" cm="1">
        <f t="array" ref="AC105">SUMPRODUCT(--(M105:Q105="YES"))</f>
        <v>4</v>
      </c>
      <c r="AD105">
        <f>COUNTIF($AC$7:AC105, "&gt;=3")</f>
        <v>26</v>
      </c>
    </row>
    <row r="106" spans="1:30" x14ac:dyDescent="0.2">
      <c r="A106" s="43">
        <v>82</v>
      </c>
      <c r="B106" s="13" t="s">
        <v>395</v>
      </c>
      <c r="C106" s="33">
        <v>3</v>
      </c>
      <c r="D106" s="34">
        <v>277</v>
      </c>
      <c r="E106" s="34">
        <v>286</v>
      </c>
      <c r="F106" s="34">
        <v>2389</v>
      </c>
      <c r="G106" s="34">
        <v>2356</v>
      </c>
      <c r="H106" s="34">
        <v>6</v>
      </c>
      <c r="I106" s="35">
        <f t="shared" si="8"/>
        <v>1.0324909747292419</v>
      </c>
      <c r="J106" s="35">
        <f t="shared" si="9"/>
        <v>0.98618668899120976</v>
      </c>
      <c r="K106">
        <v>1</v>
      </c>
      <c r="L106" s="24" t="s">
        <v>1791</v>
      </c>
      <c r="M106" s="24" t="s">
        <v>1457</v>
      </c>
      <c r="N106" s="24" t="s">
        <v>1457</v>
      </c>
      <c r="O106" s="24" t="s">
        <v>1459</v>
      </c>
      <c r="P106" s="24" t="s">
        <v>1457</v>
      </c>
      <c r="Q106" s="24" t="s">
        <v>1457</v>
      </c>
      <c r="T106" s="24">
        <v>2</v>
      </c>
      <c r="V106" s="24"/>
      <c r="W106" s="24"/>
      <c r="X106" s="24"/>
      <c r="Z106" s="27"/>
      <c r="AA106" s="27"/>
      <c r="AC106" cm="1">
        <f t="array" ref="AC106">SUMPRODUCT(--(M106:Q106="YES"))</f>
        <v>1</v>
      </c>
      <c r="AD106">
        <f>COUNTIF($AC$7:AC106, "&gt;=3")</f>
        <v>26</v>
      </c>
    </row>
    <row r="107" spans="1:30" x14ac:dyDescent="0.2">
      <c r="A107" s="44">
        <v>79</v>
      </c>
      <c r="B107" s="15" t="s">
        <v>316</v>
      </c>
      <c r="C107" s="14">
        <v>3</v>
      </c>
      <c r="D107" s="36">
        <v>302</v>
      </c>
      <c r="E107" s="36">
        <v>285</v>
      </c>
      <c r="F107" s="36">
        <v>0</v>
      </c>
      <c r="G107" s="36">
        <v>0</v>
      </c>
      <c r="H107" s="36">
        <v>10</v>
      </c>
      <c r="I107" s="37">
        <f t="shared" si="8"/>
        <v>0.94370860927152322</v>
      </c>
      <c r="J107" s="37" t="str">
        <f t="shared" si="9"/>
        <v>-</v>
      </c>
      <c r="K107">
        <v>1</v>
      </c>
      <c r="L107" s="24" t="s">
        <v>1792</v>
      </c>
      <c r="M107" s="24" t="s">
        <v>1459</v>
      </c>
      <c r="N107" s="24" t="s">
        <v>1459</v>
      </c>
      <c r="O107" s="24" t="s">
        <v>1459</v>
      </c>
      <c r="P107" s="24" t="s">
        <v>1459</v>
      </c>
      <c r="Q107" s="24" t="s">
        <v>1457</v>
      </c>
      <c r="T107" s="24">
        <v>2</v>
      </c>
      <c r="U107" s="24" t="s">
        <v>1793</v>
      </c>
      <c r="V107" s="24" t="s">
        <v>1740</v>
      </c>
      <c r="W107" s="24" t="s">
        <v>1794</v>
      </c>
      <c r="X107" s="24" t="s">
        <v>1795</v>
      </c>
      <c r="Z107" s="27" t="s">
        <v>1796</v>
      </c>
      <c r="AA107" s="27" t="s">
        <v>1797</v>
      </c>
      <c r="AC107" cm="1">
        <f t="array" ref="AC107">SUMPRODUCT(--(M107:Q107="YES"))</f>
        <v>4</v>
      </c>
      <c r="AD107">
        <f>COUNTIF($AC$7:AC107, "&gt;=3")</f>
        <v>27</v>
      </c>
    </row>
    <row r="108" spans="1:30" x14ac:dyDescent="0.2">
      <c r="A108" s="44">
        <v>63</v>
      </c>
      <c r="B108" s="15" t="s">
        <v>448</v>
      </c>
      <c r="C108" s="14">
        <v>9</v>
      </c>
      <c r="D108" s="36">
        <v>349</v>
      </c>
      <c r="E108" s="36">
        <v>276</v>
      </c>
      <c r="F108" s="36">
        <v>941</v>
      </c>
      <c r="G108" s="36">
        <v>956</v>
      </c>
      <c r="H108" s="36">
        <v>5</v>
      </c>
      <c r="I108" s="37">
        <f t="shared" si="8"/>
        <v>0.79083094555873923</v>
      </c>
      <c r="J108" s="37">
        <f t="shared" si="9"/>
        <v>1.0159404888416579</v>
      </c>
      <c r="K108">
        <v>1</v>
      </c>
      <c r="T108" s="24">
        <v>2</v>
      </c>
      <c r="V108" s="24"/>
      <c r="W108" s="24"/>
      <c r="X108" s="24"/>
      <c r="Z108" s="27"/>
      <c r="AA108" s="27"/>
      <c r="AC108" cm="1">
        <f t="array" ref="AC108">SUMPRODUCT(--(M108:Q108="YES"))</f>
        <v>0</v>
      </c>
      <c r="AD108">
        <f>COUNTIF($AC$7:AC108, "&gt;=3")</f>
        <v>27</v>
      </c>
    </row>
    <row r="109" spans="1:30" x14ac:dyDescent="0.2">
      <c r="A109" s="44">
        <v>51</v>
      </c>
      <c r="B109" s="15" t="s">
        <v>507</v>
      </c>
      <c r="C109" s="14">
        <v>5</v>
      </c>
      <c r="D109" s="36">
        <v>387</v>
      </c>
      <c r="E109" s="36">
        <v>275</v>
      </c>
      <c r="F109" s="36">
        <v>0</v>
      </c>
      <c r="G109" s="36">
        <v>0</v>
      </c>
      <c r="H109" s="36">
        <v>9</v>
      </c>
      <c r="I109" s="37">
        <f t="shared" si="8"/>
        <v>0.710594315245478</v>
      </c>
      <c r="J109" s="37" t="str">
        <f t="shared" si="9"/>
        <v>-</v>
      </c>
      <c r="K109">
        <v>1</v>
      </c>
      <c r="T109" s="24">
        <v>2</v>
      </c>
      <c r="V109" s="24"/>
      <c r="W109" s="24"/>
      <c r="X109" s="24"/>
      <c r="Z109" s="27"/>
      <c r="AA109" s="27"/>
      <c r="AC109" cm="1">
        <f t="array" ref="AC109">SUMPRODUCT(--(M109:Q109="YES"))</f>
        <v>0</v>
      </c>
      <c r="AD109">
        <f>COUNTIF($AC$7:AC109, "&gt;=3")</f>
        <v>27</v>
      </c>
    </row>
    <row r="110" spans="1:30" x14ac:dyDescent="0.2">
      <c r="A110" s="44">
        <v>121</v>
      </c>
      <c r="B110" s="15" t="s">
        <v>570</v>
      </c>
      <c r="C110" s="14">
        <v>7</v>
      </c>
      <c r="D110" s="36">
        <v>196</v>
      </c>
      <c r="E110" s="36">
        <v>274</v>
      </c>
      <c r="F110" s="36">
        <v>0</v>
      </c>
      <c r="G110" s="36">
        <v>0</v>
      </c>
      <c r="H110" s="36">
        <v>8</v>
      </c>
      <c r="I110" s="37">
        <f t="shared" si="8"/>
        <v>1.3979591836734695</v>
      </c>
      <c r="J110" s="37" t="str">
        <f t="shared" si="9"/>
        <v>-</v>
      </c>
      <c r="K110">
        <v>1</v>
      </c>
      <c r="T110" s="24">
        <v>2</v>
      </c>
      <c r="V110" s="24"/>
      <c r="W110" s="24"/>
      <c r="X110" s="24"/>
      <c r="Z110" s="27"/>
      <c r="AA110" s="27"/>
      <c r="AC110" cm="1">
        <f t="array" ref="AC110">SUMPRODUCT(--(M110:Q110="YES"))</f>
        <v>0</v>
      </c>
      <c r="AD110">
        <f>COUNTIF($AC$7:AC110, "&gt;=3")</f>
        <v>27</v>
      </c>
    </row>
    <row r="111" spans="1:30" x14ac:dyDescent="0.2">
      <c r="A111" s="44">
        <v>67</v>
      </c>
      <c r="B111" s="15" t="s">
        <v>479</v>
      </c>
      <c r="C111" s="14">
        <v>4</v>
      </c>
      <c r="D111" s="36">
        <v>339</v>
      </c>
      <c r="E111" s="36">
        <v>273</v>
      </c>
      <c r="F111" s="36">
        <v>2611</v>
      </c>
      <c r="G111" s="36">
        <v>2506</v>
      </c>
      <c r="H111" s="36">
        <v>6</v>
      </c>
      <c r="I111" s="37">
        <f t="shared" si="8"/>
        <v>0.80530973451327437</v>
      </c>
      <c r="J111" s="37">
        <f t="shared" si="9"/>
        <v>0.95978552278820373</v>
      </c>
      <c r="K111">
        <v>1</v>
      </c>
      <c r="L111" s="24" t="s">
        <v>1798</v>
      </c>
      <c r="M111" s="24" t="s">
        <v>1459</v>
      </c>
      <c r="N111" s="24" t="s">
        <v>1459</v>
      </c>
      <c r="O111" s="24" t="s">
        <v>1459</v>
      </c>
      <c r="P111" s="24" t="s">
        <v>1459</v>
      </c>
      <c r="Q111" s="24" t="s">
        <v>1457</v>
      </c>
      <c r="T111" s="24">
        <v>2</v>
      </c>
      <c r="U111" s="24" t="s">
        <v>1799</v>
      </c>
      <c r="V111" s="24" t="s">
        <v>1800</v>
      </c>
      <c r="W111" s="24" t="s">
        <v>1801</v>
      </c>
      <c r="X111" s="24" t="s">
        <v>1802</v>
      </c>
      <c r="Z111" s="27" t="s">
        <v>1803</v>
      </c>
      <c r="AA111" s="27" t="s">
        <v>1804</v>
      </c>
      <c r="AC111" cm="1">
        <f t="array" ref="AC111">SUMPRODUCT(--(M111:Q111="YES"))</f>
        <v>4</v>
      </c>
      <c r="AD111">
        <f>COUNTIF($AC$7:AC111, "&gt;=3")</f>
        <v>28</v>
      </c>
    </row>
    <row r="112" spans="1:30" x14ac:dyDescent="0.2">
      <c r="A112" s="44">
        <v>95</v>
      </c>
      <c r="B112" s="15" t="s">
        <v>441</v>
      </c>
      <c r="C112" s="14">
        <v>3</v>
      </c>
      <c r="D112" s="36">
        <v>249</v>
      </c>
      <c r="E112" s="36">
        <v>267</v>
      </c>
      <c r="F112" s="36">
        <v>0</v>
      </c>
      <c r="G112" s="36">
        <v>0</v>
      </c>
      <c r="H112" s="36">
        <v>6</v>
      </c>
      <c r="I112" s="37">
        <f t="shared" si="8"/>
        <v>1.072289156626506</v>
      </c>
      <c r="J112" s="37" t="str">
        <f t="shared" si="9"/>
        <v>-</v>
      </c>
      <c r="K112">
        <v>1</v>
      </c>
      <c r="T112" s="24">
        <v>2</v>
      </c>
      <c r="V112" s="24"/>
      <c r="W112" s="24"/>
      <c r="X112" s="24"/>
      <c r="Z112" s="27"/>
      <c r="AA112" s="27"/>
      <c r="AC112" cm="1">
        <f t="array" ref="AC112">SUMPRODUCT(--(M112:Q112="YES"))</f>
        <v>0</v>
      </c>
      <c r="AD112">
        <f>COUNTIF($AC$7:AC112, "&gt;=3")</f>
        <v>28</v>
      </c>
    </row>
    <row r="113" spans="1:30" x14ac:dyDescent="0.2">
      <c r="A113" s="44">
        <v>91</v>
      </c>
      <c r="B113" s="15" t="s">
        <v>402</v>
      </c>
      <c r="C113" s="14">
        <v>4</v>
      </c>
      <c r="D113" s="36">
        <v>259</v>
      </c>
      <c r="E113" s="36">
        <v>256</v>
      </c>
      <c r="F113" s="36">
        <v>895</v>
      </c>
      <c r="G113" s="36">
        <v>858</v>
      </c>
      <c r="H113" s="36">
        <v>3</v>
      </c>
      <c r="I113" s="37">
        <f t="shared" si="8"/>
        <v>0.98841698841698844</v>
      </c>
      <c r="J113" s="37">
        <f t="shared" si="9"/>
        <v>0.95865921787709496</v>
      </c>
      <c r="K113"/>
      <c r="L113"/>
      <c r="M113"/>
      <c r="N113"/>
      <c r="O113"/>
      <c r="P113"/>
      <c r="Q113"/>
      <c r="T113"/>
      <c r="U113"/>
      <c r="Y113"/>
      <c r="Z113"/>
    </row>
    <row r="114" spans="1:30" x14ac:dyDescent="0.2">
      <c r="A114" s="44">
        <v>81</v>
      </c>
      <c r="B114" s="15" t="s">
        <v>574</v>
      </c>
      <c r="C114" s="14">
        <v>4</v>
      </c>
      <c r="D114" s="36">
        <v>283</v>
      </c>
      <c r="E114" s="36">
        <v>261</v>
      </c>
      <c r="F114" s="36">
        <v>0</v>
      </c>
      <c r="G114" s="36">
        <v>0</v>
      </c>
      <c r="H114" s="36">
        <v>6</v>
      </c>
      <c r="I114" s="37">
        <f t="shared" si="8"/>
        <v>0.92226148409893993</v>
      </c>
      <c r="J114" s="37" t="str">
        <f t="shared" si="9"/>
        <v>-</v>
      </c>
      <c r="K114">
        <v>1</v>
      </c>
      <c r="T114" s="24">
        <v>2</v>
      </c>
      <c r="V114" s="24"/>
      <c r="W114" s="24"/>
      <c r="X114" s="24"/>
      <c r="Z114" s="27"/>
      <c r="AA114" s="27"/>
      <c r="AC114" cm="1">
        <f t="array" ref="AC114">SUMPRODUCT(--(M114:Q114="YES"))</f>
        <v>0</v>
      </c>
      <c r="AD114">
        <f>COUNTIF($AC$7:AC114, "&gt;=3")</f>
        <v>28</v>
      </c>
    </row>
    <row r="115" spans="1:30" x14ac:dyDescent="0.2">
      <c r="A115" s="44">
        <v>89</v>
      </c>
      <c r="B115" s="15" t="s">
        <v>374</v>
      </c>
      <c r="C115" s="14">
        <v>4</v>
      </c>
      <c r="D115" s="36">
        <v>264</v>
      </c>
      <c r="E115" s="36">
        <v>261</v>
      </c>
      <c r="F115" s="36">
        <v>329</v>
      </c>
      <c r="G115" s="36">
        <v>347</v>
      </c>
      <c r="H115" s="36">
        <v>5</v>
      </c>
      <c r="I115" s="37">
        <f t="shared" si="8"/>
        <v>0.98863636363636365</v>
      </c>
      <c r="J115" s="37">
        <f t="shared" si="9"/>
        <v>1.0547112462006079</v>
      </c>
      <c r="K115">
        <v>1</v>
      </c>
      <c r="T115" s="24">
        <v>2</v>
      </c>
      <c r="V115" s="24"/>
      <c r="W115" s="24"/>
      <c r="X115" s="24"/>
      <c r="Z115" s="27"/>
      <c r="AA115" s="27"/>
      <c r="AC115" cm="1">
        <f t="array" ref="AC115">SUMPRODUCT(--(M115:Q115="YES"))</f>
        <v>0</v>
      </c>
      <c r="AD115">
        <f>COUNTIF($AC$7:AC115, "&gt;=3")</f>
        <v>28</v>
      </c>
    </row>
    <row r="116" spans="1:30" x14ac:dyDescent="0.2">
      <c r="A116" s="43">
        <v>66</v>
      </c>
      <c r="B116" s="13" t="s">
        <v>476</v>
      </c>
      <c r="C116" s="33">
        <v>5</v>
      </c>
      <c r="D116" s="34">
        <v>341</v>
      </c>
      <c r="E116" s="34">
        <v>259</v>
      </c>
      <c r="F116" s="34">
        <v>0</v>
      </c>
      <c r="G116" s="34">
        <v>0</v>
      </c>
      <c r="H116" s="34">
        <v>7</v>
      </c>
      <c r="I116" s="35">
        <f t="shared" si="8"/>
        <v>0.7595307917888563</v>
      </c>
      <c r="J116" s="35" t="str">
        <f t="shared" si="9"/>
        <v>-</v>
      </c>
      <c r="K116">
        <v>1</v>
      </c>
      <c r="T116" s="24">
        <v>2</v>
      </c>
      <c r="V116" s="24"/>
      <c r="W116" s="24"/>
      <c r="X116" s="24"/>
      <c r="Z116" s="27"/>
      <c r="AA116" s="27"/>
      <c r="AC116" cm="1">
        <f t="array" ref="AC116">SUMPRODUCT(--(M116:Q116="YES"))</f>
        <v>0</v>
      </c>
      <c r="AD116">
        <f>COUNTIF($AC$7:AC116, "&gt;=3")</f>
        <v>28</v>
      </c>
    </row>
    <row r="117" spans="1:30" x14ac:dyDescent="0.2">
      <c r="A117" s="44">
        <v>119</v>
      </c>
      <c r="B117" s="15" t="s">
        <v>361</v>
      </c>
      <c r="C117" s="14">
        <v>6</v>
      </c>
      <c r="D117" s="36">
        <v>199</v>
      </c>
      <c r="E117" s="36">
        <v>256</v>
      </c>
      <c r="F117" s="36">
        <v>382</v>
      </c>
      <c r="G117" s="36">
        <v>382</v>
      </c>
      <c r="H117" s="36">
        <v>7</v>
      </c>
      <c r="I117" s="37">
        <f t="shared" si="8"/>
        <v>1.2864321608040201</v>
      </c>
      <c r="J117" s="37">
        <f t="shared" si="9"/>
        <v>1</v>
      </c>
      <c r="K117">
        <v>1</v>
      </c>
      <c r="T117" s="24">
        <v>2</v>
      </c>
      <c r="V117" s="24"/>
      <c r="W117" s="24"/>
      <c r="X117" s="24"/>
      <c r="Z117" s="27"/>
      <c r="AA117" s="27"/>
      <c r="AC117" cm="1">
        <f t="array" ref="AC117">SUMPRODUCT(--(M117:Q117="YES"))</f>
        <v>0</v>
      </c>
      <c r="AD117">
        <f>COUNTIF($AC$7:AC117, "&gt;=3")</f>
        <v>28</v>
      </c>
    </row>
    <row r="118" spans="1:30" x14ac:dyDescent="0.2">
      <c r="A118" s="43">
        <v>84</v>
      </c>
      <c r="B118" s="13" t="s">
        <v>546</v>
      </c>
      <c r="C118" s="33">
        <v>3</v>
      </c>
      <c r="D118" s="34">
        <v>273</v>
      </c>
      <c r="E118" s="34">
        <v>251</v>
      </c>
      <c r="F118" s="34">
        <v>0</v>
      </c>
      <c r="G118" s="34">
        <v>0</v>
      </c>
      <c r="H118" s="34">
        <v>7</v>
      </c>
      <c r="I118" s="35">
        <f t="shared" si="8"/>
        <v>0.91941391941391937</v>
      </c>
      <c r="J118" s="35" t="str">
        <f t="shared" si="9"/>
        <v>-</v>
      </c>
      <c r="K118">
        <v>1</v>
      </c>
      <c r="T118" s="24">
        <v>2</v>
      </c>
      <c r="V118" s="24"/>
      <c r="W118" s="24"/>
      <c r="X118" s="24"/>
      <c r="Z118" s="27"/>
      <c r="AA118" s="27"/>
      <c r="AC118" cm="1">
        <f t="array" ref="AC118">SUMPRODUCT(--(M118:Q118="YES"))</f>
        <v>0</v>
      </c>
      <c r="AD118">
        <f>COUNTIF($AC$7:AC118, "&gt;=3")</f>
        <v>28</v>
      </c>
    </row>
    <row r="119" spans="1:30" x14ac:dyDescent="0.2">
      <c r="A119" s="43">
        <v>116</v>
      </c>
      <c r="B119" s="13" t="s">
        <v>780</v>
      </c>
      <c r="C119" s="33">
        <v>11</v>
      </c>
      <c r="D119" s="34">
        <v>202</v>
      </c>
      <c r="E119" s="34">
        <v>250</v>
      </c>
      <c r="F119" s="34">
        <v>0</v>
      </c>
      <c r="G119" s="34">
        <v>0</v>
      </c>
      <c r="H119" s="34">
        <v>9</v>
      </c>
      <c r="I119" s="35">
        <f t="shared" si="8"/>
        <v>1.2376237623762376</v>
      </c>
      <c r="J119" s="35" t="str">
        <f t="shared" si="9"/>
        <v>-</v>
      </c>
      <c r="K119">
        <v>1</v>
      </c>
      <c r="T119" s="24">
        <v>2</v>
      </c>
      <c r="V119" s="24"/>
      <c r="W119" s="24"/>
      <c r="X119" s="24"/>
      <c r="Z119" s="27"/>
      <c r="AA119" s="27"/>
      <c r="AC119" cm="1">
        <f t="array" ref="AC119">SUMPRODUCT(--(M119:Q119="YES"))</f>
        <v>0</v>
      </c>
      <c r="AD119">
        <f>COUNTIF($AC$7:AC119, "&gt;=3")</f>
        <v>28</v>
      </c>
    </row>
    <row r="120" spans="1:30" x14ac:dyDescent="0.2">
      <c r="A120" s="43">
        <v>94</v>
      </c>
      <c r="B120" s="13" t="s">
        <v>410</v>
      </c>
      <c r="C120" s="33">
        <v>6</v>
      </c>
      <c r="D120" s="34">
        <v>252</v>
      </c>
      <c r="E120" s="34">
        <v>243</v>
      </c>
      <c r="F120" s="34">
        <v>949</v>
      </c>
      <c r="G120" s="34">
        <v>940</v>
      </c>
      <c r="H120" s="34">
        <v>7</v>
      </c>
      <c r="I120" s="35">
        <f t="shared" si="8"/>
        <v>0.9642857142857143</v>
      </c>
      <c r="J120" s="35">
        <f t="shared" si="9"/>
        <v>0.99051633298208641</v>
      </c>
      <c r="K120">
        <v>1</v>
      </c>
      <c r="T120" s="24">
        <v>2</v>
      </c>
      <c r="V120" s="24"/>
      <c r="W120" s="24"/>
      <c r="X120" s="24"/>
      <c r="Z120" s="27"/>
      <c r="AA120" s="27"/>
      <c r="AC120" cm="1">
        <f t="array" ref="AC120">SUMPRODUCT(--(M120:Q120="YES"))</f>
        <v>0</v>
      </c>
      <c r="AD120">
        <f>COUNTIF($AC$7:AC120, "&gt;=3")</f>
        <v>28</v>
      </c>
    </row>
    <row r="121" spans="1:30" x14ac:dyDescent="0.2">
      <c r="A121" s="43">
        <v>152</v>
      </c>
      <c r="B121" s="13" t="s">
        <v>804</v>
      </c>
      <c r="C121" s="33">
        <v>4</v>
      </c>
      <c r="D121" s="34">
        <v>135</v>
      </c>
      <c r="E121" s="34">
        <v>109</v>
      </c>
      <c r="F121" s="34">
        <v>0</v>
      </c>
      <c r="G121" s="34">
        <v>0</v>
      </c>
      <c r="H121" s="34">
        <v>4</v>
      </c>
      <c r="I121" s="35">
        <f t="shared" si="8"/>
        <v>0.80740740740740746</v>
      </c>
      <c r="J121" s="35" t="str">
        <f t="shared" si="9"/>
        <v>-</v>
      </c>
      <c r="K121"/>
      <c r="L121"/>
      <c r="M121"/>
      <c r="N121"/>
      <c r="O121"/>
      <c r="P121"/>
      <c r="Q121"/>
      <c r="T121"/>
      <c r="U121"/>
      <c r="Y121"/>
      <c r="Z121"/>
    </row>
    <row r="122" spans="1:30" x14ac:dyDescent="0.2">
      <c r="A122" s="44">
        <v>157</v>
      </c>
      <c r="B122" s="15" t="s">
        <v>713</v>
      </c>
      <c r="C122" s="14">
        <v>4</v>
      </c>
      <c r="D122" s="36">
        <v>128</v>
      </c>
      <c r="E122" s="36">
        <v>102</v>
      </c>
      <c r="F122" s="36">
        <v>155</v>
      </c>
      <c r="G122" s="36">
        <v>175</v>
      </c>
      <c r="H122" s="36">
        <v>3</v>
      </c>
      <c r="I122" s="37">
        <f t="shared" si="8"/>
        <v>0.796875</v>
      </c>
      <c r="J122" s="37">
        <f t="shared" si="9"/>
        <v>1.1290322580645162</v>
      </c>
      <c r="K122"/>
      <c r="L122"/>
      <c r="M122"/>
      <c r="N122"/>
      <c r="O122"/>
      <c r="P122"/>
      <c r="Q122"/>
      <c r="T122"/>
      <c r="U122"/>
      <c r="Y122"/>
      <c r="Z122"/>
    </row>
    <row r="123" spans="1:30" x14ac:dyDescent="0.2">
      <c r="A123" s="43">
        <v>182</v>
      </c>
      <c r="B123" s="13" t="s">
        <v>848</v>
      </c>
      <c r="C123" s="33">
        <v>4</v>
      </c>
      <c r="D123" s="34">
        <v>105</v>
      </c>
      <c r="E123" s="34">
        <v>32</v>
      </c>
      <c r="F123" s="34">
        <v>0</v>
      </c>
      <c r="G123" s="34">
        <v>0</v>
      </c>
      <c r="H123" s="34">
        <v>4</v>
      </c>
      <c r="I123" s="35">
        <f t="shared" si="8"/>
        <v>0.30476190476190479</v>
      </c>
      <c r="J123" s="35" t="str">
        <f t="shared" si="9"/>
        <v>-</v>
      </c>
      <c r="K123"/>
      <c r="L123"/>
      <c r="M123"/>
      <c r="N123"/>
      <c r="O123"/>
      <c r="P123"/>
      <c r="Q123"/>
      <c r="T123"/>
      <c r="U123"/>
      <c r="Y123"/>
      <c r="Z123"/>
    </row>
    <row r="124" spans="1:30" x14ac:dyDescent="0.2">
      <c r="A124" s="44">
        <v>189</v>
      </c>
      <c r="B124" s="15" t="s">
        <v>888</v>
      </c>
      <c r="C124" s="14">
        <v>4</v>
      </c>
      <c r="D124" s="36">
        <v>100</v>
      </c>
      <c r="E124" s="36">
        <v>100</v>
      </c>
      <c r="F124" s="36">
        <v>0</v>
      </c>
      <c r="G124" s="36">
        <v>0</v>
      </c>
      <c r="H124" s="36">
        <v>4</v>
      </c>
      <c r="I124" s="37">
        <f t="shared" si="8"/>
        <v>1</v>
      </c>
      <c r="J124" s="37" t="str">
        <f t="shared" si="9"/>
        <v>-</v>
      </c>
      <c r="K124"/>
      <c r="L124"/>
      <c r="M124"/>
      <c r="N124"/>
      <c r="O124"/>
      <c r="P124"/>
      <c r="Q124"/>
      <c r="T124"/>
      <c r="U124"/>
      <c r="Y124"/>
      <c r="Z124"/>
    </row>
    <row r="125" spans="1:30" x14ac:dyDescent="0.2">
      <c r="A125" s="44">
        <v>199</v>
      </c>
      <c r="B125" s="15" t="s">
        <v>867</v>
      </c>
      <c r="C125" s="14">
        <v>4</v>
      </c>
      <c r="D125" s="36">
        <v>94</v>
      </c>
      <c r="E125" s="36">
        <v>27</v>
      </c>
      <c r="F125" s="36">
        <v>0</v>
      </c>
      <c r="G125" s="36">
        <v>0</v>
      </c>
      <c r="H125" s="36">
        <v>3</v>
      </c>
      <c r="I125" s="37">
        <f t="shared" si="8"/>
        <v>0.28723404255319152</v>
      </c>
      <c r="J125" s="37" t="str">
        <f t="shared" si="9"/>
        <v>-</v>
      </c>
      <c r="K125"/>
      <c r="L125"/>
      <c r="M125"/>
      <c r="N125"/>
      <c r="O125"/>
      <c r="P125"/>
      <c r="Q125"/>
      <c r="T125"/>
      <c r="U125"/>
      <c r="Y125"/>
      <c r="Z125"/>
    </row>
    <row r="126" spans="1:30" x14ac:dyDescent="0.2">
      <c r="A126" s="43">
        <v>210</v>
      </c>
      <c r="B126" s="13" t="s">
        <v>855</v>
      </c>
      <c r="C126" s="33">
        <v>4</v>
      </c>
      <c r="D126" s="34">
        <v>82</v>
      </c>
      <c r="E126" s="34">
        <v>91</v>
      </c>
      <c r="F126" s="34">
        <v>0</v>
      </c>
      <c r="G126" s="34">
        <v>0</v>
      </c>
      <c r="H126" s="34">
        <v>3</v>
      </c>
      <c r="I126" s="35">
        <f t="shared" si="8"/>
        <v>1.1097560975609757</v>
      </c>
      <c r="J126" s="35" t="str">
        <f t="shared" si="9"/>
        <v>-</v>
      </c>
      <c r="K126"/>
      <c r="L126"/>
      <c r="M126"/>
      <c r="N126"/>
      <c r="O126"/>
      <c r="P126"/>
      <c r="Q126"/>
      <c r="T126"/>
      <c r="U126"/>
      <c r="Y126"/>
      <c r="Z126"/>
    </row>
    <row r="127" spans="1:30" x14ac:dyDescent="0.2">
      <c r="A127" s="44">
        <v>215</v>
      </c>
      <c r="B127" s="15" t="s">
        <v>1404</v>
      </c>
      <c r="C127" s="14">
        <v>4</v>
      </c>
      <c r="D127" s="36">
        <v>78</v>
      </c>
      <c r="E127" s="36">
        <v>0</v>
      </c>
      <c r="F127" s="36">
        <v>0</v>
      </c>
      <c r="G127" s="36">
        <v>0</v>
      </c>
      <c r="H127" s="36">
        <v>4</v>
      </c>
      <c r="I127" s="37">
        <f t="shared" si="8"/>
        <v>0</v>
      </c>
      <c r="J127" s="37" t="str">
        <f t="shared" si="9"/>
        <v>-</v>
      </c>
      <c r="K127"/>
      <c r="L127"/>
      <c r="M127"/>
      <c r="N127"/>
      <c r="O127"/>
      <c r="P127"/>
      <c r="Q127"/>
      <c r="T127"/>
      <c r="U127"/>
      <c r="Y127"/>
      <c r="Z127"/>
    </row>
    <row r="128" spans="1:30" x14ac:dyDescent="0.2">
      <c r="A128" s="44">
        <v>217</v>
      </c>
      <c r="B128" s="15" t="s">
        <v>868</v>
      </c>
      <c r="C128" s="14">
        <v>4</v>
      </c>
      <c r="D128" s="36">
        <v>77</v>
      </c>
      <c r="E128" s="36">
        <v>72</v>
      </c>
      <c r="F128" s="36">
        <v>0</v>
      </c>
      <c r="G128" s="36">
        <v>0</v>
      </c>
      <c r="H128" s="36">
        <v>4</v>
      </c>
      <c r="I128" s="37">
        <f t="shared" si="8"/>
        <v>0.93506493506493504</v>
      </c>
      <c r="J128" s="37" t="str">
        <f t="shared" si="9"/>
        <v>-</v>
      </c>
      <c r="K128"/>
      <c r="L128"/>
      <c r="M128"/>
      <c r="N128"/>
      <c r="O128"/>
      <c r="P128"/>
      <c r="Q128"/>
      <c r="T128"/>
      <c r="U128"/>
      <c r="Y128"/>
      <c r="Z128"/>
    </row>
    <row r="129" spans="1:30" x14ac:dyDescent="0.2">
      <c r="A129" s="43">
        <v>238</v>
      </c>
      <c r="B129" s="13" t="s">
        <v>882</v>
      </c>
      <c r="C129" s="33">
        <v>4</v>
      </c>
      <c r="D129" s="34">
        <v>70</v>
      </c>
      <c r="E129" s="34">
        <v>70</v>
      </c>
      <c r="F129" s="34">
        <v>0</v>
      </c>
      <c r="G129" s="34">
        <v>0</v>
      </c>
      <c r="H129" s="34">
        <v>3</v>
      </c>
      <c r="I129" s="35">
        <f t="shared" si="8"/>
        <v>1</v>
      </c>
      <c r="J129" s="35" t="str">
        <f t="shared" si="9"/>
        <v>-</v>
      </c>
      <c r="K129"/>
      <c r="L129"/>
      <c r="M129"/>
      <c r="N129"/>
      <c r="O129"/>
      <c r="P129"/>
      <c r="Q129"/>
      <c r="T129"/>
      <c r="U129"/>
      <c r="Y129"/>
      <c r="Z129"/>
    </row>
    <row r="130" spans="1:30" x14ac:dyDescent="0.2">
      <c r="A130" s="44">
        <v>69</v>
      </c>
      <c r="B130" s="15" t="s">
        <v>626</v>
      </c>
      <c r="C130" s="14">
        <v>4</v>
      </c>
      <c r="D130" s="36">
        <v>324</v>
      </c>
      <c r="E130" s="36">
        <v>231</v>
      </c>
      <c r="F130" s="36">
        <v>0</v>
      </c>
      <c r="G130" s="36">
        <v>0</v>
      </c>
      <c r="H130" s="36">
        <v>5</v>
      </c>
      <c r="I130" s="37">
        <f t="shared" si="8"/>
        <v>0.71296296296296291</v>
      </c>
      <c r="J130" s="37" t="str">
        <f t="shared" si="9"/>
        <v>-</v>
      </c>
      <c r="K130">
        <v>1</v>
      </c>
      <c r="T130" s="24">
        <v>2</v>
      </c>
      <c r="V130" s="24"/>
      <c r="W130" s="24"/>
      <c r="X130" s="24"/>
      <c r="Z130" s="27"/>
      <c r="AA130" s="27"/>
      <c r="AC130" cm="1">
        <f t="array" ref="AC130">SUMPRODUCT(--(M130:Q130="YES"))</f>
        <v>0</v>
      </c>
      <c r="AD130">
        <f>COUNTIF($AC$7:AC130, "&gt;=3")</f>
        <v>28</v>
      </c>
    </row>
    <row r="131" spans="1:30" x14ac:dyDescent="0.2">
      <c r="A131" s="43">
        <v>294</v>
      </c>
      <c r="B131" s="13" t="s">
        <v>938</v>
      </c>
      <c r="C131" s="33">
        <v>4</v>
      </c>
      <c r="D131" s="34">
        <v>46</v>
      </c>
      <c r="E131" s="34">
        <v>46</v>
      </c>
      <c r="F131" s="34">
        <v>0</v>
      </c>
      <c r="G131" s="34">
        <v>0</v>
      </c>
      <c r="H131" s="34">
        <v>4</v>
      </c>
      <c r="I131" s="35">
        <f t="shared" si="8"/>
        <v>1</v>
      </c>
      <c r="J131" s="35" t="str">
        <f t="shared" si="9"/>
        <v>-</v>
      </c>
      <c r="K131"/>
      <c r="L131"/>
      <c r="M131"/>
      <c r="N131"/>
      <c r="O131"/>
      <c r="P131"/>
      <c r="Q131"/>
      <c r="T131"/>
      <c r="U131"/>
      <c r="Y131"/>
      <c r="Z131"/>
    </row>
    <row r="132" spans="1:30" x14ac:dyDescent="0.2">
      <c r="A132" s="44">
        <v>377</v>
      </c>
      <c r="B132" s="15" t="s">
        <v>615</v>
      </c>
      <c r="C132" s="14">
        <v>4</v>
      </c>
      <c r="D132" s="36">
        <v>10</v>
      </c>
      <c r="E132" s="36">
        <v>120</v>
      </c>
      <c r="F132" s="36">
        <v>0</v>
      </c>
      <c r="G132" s="36">
        <v>0</v>
      </c>
      <c r="H132" s="36">
        <v>1</v>
      </c>
      <c r="I132" s="37">
        <f t="shared" si="8"/>
        <v>12</v>
      </c>
      <c r="J132" s="37" t="str">
        <f t="shared" si="9"/>
        <v>-</v>
      </c>
      <c r="K132"/>
      <c r="L132"/>
      <c r="M132"/>
      <c r="N132"/>
      <c r="O132"/>
      <c r="P132"/>
      <c r="Q132"/>
      <c r="T132"/>
      <c r="U132"/>
      <c r="Y132"/>
      <c r="Z132"/>
    </row>
    <row r="133" spans="1:30" x14ac:dyDescent="0.2">
      <c r="A133" s="44">
        <v>389</v>
      </c>
      <c r="B133" s="15" t="s">
        <v>1115</v>
      </c>
      <c r="C133" s="14">
        <v>4</v>
      </c>
      <c r="D133" s="36">
        <v>0</v>
      </c>
      <c r="E133" s="36">
        <v>0</v>
      </c>
      <c r="F133" s="36">
        <v>819</v>
      </c>
      <c r="G133" s="36">
        <v>811</v>
      </c>
      <c r="H133" s="36">
        <v>0</v>
      </c>
      <c r="I133" s="37" t="str">
        <f t="shared" si="8"/>
        <v>-</v>
      </c>
      <c r="J133" s="37">
        <f t="shared" si="9"/>
        <v>0.99023199023199027</v>
      </c>
      <c r="K133"/>
      <c r="L133"/>
      <c r="M133"/>
      <c r="N133"/>
      <c r="O133"/>
      <c r="P133"/>
      <c r="Q133"/>
      <c r="T133"/>
      <c r="U133"/>
      <c r="Y133"/>
      <c r="Z133"/>
    </row>
    <row r="134" spans="1:30" x14ac:dyDescent="0.2">
      <c r="A134" s="44">
        <v>393</v>
      </c>
      <c r="B134" s="15" t="s">
        <v>1229</v>
      </c>
      <c r="C134" s="14">
        <v>4</v>
      </c>
      <c r="D134" s="36">
        <v>0</v>
      </c>
      <c r="E134" s="36">
        <v>0</v>
      </c>
      <c r="F134" s="36">
        <v>332</v>
      </c>
      <c r="G134" s="36">
        <v>316</v>
      </c>
      <c r="H134" s="36">
        <v>0</v>
      </c>
      <c r="I134" s="37" t="str">
        <f t="shared" si="8"/>
        <v>-</v>
      </c>
      <c r="J134" s="37">
        <f t="shared" si="9"/>
        <v>0.95180722891566261</v>
      </c>
      <c r="K134"/>
      <c r="L134"/>
      <c r="M134"/>
      <c r="N134"/>
      <c r="O134"/>
      <c r="P134"/>
      <c r="Q134"/>
      <c r="T134"/>
      <c r="U134"/>
      <c r="Y134"/>
      <c r="Z134"/>
    </row>
    <row r="135" spans="1:30" x14ac:dyDescent="0.2">
      <c r="A135" s="43">
        <v>430</v>
      </c>
      <c r="B135" s="13" t="s">
        <v>1230</v>
      </c>
      <c r="C135" s="33">
        <v>4</v>
      </c>
      <c r="D135" s="34">
        <v>0</v>
      </c>
      <c r="E135" s="34">
        <v>0</v>
      </c>
      <c r="F135" s="34">
        <v>425</v>
      </c>
      <c r="G135" s="34">
        <v>426</v>
      </c>
      <c r="H135" s="34">
        <v>0</v>
      </c>
      <c r="I135" s="35" t="str">
        <f t="shared" si="8"/>
        <v>-</v>
      </c>
      <c r="J135" s="35">
        <f t="shared" si="9"/>
        <v>1.0023529411764707</v>
      </c>
      <c r="K135"/>
      <c r="L135"/>
      <c r="M135"/>
      <c r="N135"/>
      <c r="O135"/>
      <c r="P135"/>
      <c r="Q135"/>
      <c r="T135"/>
      <c r="U135"/>
      <c r="Y135"/>
      <c r="Z135"/>
    </row>
    <row r="136" spans="1:30" x14ac:dyDescent="0.2">
      <c r="A136" s="43">
        <v>434</v>
      </c>
      <c r="B136" s="13" t="s">
        <v>1284</v>
      </c>
      <c r="C136" s="33">
        <v>4</v>
      </c>
      <c r="D136" s="34">
        <v>0</v>
      </c>
      <c r="E136" s="34">
        <v>0</v>
      </c>
      <c r="F136" s="34">
        <v>233</v>
      </c>
      <c r="G136" s="34">
        <v>232</v>
      </c>
      <c r="H136" s="34">
        <v>0</v>
      </c>
      <c r="I136" s="35" t="str">
        <f t="shared" si="8"/>
        <v>-</v>
      </c>
      <c r="J136" s="35">
        <f t="shared" si="9"/>
        <v>0.99570815450643779</v>
      </c>
      <c r="K136"/>
      <c r="L136"/>
      <c r="M136"/>
      <c r="N136"/>
      <c r="O136"/>
      <c r="P136"/>
      <c r="Q136"/>
      <c r="T136"/>
      <c r="U136"/>
      <c r="Y136"/>
      <c r="Z136"/>
    </row>
    <row r="137" spans="1:30" x14ac:dyDescent="0.2">
      <c r="A137" s="43">
        <v>438</v>
      </c>
      <c r="B137" s="13" t="s">
        <v>1084</v>
      </c>
      <c r="C137" s="33">
        <v>4</v>
      </c>
      <c r="D137" s="34">
        <v>0</v>
      </c>
      <c r="E137" s="34">
        <v>0</v>
      </c>
      <c r="F137" s="34">
        <v>708</v>
      </c>
      <c r="G137" s="34">
        <v>685</v>
      </c>
      <c r="H137" s="34">
        <v>0</v>
      </c>
      <c r="I137" s="35" t="str">
        <f t="shared" ref="I137:I168" si="10">IF(D137=0,"-",E137/D137)</f>
        <v>-</v>
      </c>
      <c r="J137" s="35">
        <f t="shared" ref="J137:J168" si="11">IF(F137=0,"-",G137/F137)</f>
        <v>0.96751412429378536</v>
      </c>
      <c r="K137"/>
      <c r="L137"/>
      <c r="M137"/>
      <c r="N137"/>
      <c r="O137"/>
      <c r="P137"/>
      <c r="Q137"/>
      <c r="T137"/>
      <c r="U137"/>
      <c r="Y137"/>
      <c r="Z137"/>
    </row>
    <row r="138" spans="1:30" x14ac:dyDescent="0.2">
      <c r="A138" s="44">
        <v>445</v>
      </c>
      <c r="B138" s="15" t="s">
        <v>1250</v>
      </c>
      <c r="C138" s="14">
        <v>4</v>
      </c>
      <c r="D138" s="36">
        <v>0</v>
      </c>
      <c r="E138" s="36">
        <v>0</v>
      </c>
      <c r="F138" s="36">
        <v>471</v>
      </c>
      <c r="G138" s="36">
        <v>351</v>
      </c>
      <c r="H138" s="36">
        <v>0</v>
      </c>
      <c r="I138" s="37" t="str">
        <f t="shared" si="10"/>
        <v>-</v>
      </c>
      <c r="J138" s="37">
        <f t="shared" si="11"/>
        <v>0.74522292993630568</v>
      </c>
      <c r="K138"/>
      <c r="L138"/>
      <c r="M138"/>
      <c r="N138"/>
      <c r="O138"/>
      <c r="P138"/>
      <c r="Q138"/>
      <c r="T138"/>
      <c r="U138"/>
      <c r="Y138"/>
      <c r="Z138"/>
    </row>
    <row r="139" spans="1:30" x14ac:dyDescent="0.2">
      <c r="A139" s="43">
        <v>470</v>
      </c>
      <c r="B139" s="13" t="s">
        <v>1034</v>
      </c>
      <c r="C139" s="33">
        <v>4</v>
      </c>
      <c r="D139" s="34">
        <v>0</v>
      </c>
      <c r="E139" s="34">
        <v>0</v>
      </c>
      <c r="F139" s="34">
        <v>2679</v>
      </c>
      <c r="G139" s="34">
        <v>2758</v>
      </c>
      <c r="H139" s="34">
        <v>0</v>
      </c>
      <c r="I139" s="35" t="str">
        <f t="shared" si="10"/>
        <v>-</v>
      </c>
      <c r="J139" s="35">
        <f t="shared" si="11"/>
        <v>1.0294886151549085</v>
      </c>
      <c r="K139"/>
      <c r="L139"/>
      <c r="M139"/>
      <c r="N139"/>
      <c r="O139"/>
      <c r="P139"/>
      <c r="Q139"/>
      <c r="T139"/>
      <c r="U139"/>
      <c r="Y139"/>
      <c r="Z139"/>
    </row>
    <row r="140" spans="1:30" x14ac:dyDescent="0.2">
      <c r="A140" s="43">
        <v>482</v>
      </c>
      <c r="B140" s="13" t="s">
        <v>1128</v>
      </c>
      <c r="C140" s="33">
        <v>4</v>
      </c>
      <c r="D140" s="34">
        <v>0</v>
      </c>
      <c r="E140" s="34">
        <v>0</v>
      </c>
      <c r="F140" s="34">
        <v>1039</v>
      </c>
      <c r="G140" s="34">
        <v>1028</v>
      </c>
      <c r="H140" s="34">
        <v>0</v>
      </c>
      <c r="I140" s="35" t="str">
        <f t="shared" si="10"/>
        <v>-</v>
      </c>
      <c r="J140" s="35">
        <f t="shared" si="11"/>
        <v>0.98941289701636193</v>
      </c>
      <c r="K140"/>
      <c r="L140"/>
      <c r="M140"/>
      <c r="N140"/>
      <c r="O140"/>
      <c r="P140"/>
      <c r="Q140"/>
      <c r="T140"/>
      <c r="U140"/>
      <c r="Y140"/>
      <c r="Z140"/>
    </row>
    <row r="141" spans="1:30" x14ac:dyDescent="0.2">
      <c r="A141" s="43">
        <v>486</v>
      </c>
      <c r="B141" s="13" t="s">
        <v>1252</v>
      </c>
      <c r="C141" s="33">
        <v>4</v>
      </c>
      <c r="D141" s="34">
        <v>0</v>
      </c>
      <c r="E141" s="34">
        <v>0</v>
      </c>
      <c r="F141" s="34">
        <v>277</v>
      </c>
      <c r="G141" s="34">
        <v>271</v>
      </c>
      <c r="H141" s="34">
        <v>0</v>
      </c>
      <c r="I141" s="35" t="str">
        <f t="shared" si="10"/>
        <v>-</v>
      </c>
      <c r="J141" s="35">
        <f t="shared" si="11"/>
        <v>0.97833935018050544</v>
      </c>
      <c r="K141"/>
      <c r="L141"/>
      <c r="M141"/>
      <c r="N141"/>
      <c r="O141"/>
      <c r="P141"/>
      <c r="Q141"/>
      <c r="T141"/>
      <c r="U141"/>
      <c r="Y141"/>
      <c r="Z141"/>
    </row>
    <row r="142" spans="1:30" x14ac:dyDescent="0.2">
      <c r="A142" s="44">
        <v>507</v>
      </c>
      <c r="B142" s="15" t="s">
        <v>1276</v>
      </c>
      <c r="C142" s="14">
        <v>4</v>
      </c>
      <c r="D142" s="36">
        <v>0</v>
      </c>
      <c r="E142" s="36">
        <v>0</v>
      </c>
      <c r="F142" s="36">
        <v>187</v>
      </c>
      <c r="G142" s="36">
        <v>184</v>
      </c>
      <c r="H142" s="36">
        <v>0</v>
      </c>
      <c r="I142" s="37" t="str">
        <f t="shared" si="10"/>
        <v>-</v>
      </c>
      <c r="J142" s="37">
        <f t="shared" si="11"/>
        <v>0.98395721925133695</v>
      </c>
      <c r="K142"/>
      <c r="L142"/>
      <c r="M142"/>
      <c r="N142"/>
      <c r="O142"/>
      <c r="P142"/>
      <c r="Q142"/>
      <c r="T142"/>
      <c r="U142"/>
      <c r="Y142"/>
      <c r="Z142"/>
    </row>
    <row r="143" spans="1:30" x14ac:dyDescent="0.2">
      <c r="A143" s="44">
        <v>517</v>
      </c>
      <c r="B143" s="15" t="s">
        <v>1342</v>
      </c>
      <c r="C143" s="14">
        <v>4</v>
      </c>
      <c r="D143" s="36">
        <v>0</v>
      </c>
      <c r="E143" s="36">
        <v>0</v>
      </c>
      <c r="F143" s="36">
        <v>96</v>
      </c>
      <c r="G143" s="36">
        <v>94</v>
      </c>
      <c r="H143" s="36">
        <v>0</v>
      </c>
      <c r="I143" s="37" t="str">
        <f t="shared" si="10"/>
        <v>-</v>
      </c>
      <c r="J143" s="37">
        <f t="shared" si="11"/>
        <v>0.97916666666666663</v>
      </c>
      <c r="K143"/>
      <c r="L143"/>
      <c r="M143"/>
      <c r="N143"/>
      <c r="O143"/>
      <c r="P143"/>
      <c r="Q143"/>
      <c r="T143"/>
      <c r="U143"/>
      <c r="Y143"/>
      <c r="Z143"/>
    </row>
    <row r="144" spans="1:30" x14ac:dyDescent="0.2">
      <c r="A144" s="43">
        <v>518</v>
      </c>
      <c r="B144" s="13" t="s">
        <v>1101</v>
      </c>
      <c r="C144" s="33">
        <v>4</v>
      </c>
      <c r="D144" s="34">
        <v>0</v>
      </c>
      <c r="E144" s="34">
        <v>0</v>
      </c>
      <c r="F144" s="34">
        <v>1283</v>
      </c>
      <c r="G144" s="34">
        <v>1279</v>
      </c>
      <c r="H144" s="34">
        <v>0</v>
      </c>
      <c r="I144" s="35" t="str">
        <f t="shared" si="10"/>
        <v>-</v>
      </c>
      <c r="J144" s="35">
        <f t="shared" si="11"/>
        <v>0.99688230709275139</v>
      </c>
      <c r="K144"/>
      <c r="L144"/>
      <c r="M144"/>
      <c r="N144"/>
      <c r="O144"/>
      <c r="P144"/>
      <c r="Q144"/>
      <c r="T144"/>
      <c r="U144"/>
      <c r="Y144"/>
      <c r="Z144"/>
    </row>
    <row r="145" spans="1:30" x14ac:dyDescent="0.2">
      <c r="A145" s="44">
        <v>523</v>
      </c>
      <c r="B145" s="15" t="s">
        <v>1256</v>
      </c>
      <c r="C145" s="14">
        <v>4</v>
      </c>
      <c r="D145" s="36">
        <v>0</v>
      </c>
      <c r="E145" s="36">
        <v>0</v>
      </c>
      <c r="F145" s="36">
        <v>274</v>
      </c>
      <c r="G145" s="36">
        <v>345</v>
      </c>
      <c r="H145" s="36">
        <v>0</v>
      </c>
      <c r="I145" s="37" t="str">
        <f t="shared" si="10"/>
        <v>-</v>
      </c>
      <c r="J145" s="37">
        <f t="shared" si="11"/>
        <v>1.2591240875912408</v>
      </c>
      <c r="K145"/>
      <c r="L145"/>
      <c r="M145"/>
      <c r="N145"/>
      <c r="O145"/>
      <c r="P145"/>
      <c r="Q145"/>
      <c r="T145"/>
      <c r="U145"/>
      <c r="Y145"/>
      <c r="Z145"/>
    </row>
    <row r="146" spans="1:30" x14ac:dyDescent="0.2">
      <c r="A146" s="44">
        <v>527</v>
      </c>
      <c r="B146" s="15" t="s">
        <v>1037</v>
      </c>
      <c r="C146" s="14">
        <v>4</v>
      </c>
      <c r="D146" s="36">
        <v>0</v>
      </c>
      <c r="E146" s="36">
        <v>0</v>
      </c>
      <c r="F146" s="36">
        <v>1715</v>
      </c>
      <c r="G146" s="36">
        <v>1664</v>
      </c>
      <c r="H146" s="36">
        <v>0</v>
      </c>
      <c r="I146" s="37" t="str">
        <f t="shared" si="10"/>
        <v>-</v>
      </c>
      <c r="J146" s="37">
        <f t="shared" si="11"/>
        <v>0.97026239067055398</v>
      </c>
      <c r="K146"/>
      <c r="L146"/>
      <c r="M146"/>
      <c r="N146"/>
      <c r="O146"/>
      <c r="P146"/>
      <c r="Q146"/>
      <c r="T146"/>
      <c r="U146"/>
      <c r="Y146"/>
      <c r="Z146"/>
    </row>
    <row r="147" spans="1:30" x14ac:dyDescent="0.2">
      <c r="A147" s="44">
        <v>107</v>
      </c>
      <c r="B147" s="15" t="s">
        <v>474</v>
      </c>
      <c r="C147" s="14">
        <v>3</v>
      </c>
      <c r="D147" s="36">
        <v>216</v>
      </c>
      <c r="E147" s="36">
        <v>214</v>
      </c>
      <c r="F147" s="36">
        <v>0</v>
      </c>
      <c r="G147" s="36">
        <v>0</v>
      </c>
      <c r="H147" s="36">
        <v>5</v>
      </c>
      <c r="I147" s="37">
        <f t="shared" si="10"/>
        <v>0.9907407407407407</v>
      </c>
      <c r="J147" s="37" t="str">
        <f t="shared" si="11"/>
        <v>-</v>
      </c>
      <c r="K147">
        <v>1</v>
      </c>
      <c r="T147" s="24">
        <v>2</v>
      </c>
      <c r="V147" s="24"/>
      <c r="W147" s="24"/>
      <c r="X147" s="24"/>
      <c r="Z147" s="27"/>
      <c r="AA147" s="27"/>
      <c r="AC147" cm="1">
        <f t="array" ref="AC147">SUMPRODUCT(--(M147:Q147="YES"))</f>
        <v>0</v>
      </c>
      <c r="AD147">
        <f>COUNTIF($AC$7:AC147, "&gt;=3")</f>
        <v>28</v>
      </c>
    </row>
    <row r="148" spans="1:30" x14ac:dyDescent="0.2">
      <c r="A148" s="43">
        <v>110</v>
      </c>
      <c r="B148" s="13" t="s">
        <v>803</v>
      </c>
      <c r="C148" s="33">
        <v>12</v>
      </c>
      <c r="D148" s="34">
        <v>209</v>
      </c>
      <c r="E148" s="34">
        <v>213</v>
      </c>
      <c r="F148" s="34">
        <v>965</v>
      </c>
      <c r="G148" s="34">
        <v>917</v>
      </c>
      <c r="H148" s="34">
        <v>9</v>
      </c>
      <c r="I148" s="35">
        <f t="shared" si="10"/>
        <v>1.0191387559808613</v>
      </c>
      <c r="J148" s="35">
        <f t="shared" si="11"/>
        <v>0.95025906735751298</v>
      </c>
      <c r="K148">
        <v>1</v>
      </c>
      <c r="T148" s="24">
        <v>2</v>
      </c>
      <c r="V148" s="24"/>
      <c r="W148" s="24"/>
      <c r="X148" s="24"/>
      <c r="Z148" s="27"/>
      <c r="AA148" s="27"/>
      <c r="AC148" cm="1">
        <f t="array" ref="AC148">SUMPRODUCT(--(M148:Q148="YES"))</f>
        <v>0</v>
      </c>
      <c r="AD148">
        <f>COUNTIF($AC$7:AC148, "&gt;=3")</f>
        <v>28</v>
      </c>
    </row>
    <row r="149" spans="1:30" x14ac:dyDescent="0.2">
      <c r="A149" s="44">
        <v>75</v>
      </c>
      <c r="B149" s="15" t="s">
        <v>620</v>
      </c>
      <c r="C149" s="14">
        <v>5</v>
      </c>
      <c r="D149" s="36">
        <v>304</v>
      </c>
      <c r="E149" s="36">
        <v>205</v>
      </c>
      <c r="F149" s="36">
        <v>0</v>
      </c>
      <c r="G149" s="36">
        <v>0</v>
      </c>
      <c r="H149" s="36">
        <v>7</v>
      </c>
      <c r="I149" s="37">
        <f t="shared" si="10"/>
        <v>0.67434210526315785</v>
      </c>
      <c r="J149" s="37" t="str">
        <f t="shared" si="11"/>
        <v>-</v>
      </c>
      <c r="K149">
        <v>1</v>
      </c>
      <c r="T149" s="24">
        <v>2</v>
      </c>
      <c r="V149" s="24"/>
      <c r="W149" s="24"/>
      <c r="X149" s="24"/>
      <c r="Z149" s="27"/>
      <c r="AA149" s="27"/>
      <c r="AC149" cm="1">
        <f t="array" ref="AC149">SUMPRODUCT(--(M149:Q149="YES"))</f>
        <v>0</v>
      </c>
      <c r="AD149">
        <f>COUNTIF($AC$7:AC149, "&gt;=3")</f>
        <v>28</v>
      </c>
    </row>
    <row r="150" spans="1:30" x14ac:dyDescent="0.2">
      <c r="A150" s="43">
        <v>24</v>
      </c>
      <c r="B150" s="13" t="s">
        <v>327</v>
      </c>
      <c r="C150" s="33">
        <v>3</v>
      </c>
      <c r="D150" s="34">
        <v>731</v>
      </c>
      <c r="E150" s="34">
        <v>449</v>
      </c>
      <c r="F150" s="34">
        <v>0</v>
      </c>
      <c r="G150" s="34">
        <v>0</v>
      </c>
      <c r="H150" s="34">
        <v>4</v>
      </c>
      <c r="I150" s="35">
        <f t="shared" si="10"/>
        <v>0.61422708618331057</v>
      </c>
      <c r="J150" s="35" t="str">
        <f t="shared" si="11"/>
        <v>-</v>
      </c>
      <c r="K150"/>
      <c r="L150"/>
      <c r="M150"/>
      <c r="N150"/>
      <c r="O150"/>
      <c r="P150"/>
      <c r="Q150"/>
      <c r="T150"/>
      <c r="U150"/>
      <c r="Y150"/>
      <c r="Z150"/>
    </row>
    <row r="151" spans="1:30" x14ac:dyDescent="0.2">
      <c r="A151" s="43">
        <v>128</v>
      </c>
      <c r="B151" s="13" t="s">
        <v>790</v>
      </c>
      <c r="C151" s="33">
        <v>8</v>
      </c>
      <c r="D151" s="34">
        <v>175</v>
      </c>
      <c r="E151" s="34">
        <v>196</v>
      </c>
      <c r="F151" s="34">
        <v>0</v>
      </c>
      <c r="G151" s="34">
        <v>0</v>
      </c>
      <c r="H151" s="34">
        <v>7</v>
      </c>
      <c r="I151" s="35">
        <f t="shared" si="10"/>
        <v>1.1200000000000001</v>
      </c>
      <c r="J151" s="35" t="str">
        <f t="shared" si="11"/>
        <v>-</v>
      </c>
      <c r="K151">
        <v>1</v>
      </c>
      <c r="T151" s="24">
        <v>2</v>
      </c>
      <c r="V151" s="24"/>
      <c r="W151" s="24"/>
      <c r="X151" s="24"/>
      <c r="Z151" s="27"/>
      <c r="AA151" s="27"/>
      <c r="AC151" cm="1">
        <f t="array" ref="AC151">SUMPRODUCT(--(M151:Q151="YES"))</f>
        <v>0</v>
      </c>
      <c r="AD151">
        <f>COUNTIF($AC$7:AC151, "&gt;=3")</f>
        <v>28</v>
      </c>
    </row>
    <row r="152" spans="1:30" x14ac:dyDescent="0.2">
      <c r="A152" s="44">
        <v>85</v>
      </c>
      <c r="B152" s="15" t="s">
        <v>629</v>
      </c>
      <c r="C152" s="14">
        <v>6</v>
      </c>
      <c r="D152" s="36">
        <v>273</v>
      </c>
      <c r="E152" s="36">
        <v>195</v>
      </c>
      <c r="F152" s="36">
        <v>0</v>
      </c>
      <c r="G152" s="36">
        <v>0</v>
      </c>
      <c r="H152" s="36">
        <v>8</v>
      </c>
      <c r="I152" s="37">
        <f t="shared" si="10"/>
        <v>0.7142857142857143</v>
      </c>
      <c r="J152" s="37" t="str">
        <f t="shared" si="11"/>
        <v>-</v>
      </c>
      <c r="K152">
        <v>1</v>
      </c>
      <c r="T152" s="24">
        <v>2</v>
      </c>
      <c r="V152" s="24"/>
      <c r="W152" s="24"/>
      <c r="X152" s="24"/>
      <c r="Z152" s="27"/>
      <c r="AA152" s="27"/>
      <c r="AC152" cm="1">
        <f t="array" ref="AC152">SUMPRODUCT(--(M152:Q152="YES"))</f>
        <v>0</v>
      </c>
      <c r="AD152">
        <f>COUNTIF($AC$7:AC152, "&gt;=3")</f>
        <v>28</v>
      </c>
    </row>
    <row r="153" spans="1:30" x14ac:dyDescent="0.2">
      <c r="A153" s="44">
        <v>99</v>
      </c>
      <c r="B153" s="15" t="s">
        <v>732</v>
      </c>
      <c r="C153" s="14">
        <v>7</v>
      </c>
      <c r="D153" s="36">
        <v>226</v>
      </c>
      <c r="E153" s="36">
        <v>186</v>
      </c>
      <c r="F153" s="36">
        <v>0</v>
      </c>
      <c r="G153" s="36">
        <v>0</v>
      </c>
      <c r="H153" s="36">
        <v>9</v>
      </c>
      <c r="I153" s="37">
        <f t="shared" si="10"/>
        <v>0.82300884955752207</v>
      </c>
      <c r="J153" s="37" t="str">
        <f t="shared" si="11"/>
        <v>-</v>
      </c>
      <c r="K153">
        <v>1</v>
      </c>
      <c r="T153" s="24">
        <v>2</v>
      </c>
      <c r="V153" s="24"/>
      <c r="W153" s="24"/>
      <c r="X153" s="24"/>
      <c r="Z153" s="27"/>
      <c r="AA153" s="27"/>
      <c r="AC153" cm="1">
        <f t="array" ref="AC153">SUMPRODUCT(--(M153:Q153="YES"))</f>
        <v>0</v>
      </c>
      <c r="AD153">
        <f>COUNTIF($AC$7:AC153, "&gt;=3")</f>
        <v>28</v>
      </c>
    </row>
    <row r="154" spans="1:30" x14ac:dyDescent="0.2">
      <c r="A154" s="44">
        <v>53</v>
      </c>
      <c r="B154" s="15" t="s">
        <v>338</v>
      </c>
      <c r="C154" s="14">
        <v>3</v>
      </c>
      <c r="D154" s="36">
        <v>375</v>
      </c>
      <c r="E154" s="36">
        <v>501</v>
      </c>
      <c r="F154" s="36">
        <v>0</v>
      </c>
      <c r="G154" s="36">
        <v>0</v>
      </c>
      <c r="H154" s="36">
        <v>3</v>
      </c>
      <c r="I154" s="37">
        <f t="shared" si="10"/>
        <v>1.3360000000000001</v>
      </c>
      <c r="J154" s="37" t="str">
        <f t="shared" si="11"/>
        <v>-</v>
      </c>
      <c r="K154"/>
      <c r="L154"/>
      <c r="M154"/>
      <c r="N154"/>
      <c r="O154"/>
      <c r="P154"/>
      <c r="Q154"/>
      <c r="T154"/>
      <c r="U154"/>
      <c r="Y154"/>
      <c r="Z154"/>
    </row>
    <row r="155" spans="1:30" x14ac:dyDescent="0.2">
      <c r="A155" s="43">
        <v>124</v>
      </c>
      <c r="B155" s="13" t="s">
        <v>501</v>
      </c>
      <c r="C155" s="33">
        <v>3</v>
      </c>
      <c r="D155" s="34">
        <v>188</v>
      </c>
      <c r="E155" s="34">
        <v>182</v>
      </c>
      <c r="F155" s="34">
        <v>0</v>
      </c>
      <c r="G155" s="34">
        <v>0</v>
      </c>
      <c r="H155" s="34">
        <v>5</v>
      </c>
      <c r="I155" s="35">
        <f t="shared" si="10"/>
        <v>0.96808510638297873</v>
      </c>
      <c r="J155" s="35" t="str">
        <f t="shared" si="11"/>
        <v>-</v>
      </c>
      <c r="K155">
        <v>1</v>
      </c>
      <c r="T155" s="24">
        <v>2</v>
      </c>
      <c r="V155" s="24"/>
      <c r="W155" s="24"/>
      <c r="X155" s="24"/>
      <c r="Z155" s="27"/>
      <c r="AA155" s="27"/>
      <c r="AC155" cm="1">
        <f t="array" ref="AC155">SUMPRODUCT(--(M155:Q155="YES"))</f>
        <v>0</v>
      </c>
      <c r="AD155">
        <f>COUNTIF($AC$7:AC155, "&gt;=2")</f>
        <v>28</v>
      </c>
    </row>
    <row r="156" spans="1:30" x14ac:dyDescent="0.2">
      <c r="A156" s="43">
        <v>102</v>
      </c>
      <c r="B156" s="13" t="s">
        <v>688</v>
      </c>
      <c r="C156" s="33">
        <v>4</v>
      </c>
      <c r="D156" s="34">
        <v>225</v>
      </c>
      <c r="E156" s="34">
        <v>180</v>
      </c>
      <c r="F156" s="34">
        <v>0</v>
      </c>
      <c r="G156" s="34">
        <v>0</v>
      </c>
      <c r="H156" s="34">
        <v>8</v>
      </c>
      <c r="I156" s="35">
        <f t="shared" si="10"/>
        <v>0.8</v>
      </c>
      <c r="J156" s="35" t="str">
        <f t="shared" si="11"/>
        <v>-</v>
      </c>
      <c r="K156">
        <v>1</v>
      </c>
      <c r="T156" s="24">
        <v>2</v>
      </c>
      <c r="V156" s="24"/>
      <c r="W156" s="24"/>
      <c r="X156" s="24"/>
      <c r="Z156" s="27"/>
      <c r="AA156" s="27"/>
      <c r="AC156" cm="1">
        <f t="array" ref="AC156">SUMPRODUCT(--(M156:Q156="YES"))</f>
        <v>0</v>
      </c>
      <c r="AD156">
        <f>COUNTIF($AC$7:AC156, "&gt;=3")</f>
        <v>28</v>
      </c>
    </row>
    <row r="157" spans="1:30" x14ac:dyDescent="0.2">
      <c r="A157" s="44">
        <v>105</v>
      </c>
      <c r="B157" s="15" t="s">
        <v>668</v>
      </c>
      <c r="C157" s="14">
        <v>5</v>
      </c>
      <c r="D157" s="36">
        <v>217</v>
      </c>
      <c r="E157" s="36">
        <v>157</v>
      </c>
      <c r="F157" s="36">
        <v>0</v>
      </c>
      <c r="G157" s="36">
        <v>0</v>
      </c>
      <c r="H157" s="36">
        <v>7</v>
      </c>
      <c r="I157" s="37">
        <f t="shared" si="10"/>
        <v>0.72350230414746541</v>
      </c>
      <c r="J157" s="37" t="str">
        <f t="shared" si="11"/>
        <v>-</v>
      </c>
      <c r="K157">
        <v>1</v>
      </c>
      <c r="T157" s="24">
        <v>2</v>
      </c>
      <c r="V157" s="24"/>
      <c r="W157" s="24"/>
      <c r="X157" s="24"/>
      <c r="Z157" s="27"/>
      <c r="AA157" s="27"/>
      <c r="AC157" cm="1">
        <f t="array" ref="AC157">SUMPRODUCT(--(M157:Q157="YES"))</f>
        <v>0</v>
      </c>
      <c r="AD157">
        <f>COUNTIF($AC$7:AC157, "&gt;=3")</f>
        <v>28</v>
      </c>
    </row>
    <row r="158" spans="1:30" x14ac:dyDescent="0.2">
      <c r="A158" s="43">
        <v>242</v>
      </c>
      <c r="B158" s="13" t="s">
        <v>716</v>
      </c>
      <c r="C158" s="33">
        <v>4</v>
      </c>
      <c r="D158" s="34">
        <v>68</v>
      </c>
      <c r="E158" s="34">
        <v>152</v>
      </c>
      <c r="F158" s="34">
        <v>0</v>
      </c>
      <c r="G158" s="34">
        <v>0</v>
      </c>
      <c r="H158" s="34">
        <v>5</v>
      </c>
      <c r="I158" s="35">
        <f t="shared" si="10"/>
        <v>2.2352941176470589</v>
      </c>
      <c r="J158" s="35" t="str">
        <f t="shared" si="11"/>
        <v>-</v>
      </c>
      <c r="K158">
        <v>1</v>
      </c>
      <c r="T158" s="24">
        <v>2</v>
      </c>
      <c r="V158" s="24"/>
      <c r="Y158"/>
      <c r="Z158" s="27"/>
      <c r="AA158" s="27"/>
      <c r="AC158" cm="1">
        <f t="array" ref="AC158">SUMPRODUCT(--(M158:Q158="YES"))</f>
        <v>0</v>
      </c>
      <c r="AD158">
        <f>COUNTIF($AC$7:AC158, "&gt;=3")</f>
        <v>28</v>
      </c>
    </row>
    <row r="159" spans="1:30" x14ac:dyDescent="0.2">
      <c r="A159" s="43">
        <v>114</v>
      </c>
      <c r="B159" s="13" t="s">
        <v>725</v>
      </c>
      <c r="C159" s="33">
        <v>4</v>
      </c>
      <c r="D159" s="34">
        <v>204</v>
      </c>
      <c r="E159" s="34">
        <v>127</v>
      </c>
      <c r="F159" s="34">
        <v>0</v>
      </c>
      <c r="G159" s="34">
        <v>0</v>
      </c>
      <c r="H159" s="34">
        <v>7</v>
      </c>
      <c r="I159" s="35">
        <f t="shared" si="10"/>
        <v>0.62254901960784315</v>
      </c>
      <c r="J159" s="35" t="str">
        <f t="shared" si="11"/>
        <v>-</v>
      </c>
      <c r="K159">
        <v>1</v>
      </c>
      <c r="T159" s="24">
        <v>2</v>
      </c>
      <c r="V159" s="24"/>
      <c r="W159" s="24"/>
      <c r="X159" s="24"/>
      <c r="Z159" s="27"/>
      <c r="AA159" s="27"/>
      <c r="AC159" cm="1">
        <f t="array" ref="AC159">SUMPRODUCT(--(M159:Q159="YES"))</f>
        <v>0</v>
      </c>
      <c r="AD159">
        <f>COUNTIF($AC$7:AC159, "&gt;=3")</f>
        <v>28</v>
      </c>
    </row>
    <row r="160" spans="1:30" x14ac:dyDescent="0.2">
      <c r="A160" s="43">
        <v>86</v>
      </c>
      <c r="B160" s="13" t="s">
        <v>443</v>
      </c>
      <c r="C160" s="33">
        <v>3</v>
      </c>
      <c r="D160" s="34">
        <v>271</v>
      </c>
      <c r="E160" s="34">
        <v>295</v>
      </c>
      <c r="F160" s="34">
        <v>0</v>
      </c>
      <c r="G160" s="34">
        <v>0</v>
      </c>
      <c r="H160" s="34">
        <v>3</v>
      </c>
      <c r="I160" s="35">
        <f t="shared" si="10"/>
        <v>1.088560885608856</v>
      </c>
      <c r="J160" s="35" t="str">
        <f t="shared" si="11"/>
        <v>-</v>
      </c>
      <c r="K160"/>
      <c r="L160"/>
      <c r="M160"/>
      <c r="N160"/>
      <c r="O160"/>
      <c r="P160"/>
      <c r="Q160"/>
      <c r="T160"/>
      <c r="U160"/>
      <c r="Y160"/>
      <c r="Z160"/>
    </row>
    <row r="161" spans="1:30" x14ac:dyDescent="0.2">
      <c r="A161" s="44">
        <v>155</v>
      </c>
      <c r="B161" s="15" t="s">
        <v>632</v>
      </c>
      <c r="C161" s="14">
        <v>3</v>
      </c>
      <c r="D161" s="36">
        <v>131</v>
      </c>
      <c r="E161" s="36">
        <v>118</v>
      </c>
      <c r="F161" s="36">
        <v>0</v>
      </c>
      <c r="G161" s="36">
        <v>0</v>
      </c>
      <c r="H161" s="36">
        <v>5</v>
      </c>
      <c r="I161" s="37">
        <f t="shared" si="10"/>
        <v>0.9007633587786259</v>
      </c>
      <c r="J161" s="37" t="str">
        <f t="shared" si="11"/>
        <v>-</v>
      </c>
      <c r="K161">
        <v>1</v>
      </c>
      <c r="T161" s="24">
        <v>2</v>
      </c>
      <c r="V161" s="24"/>
      <c r="W161" s="24"/>
      <c r="X161" s="24"/>
      <c r="Z161" s="27"/>
      <c r="AA161" s="27"/>
      <c r="AC161" cm="1">
        <f t="array" ref="AC161">SUMPRODUCT(--(M161:Q161="YES"))</f>
        <v>0</v>
      </c>
      <c r="AD161">
        <f>COUNTIF($AC$7:AC161, "&gt;=2")</f>
        <v>28</v>
      </c>
    </row>
    <row r="162" spans="1:30" x14ac:dyDescent="0.2">
      <c r="A162" s="44">
        <v>47</v>
      </c>
      <c r="B162" s="15" t="s">
        <v>715</v>
      </c>
      <c r="C162" s="14">
        <v>9</v>
      </c>
      <c r="D162" s="36">
        <v>414</v>
      </c>
      <c r="E162" s="36">
        <v>112</v>
      </c>
      <c r="F162" s="36">
        <v>0</v>
      </c>
      <c r="G162" s="36">
        <v>0</v>
      </c>
      <c r="H162" s="36">
        <v>9</v>
      </c>
      <c r="I162" s="37">
        <f t="shared" si="10"/>
        <v>0.27053140096618356</v>
      </c>
      <c r="J162" s="37" t="str">
        <f t="shared" si="11"/>
        <v>-</v>
      </c>
      <c r="K162">
        <v>1</v>
      </c>
      <c r="T162" s="24">
        <v>2</v>
      </c>
      <c r="V162" s="24"/>
      <c r="W162" s="24"/>
      <c r="X162" s="24"/>
      <c r="Z162" s="27"/>
      <c r="AA162" s="27"/>
      <c r="AC162" cm="1">
        <f t="array" ref="AC162">SUMPRODUCT(--(M162:Q162="YES"))</f>
        <v>0</v>
      </c>
      <c r="AD162">
        <f>COUNTIF($AC$7:AC162, "&gt;=3")</f>
        <v>28</v>
      </c>
    </row>
    <row r="163" spans="1:30" x14ac:dyDescent="0.2">
      <c r="A163" s="44">
        <v>103</v>
      </c>
      <c r="B163" s="15" t="s">
        <v>665</v>
      </c>
      <c r="C163" s="14">
        <v>4</v>
      </c>
      <c r="D163" s="36">
        <v>225</v>
      </c>
      <c r="E163" s="36">
        <v>105</v>
      </c>
      <c r="F163" s="36">
        <v>0</v>
      </c>
      <c r="G163" s="36">
        <v>0</v>
      </c>
      <c r="H163" s="36">
        <v>5</v>
      </c>
      <c r="I163" s="37">
        <f t="shared" si="10"/>
        <v>0.46666666666666667</v>
      </c>
      <c r="J163" s="37" t="str">
        <f t="shared" si="11"/>
        <v>-</v>
      </c>
      <c r="K163">
        <v>1</v>
      </c>
      <c r="T163" s="24">
        <v>2</v>
      </c>
      <c r="V163" s="24"/>
      <c r="W163" s="24"/>
      <c r="X163" s="24"/>
      <c r="Z163" s="27"/>
      <c r="AA163" s="27"/>
      <c r="AC163" cm="1">
        <f t="array" ref="AC163">SUMPRODUCT(--(M163:Q163="YES"))</f>
        <v>0</v>
      </c>
      <c r="AD163">
        <f>COUNTIF($AC$7:AC163, "&gt;=3")</f>
        <v>28</v>
      </c>
    </row>
    <row r="164" spans="1:30" x14ac:dyDescent="0.2">
      <c r="A164" s="43">
        <v>108</v>
      </c>
      <c r="B164" s="13" t="s">
        <v>736</v>
      </c>
      <c r="C164" s="33">
        <v>3</v>
      </c>
      <c r="D164" s="34">
        <v>213</v>
      </c>
      <c r="E164" s="34">
        <v>139</v>
      </c>
      <c r="F164" s="34">
        <v>0</v>
      </c>
      <c r="G164" s="34">
        <v>0</v>
      </c>
      <c r="H164" s="34">
        <v>4</v>
      </c>
      <c r="I164" s="35">
        <f t="shared" si="10"/>
        <v>0.65258215962441313</v>
      </c>
      <c r="J164" s="35" t="str">
        <f t="shared" si="11"/>
        <v>-</v>
      </c>
      <c r="K164"/>
      <c r="L164"/>
      <c r="M164"/>
      <c r="N164"/>
      <c r="O164"/>
      <c r="P164"/>
      <c r="Q164"/>
      <c r="T164"/>
      <c r="U164"/>
      <c r="Y164"/>
      <c r="Z164"/>
    </row>
    <row r="165" spans="1:30" x14ac:dyDescent="0.2">
      <c r="A165" s="44">
        <v>111</v>
      </c>
      <c r="B165" s="15" t="s">
        <v>429</v>
      </c>
      <c r="C165" s="14">
        <v>3</v>
      </c>
      <c r="D165" s="36">
        <v>209</v>
      </c>
      <c r="E165" s="36">
        <v>227</v>
      </c>
      <c r="F165" s="36">
        <v>1208</v>
      </c>
      <c r="G165" s="36">
        <v>1230</v>
      </c>
      <c r="H165" s="36">
        <v>3</v>
      </c>
      <c r="I165" s="37">
        <f t="shared" si="10"/>
        <v>1.0861244019138756</v>
      </c>
      <c r="J165" s="37">
        <f t="shared" si="11"/>
        <v>1.0182119205298013</v>
      </c>
      <c r="K165"/>
      <c r="L165"/>
      <c r="M165"/>
      <c r="N165"/>
      <c r="O165"/>
      <c r="P165"/>
      <c r="Q165"/>
      <c r="T165"/>
      <c r="U165"/>
      <c r="Y165"/>
      <c r="Z165"/>
    </row>
    <row r="166" spans="1:30" x14ac:dyDescent="0.2">
      <c r="A166" s="43">
        <v>112</v>
      </c>
      <c r="B166" s="13" t="s">
        <v>598</v>
      </c>
      <c r="C166" s="33">
        <v>3</v>
      </c>
      <c r="D166" s="34">
        <v>207</v>
      </c>
      <c r="E166" s="34">
        <v>199</v>
      </c>
      <c r="F166" s="34">
        <v>0</v>
      </c>
      <c r="G166" s="34">
        <v>0</v>
      </c>
      <c r="H166" s="34">
        <v>3</v>
      </c>
      <c r="I166" s="35">
        <f t="shared" si="10"/>
        <v>0.96135265700483097</v>
      </c>
      <c r="J166" s="35" t="str">
        <f t="shared" si="11"/>
        <v>-</v>
      </c>
      <c r="K166"/>
      <c r="L166"/>
      <c r="M166"/>
      <c r="N166"/>
      <c r="O166"/>
      <c r="P166"/>
      <c r="Q166"/>
      <c r="T166"/>
      <c r="U166"/>
      <c r="Y166"/>
      <c r="Z166"/>
    </row>
    <row r="167" spans="1:30" x14ac:dyDescent="0.2">
      <c r="A167" s="44">
        <v>115</v>
      </c>
      <c r="B167" s="15" t="s">
        <v>431</v>
      </c>
      <c r="C167" s="14">
        <v>3</v>
      </c>
      <c r="D167" s="36">
        <v>203</v>
      </c>
      <c r="E167" s="36">
        <v>176</v>
      </c>
      <c r="F167" s="36">
        <v>0</v>
      </c>
      <c r="G167" s="36">
        <v>0</v>
      </c>
      <c r="H167" s="36">
        <v>3</v>
      </c>
      <c r="I167" s="37">
        <f t="shared" si="10"/>
        <v>0.86699507389162567</v>
      </c>
      <c r="J167" s="37" t="str">
        <f t="shared" si="11"/>
        <v>-</v>
      </c>
      <c r="K167"/>
      <c r="L167"/>
      <c r="M167"/>
      <c r="N167"/>
      <c r="O167"/>
      <c r="P167"/>
      <c r="Q167"/>
      <c r="T167"/>
      <c r="U167"/>
      <c r="Y167"/>
      <c r="Z167"/>
    </row>
    <row r="168" spans="1:30" x14ac:dyDescent="0.2">
      <c r="A168" s="44">
        <v>117</v>
      </c>
      <c r="B168" s="15" t="s">
        <v>614</v>
      </c>
      <c r="C168" s="14">
        <v>3</v>
      </c>
      <c r="D168" s="36">
        <v>200</v>
      </c>
      <c r="E168" s="36">
        <v>200</v>
      </c>
      <c r="F168" s="36">
        <v>69</v>
      </c>
      <c r="G168" s="36">
        <v>69</v>
      </c>
      <c r="H168" s="36">
        <v>4</v>
      </c>
      <c r="I168" s="37">
        <f t="shared" si="10"/>
        <v>1</v>
      </c>
      <c r="J168" s="37">
        <f t="shared" si="11"/>
        <v>1</v>
      </c>
      <c r="K168"/>
      <c r="L168"/>
      <c r="M168"/>
      <c r="N168"/>
      <c r="O168"/>
      <c r="P168"/>
      <c r="Q168"/>
      <c r="T168"/>
      <c r="U168"/>
      <c r="Y168"/>
      <c r="Z168"/>
    </row>
    <row r="169" spans="1:30" x14ac:dyDescent="0.2">
      <c r="A169" s="43">
        <v>106</v>
      </c>
      <c r="B169" s="13" t="s">
        <v>816</v>
      </c>
      <c r="C169" s="33">
        <v>5</v>
      </c>
      <c r="D169" s="34">
        <v>217</v>
      </c>
      <c r="E169" s="34">
        <v>38</v>
      </c>
      <c r="F169" s="34">
        <v>0</v>
      </c>
      <c r="G169" s="34">
        <v>0</v>
      </c>
      <c r="H169" s="34">
        <v>5</v>
      </c>
      <c r="I169" s="35">
        <f t="shared" ref="I169:I177" si="12">IF(D169=0,"-",E169/D169)</f>
        <v>0.17511520737327188</v>
      </c>
      <c r="J169" s="35" t="str">
        <f t="shared" ref="J169:J177" si="13">IF(F169=0,"-",G169/F169)</f>
        <v>-</v>
      </c>
      <c r="K169"/>
      <c r="L169"/>
      <c r="M169"/>
      <c r="N169"/>
      <c r="O169"/>
      <c r="P169"/>
      <c r="Q169"/>
      <c r="T169"/>
      <c r="U169"/>
      <c r="Y169"/>
      <c r="Z169"/>
      <c r="AD169">
        <f>COUNTIF($AC$7:AC169, "&gt;=3")</f>
        <v>28</v>
      </c>
    </row>
    <row r="170" spans="1:30" x14ac:dyDescent="0.2">
      <c r="A170" s="43">
        <v>126</v>
      </c>
      <c r="B170" s="13" t="s">
        <v>571</v>
      </c>
      <c r="C170" s="33">
        <v>3</v>
      </c>
      <c r="D170" s="34">
        <v>182</v>
      </c>
      <c r="E170" s="34">
        <v>157</v>
      </c>
      <c r="F170" s="34">
        <v>0</v>
      </c>
      <c r="G170" s="34">
        <v>0</v>
      </c>
      <c r="H170" s="34">
        <v>4</v>
      </c>
      <c r="I170" s="35">
        <f t="shared" si="12"/>
        <v>0.86263736263736268</v>
      </c>
      <c r="J170" s="35" t="str">
        <f t="shared" si="13"/>
        <v>-</v>
      </c>
      <c r="K170"/>
      <c r="L170"/>
      <c r="M170"/>
      <c r="N170"/>
      <c r="O170"/>
      <c r="P170"/>
      <c r="Q170"/>
      <c r="T170"/>
      <c r="U170"/>
      <c r="Y170"/>
      <c r="Z170"/>
    </row>
    <row r="171" spans="1:30" x14ac:dyDescent="0.2">
      <c r="A171" s="43">
        <v>36</v>
      </c>
      <c r="B171" s="13" t="s">
        <v>939</v>
      </c>
      <c r="C171" s="33">
        <v>6</v>
      </c>
      <c r="D171" s="34">
        <v>530</v>
      </c>
      <c r="E171" s="34">
        <v>34</v>
      </c>
      <c r="F171" s="34">
        <v>0</v>
      </c>
      <c r="G171" s="34">
        <v>0</v>
      </c>
      <c r="H171" s="34">
        <v>18</v>
      </c>
      <c r="I171" s="35">
        <f t="shared" si="12"/>
        <v>6.4150943396226415E-2</v>
      </c>
      <c r="J171" s="35" t="str">
        <f t="shared" si="13"/>
        <v>-</v>
      </c>
      <c r="K171"/>
      <c r="L171"/>
      <c r="M171"/>
      <c r="N171"/>
      <c r="O171"/>
      <c r="P171"/>
      <c r="Q171"/>
      <c r="T171"/>
      <c r="U171"/>
      <c r="Y171"/>
      <c r="Z171"/>
      <c r="AD171">
        <f>COUNTIF($AC$7:AC171, "&gt;=3")</f>
        <v>28</v>
      </c>
    </row>
    <row r="172" spans="1:30" x14ac:dyDescent="0.2">
      <c r="A172" s="44">
        <v>131</v>
      </c>
      <c r="B172" s="15" t="s">
        <v>634</v>
      </c>
      <c r="C172" s="14">
        <v>3</v>
      </c>
      <c r="D172" s="36">
        <v>173</v>
      </c>
      <c r="E172" s="36">
        <v>94</v>
      </c>
      <c r="F172" s="36">
        <v>0</v>
      </c>
      <c r="G172" s="36">
        <v>0</v>
      </c>
      <c r="H172" s="36">
        <v>3</v>
      </c>
      <c r="I172" s="37">
        <f t="shared" si="12"/>
        <v>0.54335260115606931</v>
      </c>
      <c r="J172" s="37" t="str">
        <f t="shared" si="13"/>
        <v>-</v>
      </c>
      <c r="K172"/>
      <c r="L172"/>
      <c r="M172"/>
      <c r="N172"/>
      <c r="O172"/>
      <c r="P172"/>
      <c r="Q172"/>
      <c r="T172"/>
      <c r="U172"/>
      <c r="Y172"/>
      <c r="Z172"/>
    </row>
    <row r="173" spans="1:30" x14ac:dyDescent="0.2">
      <c r="A173" s="44">
        <v>137</v>
      </c>
      <c r="B173" s="15" t="s">
        <v>542</v>
      </c>
      <c r="C173" s="14">
        <v>3</v>
      </c>
      <c r="D173" s="36">
        <v>156</v>
      </c>
      <c r="E173" s="36">
        <v>156</v>
      </c>
      <c r="F173" s="36">
        <v>347</v>
      </c>
      <c r="G173" s="36">
        <v>367</v>
      </c>
      <c r="H173" s="36">
        <v>4</v>
      </c>
      <c r="I173" s="37">
        <f t="shared" si="12"/>
        <v>1</v>
      </c>
      <c r="J173" s="37">
        <f t="shared" si="13"/>
        <v>1.0576368876080691</v>
      </c>
      <c r="K173"/>
      <c r="L173"/>
      <c r="M173"/>
      <c r="N173"/>
      <c r="O173"/>
      <c r="P173"/>
      <c r="Q173"/>
      <c r="T173"/>
      <c r="U173"/>
      <c r="Y173"/>
      <c r="Z173"/>
    </row>
    <row r="174" spans="1:30" x14ac:dyDescent="0.2">
      <c r="A174" s="43">
        <v>140</v>
      </c>
      <c r="B174" s="13" t="s">
        <v>586</v>
      </c>
      <c r="C174" s="33">
        <v>3</v>
      </c>
      <c r="D174" s="34">
        <v>154</v>
      </c>
      <c r="E174" s="34">
        <v>147</v>
      </c>
      <c r="F174" s="34">
        <v>0</v>
      </c>
      <c r="G174" s="34">
        <v>0</v>
      </c>
      <c r="H174" s="34">
        <v>3</v>
      </c>
      <c r="I174" s="35">
        <f t="shared" si="12"/>
        <v>0.95454545454545459</v>
      </c>
      <c r="J174" s="35" t="str">
        <f t="shared" si="13"/>
        <v>-</v>
      </c>
      <c r="K174"/>
      <c r="L174"/>
      <c r="M174"/>
      <c r="N174"/>
      <c r="O174"/>
      <c r="P174"/>
      <c r="Q174"/>
      <c r="T174"/>
      <c r="U174"/>
      <c r="Y174"/>
      <c r="Z174"/>
    </row>
    <row r="175" spans="1:30" x14ac:dyDescent="0.2">
      <c r="A175" s="44">
        <v>141</v>
      </c>
      <c r="B175" s="15" t="s">
        <v>534</v>
      </c>
      <c r="C175" s="14">
        <v>3</v>
      </c>
      <c r="D175" s="36">
        <v>154</v>
      </c>
      <c r="E175" s="36">
        <v>233</v>
      </c>
      <c r="F175" s="36">
        <v>0</v>
      </c>
      <c r="G175" s="36">
        <v>0</v>
      </c>
      <c r="H175" s="36">
        <v>3</v>
      </c>
      <c r="I175" s="37">
        <f t="shared" si="12"/>
        <v>1.5129870129870129</v>
      </c>
      <c r="J175" s="37" t="str">
        <f t="shared" si="13"/>
        <v>-</v>
      </c>
      <c r="K175"/>
      <c r="L175"/>
      <c r="M175"/>
      <c r="N175"/>
      <c r="O175"/>
      <c r="P175"/>
      <c r="Q175"/>
      <c r="T175"/>
      <c r="U175"/>
      <c r="Y175"/>
      <c r="Z175"/>
    </row>
    <row r="176" spans="1:30" x14ac:dyDescent="0.2">
      <c r="A176" s="44">
        <v>143</v>
      </c>
      <c r="B176" s="15" t="s">
        <v>548</v>
      </c>
      <c r="C176" s="14">
        <v>3</v>
      </c>
      <c r="D176" s="36">
        <v>152</v>
      </c>
      <c r="E176" s="36">
        <v>152</v>
      </c>
      <c r="F176" s="36">
        <v>0</v>
      </c>
      <c r="G176" s="36">
        <v>0</v>
      </c>
      <c r="H176" s="36">
        <v>4</v>
      </c>
      <c r="I176" s="37">
        <f t="shared" si="12"/>
        <v>1</v>
      </c>
      <c r="J176" s="37" t="str">
        <f t="shared" si="13"/>
        <v>-</v>
      </c>
      <c r="K176"/>
      <c r="L176"/>
      <c r="M176"/>
      <c r="N176"/>
      <c r="O176"/>
      <c r="P176"/>
      <c r="Q176"/>
      <c r="T176"/>
      <c r="U176"/>
      <c r="Y176"/>
      <c r="Z176"/>
    </row>
    <row r="177" spans="1:30" x14ac:dyDescent="0.2">
      <c r="A177" s="43">
        <v>76</v>
      </c>
      <c r="B177" s="13" t="s">
        <v>934</v>
      </c>
      <c r="C177" s="33">
        <v>7</v>
      </c>
      <c r="D177" s="34">
        <v>303</v>
      </c>
      <c r="E177" s="34">
        <v>19</v>
      </c>
      <c r="F177" s="34">
        <v>0</v>
      </c>
      <c r="G177" s="34">
        <v>0</v>
      </c>
      <c r="H177" s="34">
        <v>8</v>
      </c>
      <c r="I177" s="35">
        <f t="shared" si="12"/>
        <v>6.2706270627062702E-2</v>
      </c>
      <c r="J177" s="35" t="str">
        <f t="shared" si="13"/>
        <v>-</v>
      </c>
      <c r="K177"/>
      <c r="L177"/>
      <c r="M177"/>
      <c r="N177"/>
      <c r="O177"/>
      <c r="P177"/>
      <c r="Q177"/>
      <c r="T177"/>
      <c r="U177"/>
      <c r="Y177"/>
      <c r="Z177"/>
      <c r="AD177">
        <f>COUNTIF($AC$7:AC177, "&gt;=3")</f>
        <v>28</v>
      </c>
    </row>
    <row r="178" spans="1:30" x14ac:dyDescent="0.2">
      <c r="A178" s="43">
        <v>160</v>
      </c>
      <c r="B178" s="13" t="s">
        <v>738</v>
      </c>
      <c r="C178" s="33">
        <v>3</v>
      </c>
      <c r="D178" s="34">
        <v>125</v>
      </c>
      <c r="E178" s="34">
        <v>100</v>
      </c>
      <c r="F178" s="34">
        <v>0</v>
      </c>
      <c r="G178" s="34">
        <v>0</v>
      </c>
      <c r="H178" s="34">
        <v>3</v>
      </c>
      <c r="I178" s="35">
        <f t="shared" ref="I178:I197" si="14">IF(D178=0,"-",E178/D178)</f>
        <v>0.8</v>
      </c>
      <c r="J178" s="35" t="str">
        <f t="shared" ref="J178:J197" si="15">IF(F178=0,"-",G178/F178)</f>
        <v>-</v>
      </c>
      <c r="K178"/>
      <c r="L178"/>
      <c r="M178"/>
      <c r="N178"/>
      <c r="O178"/>
      <c r="P178"/>
      <c r="Q178"/>
      <c r="T178"/>
      <c r="U178"/>
      <c r="Y178"/>
      <c r="Z178"/>
    </row>
    <row r="179" spans="1:30" x14ac:dyDescent="0.2">
      <c r="A179" s="43">
        <v>162</v>
      </c>
      <c r="B179" s="13" t="s">
        <v>625</v>
      </c>
      <c r="C179" s="33">
        <v>3</v>
      </c>
      <c r="D179" s="34">
        <v>125</v>
      </c>
      <c r="E179" s="34">
        <v>98</v>
      </c>
      <c r="F179" s="34">
        <v>0</v>
      </c>
      <c r="G179" s="34">
        <v>0</v>
      </c>
      <c r="H179" s="34">
        <v>4</v>
      </c>
      <c r="I179" s="35">
        <f t="shared" si="14"/>
        <v>0.78400000000000003</v>
      </c>
      <c r="J179" s="35" t="str">
        <f t="shared" si="15"/>
        <v>-</v>
      </c>
      <c r="K179"/>
      <c r="L179"/>
      <c r="M179"/>
      <c r="N179"/>
      <c r="O179"/>
      <c r="P179"/>
      <c r="Q179"/>
      <c r="T179"/>
      <c r="U179"/>
      <c r="Y179"/>
      <c r="Z179"/>
    </row>
    <row r="180" spans="1:30" x14ac:dyDescent="0.2">
      <c r="A180" s="44">
        <v>163</v>
      </c>
      <c r="B180" s="15" t="s">
        <v>792</v>
      </c>
      <c r="C180" s="14">
        <v>3</v>
      </c>
      <c r="D180" s="36">
        <v>125</v>
      </c>
      <c r="E180" s="36">
        <v>125</v>
      </c>
      <c r="F180" s="36">
        <v>0</v>
      </c>
      <c r="G180" s="36">
        <v>0</v>
      </c>
      <c r="H180" s="36">
        <v>4</v>
      </c>
      <c r="I180" s="37">
        <f t="shared" si="14"/>
        <v>1</v>
      </c>
      <c r="J180" s="37" t="str">
        <f t="shared" si="15"/>
        <v>-</v>
      </c>
      <c r="K180"/>
      <c r="L180"/>
      <c r="M180"/>
      <c r="N180"/>
      <c r="O180"/>
      <c r="P180"/>
      <c r="Q180"/>
      <c r="T180"/>
      <c r="U180"/>
      <c r="Y180"/>
      <c r="Z180"/>
    </row>
    <row r="181" spans="1:30" x14ac:dyDescent="0.2">
      <c r="A181" s="43">
        <v>164</v>
      </c>
      <c r="B181" s="13" t="s">
        <v>748</v>
      </c>
      <c r="C181" s="33">
        <v>3</v>
      </c>
      <c r="D181" s="34">
        <v>124</v>
      </c>
      <c r="E181" s="34">
        <v>123</v>
      </c>
      <c r="F181" s="34">
        <v>0</v>
      </c>
      <c r="G181" s="34">
        <v>0</v>
      </c>
      <c r="H181" s="34">
        <v>3</v>
      </c>
      <c r="I181" s="35">
        <f t="shared" si="14"/>
        <v>0.99193548387096775</v>
      </c>
      <c r="J181" s="35" t="str">
        <f t="shared" si="15"/>
        <v>-</v>
      </c>
      <c r="K181"/>
      <c r="L181"/>
      <c r="M181"/>
      <c r="N181"/>
      <c r="O181"/>
      <c r="P181"/>
      <c r="Q181"/>
      <c r="T181"/>
      <c r="U181"/>
      <c r="Y181"/>
      <c r="Z181"/>
    </row>
    <row r="182" spans="1:30" x14ac:dyDescent="0.2">
      <c r="A182" s="44">
        <v>165</v>
      </c>
      <c r="B182" s="15" t="s">
        <v>833</v>
      </c>
      <c r="C182" s="14">
        <v>3</v>
      </c>
      <c r="D182" s="36">
        <v>124</v>
      </c>
      <c r="E182" s="36">
        <v>87</v>
      </c>
      <c r="F182" s="36">
        <v>0</v>
      </c>
      <c r="G182" s="36">
        <v>0</v>
      </c>
      <c r="H182" s="36">
        <v>3</v>
      </c>
      <c r="I182" s="37">
        <f t="shared" si="14"/>
        <v>0.70161290322580649</v>
      </c>
      <c r="J182" s="37" t="str">
        <f t="shared" si="15"/>
        <v>-</v>
      </c>
      <c r="K182"/>
      <c r="L182"/>
      <c r="M182"/>
      <c r="N182"/>
      <c r="O182"/>
      <c r="P182"/>
      <c r="Q182"/>
      <c r="T182"/>
      <c r="U182"/>
      <c r="Y182"/>
      <c r="Z182"/>
    </row>
    <row r="183" spans="1:30" x14ac:dyDescent="0.2">
      <c r="A183" s="43">
        <v>168</v>
      </c>
      <c r="B183" s="13" t="s">
        <v>639</v>
      </c>
      <c r="C183" s="33">
        <v>3</v>
      </c>
      <c r="D183" s="34">
        <v>120</v>
      </c>
      <c r="E183" s="34">
        <v>112</v>
      </c>
      <c r="F183" s="34">
        <v>0</v>
      </c>
      <c r="G183" s="34">
        <v>0</v>
      </c>
      <c r="H183" s="34">
        <v>4</v>
      </c>
      <c r="I183" s="35">
        <f t="shared" si="14"/>
        <v>0.93333333333333335</v>
      </c>
      <c r="J183" s="35" t="str">
        <f t="shared" si="15"/>
        <v>-</v>
      </c>
      <c r="K183"/>
      <c r="L183"/>
      <c r="M183"/>
      <c r="N183"/>
      <c r="O183"/>
      <c r="P183"/>
      <c r="Q183"/>
      <c r="T183"/>
      <c r="U183"/>
      <c r="Y183"/>
      <c r="Z183"/>
    </row>
    <row r="184" spans="1:30" x14ac:dyDescent="0.2">
      <c r="A184" s="43">
        <v>176</v>
      </c>
      <c r="B184" s="13" t="s">
        <v>576</v>
      </c>
      <c r="C184" s="33">
        <v>3</v>
      </c>
      <c r="D184" s="34">
        <v>111</v>
      </c>
      <c r="E184" s="34">
        <v>109</v>
      </c>
      <c r="F184" s="34">
        <v>0</v>
      </c>
      <c r="G184" s="34">
        <v>0</v>
      </c>
      <c r="H184" s="34">
        <v>4</v>
      </c>
      <c r="I184" s="35">
        <f t="shared" si="14"/>
        <v>0.98198198198198194</v>
      </c>
      <c r="J184" s="35" t="str">
        <f t="shared" si="15"/>
        <v>-</v>
      </c>
      <c r="K184"/>
      <c r="L184"/>
      <c r="M184"/>
      <c r="N184"/>
      <c r="O184"/>
      <c r="P184"/>
      <c r="Q184"/>
      <c r="T184"/>
      <c r="U184"/>
      <c r="Y184"/>
      <c r="Z184"/>
    </row>
    <row r="185" spans="1:30" x14ac:dyDescent="0.2">
      <c r="A185" s="44">
        <v>183</v>
      </c>
      <c r="B185" s="15" t="s">
        <v>706</v>
      </c>
      <c r="C185" s="14">
        <v>3</v>
      </c>
      <c r="D185" s="36">
        <v>104</v>
      </c>
      <c r="E185" s="36">
        <v>70</v>
      </c>
      <c r="F185" s="36">
        <v>295</v>
      </c>
      <c r="G185" s="36">
        <v>291</v>
      </c>
      <c r="H185" s="36">
        <v>2</v>
      </c>
      <c r="I185" s="37">
        <f t="shared" si="14"/>
        <v>0.67307692307692313</v>
      </c>
      <c r="J185" s="37">
        <f t="shared" si="15"/>
        <v>0.98644067796610169</v>
      </c>
      <c r="K185"/>
      <c r="L185"/>
      <c r="M185"/>
      <c r="N185"/>
      <c r="O185"/>
      <c r="P185"/>
      <c r="Q185"/>
      <c r="T185"/>
      <c r="U185"/>
      <c r="Y185"/>
      <c r="Z185"/>
    </row>
    <row r="186" spans="1:30" x14ac:dyDescent="0.2">
      <c r="A186" s="44">
        <v>197</v>
      </c>
      <c r="B186" s="15" t="s">
        <v>835</v>
      </c>
      <c r="C186" s="14">
        <v>3</v>
      </c>
      <c r="D186" s="36">
        <v>96</v>
      </c>
      <c r="E186" s="36">
        <v>96</v>
      </c>
      <c r="F186" s="36">
        <v>0</v>
      </c>
      <c r="G186" s="36">
        <v>0</v>
      </c>
      <c r="H186" s="36">
        <v>3</v>
      </c>
      <c r="I186" s="37">
        <f t="shared" si="14"/>
        <v>1</v>
      </c>
      <c r="J186" s="37" t="str">
        <f t="shared" si="15"/>
        <v>-</v>
      </c>
      <c r="K186"/>
      <c r="L186"/>
      <c r="M186"/>
      <c r="N186"/>
      <c r="O186"/>
      <c r="P186"/>
      <c r="Q186"/>
      <c r="T186"/>
      <c r="U186"/>
      <c r="Y186"/>
      <c r="Z186"/>
    </row>
    <row r="187" spans="1:30" x14ac:dyDescent="0.2">
      <c r="A187" s="43">
        <v>204</v>
      </c>
      <c r="B187" s="13" t="s">
        <v>563</v>
      </c>
      <c r="C187" s="33">
        <v>3</v>
      </c>
      <c r="D187" s="34">
        <v>89</v>
      </c>
      <c r="E187" s="34">
        <v>89</v>
      </c>
      <c r="F187" s="34">
        <v>38</v>
      </c>
      <c r="G187" s="34">
        <v>38</v>
      </c>
      <c r="H187" s="34">
        <v>1</v>
      </c>
      <c r="I187" s="35">
        <f t="shared" si="14"/>
        <v>1</v>
      </c>
      <c r="J187" s="35">
        <f t="shared" si="15"/>
        <v>1</v>
      </c>
      <c r="K187"/>
      <c r="L187"/>
      <c r="M187"/>
      <c r="N187"/>
      <c r="O187"/>
      <c r="P187"/>
      <c r="Q187"/>
      <c r="T187"/>
      <c r="U187"/>
      <c r="Y187"/>
      <c r="Z187"/>
    </row>
    <row r="188" spans="1:30" x14ac:dyDescent="0.2">
      <c r="A188" s="43">
        <v>222</v>
      </c>
      <c r="B188" s="13" t="s">
        <v>904</v>
      </c>
      <c r="C188" s="33">
        <v>3</v>
      </c>
      <c r="D188" s="34">
        <v>75</v>
      </c>
      <c r="E188" s="34">
        <v>32</v>
      </c>
      <c r="F188" s="34">
        <v>0</v>
      </c>
      <c r="G188" s="34">
        <v>0</v>
      </c>
      <c r="H188" s="34">
        <v>3</v>
      </c>
      <c r="I188" s="35">
        <f t="shared" si="14"/>
        <v>0.42666666666666669</v>
      </c>
      <c r="J188" s="35" t="str">
        <f t="shared" si="15"/>
        <v>-</v>
      </c>
      <c r="K188"/>
      <c r="L188"/>
      <c r="M188"/>
      <c r="N188"/>
      <c r="O188"/>
      <c r="P188"/>
      <c r="Q188"/>
      <c r="T188"/>
      <c r="U188"/>
      <c r="Y188"/>
      <c r="Z188"/>
    </row>
    <row r="189" spans="1:30" x14ac:dyDescent="0.2">
      <c r="A189" s="44">
        <v>225</v>
      </c>
      <c r="B189" s="15" t="s">
        <v>733</v>
      </c>
      <c r="C189" s="14">
        <v>3</v>
      </c>
      <c r="D189" s="36">
        <v>75</v>
      </c>
      <c r="E189" s="36">
        <v>75</v>
      </c>
      <c r="F189" s="36">
        <v>217</v>
      </c>
      <c r="G189" s="36">
        <v>215</v>
      </c>
      <c r="H189" s="36">
        <v>2</v>
      </c>
      <c r="I189" s="37">
        <f t="shared" si="14"/>
        <v>1</v>
      </c>
      <c r="J189" s="37">
        <f t="shared" si="15"/>
        <v>0.99078341013824889</v>
      </c>
      <c r="K189"/>
      <c r="L189"/>
      <c r="M189"/>
      <c r="N189"/>
      <c r="O189"/>
      <c r="P189"/>
      <c r="Q189"/>
      <c r="T189"/>
      <c r="U189"/>
      <c r="Y189"/>
      <c r="Z189"/>
    </row>
    <row r="190" spans="1:30" x14ac:dyDescent="0.2">
      <c r="A190" s="43">
        <v>230</v>
      </c>
      <c r="B190" s="13" t="s">
        <v>775</v>
      </c>
      <c r="C190" s="33">
        <v>3</v>
      </c>
      <c r="D190" s="34">
        <v>72</v>
      </c>
      <c r="E190" s="34">
        <v>74</v>
      </c>
      <c r="F190" s="34">
        <v>147</v>
      </c>
      <c r="G190" s="34">
        <v>125</v>
      </c>
      <c r="H190" s="34">
        <v>2</v>
      </c>
      <c r="I190" s="35">
        <f t="shared" si="14"/>
        <v>1.0277777777777777</v>
      </c>
      <c r="J190" s="35">
        <f t="shared" si="15"/>
        <v>0.85034013605442171</v>
      </c>
      <c r="K190"/>
      <c r="L190"/>
      <c r="M190"/>
      <c r="N190"/>
      <c r="O190"/>
      <c r="P190"/>
      <c r="Q190"/>
      <c r="T190"/>
      <c r="U190"/>
      <c r="Y190"/>
      <c r="Z190"/>
    </row>
    <row r="191" spans="1:30" x14ac:dyDescent="0.2">
      <c r="A191" s="43">
        <v>232</v>
      </c>
      <c r="B191" s="13" t="s">
        <v>694</v>
      </c>
      <c r="C191" s="33">
        <v>3</v>
      </c>
      <c r="D191" s="34">
        <v>71</v>
      </c>
      <c r="E191" s="34">
        <v>56</v>
      </c>
      <c r="F191" s="34">
        <v>372</v>
      </c>
      <c r="G191" s="34">
        <v>341</v>
      </c>
      <c r="H191" s="34">
        <v>3</v>
      </c>
      <c r="I191" s="35">
        <f t="shared" si="14"/>
        <v>0.78873239436619713</v>
      </c>
      <c r="J191" s="35">
        <f t="shared" si="15"/>
        <v>0.91666666666666663</v>
      </c>
      <c r="K191"/>
      <c r="L191"/>
      <c r="M191"/>
      <c r="N191"/>
      <c r="O191"/>
      <c r="P191"/>
      <c r="Q191"/>
      <c r="T191"/>
      <c r="U191"/>
      <c r="Y191"/>
      <c r="Z191"/>
    </row>
    <row r="192" spans="1:30" x14ac:dyDescent="0.2">
      <c r="A192" s="44">
        <v>239</v>
      </c>
      <c r="B192" s="15" t="s">
        <v>718</v>
      </c>
      <c r="C192" s="14">
        <v>3</v>
      </c>
      <c r="D192" s="36">
        <v>69</v>
      </c>
      <c r="E192" s="36">
        <v>90</v>
      </c>
      <c r="F192" s="36">
        <v>0</v>
      </c>
      <c r="G192" s="36">
        <v>0</v>
      </c>
      <c r="H192" s="36">
        <v>3</v>
      </c>
      <c r="I192" s="37">
        <f t="shared" si="14"/>
        <v>1.3043478260869565</v>
      </c>
      <c r="J192" s="37" t="str">
        <f t="shared" si="15"/>
        <v>-</v>
      </c>
      <c r="K192"/>
      <c r="L192"/>
      <c r="M192"/>
      <c r="N192"/>
      <c r="O192"/>
      <c r="P192"/>
      <c r="Q192"/>
      <c r="T192"/>
      <c r="U192"/>
      <c r="Y192"/>
      <c r="Z192"/>
    </row>
    <row r="193" spans="1:26" x14ac:dyDescent="0.2">
      <c r="A193" s="44">
        <v>279</v>
      </c>
      <c r="B193" s="15" t="s">
        <v>918</v>
      </c>
      <c r="C193" s="14">
        <v>3</v>
      </c>
      <c r="D193" s="36">
        <v>50</v>
      </c>
      <c r="E193" s="36">
        <v>50</v>
      </c>
      <c r="F193" s="36">
        <v>0</v>
      </c>
      <c r="G193" s="36">
        <v>0</v>
      </c>
      <c r="H193" s="36">
        <v>3</v>
      </c>
      <c r="I193" s="37">
        <f t="shared" si="14"/>
        <v>1</v>
      </c>
      <c r="J193" s="37" t="str">
        <f t="shared" si="15"/>
        <v>-</v>
      </c>
      <c r="K193"/>
      <c r="L193"/>
      <c r="M193"/>
      <c r="N193"/>
      <c r="O193"/>
      <c r="P193"/>
      <c r="Q193"/>
      <c r="T193"/>
      <c r="U193"/>
      <c r="Y193"/>
      <c r="Z193"/>
    </row>
    <row r="194" spans="1:26" x14ac:dyDescent="0.2">
      <c r="A194" s="43">
        <v>288</v>
      </c>
      <c r="B194" s="13" t="s">
        <v>592</v>
      </c>
      <c r="C194" s="33">
        <v>3</v>
      </c>
      <c r="D194" s="34">
        <v>49</v>
      </c>
      <c r="E194" s="34">
        <v>134</v>
      </c>
      <c r="F194" s="34">
        <v>640</v>
      </c>
      <c r="G194" s="34">
        <v>563</v>
      </c>
      <c r="H194" s="34">
        <v>1</v>
      </c>
      <c r="I194" s="35">
        <f t="shared" si="14"/>
        <v>2.7346938775510203</v>
      </c>
      <c r="J194" s="35">
        <f t="shared" si="15"/>
        <v>0.87968749999999996</v>
      </c>
      <c r="K194"/>
      <c r="L194"/>
      <c r="M194"/>
      <c r="N194"/>
      <c r="O194"/>
      <c r="P194"/>
      <c r="Q194"/>
      <c r="T194"/>
      <c r="U194"/>
      <c r="Y194"/>
      <c r="Z194"/>
    </row>
    <row r="195" spans="1:26" x14ac:dyDescent="0.2">
      <c r="A195" s="44">
        <v>293</v>
      </c>
      <c r="B195" s="15" t="s">
        <v>771</v>
      </c>
      <c r="C195" s="14">
        <v>3</v>
      </c>
      <c r="D195" s="36">
        <v>46</v>
      </c>
      <c r="E195" s="36">
        <v>46</v>
      </c>
      <c r="F195" s="36">
        <v>85</v>
      </c>
      <c r="G195" s="36">
        <v>81</v>
      </c>
      <c r="H195" s="36">
        <v>1</v>
      </c>
      <c r="I195" s="37">
        <f t="shared" si="14"/>
        <v>1</v>
      </c>
      <c r="J195" s="37">
        <f t="shared" si="15"/>
        <v>0.95294117647058818</v>
      </c>
      <c r="K195"/>
      <c r="L195"/>
      <c r="M195"/>
      <c r="N195"/>
      <c r="O195"/>
      <c r="P195"/>
      <c r="Q195"/>
      <c r="T195"/>
      <c r="U195"/>
      <c r="Y195"/>
      <c r="Z195"/>
    </row>
    <row r="196" spans="1:26" x14ac:dyDescent="0.2">
      <c r="A196" s="44">
        <v>295</v>
      </c>
      <c r="B196" s="15" t="s">
        <v>684</v>
      </c>
      <c r="C196" s="14">
        <v>3</v>
      </c>
      <c r="D196" s="36">
        <v>46</v>
      </c>
      <c r="E196" s="36">
        <v>83</v>
      </c>
      <c r="F196" s="36">
        <v>0</v>
      </c>
      <c r="G196" s="36">
        <v>0</v>
      </c>
      <c r="H196" s="36">
        <v>3</v>
      </c>
      <c r="I196" s="37">
        <f t="shared" si="14"/>
        <v>1.8043478260869565</v>
      </c>
      <c r="J196" s="37" t="str">
        <f t="shared" si="15"/>
        <v>-</v>
      </c>
      <c r="K196"/>
      <c r="L196"/>
      <c r="M196"/>
      <c r="N196"/>
      <c r="O196"/>
      <c r="P196"/>
      <c r="Q196"/>
      <c r="T196"/>
      <c r="U196"/>
      <c r="Y196"/>
      <c r="Z196"/>
    </row>
    <row r="197" spans="1:26" x14ac:dyDescent="0.2">
      <c r="A197" s="44">
        <v>307</v>
      </c>
      <c r="B197" s="15" t="s">
        <v>811</v>
      </c>
      <c r="C197" s="14">
        <v>3</v>
      </c>
      <c r="D197" s="36">
        <v>42</v>
      </c>
      <c r="E197" s="36">
        <v>40</v>
      </c>
      <c r="F197" s="36">
        <v>144</v>
      </c>
      <c r="G197" s="36">
        <v>144</v>
      </c>
      <c r="H197" s="36">
        <v>1</v>
      </c>
      <c r="I197" s="37">
        <f t="shared" si="14"/>
        <v>0.95238095238095233</v>
      </c>
      <c r="J197" s="37">
        <f t="shared" si="15"/>
        <v>1</v>
      </c>
      <c r="K197"/>
      <c r="L197"/>
      <c r="M197"/>
      <c r="N197"/>
      <c r="O197"/>
      <c r="P197"/>
      <c r="Q197"/>
      <c r="T197"/>
      <c r="U197"/>
      <c r="Y197"/>
      <c r="Z197"/>
    </row>
    <row r="198" spans="1:26" x14ac:dyDescent="0.2">
      <c r="A198" s="44">
        <v>387</v>
      </c>
      <c r="B198" s="15" t="s">
        <v>1267</v>
      </c>
      <c r="C198" s="14">
        <v>3</v>
      </c>
      <c r="D198" s="36">
        <v>0</v>
      </c>
      <c r="E198" s="36">
        <v>0</v>
      </c>
      <c r="F198" s="36">
        <v>305</v>
      </c>
      <c r="G198" s="36">
        <v>297</v>
      </c>
      <c r="H198" s="36">
        <v>0</v>
      </c>
      <c r="I198" s="37" t="str">
        <f t="shared" ref="I198:I261" si="16">IF(D198=0,"-",E198/D198)</f>
        <v>-</v>
      </c>
      <c r="J198" s="37">
        <f t="shared" ref="J198:J261" si="17">IF(F198=0,"-",G198/F198)</f>
        <v>0.97377049180327868</v>
      </c>
      <c r="K198"/>
      <c r="L198"/>
      <c r="M198"/>
      <c r="N198"/>
      <c r="O198"/>
      <c r="P198"/>
      <c r="Q198"/>
      <c r="T198"/>
      <c r="U198"/>
      <c r="Y198"/>
      <c r="Z198"/>
    </row>
    <row r="199" spans="1:26" x14ac:dyDescent="0.2">
      <c r="A199" s="44">
        <v>401</v>
      </c>
      <c r="B199" s="15" t="s">
        <v>1302</v>
      </c>
      <c r="C199" s="14">
        <v>3</v>
      </c>
      <c r="D199" s="36">
        <v>0</v>
      </c>
      <c r="E199" s="36">
        <v>0</v>
      </c>
      <c r="F199" s="36">
        <v>128</v>
      </c>
      <c r="G199" s="36">
        <v>126</v>
      </c>
      <c r="H199" s="36">
        <v>0</v>
      </c>
      <c r="I199" s="37" t="str">
        <f t="shared" si="16"/>
        <v>-</v>
      </c>
      <c r="J199" s="37">
        <f t="shared" si="17"/>
        <v>0.984375</v>
      </c>
      <c r="K199"/>
      <c r="L199"/>
      <c r="M199"/>
      <c r="N199"/>
      <c r="O199"/>
      <c r="P199"/>
      <c r="Q199"/>
      <c r="T199"/>
      <c r="U199"/>
      <c r="Y199"/>
      <c r="Z199"/>
    </row>
    <row r="200" spans="1:26" x14ac:dyDescent="0.2">
      <c r="A200" s="43">
        <v>406</v>
      </c>
      <c r="B200" s="13" t="s">
        <v>1294</v>
      </c>
      <c r="C200" s="33">
        <v>3</v>
      </c>
      <c r="D200" s="34">
        <v>0</v>
      </c>
      <c r="E200" s="34">
        <v>0</v>
      </c>
      <c r="F200" s="34">
        <v>148</v>
      </c>
      <c r="G200" s="34">
        <v>131</v>
      </c>
      <c r="H200" s="34">
        <v>0</v>
      </c>
      <c r="I200" s="35" t="str">
        <f t="shared" si="16"/>
        <v>-</v>
      </c>
      <c r="J200" s="35">
        <f t="shared" si="17"/>
        <v>0.88513513513513509</v>
      </c>
      <c r="K200"/>
      <c r="L200"/>
      <c r="M200"/>
      <c r="N200"/>
      <c r="O200"/>
      <c r="P200"/>
      <c r="Q200"/>
      <c r="T200"/>
      <c r="U200"/>
      <c r="Y200"/>
      <c r="Z200"/>
    </row>
    <row r="201" spans="1:26" x14ac:dyDescent="0.2">
      <c r="A201" s="43">
        <v>414</v>
      </c>
      <c r="B201" s="13" t="s">
        <v>1295</v>
      </c>
      <c r="C201" s="33">
        <v>3</v>
      </c>
      <c r="D201" s="34">
        <v>0</v>
      </c>
      <c r="E201" s="34">
        <v>0</v>
      </c>
      <c r="F201" s="34">
        <v>123</v>
      </c>
      <c r="G201" s="34">
        <v>122</v>
      </c>
      <c r="H201" s="34">
        <v>0</v>
      </c>
      <c r="I201" s="35" t="str">
        <f t="shared" si="16"/>
        <v>-</v>
      </c>
      <c r="J201" s="35">
        <f t="shared" si="17"/>
        <v>0.99186991869918695</v>
      </c>
      <c r="K201"/>
      <c r="L201"/>
      <c r="M201"/>
      <c r="N201"/>
      <c r="O201"/>
      <c r="P201"/>
      <c r="Q201"/>
      <c r="T201"/>
      <c r="U201"/>
      <c r="Y201"/>
      <c r="Z201"/>
    </row>
    <row r="202" spans="1:26" x14ac:dyDescent="0.2">
      <c r="A202" s="44">
        <v>415</v>
      </c>
      <c r="B202" s="15" t="s">
        <v>1297</v>
      </c>
      <c r="C202" s="14">
        <v>3</v>
      </c>
      <c r="D202" s="36">
        <v>0</v>
      </c>
      <c r="E202" s="36">
        <v>0</v>
      </c>
      <c r="F202" s="36">
        <v>106</v>
      </c>
      <c r="G202" s="36">
        <v>106</v>
      </c>
      <c r="H202" s="36">
        <v>0</v>
      </c>
      <c r="I202" s="37" t="str">
        <f t="shared" si="16"/>
        <v>-</v>
      </c>
      <c r="J202" s="37">
        <f t="shared" si="17"/>
        <v>1</v>
      </c>
      <c r="K202"/>
      <c r="L202"/>
      <c r="M202"/>
      <c r="N202"/>
      <c r="O202"/>
      <c r="P202"/>
      <c r="Q202"/>
      <c r="T202"/>
      <c r="U202"/>
      <c r="Y202"/>
      <c r="Z202"/>
    </row>
    <row r="203" spans="1:26" x14ac:dyDescent="0.2">
      <c r="A203" s="44">
        <v>417</v>
      </c>
      <c r="B203" s="15" t="s">
        <v>1194</v>
      </c>
      <c r="C203" s="14">
        <v>3</v>
      </c>
      <c r="D203" s="36">
        <v>0</v>
      </c>
      <c r="E203" s="36">
        <v>0</v>
      </c>
      <c r="F203" s="36">
        <v>335</v>
      </c>
      <c r="G203" s="36">
        <v>331</v>
      </c>
      <c r="H203" s="36">
        <v>0</v>
      </c>
      <c r="I203" s="37" t="str">
        <f t="shared" si="16"/>
        <v>-</v>
      </c>
      <c r="J203" s="37">
        <f t="shared" si="17"/>
        <v>0.9880597014925373</v>
      </c>
      <c r="K203"/>
      <c r="L203"/>
      <c r="M203"/>
      <c r="N203"/>
      <c r="O203"/>
      <c r="P203"/>
      <c r="Q203"/>
      <c r="T203"/>
      <c r="U203"/>
      <c r="Y203"/>
      <c r="Z203"/>
    </row>
    <row r="204" spans="1:26" x14ac:dyDescent="0.2">
      <c r="A204" s="43">
        <v>424</v>
      </c>
      <c r="B204" s="13" t="s">
        <v>1092</v>
      </c>
      <c r="C204" s="33">
        <v>3</v>
      </c>
      <c r="D204" s="34">
        <v>0</v>
      </c>
      <c r="E204" s="34">
        <v>0</v>
      </c>
      <c r="F204" s="34">
        <v>808</v>
      </c>
      <c r="G204" s="34">
        <v>793</v>
      </c>
      <c r="H204" s="34">
        <v>0</v>
      </c>
      <c r="I204" s="35" t="str">
        <f t="shared" si="16"/>
        <v>-</v>
      </c>
      <c r="J204" s="35">
        <f t="shared" si="17"/>
        <v>0.98143564356435642</v>
      </c>
      <c r="K204"/>
      <c r="L204"/>
      <c r="M204"/>
      <c r="N204"/>
      <c r="O204"/>
      <c r="P204"/>
      <c r="Q204"/>
      <c r="T204"/>
      <c r="U204"/>
      <c r="Y204"/>
      <c r="Z204"/>
    </row>
    <row r="205" spans="1:26" x14ac:dyDescent="0.2">
      <c r="A205" s="44">
        <v>425</v>
      </c>
      <c r="B205" s="15" t="s">
        <v>1210</v>
      </c>
      <c r="C205" s="14">
        <v>3</v>
      </c>
      <c r="D205" s="36">
        <v>0</v>
      </c>
      <c r="E205" s="36">
        <v>0</v>
      </c>
      <c r="F205" s="36">
        <v>519</v>
      </c>
      <c r="G205" s="36">
        <v>475</v>
      </c>
      <c r="H205" s="36">
        <v>0</v>
      </c>
      <c r="I205" s="37" t="str">
        <f t="shared" si="16"/>
        <v>-</v>
      </c>
      <c r="J205" s="37">
        <f t="shared" si="17"/>
        <v>0.91522157996146436</v>
      </c>
      <c r="K205"/>
      <c r="L205"/>
      <c r="M205"/>
      <c r="N205"/>
      <c r="O205"/>
      <c r="P205"/>
      <c r="Q205"/>
      <c r="T205"/>
      <c r="U205"/>
      <c r="Y205"/>
      <c r="Z205"/>
    </row>
    <row r="206" spans="1:26" x14ac:dyDescent="0.2">
      <c r="A206" s="44">
        <v>433</v>
      </c>
      <c r="B206" s="15" t="s">
        <v>1308</v>
      </c>
      <c r="C206" s="14">
        <v>3</v>
      </c>
      <c r="D206" s="36">
        <v>0</v>
      </c>
      <c r="E206" s="36">
        <v>0</v>
      </c>
      <c r="F206" s="36">
        <v>205</v>
      </c>
      <c r="G206" s="36">
        <v>196</v>
      </c>
      <c r="H206" s="36">
        <v>0</v>
      </c>
      <c r="I206" s="37" t="str">
        <f t="shared" si="16"/>
        <v>-</v>
      </c>
      <c r="J206" s="37">
        <f t="shared" si="17"/>
        <v>0.95609756097560972</v>
      </c>
      <c r="K206"/>
      <c r="L206"/>
      <c r="M206"/>
      <c r="N206"/>
      <c r="O206"/>
      <c r="P206"/>
      <c r="Q206"/>
      <c r="T206"/>
      <c r="U206"/>
      <c r="Y206"/>
      <c r="Z206"/>
    </row>
    <row r="207" spans="1:26" x14ac:dyDescent="0.2">
      <c r="A207" s="43">
        <v>448</v>
      </c>
      <c r="B207" s="13" t="s">
        <v>1327</v>
      </c>
      <c r="C207" s="33">
        <v>3</v>
      </c>
      <c r="D207" s="34">
        <v>0</v>
      </c>
      <c r="E207" s="34">
        <v>0</v>
      </c>
      <c r="F207" s="34">
        <v>77</v>
      </c>
      <c r="G207" s="34">
        <v>87</v>
      </c>
      <c r="H207" s="34">
        <v>0</v>
      </c>
      <c r="I207" s="35" t="str">
        <f t="shared" si="16"/>
        <v>-</v>
      </c>
      <c r="J207" s="35">
        <f t="shared" si="17"/>
        <v>1.1298701298701299</v>
      </c>
      <c r="K207"/>
      <c r="L207"/>
      <c r="M207"/>
      <c r="N207"/>
      <c r="O207"/>
      <c r="P207"/>
      <c r="Q207"/>
      <c r="T207"/>
      <c r="U207"/>
      <c r="Y207"/>
      <c r="Z207"/>
    </row>
    <row r="208" spans="1:26" x14ac:dyDescent="0.2">
      <c r="A208" s="43">
        <v>450</v>
      </c>
      <c r="B208" s="13" t="s">
        <v>1228</v>
      </c>
      <c r="C208" s="33">
        <v>3</v>
      </c>
      <c r="D208" s="34">
        <v>0</v>
      </c>
      <c r="E208" s="34">
        <v>0</v>
      </c>
      <c r="F208" s="34">
        <v>317</v>
      </c>
      <c r="G208" s="34">
        <v>317</v>
      </c>
      <c r="H208" s="34">
        <v>0</v>
      </c>
      <c r="I208" s="35" t="str">
        <f t="shared" si="16"/>
        <v>-</v>
      </c>
      <c r="J208" s="35">
        <f t="shared" si="17"/>
        <v>1</v>
      </c>
      <c r="K208"/>
      <c r="L208"/>
      <c r="M208"/>
      <c r="N208"/>
      <c r="O208"/>
      <c r="P208"/>
      <c r="Q208"/>
      <c r="T208"/>
      <c r="U208"/>
      <c r="Y208"/>
      <c r="Z208"/>
    </row>
    <row r="209" spans="1:26" x14ac:dyDescent="0.2">
      <c r="A209" s="44">
        <v>475</v>
      </c>
      <c r="B209" s="15" t="s">
        <v>1104</v>
      </c>
      <c r="C209" s="14">
        <v>3</v>
      </c>
      <c r="D209" s="36">
        <v>0</v>
      </c>
      <c r="E209" s="36">
        <v>0</v>
      </c>
      <c r="F209" s="36">
        <v>802</v>
      </c>
      <c r="G209" s="36">
        <v>794</v>
      </c>
      <c r="H209" s="36">
        <v>0</v>
      </c>
      <c r="I209" s="37" t="str">
        <f t="shared" si="16"/>
        <v>-</v>
      </c>
      <c r="J209" s="37">
        <f t="shared" si="17"/>
        <v>0.9900249376558603</v>
      </c>
      <c r="K209"/>
      <c r="L209"/>
      <c r="M209"/>
      <c r="N209"/>
      <c r="O209"/>
      <c r="P209"/>
      <c r="Q209"/>
      <c r="T209"/>
      <c r="U209"/>
      <c r="Y209"/>
      <c r="Z209"/>
    </row>
    <row r="210" spans="1:26" x14ac:dyDescent="0.2">
      <c r="A210" s="44">
        <v>479</v>
      </c>
      <c r="B210" s="15" t="s">
        <v>1181</v>
      </c>
      <c r="C210" s="14">
        <v>3</v>
      </c>
      <c r="D210" s="36">
        <v>0</v>
      </c>
      <c r="E210" s="36">
        <v>0</v>
      </c>
      <c r="F210" s="36">
        <v>410</v>
      </c>
      <c r="G210" s="36">
        <v>399</v>
      </c>
      <c r="H210" s="36">
        <v>0</v>
      </c>
      <c r="I210" s="37" t="str">
        <f t="shared" si="16"/>
        <v>-</v>
      </c>
      <c r="J210" s="37">
        <f t="shared" si="17"/>
        <v>0.97317073170731705</v>
      </c>
      <c r="K210"/>
      <c r="L210"/>
      <c r="M210"/>
      <c r="N210"/>
      <c r="O210"/>
      <c r="P210"/>
      <c r="Q210"/>
      <c r="T210"/>
      <c r="U210"/>
      <c r="Y210"/>
      <c r="Z210"/>
    </row>
    <row r="211" spans="1:26" x14ac:dyDescent="0.2">
      <c r="A211" s="44">
        <v>483</v>
      </c>
      <c r="B211" s="15" t="s">
        <v>1298</v>
      </c>
      <c r="C211" s="14">
        <v>3</v>
      </c>
      <c r="D211" s="36">
        <v>0</v>
      </c>
      <c r="E211" s="36">
        <v>0</v>
      </c>
      <c r="F211" s="36">
        <v>194</v>
      </c>
      <c r="G211" s="36">
        <v>187</v>
      </c>
      <c r="H211" s="36">
        <v>0</v>
      </c>
      <c r="I211" s="37" t="str">
        <f t="shared" si="16"/>
        <v>-</v>
      </c>
      <c r="J211" s="37">
        <f t="shared" si="17"/>
        <v>0.96391752577319589</v>
      </c>
      <c r="K211"/>
      <c r="L211"/>
      <c r="M211"/>
      <c r="N211"/>
      <c r="O211"/>
      <c r="P211"/>
      <c r="Q211"/>
      <c r="T211"/>
      <c r="U211"/>
      <c r="Y211"/>
      <c r="Z211"/>
    </row>
    <row r="212" spans="1:26" x14ac:dyDescent="0.2">
      <c r="A212" s="44">
        <v>493</v>
      </c>
      <c r="B212" s="15" t="s">
        <v>1293</v>
      </c>
      <c r="C212" s="14">
        <v>3</v>
      </c>
      <c r="D212" s="36">
        <v>0</v>
      </c>
      <c r="E212" s="36">
        <v>0</v>
      </c>
      <c r="F212" s="36">
        <v>113</v>
      </c>
      <c r="G212" s="36">
        <v>113</v>
      </c>
      <c r="H212" s="36">
        <v>0</v>
      </c>
      <c r="I212" s="37" t="str">
        <f t="shared" si="16"/>
        <v>-</v>
      </c>
      <c r="J212" s="37">
        <f t="shared" si="17"/>
        <v>1</v>
      </c>
      <c r="K212"/>
      <c r="L212"/>
      <c r="M212"/>
      <c r="N212"/>
      <c r="O212"/>
      <c r="P212"/>
      <c r="Q212"/>
      <c r="T212"/>
      <c r="U212"/>
      <c r="Y212"/>
      <c r="Z212"/>
    </row>
    <row r="213" spans="1:26" x14ac:dyDescent="0.2">
      <c r="A213" s="43">
        <v>498</v>
      </c>
      <c r="B213" s="13" t="s">
        <v>1362</v>
      </c>
      <c r="C213" s="33">
        <v>3</v>
      </c>
      <c r="D213" s="34">
        <v>0</v>
      </c>
      <c r="E213" s="34">
        <v>0</v>
      </c>
      <c r="F213" s="34">
        <v>109</v>
      </c>
      <c r="G213" s="34">
        <v>53</v>
      </c>
      <c r="H213" s="34">
        <v>0</v>
      </c>
      <c r="I213" s="35" t="str">
        <f t="shared" si="16"/>
        <v>-</v>
      </c>
      <c r="J213" s="35">
        <f t="shared" si="17"/>
        <v>0.48623853211009177</v>
      </c>
      <c r="K213"/>
      <c r="L213"/>
      <c r="M213"/>
      <c r="N213"/>
      <c r="O213"/>
      <c r="P213"/>
      <c r="Q213"/>
      <c r="T213"/>
      <c r="U213"/>
      <c r="Y213"/>
      <c r="Z213"/>
    </row>
    <row r="214" spans="1:26" x14ac:dyDescent="0.2">
      <c r="A214" s="44">
        <v>501</v>
      </c>
      <c r="B214" s="15" t="s">
        <v>1326</v>
      </c>
      <c r="C214" s="14">
        <v>3</v>
      </c>
      <c r="D214" s="36">
        <v>0</v>
      </c>
      <c r="E214" s="36">
        <v>0</v>
      </c>
      <c r="F214" s="36">
        <v>99</v>
      </c>
      <c r="G214" s="36">
        <v>96</v>
      </c>
      <c r="H214" s="36">
        <v>0</v>
      </c>
      <c r="I214" s="37" t="str">
        <f t="shared" si="16"/>
        <v>-</v>
      </c>
      <c r="J214" s="37">
        <f t="shared" si="17"/>
        <v>0.96969696969696972</v>
      </c>
      <c r="K214"/>
      <c r="L214"/>
      <c r="M214"/>
      <c r="N214"/>
      <c r="O214"/>
      <c r="P214"/>
      <c r="Q214"/>
      <c r="T214"/>
      <c r="U214"/>
      <c r="Y214"/>
      <c r="Z214"/>
    </row>
    <row r="215" spans="1:26" x14ac:dyDescent="0.2">
      <c r="A215" s="43">
        <v>504</v>
      </c>
      <c r="B215" s="13" t="s">
        <v>1183</v>
      </c>
      <c r="C215" s="33">
        <v>3</v>
      </c>
      <c r="D215" s="34">
        <v>0</v>
      </c>
      <c r="E215" s="34">
        <v>0</v>
      </c>
      <c r="F215" s="34">
        <v>426</v>
      </c>
      <c r="G215" s="34">
        <v>379</v>
      </c>
      <c r="H215" s="34">
        <v>0</v>
      </c>
      <c r="I215" s="35" t="str">
        <f t="shared" si="16"/>
        <v>-</v>
      </c>
      <c r="J215" s="35">
        <f t="shared" si="17"/>
        <v>0.88967136150234738</v>
      </c>
      <c r="K215"/>
      <c r="L215"/>
      <c r="M215"/>
      <c r="N215"/>
      <c r="O215"/>
      <c r="P215"/>
      <c r="Q215"/>
      <c r="T215"/>
      <c r="U215"/>
      <c r="Y215"/>
      <c r="Z215"/>
    </row>
    <row r="216" spans="1:26" x14ac:dyDescent="0.2">
      <c r="A216" s="44">
        <v>505</v>
      </c>
      <c r="B216" s="15" t="s">
        <v>1186</v>
      </c>
      <c r="C216" s="14">
        <v>3</v>
      </c>
      <c r="D216" s="36">
        <v>0</v>
      </c>
      <c r="E216" s="36">
        <v>0</v>
      </c>
      <c r="F216" s="36">
        <v>493</v>
      </c>
      <c r="G216" s="36">
        <v>471</v>
      </c>
      <c r="H216" s="36">
        <v>0</v>
      </c>
      <c r="I216" s="37" t="str">
        <f t="shared" si="16"/>
        <v>-</v>
      </c>
      <c r="J216" s="37">
        <f t="shared" si="17"/>
        <v>0.95537525354969577</v>
      </c>
      <c r="K216"/>
      <c r="L216"/>
      <c r="M216"/>
      <c r="N216"/>
      <c r="O216"/>
      <c r="P216"/>
      <c r="Q216"/>
      <c r="T216"/>
      <c r="U216"/>
      <c r="Y216"/>
      <c r="Z216"/>
    </row>
    <row r="217" spans="1:26" x14ac:dyDescent="0.2">
      <c r="A217" s="43">
        <v>510</v>
      </c>
      <c r="B217" s="13" t="s">
        <v>1291</v>
      </c>
      <c r="C217" s="33">
        <v>3</v>
      </c>
      <c r="D217" s="34">
        <v>0</v>
      </c>
      <c r="E217" s="34">
        <v>0</v>
      </c>
      <c r="F217" s="34">
        <v>200</v>
      </c>
      <c r="G217" s="34">
        <v>200</v>
      </c>
      <c r="H217" s="34">
        <v>0</v>
      </c>
      <c r="I217" s="35" t="str">
        <f t="shared" si="16"/>
        <v>-</v>
      </c>
      <c r="J217" s="35">
        <f t="shared" si="17"/>
        <v>1</v>
      </c>
      <c r="K217"/>
      <c r="L217"/>
      <c r="M217"/>
      <c r="N217"/>
      <c r="O217"/>
      <c r="P217"/>
      <c r="Q217"/>
      <c r="T217"/>
      <c r="U217"/>
      <c r="Y217"/>
      <c r="Z217"/>
    </row>
    <row r="218" spans="1:26" x14ac:dyDescent="0.2">
      <c r="A218" s="44">
        <v>511</v>
      </c>
      <c r="B218" s="15" t="s">
        <v>1182</v>
      </c>
      <c r="C218" s="14">
        <v>3</v>
      </c>
      <c r="D218" s="36">
        <v>0</v>
      </c>
      <c r="E218" s="36">
        <v>0</v>
      </c>
      <c r="F218" s="36">
        <v>664</v>
      </c>
      <c r="G218" s="36">
        <v>544</v>
      </c>
      <c r="H218" s="36">
        <v>0</v>
      </c>
      <c r="I218" s="37" t="str">
        <f t="shared" si="16"/>
        <v>-</v>
      </c>
      <c r="J218" s="37">
        <f t="shared" si="17"/>
        <v>0.81927710843373491</v>
      </c>
      <c r="K218"/>
      <c r="L218"/>
      <c r="M218"/>
      <c r="N218"/>
      <c r="O218"/>
      <c r="P218"/>
      <c r="Q218"/>
      <c r="T218"/>
      <c r="U218"/>
      <c r="Y218"/>
      <c r="Z218"/>
    </row>
    <row r="219" spans="1:26" x14ac:dyDescent="0.2">
      <c r="A219" s="44">
        <v>519</v>
      </c>
      <c r="B219" s="15" t="s">
        <v>1042</v>
      </c>
      <c r="C219" s="14">
        <v>3</v>
      </c>
      <c r="D219" s="36">
        <v>0</v>
      </c>
      <c r="E219" s="36">
        <v>0</v>
      </c>
      <c r="F219" s="36">
        <v>1430</v>
      </c>
      <c r="G219" s="36">
        <v>1429</v>
      </c>
      <c r="H219" s="36">
        <v>0</v>
      </c>
      <c r="I219" s="37" t="str">
        <f t="shared" si="16"/>
        <v>-</v>
      </c>
      <c r="J219" s="37">
        <f t="shared" si="17"/>
        <v>0.99930069930069931</v>
      </c>
      <c r="K219"/>
      <c r="L219"/>
      <c r="M219"/>
      <c r="N219"/>
      <c r="O219"/>
      <c r="P219"/>
      <c r="Q219"/>
      <c r="T219"/>
      <c r="U219"/>
      <c r="Y219"/>
      <c r="Z219"/>
    </row>
    <row r="220" spans="1:26" x14ac:dyDescent="0.2">
      <c r="A220" s="43">
        <v>520</v>
      </c>
      <c r="B220" s="13" t="s">
        <v>1150</v>
      </c>
      <c r="C220" s="33">
        <v>3</v>
      </c>
      <c r="D220" s="34">
        <v>0</v>
      </c>
      <c r="E220" s="34">
        <v>0</v>
      </c>
      <c r="F220" s="34">
        <v>724</v>
      </c>
      <c r="G220" s="34">
        <v>717</v>
      </c>
      <c r="H220" s="34">
        <v>0</v>
      </c>
      <c r="I220" s="35" t="str">
        <f t="shared" si="16"/>
        <v>-</v>
      </c>
      <c r="J220" s="35">
        <f t="shared" si="17"/>
        <v>0.99033149171270718</v>
      </c>
      <c r="K220"/>
      <c r="L220"/>
      <c r="M220"/>
      <c r="N220"/>
      <c r="O220"/>
      <c r="P220"/>
      <c r="Q220"/>
      <c r="T220"/>
      <c r="U220"/>
      <c r="Y220"/>
      <c r="Z220"/>
    </row>
    <row r="221" spans="1:26" x14ac:dyDescent="0.2">
      <c r="A221" s="43">
        <v>528</v>
      </c>
      <c r="B221" s="13" t="s">
        <v>1192</v>
      </c>
      <c r="C221" s="33">
        <v>3</v>
      </c>
      <c r="D221" s="34">
        <v>0</v>
      </c>
      <c r="E221" s="34">
        <v>0</v>
      </c>
      <c r="F221" s="34">
        <v>422</v>
      </c>
      <c r="G221" s="34">
        <v>418</v>
      </c>
      <c r="H221" s="34">
        <v>0</v>
      </c>
      <c r="I221" s="35" t="str">
        <f t="shared" si="16"/>
        <v>-</v>
      </c>
      <c r="J221" s="35">
        <f t="shared" si="17"/>
        <v>0.99052132701421802</v>
      </c>
      <c r="K221"/>
      <c r="L221"/>
      <c r="M221"/>
      <c r="N221"/>
      <c r="O221"/>
      <c r="P221"/>
      <c r="Q221"/>
      <c r="T221"/>
      <c r="U221"/>
      <c r="Y221"/>
      <c r="Z221"/>
    </row>
    <row r="222" spans="1:26" x14ac:dyDescent="0.2">
      <c r="A222" s="44">
        <v>543</v>
      </c>
      <c r="B222" s="15" t="s">
        <v>1260</v>
      </c>
      <c r="C222" s="14">
        <v>3</v>
      </c>
      <c r="D222" s="36">
        <v>0</v>
      </c>
      <c r="E222" s="36">
        <v>0</v>
      </c>
      <c r="F222" s="36">
        <v>162</v>
      </c>
      <c r="G222" s="36">
        <v>162</v>
      </c>
      <c r="H222" s="36">
        <v>0</v>
      </c>
      <c r="I222" s="37" t="str">
        <f t="shared" si="16"/>
        <v>-</v>
      </c>
      <c r="J222" s="37">
        <f t="shared" si="17"/>
        <v>1</v>
      </c>
      <c r="K222"/>
      <c r="L222"/>
      <c r="M222"/>
      <c r="N222"/>
      <c r="O222"/>
      <c r="P222"/>
      <c r="Q222"/>
      <c r="T222"/>
      <c r="U222"/>
      <c r="Y222"/>
      <c r="Z222"/>
    </row>
    <row r="223" spans="1:26" x14ac:dyDescent="0.2">
      <c r="A223" s="44">
        <v>5</v>
      </c>
      <c r="B223" s="15" t="s">
        <v>484</v>
      </c>
      <c r="C223" s="14">
        <v>2</v>
      </c>
      <c r="D223" s="36">
        <v>1531</v>
      </c>
      <c r="E223" s="36">
        <v>182</v>
      </c>
      <c r="F223" s="36">
        <v>0</v>
      </c>
      <c r="G223" s="36">
        <v>0</v>
      </c>
      <c r="H223" s="36">
        <v>3</v>
      </c>
      <c r="I223" s="37">
        <f t="shared" si="16"/>
        <v>0.11887655127367734</v>
      </c>
      <c r="J223" s="37" t="str">
        <f t="shared" si="17"/>
        <v>-</v>
      </c>
      <c r="K223"/>
      <c r="L223"/>
      <c r="M223"/>
      <c r="N223"/>
      <c r="O223"/>
      <c r="P223"/>
      <c r="Q223"/>
      <c r="T223"/>
      <c r="U223"/>
      <c r="Y223"/>
      <c r="Z223"/>
    </row>
    <row r="224" spans="1:26" x14ac:dyDescent="0.2">
      <c r="A224" s="43">
        <v>8</v>
      </c>
      <c r="B224" s="13" t="s">
        <v>77</v>
      </c>
      <c r="C224" s="33">
        <v>2</v>
      </c>
      <c r="D224" s="34">
        <v>1228</v>
      </c>
      <c r="E224" s="34">
        <v>1288</v>
      </c>
      <c r="F224" s="34">
        <v>0</v>
      </c>
      <c r="G224" s="34">
        <v>0</v>
      </c>
      <c r="H224" s="34">
        <v>8</v>
      </c>
      <c r="I224" s="35">
        <f t="shared" si="16"/>
        <v>1.0488599348534202</v>
      </c>
      <c r="J224" s="35" t="str">
        <f t="shared" si="17"/>
        <v>-</v>
      </c>
      <c r="K224"/>
      <c r="L224"/>
      <c r="M224"/>
      <c r="N224"/>
      <c r="O224"/>
      <c r="P224"/>
      <c r="Q224"/>
      <c r="T224"/>
      <c r="U224"/>
      <c r="Y224"/>
      <c r="Z224"/>
    </row>
    <row r="225" spans="1:26" x14ac:dyDescent="0.2">
      <c r="A225" s="43">
        <v>10</v>
      </c>
      <c r="B225" s="13" t="s">
        <v>95</v>
      </c>
      <c r="C225" s="33">
        <v>2</v>
      </c>
      <c r="D225" s="34">
        <v>1135</v>
      </c>
      <c r="E225" s="34">
        <v>1110</v>
      </c>
      <c r="F225" s="34">
        <v>0</v>
      </c>
      <c r="G225" s="34">
        <v>0</v>
      </c>
      <c r="H225" s="34">
        <v>9</v>
      </c>
      <c r="I225" s="35">
        <f t="shared" si="16"/>
        <v>0.97797356828193838</v>
      </c>
      <c r="J225" s="35" t="str">
        <f t="shared" si="17"/>
        <v>-</v>
      </c>
      <c r="K225"/>
      <c r="L225"/>
      <c r="M225"/>
      <c r="N225"/>
      <c r="O225"/>
      <c r="P225"/>
      <c r="Q225"/>
      <c r="T225"/>
      <c r="U225"/>
      <c r="Y225"/>
      <c r="Z225"/>
    </row>
    <row r="226" spans="1:26" x14ac:dyDescent="0.2">
      <c r="A226" s="44">
        <v>21</v>
      </c>
      <c r="B226" s="15" t="s">
        <v>115</v>
      </c>
      <c r="C226" s="14">
        <v>2</v>
      </c>
      <c r="D226" s="36">
        <v>749</v>
      </c>
      <c r="E226" s="36">
        <v>910</v>
      </c>
      <c r="F226" s="36">
        <v>797</v>
      </c>
      <c r="G226" s="36">
        <v>773</v>
      </c>
      <c r="H226" s="36">
        <v>5</v>
      </c>
      <c r="I226" s="37">
        <f t="shared" si="16"/>
        <v>1.2149532710280373</v>
      </c>
      <c r="J226" s="37">
        <f t="shared" si="17"/>
        <v>0.96988707653701378</v>
      </c>
      <c r="K226"/>
      <c r="L226"/>
      <c r="M226"/>
      <c r="N226"/>
      <c r="O226"/>
      <c r="P226"/>
      <c r="Q226"/>
      <c r="T226"/>
      <c r="U226"/>
      <c r="Y226"/>
      <c r="Z226"/>
    </row>
    <row r="227" spans="1:26" x14ac:dyDescent="0.2">
      <c r="A227" s="43">
        <v>28</v>
      </c>
      <c r="B227" s="13" t="s">
        <v>98</v>
      </c>
      <c r="C227" s="33">
        <v>2</v>
      </c>
      <c r="D227" s="34">
        <v>705</v>
      </c>
      <c r="E227" s="34">
        <v>793</v>
      </c>
      <c r="F227" s="34">
        <v>0</v>
      </c>
      <c r="G227" s="34">
        <v>0</v>
      </c>
      <c r="H227" s="34">
        <v>11</v>
      </c>
      <c r="I227" s="35">
        <f t="shared" si="16"/>
        <v>1.124822695035461</v>
      </c>
      <c r="J227" s="35" t="str">
        <f t="shared" si="17"/>
        <v>-</v>
      </c>
      <c r="K227"/>
      <c r="L227"/>
      <c r="M227"/>
      <c r="N227"/>
      <c r="O227"/>
      <c r="P227"/>
      <c r="Q227"/>
      <c r="T227"/>
      <c r="U227"/>
      <c r="Y227"/>
      <c r="Z227"/>
    </row>
    <row r="228" spans="1:26" x14ac:dyDescent="0.2">
      <c r="A228" s="44">
        <v>43</v>
      </c>
      <c r="B228" s="15" t="s">
        <v>187</v>
      </c>
      <c r="C228" s="14">
        <v>2</v>
      </c>
      <c r="D228" s="36">
        <v>448</v>
      </c>
      <c r="E228" s="36">
        <v>369</v>
      </c>
      <c r="F228" s="36">
        <v>0</v>
      </c>
      <c r="G228" s="36">
        <v>0</v>
      </c>
      <c r="H228" s="36">
        <v>5</v>
      </c>
      <c r="I228" s="37">
        <f t="shared" si="16"/>
        <v>0.8236607142857143</v>
      </c>
      <c r="J228" s="37" t="str">
        <f t="shared" si="17"/>
        <v>-</v>
      </c>
      <c r="K228"/>
      <c r="L228"/>
      <c r="M228"/>
      <c r="N228"/>
      <c r="O228"/>
      <c r="P228"/>
      <c r="Q228"/>
      <c r="T228"/>
      <c r="U228"/>
      <c r="Y228"/>
      <c r="Z228"/>
    </row>
    <row r="229" spans="1:26" x14ac:dyDescent="0.2">
      <c r="A229" s="43">
        <v>44</v>
      </c>
      <c r="B229" s="13" t="s">
        <v>241</v>
      </c>
      <c r="C229" s="33">
        <v>2</v>
      </c>
      <c r="D229" s="34">
        <v>442</v>
      </c>
      <c r="E229" s="34">
        <v>464</v>
      </c>
      <c r="F229" s="34">
        <v>305</v>
      </c>
      <c r="G229" s="34">
        <v>304</v>
      </c>
      <c r="H229" s="34">
        <v>5</v>
      </c>
      <c r="I229" s="35">
        <f t="shared" si="16"/>
        <v>1.0497737556561086</v>
      </c>
      <c r="J229" s="35">
        <f t="shared" si="17"/>
        <v>0.99672131147540988</v>
      </c>
      <c r="K229"/>
      <c r="L229"/>
      <c r="M229"/>
      <c r="N229"/>
      <c r="O229"/>
      <c r="P229"/>
      <c r="Q229"/>
      <c r="T229"/>
      <c r="U229"/>
      <c r="Y229"/>
      <c r="Z229"/>
    </row>
    <row r="230" spans="1:26" x14ac:dyDescent="0.2">
      <c r="A230" s="43">
        <v>48</v>
      </c>
      <c r="B230" s="13" t="s">
        <v>175</v>
      </c>
      <c r="C230" s="33">
        <v>2</v>
      </c>
      <c r="D230" s="34">
        <v>405</v>
      </c>
      <c r="E230" s="34">
        <v>406</v>
      </c>
      <c r="F230" s="34">
        <v>0</v>
      </c>
      <c r="G230" s="34">
        <v>0</v>
      </c>
      <c r="H230" s="34">
        <v>6</v>
      </c>
      <c r="I230" s="35">
        <f t="shared" si="16"/>
        <v>1.0024691358024691</v>
      </c>
      <c r="J230" s="35" t="str">
        <f t="shared" si="17"/>
        <v>-</v>
      </c>
      <c r="K230"/>
      <c r="L230"/>
      <c r="M230"/>
      <c r="N230"/>
      <c r="O230"/>
      <c r="P230"/>
      <c r="Q230"/>
      <c r="T230"/>
      <c r="U230"/>
      <c r="Y230"/>
      <c r="Z230"/>
    </row>
    <row r="231" spans="1:26" x14ac:dyDescent="0.2">
      <c r="A231" s="44">
        <v>55</v>
      </c>
      <c r="B231" s="15" t="s">
        <v>266</v>
      </c>
      <c r="C231" s="14">
        <v>2</v>
      </c>
      <c r="D231" s="36">
        <v>373</v>
      </c>
      <c r="E231" s="36">
        <v>288</v>
      </c>
      <c r="F231" s="36">
        <v>0</v>
      </c>
      <c r="G231" s="36">
        <v>0</v>
      </c>
      <c r="H231" s="36">
        <v>3</v>
      </c>
      <c r="I231" s="37">
        <f t="shared" si="16"/>
        <v>0.77211796246648789</v>
      </c>
      <c r="J231" s="37" t="str">
        <f t="shared" si="17"/>
        <v>-</v>
      </c>
      <c r="K231"/>
      <c r="L231"/>
      <c r="M231"/>
      <c r="N231"/>
      <c r="O231"/>
      <c r="P231"/>
      <c r="Q231"/>
      <c r="T231"/>
      <c r="U231"/>
      <c r="Y231"/>
      <c r="Z231"/>
    </row>
    <row r="232" spans="1:26" x14ac:dyDescent="0.2">
      <c r="A232" s="44">
        <v>59</v>
      </c>
      <c r="B232" s="15" t="s">
        <v>286</v>
      </c>
      <c r="C232" s="14">
        <v>2</v>
      </c>
      <c r="D232" s="36">
        <v>358</v>
      </c>
      <c r="E232" s="36">
        <v>383</v>
      </c>
      <c r="F232" s="36">
        <v>0</v>
      </c>
      <c r="G232" s="36">
        <v>0</v>
      </c>
      <c r="H232" s="36">
        <v>11</v>
      </c>
      <c r="I232" s="37">
        <f t="shared" si="16"/>
        <v>1.0698324022346368</v>
      </c>
      <c r="J232" s="37" t="str">
        <f t="shared" si="17"/>
        <v>-</v>
      </c>
      <c r="K232"/>
      <c r="L232"/>
      <c r="M232"/>
      <c r="N232"/>
      <c r="O232"/>
      <c r="P232"/>
      <c r="Q232"/>
      <c r="T232"/>
      <c r="U232"/>
      <c r="Y232"/>
      <c r="Z232"/>
    </row>
    <row r="233" spans="1:26" x14ac:dyDescent="0.2">
      <c r="A233" s="43">
        <v>60</v>
      </c>
      <c r="B233" s="13" t="s">
        <v>248</v>
      </c>
      <c r="C233" s="33">
        <v>2</v>
      </c>
      <c r="D233" s="34">
        <v>355</v>
      </c>
      <c r="E233" s="34">
        <v>355</v>
      </c>
      <c r="F233" s="34">
        <v>0</v>
      </c>
      <c r="G233" s="34">
        <v>0</v>
      </c>
      <c r="H233" s="34">
        <v>5</v>
      </c>
      <c r="I233" s="35">
        <f t="shared" si="16"/>
        <v>1</v>
      </c>
      <c r="J233" s="35" t="str">
        <f t="shared" si="17"/>
        <v>-</v>
      </c>
      <c r="K233"/>
      <c r="L233"/>
      <c r="M233"/>
      <c r="N233"/>
      <c r="O233"/>
      <c r="P233"/>
      <c r="Q233"/>
      <c r="T233"/>
      <c r="U233"/>
      <c r="Y233"/>
      <c r="Z233"/>
    </row>
    <row r="234" spans="1:26" x14ac:dyDescent="0.2">
      <c r="A234" s="44">
        <v>71</v>
      </c>
      <c r="B234" s="15" t="s">
        <v>230</v>
      </c>
      <c r="C234" s="14">
        <v>2</v>
      </c>
      <c r="D234" s="36">
        <v>320</v>
      </c>
      <c r="E234" s="36">
        <v>270</v>
      </c>
      <c r="F234" s="36">
        <v>25</v>
      </c>
      <c r="G234" s="36">
        <v>25</v>
      </c>
      <c r="H234" s="36">
        <v>6</v>
      </c>
      <c r="I234" s="37">
        <f t="shared" si="16"/>
        <v>0.84375</v>
      </c>
      <c r="J234" s="37">
        <f t="shared" si="17"/>
        <v>1</v>
      </c>
      <c r="K234"/>
      <c r="L234"/>
      <c r="M234"/>
      <c r="N234"/>
      <c r="O234"/>
      <c r="P234"/>
      <c r="Q234"/>
      <c r="T234"/>
      <c r="U234"/>
      <c r="Y234"/>
      <c r="Z234"/>
    </row>
    <row r="235" spans="1:26" x14ac:dyDescent="0.2">
      <c r="A235" s="43">
        <v>72</v>
      </c>
      <c r="B235" s="13" t="s">
        <v>294</v>
      </c>
      <c r="C235" s="33">
        <v>2</v>
      </c>
      <c r="D235" s="34">
        <v>318</v>
      </c>
      <c r="E235" s="34">
        <v>307</v>
      </c>
      <c r="F235" s="34">
        <v>0</v>
      </c>
      <c r="G235" s="34">
        <v>0</v>
      </c>
      <c r="H235" s="34">
        <v>6</v>
      </c>
      <c r="I235" s="35">
        <f t="shared" si="16"/>
        <v>0.96540880503144655</v>
      </c>
      <c r="J235" s="35" t="str">
        <f t="shared" si="17"/>
        <v>-</v>
      </c>
      <c r="K235"/>
      <c r="L235"/>
      <c r="M235"/>
      <c r="N235"/>
      <c r="O235"/>
      <c r="P235"/>
      <c r="Q235"/>
      <c r="T235"/>
      <c r="U235"/>
      <c r="Y235"/>
      <c r="Z235"/>
    </row>
    <row r="236" spans="1:26" x14ac:dyDescent="0.2">
      <c r="A236" s="43">
        <v>88</v>
      </c>
      <c r="B236" s="13" t="s">
        <v>281</v>
      </c>
      <c r="C236" s="33">
        <v>2</v>
      </c>
      <c r="D236" s="34">
        <v>269</v>
      </c>
      <c r="E236" s="34">
        <v>269</v>
      </c>
      <c r="F236" s="34">
        <v>133</v>
      </c>
      <c r="G236" s="34">
        <v>133</v>
      </c>
      <c r="H236" s="34">
        <v>5</v>
      </c>
      <c r="I236" s="35">
        <f t="shared" si="16"/>
        <v>1</v>
      </c>
      <c r="J236" s="35">
        <f t="shared" si="17"/>
        <v>1</v>
      </c>
      <c r="K236"/>
      <c r="L236"/>
      <c r="M236"/>
      <c r="N236"/>
      <c r="O236"/>
      <c r="P236"/>
      <c r="Q236"/>
      <c r="T236"/>
      <c r="U236"/>
      <c r="Y236"/>
      <c r="Z236"/>
    </row>
    <row r="237" spans="1:26" x14ac:dyDescent="0.2">
      <c r="A237" s="44">
        <v>93</v>
      </c>
      <c r="B237" s="15" t="s">
        <v>454</v>
      </c>
      <c r="C237" s="14">
        <v>2</v>
      </c>
      <c r="D237" s="36">
        <v>253</v>
      </c>
      <c r="E237" s="36">
        <v>226</v>
      </c>
      <c r="F237" s="36">
        <v>0</v>
      </c>
      <c r="G237" s="36">
        <v>0</v>
      </c>
      <c r="H237" s="36">
        <v>7</v>
      </c>
      <c r="I237" s="37">
        <f t="shared" si="16"/>
        <v>0.89328063241106714</v>
      </c>
      <c r="J237" s="37" t="str">
        <f t="shared" si="17"/>
        <v>-</v>
      </c>
      <c r="K237"/>
      <c r="L237"/>
      <c r="M237"/>
      <c r="N237"/>
      <c r="O237"/>
      <c r="P237"/>
      <c r="Q237"/>
      <c r="T237"/>
      <c r="U237"/>
      <c r="Y237"/>
      <c r="Z237"/>
    </row>
    <row r="238" spans="1:26" x14ac:dyDescent="0.2">
      <c r="A238" s="44">
        <v>97</v>
      </c>
      <c r="B238" s="15" t="s">
        <v>293</v>
      </c>
      <c r="C238" s="14">
        <v>2</v>
      </c>
      <c r="D238" s="36">
        <v>237</v>
      </c>
      <c r="E238" s="36">
        <v>283</v>
      </c>
      <c r="F238" s="36">
        <v>0</v>
      </c>
      <c r="G238" s="36">
        <v>0</v>
      </c>
      <c r="H238" s="36">
        <v>4</v>
      </c>
      <c r="I238" s="37">
        <f t="shared" si="16"/>
        <v>1.1940928270042195</v>
      </c>
      <c r="J238" s="37" t="str">
        <f t="shared" si="17"/>
        <v>-</v>
      </c>
      <c r="K238"/>
      <c r="L238"/>
      <c r="M238"/>
      <c r="N238"/>
      <c r="O238"/>
      <c r="P238"/>
      <c r="Q238"/>
      <c r="T238"/>
      <c r="U238"/>
      <c r="Y238"/>
      <c r="Z238"/>
    </row>
    <row r="239" spans="1:26" x14ac:dyDescent="0.2">
      <c r="A239" s="43">
        <v>100</v>
      </c>
      <c r="B239" s="13" t="s">
        <v>437</v>
      </c>
      <c r="C239" s="33">
        <v>2</v>
      </c>
      <c r="D239" s="34">
        <v>226</v>
      </c>
      <c r="E239" s="34">
        <v>223</v>
      </c>
      <c r="F239" s="34">
        <v>493</v>
      </c>
      <c r="G239" s="34">
        <v>492</v>
      </c>
      <c r="H239" s="34">
        <v>4</v>
      </c>
      <c r="I239" s="35">
        <f t="shared" si="16"/>
        <v>0.98672566371681414</v>
      </c>
      <c r="J239" s="35">
        <f t="shared" si="17"/>
        <v>0.99797160243407712</v>
      </c>
      <c r="K239"/>
      <c r="L239"/>
      <c r="M239"/>
      <c r="N239"/>
      <c r="O239"/>
      <c r="P239"/>
      <c r="Q239"/>
      <c r="T239"/>
      <c r="U239"/>
      <c r="Y239"/>
      <c r="Z239"/>
    </row>
    <row r="240" spans="1:26" x14ac:dyDescent="0.2">
      <c r="A240" s="44">
        <v>101</v>
      </c>
      <c r="B240" s="15" t="s">
        <v>358</v>
      </c>
      <c r="C240" s="14">
        <v>2</v>
      </c>
      <c r="D240" s="36">
        <v>226</v>
      </c>
      <c r="E240" s="36">
        <v>225</v>
      </c>
      <c r="F240" s="36">
        <v>518</v>
      </c>
      <c r="G240" s="36">
        <v>505</v>
      </c>
      <c r="H240" s="36">
        <v>3</v>
      </c>
      <c r="I240" s="37">
        <f t="shared" si="16"/>
        <v>0.99557522123893805</v>
      </c>
      <c r="J240" s="37">
        <f t="shared" si="17"/>
        <v>0.97490347490347495</v>
      </c>
      <c r="K240"/>
      <c r="L240"/>
      <c r="M240"/>
      <c r="N240"/>
      <c r="O240"/>
      <c r="P240"/>
      <c r="Q240"/>
      <c r="T240"/>
      <c r="U240"/>
      <c r="Y240"/>
      <c r="Z240"/>
    </row>
    <row r="241" spans="1:26" x14ac:dyDescent="0.2">
      <c r="A241" s="43">
        <v>104</v>
      </c>
      <c r="B241" s="13" t="s">
        <v>417</v>
      </c>
      <c r="C241" s="33">
        <v>2</v>
      </c>
      <c r="D241" s="34">
        <v>219</v>
      </c>
      <c r="E241" s="34">
        <v>204</v>
      </c>
      <c r="F241" s="34">
        <v>0</v>
      </c>
      <c r="G241" s="34">
        <v>0</v>
      </c>
      <c r="H241" s="34">
        <v>4</v>
      </c>
      <c r="I241" s="35">
        <f t="shared" si="16"/>
        <v>0.93150684931506844</v>
      </c>
      <c r="J241" s="35" t="str">
        <f t="shared" si="17"/>
        <v>-</v>
      </c>
      <c r="K241"/>
      <c r="L241"/>
      <c r="M241"/>
      <c r="N241"/>
      <c r="O241"/>
      <c r="P241"/>
      <c r="Q241"/>
      <c r="T241"/>
      <c r="U241"/>
      <c r="Y241"/>
      <c r="Z241"/>
    </row>
    <row r="242" spans="1:26" x14ac:dyDescent="0.2">
      <c r="A242" s="44">
        <v>113</v>
      </c>
      <c r="B242" s="15" t="s">
        <v>482</v>
      </c>
      <c r="C242" s="14">
        <v>2</v>
      </c>
      <c r="D242" s="36">
        <v>207</v>
      </c>
      <c r="E242" s="36">
        <v>207</v>
      </c>
      <c r="F242" s="36">
        <v>0</v>
      </c>
      <c r="G242" s="36">
        <v>0</v>
      </c>
      <c r="H242" s="36">
        <v>4</v>
      </c>
      <c r="I242" s="37">
        <f t="shared" si="16"/>
        <v>1</v>
      </c>
      <c r="J242" s="37" t="str">
        <f t="shared" si="17"/>
        <v>-</v>
      </c>
      <c r="K242"/>
      <c r="L242"/>
      <c r="M242"/>
      <c r="N242"/>
      <c r="O242"/>
      <c r="P242"/>
      <c r="Q242"/>
      <c r="T242"/>
      <c r="U242"/>
      <c r="Y242"/>
      <c r="Z242"/>
    </row>
    <row r="243" spans="1:26" x14ac:dyDescent="0.2">
      <c r="A243" s="43">
        <v>120</v>
      </c>
      <c r="B243" s="13" t="s">
        <v>458</v>
      </c>
      <c r="C243" s="33">
        <v>2</v>
      </c>
      <c r="D243" s="34">
        <v>198</v>
      </c>
      <c r="E243" s="34">
        <v>195</v>
      </c>
      <c r="F243" s="34">
        <v>0</v>
      </c>
      <c r="G243" s="34">
        <v>0</v>
      </c>
      <c r="H243" s="34">
        <v>5</v>
      </c>
      <c r="I243" s="35">
        <f t="shared" si="16"/>
        <v>0.98484848484848486</v>
      </c>
      <c r="J243" s="35" t="str">
        <f t="shared" si="17"/>
        <v>-</v>
      </c>
      <c r="K243"/>
      <c r="L243"/>
      <c r="M243"/>
      <c r="N243"/>
      <c r="O243"/>
      <c r="P243"/>
      <c r="Q243"/>
      <c r="T243"/>
      <c r="U243"/>
      <c r="Y243"/>
      <c r="Z243"/>
    </row>
    <row r="244" spans="1:26" x14ac:dyDescent="0.2">
      <c r="A244" s="44">
        <v>123</v>
      </c>
      <c r="B244" s="15" t="s">
        <v>447</v>
      </c>
      <c r="C244" s="14">
        <v>2</v>
      </c>
      <c r="D244" s="36">
        <v>195</v>
      </c>
      <c r="E244" s="36">
        <v>166</v>
      </c>
      <c r="F244" s="36">
        <v>0</v>
      </c>
      <c r="G244" s="36">
        <v>0</v>
      </c>
      <c r="H244" s="36">
        <v>2</v>
      </c>
      <c r="I244" s="37">
        <f t="shared" si="16"/>
        <v>0.85128205128205126</v>
      </c>
      <c r="J244" s="37" t="str">
        <f t="shared" si="17"/>
        <v>-</v>
      </c>
      <c r="K244"/>
      <c r="L244"/>
      <c r="M244"/>
      <c r="N244"/>
      <c r="O244"/>
      <c r="P244"/>
      <c r="Q244"/>
      <c r="T244"/>
      <c r="U244"/>
      <c r="Y244"/>
      <c r="Z244"/>
    </row>
    <row r="245" spans="1:26" x14ac:dyDescent="0.2">
      <c r="A245" s="44">
        <v>127</v>
      </c>
      <c r="B245" s="15" t="s">
        <v>499</v>
      </c>
      <c r="C245" s="14">
        <v>2</v>
      </c>
      <c r="D245" s="36">
        <v>181</v>
      </c>
      <c r="E245" s="36">
        <v>106</v>
      </c>
      <c r="F245" s="36">
        <v>0</v>
      </c>
      <c r="G245" s="36">
        <v>0</v>
      </c>
      <c r="H245" s="36">
        <v>3</v>
      </c>
      <c r="I245" s="37">
        <f t="shared" si="16"/>
        <v>0.58563535911602205</v>
      </c>
      <c r="J245" s="37" t="str">
        <f t="shared" si="17"/>
        <v>-</v>
      </c>
      <c r="K245"/>
      <c r="L245"/>
      <c r="M245"/>
      <c r="N245"/>
      <c r="O245"/>
      <c r="P245"/>
      <c r="Q245"/>
      <c r="T245"/>
      <c r="U245"/>
      <c r="Y245"/>
      <c r="Z245"/>
    </row>
    <row r="246" spans="1:26" x14ac:dyDescent="0.2">
      <c r="A246" s="43">
        <v>132</v>
      </c>
      <c r="B246" s="13" t="s">
        <v>567</v>
      </c>
      <c r="C246" s="33">
        <v>2</v>
      </c>
      <c r="D246" s="34">
        <v>172</v>
      </c>
      <c r="E246" s="34">
        <v>172</v>
      </c>
      <c r="F246" s="34">
        <v>0</v>
      </c>
      <c r="G246" s="34">
        <v>0</v>
      </c>
      <c r="H246" s="34">
        <v>6</v>
      </c>
      <c r="I246" s="35">
        <f t="shared" si="16"/>
        <v>1</v>
      </c>
      <c r="J246" s="35" t="str">
        <f t="shared" si="17"/>
        <v>-</v>
      </c>
      <c r="K246"/>
      <c r="L246"/>
      <c r="M246"/>
      <c r="N246"/>
      <c r="O246"/>
      <c r="P246"/>
      <c r="Q246"/>
      <c r="T246"/>
      <c r="U246"/>
      <c r="Y246"/>
      <c r="Z246"/>
    </row>
    <row r="247" spans="1:26" x14ac:dyDescent="0.2">
      <c r="A247" s="44">
        <v>135</v>
      </c>
      <c r="B247" s="15" t="s">
        <v>483</v>
      </c>
      <c r="C247" s="14">
        <v>2</v>
      </c>
      <c r="D247" s="36">
        <v>162</v>
      </c>
      <c r="E247" s="36">
        <v>174</v>
      </c>
      <c r="F247" s="36">
        <v>0</v>
      </c>
      <c r="G247" s="36">
        <v>0</v>
      </c>
      <c r="H247" s="36">
        <v>2</v>
      </c>
      <c r="I247" s="37">
        <f t="shared" si="16"/>
        <v>1.0740740740740742</v>
      </c>
      <c r="J247" s="37" t="str">
        <f t="shared" si="17"/>
        <v>-</v>
      </c>
      <c r="K247"/>
      <c r="L247"/>
      <c r="M247"/>
      <c r="N247"/>
      <c r="O247"/>
      <c r="P247"/>
      <c r="Q247"/>
      <c r="T247"/>
      <c r="U247"/>
      <c r="Y247"/>
      <c r="Z247"/>
    </row>
    <row r="248" spans="1:26" x14ac:dyDescent="0.2">
      <c r="A248" s="43">
        <v>138</v>
      </c>
      <c r="B248" s="13" t="s">
        <v>551</v>
      </c>
      <c r="C248" s="33">
        <v>2</v>
      </c>
      <c r="D248" s="34">
        <v>156</v>
      </c>
      <c r="E248" s="34">
        <v>142</v>
      </c>
      <c r="F248" s="34">
        <v>0</v>
      </c>
      <c r="G248" s="34">
        <v>0</v>
      </c>
      <c r="H248" s="34">
        <v>4</v>
      </c>
      <c r="I248" s="35">
        <f t="shared" si="16"/>
        <v>0.91025641025641024</v>
      </c>
      <c r="J248" s="35" t="str">
        <f t="shared" si="17"/>
        <v>-</v>
      </c>
      <c r="K248"/>
      <c r="L248"/>
      <c r="M248"/>
      <c r="N248"/>
      <c r="O248"/>
      <c r="P248"/>
      <c r="Q248"/>
      <c r="T248"/>
      <c r="U248"/>
      <c r="Y248"/>
      <c r="Z248"/>
    </row>
    <row r="249" spans="1:26" x14ac:dyDescent="0.2">
      <c r="A249" s="44">
        <v>139</v>
      </c>
      <c r="B249" s="15" t="s">
        <v>519</v>
      </c>
      <c r="C249" s="14">
        <v>2</v>
      </c>
      <c r="D249" s="36">
        <v>156</v>
      </c>
      <c r="E249" s="36">
        <v>115</v>
      </c>
      <c r="F249" s="36">
        <v>0</v>
      </c>
      <c r="G249" s="36">
        <v>0</v>
      </c>
      <c r="H249" s="36">
        <v>2</v>
      </c>
      <c r="I249" s="37">
        <f t="shared" si="16"/>
        <v>0.73717948717948723</v>
      </c>
      <c r="J249" s="37" t="str">
        <f t="shared" si="17"/>
        <v>-</v>
      </c>
      <c r="K249"/>
      <c r="L249"/>
      <c r="M249"/>
      <c r="N249"/>
      <c r="O249"/>
      <c r="P249"/>
      <c r="Q249"/>
      <c r="T249"/>
      <c r="U249"/>
      <c r="Y249"/>
      <c r="Z249"/>
    </row>
    <row r="250" spans="1:26" x14ac:dyDescent="0.2">
      <c r="A250" s="43">
        <v>142</v>
      </c>
      <c r="B250" s="13" t="s">
        <v>829</v>
      </c>
      <c r="C250" s="33">
        <v>2</v>
      </c>
      <c r="D250" s="34">
        <v>152</v>
      </c>
      <c r="E250" s="34">
        <v>71</v>
      </c>
      <c r="F250" s="34">
        <v>0</v>
      </c>
      <c r="G250" s="34">
        <v>0</v>
      </c>
      <c r="H250" s="34">
        <v>3</v>
      </c>
      <c r="I250" s="35">
        <f t="shared" si="16"/>
        <v>0.46710526315789475</v>
      </c>
      <c r="J250" s="35" t="str">
        <f t="shared" si="17"/>
        <v>-</v>
      </c>
      <c r="K250"/>
      <c r="L250"/>
      <c r="M250"/>
      <c r="N250"/>
      <c r="O250"/>
      <c r="P250"/>
      <c r="Q250"/>
      <c r="T250"/>
      <c r="U250"/>
      <c r="Y250"/>
      <c r="Z250"/>
    </row>
    <row r="251" spans="1:26" x14ac:dyDescent="0.2">
      <c r="A251" s="43">
        <v>146</v>
      </c>
      <c r="B251" s="13" t="s">
        <v>492</v>
      </c>
      <c r="C251" s="33">
        <v>2</v>
      </c>
      <c r="D251" s="34">
        <v>145</v>
      </c>
      <c r="E251" s="34">
        <v>175</v>
      </c>
      <c r="F251" s="34">
        <v>871</v>
      </c>
      <c r="G251" s="34">
        <v>871</v>
      </c>
      <c r="H251" s="34">
        <v>3</v>
      </c>
      <c r="I251" s="35">
        <f t="shared" si="16"/>
        <v>1.2068965517241379</v>
      </c>
      <c r="J251" s="35">
        <f t="shared" si="17"/>
        <v>1</v>
      </c>
      <c r="K251"/>
      <c r="L251"/>
      <c r="M251"/>
      <c r="N251"/>
      <c r="O251"/>
      <c r="P251"/>
      <c r="Q251"/>
      <c r="T251"/>
      <c r="U251"/>
      <c r="Y251"/>
      <c r="Z251"/>
    </row>
    <row r="252" spans="1:26" x14ac:dyDescent="0.2">
      <c r="A252" s="44">
        <v>147</v>
      </c>
      <c r="B252" s="15" t="s">
        <v>528</v>
      </c>
      <c r="C252" s="14">
        <v>2</v>
      </c>
      <c r="D252" s="36">
        <v>141</v>
      </c>
      <c r="E252" s="36">
        <v>140</v>
      </c>
      <c r="F252" s="36">
        <v>764</v>
      </c>
      <c r="G252" s="36">
        <v>764</v>
      </c>
      <c r="H252" s="36">
        <v>2</v>
      </c>
      <c r="I252" s="37">
        <f t="shared" si="16"/>
        <v>0.99290780141843971</v>
      </c>
      <c r="J252" s="37">
        <f t="shared" si="17"/>
        <v>1</v>
      </c>
      <c r="K252"/>
      <c r="L252"/>
      <c r="M252"/>
      <c r="N252"/>
      <c r="O252"/>
      <c r="P252"/>
      <c r="Q252"/>
      <c r="T252"/>
      <c r="U252"/>
      <c r="Y252"/>
      <c r="Z252"/>
    </row>
    <row r="253" spans="1:26" x14ac:dyDescent="0.2">
      <c r="A253" s="43">
        <v>150</v>
      </c>
      <c r="B253" s="13" t="s">
        <v>618</v>
      </c>
      <c r="C253" s="33">
        <v>2</v>
      </c>
      <c r="D253" s="34">
        <v>137</v>
      </c>
      <c r="E253" s="34">
        <v>100</v>
      </c>
      <c r="F253" s="34">
        <v>0</v>
      </c>
      <c r="G253" s="34">
        <v>0</v>
      </c>
      <c r="H253" s="34">
        <v>4</v>
      </c>
      <c r="I253" s="35">
        <f t="shared" si="16"/>
        <v>0.72992700729927007</v>
      </c>
      <c r="J253" s="35" t="str">
        <f t="shared" si="17"/>
        <v>-</v>
      </c>
      <c r="K253"/>
      <c r="L253"/>
      <c r="M253"/>
      <c r="N253"/>
      <c r="O253"/>
      <c r="P253"/>
      <c r="Q253"/>
      <c r="T253"/>
      <c r="U253"/>
      <c r="Y253"/>
      <c r="Z253"/>
    </row>
    <row r="254" spans="1:26" x14ac:dyDescent="0.2">
      <c r="A254" s="43">
        <v>154</v>
      </c>
      <c r="B254" s="13" t="s">
        <v>554</v>
      </c>
      <c r="C254" s="33">
        <v>2</v>
      </c>
      <c r="D254" s="34">
        <v>132</v>
      </c>
      <c r="E254" s="34">
        <v>160</v>
      </c>
      <c r="F254" s="34">
        <v>0</v>
      </c>
      <c r="G254" s="34">
        <v>0</v>
      </c>
      <c r="H254" s="34">
        <v>2</v>
      </c>
      <c r="I254" s="35">
        <f t="shared" si="16"/>
        <v>1.2121212121212122</v>
      </c>
      <c r="J254" s="35" t="str">
        <f t="shared" si="17"/>
        <v>-</v>
      </c>
      <c r="K254"/>
      <c r="L254"/>
      <c r="M254"/>
      <c r="N254"/>
      <c r="O254"/>
      <c r="P254"/>
      <c r="Q254"/>
      <c r="T254"/>
      <c r="U254"/>
      <c r="Y254"/>
      <c r="Z254"/>
    </row>
    <row r="255" spans="1:26" x14ac:dyDescent="0.2">
      <c r="A255" s="43">
        <v>156</v>
      </c>
      <c r="B255" s="13" t="s">
        <v>610</v>
      </c>
      <c r="C255" s="33">
        <v>2</v>
      </c>
      <c r="D255" s="34">
        <v>130</v>
      </c>
      <c r="E255" s="34">
        <v>130</v>
      </c>
      <c r="F255" s="34">
        <v>0</v>
      </c>
      <c r="G255" s="34">
        <v>0</v>
      </c>
      <c r="H255" s="34">
        <v>5</v>
      </c>
      <c r="I255" s="35">
        <f t="shared" si="16"/>
        <v>1</v>
      </c>
      <c r="J255" s="35" t="str">
        <f t="shared" si="17"/>
        <v>-</v>
      </c>
      <c r="K255"/>
      <c r="L255"/>
      <c r="M255"/>
      <c r="N255"/>
      <c r="O255"/>
      <c r="P255"/>
      <c r="Q255"/>
      <c r="T255"/>
      <c r="U255"/>
      <c r="Y255"/>
      <c r="Z255"/>
    </row>
    <row r="256" spans="1:26" x14ac:dyDescent="0.2">
      <c r="A256" s="43">
        <v>166</v>
      </c>
      <c r="B256" s="13" t="s">
        <v>593</v>
      </c>
      <c r="C256" s="33">
        <v>2</v>
      </c>
      <c r="D256" s="34">
        <v>124</v>
      </c>
      <c r="E256" s="34">
        <v>122</v>
      </c>
      <c r="F256" s="34">
        <v>40</v>
      </c>
      <c r="G256" s="34">
        <v>40</v>
      </c>
      <c r="H256" s="34">
        <v>4</v>
      </c>
      <c r="I256" s="35">
        <f t="shared" si="16"/>
        <v>0.9838709677419355</v>
      </c>
      <c r="J256" s="35">
        <f t="shared" si="17"/>
        <v>1</v>
      </c>
      <c r="K256"/>
      <c r="L256"/>
      <c r="M256"/>
      <c r="N256"/>
      <c r="O256"/>
      <c r="P256"/>
      <c r="Q256"/>
      <c r="T256"/>
      <c r="U256"/>
      <c r="Y256"/>
      <c r="Z256"/>
    </row>
    <row r="257" spans="1:26" x14ac:dyDescent="0.2">
      <c r="A257" s="44">
        <v>169</v>
      </c>
      <c r="B257" s="15" t="s">
        <v>611</v>
      </c>
      <c r="C257" s="14">
        <v>2</v>
      </c>
      <c r="D257" s="36">
        <v>120</v>
      </c>
      <c r="E257" s="36">
        <v>120</v>
      </c>
      <c r="F257" s="36">
        <v>0</v>
      </c>
      <c r="G257" s="36">
        <v>0</v>
      </c>
      <c r="H257" s="36">
        <v>3</v>
      </c>
      <c r="I257" s="37">
        <f t="shared" si="16"/>
        <v>1</v>
      </c>
      <c r="J257" s="37" t="str">
        <f t="shared" si="17"/>
        <v>-</v>
      </c>
      <c r="K257"/>
      <c r="L257"/>
      <c r="M257"/>
      <c r="N257"/>
      <c r="O257"/>
      <c r="P257"/>
      <c r="Q257"/>
      <c r="T257"/>
      <c r="U257"/>
      <c r="Y257"/>
      <c r="Z257"/>
    </row>
    <row r="258" spans="1:26" x14ac:dyDescent="0.2">
      <c r="A258" s="44">
        <v>171</v>
      </c>
      <c r="B258" s="15" t="s">
        <v>544</v>
      </c>
      <c r="C258" s="14">
        <v>2</v>
      </c>
      <c r="D258" s="36">
        <v>116</v>
      </c>
      <c r="E258" s="36">
        <v>94</v>
      </c>
      <c r="F258" s="36">
        <v>125</v>
      </c>
      <c r="G258" s="36">
        <v>124</v>
      </c>
      <c r="H258" s="36">
        <v>3</v>
      </c>
      <c r="I258" s="37">
        <f t="shared" si="16"/>
        <v>0.81034482758620685</v>
      </c>
      <c r="J258" s="37">
        <f t="shared" si="17"/>
        <v>0.99199999999999999</v>
      </c>
      <c r="K258"/>
      <c r="L258"/>
      <c r="M258"/>
      <c r="N258"/>
      <c r="O258"/>
      <c r="P258"/>
      <c r="Q258"/>
      <c r="T258"/>
      <c r="U258"/>
      <c r="Y258"/>
      <c r="Z258"/>
    </row>
    <row r="259" spans="1:26" x14ac:dyDescent="0.2">
      <c r="A259" s="43">
        <v>172</v>
      </c>
      <c r="B259" s="13" t="s">
        <v>553</v>
      </c>
      <c r="C259" s="33">
        <v>2</v>
      </c>
      <c r="D259" s="34">
        <v>116</v>
      </c>
      <c r="E259" s="34">
        <v>175</v>
      </c>
      <c r="F259" s="34">
        <v>0</v>
      </c>
      <c r="G259" s="34">
        <v>0</v>
      </c>
      <c r="H259" s="34">
        <v>2</v>
      </c>
      <c r="I259" s="35">
        <f t="shared" si="16"/>
        <v>1.5086206896551724</v>
      </c>
      <c r="J259" s="35" t="str">
        <f t="shared" si="17"/>
        <v>-</v>
      </c>
      <c r="K259"/>
      <c r="L259"/>
      <c r="M259"/>
      <c r="N259"/>
      <c r="O259"/>
      <c r="P259"/>
      <c r="Q259"/>
      <c r="T259"/>
      <c r="U259"/>
      <c r="Y259"/>
      <c r="Z259"/>
    </row>
    <row r="260" spans="1:26" x14ac:dyDescent="0.2">
      <c r="A260" s="44">
        <v>173</v>
      </c>
      <c r="B260" s="15" t="s">
        <v>600</v>
      </c>
      <c r="C260" s="14">
        <v>2</v>
      </c>
      <c r="D260" s="36">
        <v>115</v>
      </c>
      <c r="E260" s="36">
        <v>137</v>
      </c>
      <c r="F260" s="36">
        <v>363</v>
      </c>
      <c r="G260" s="36">
        <v>355</v>
      </c>
      <c r="H260" s="36">
        <v>2</v>
      </c>
      <c r="I260" s="37">
        <f t="shared" si="16"/>
        <v>1.191304347826087</v>
      </c>
      <c r="J260" s="37">
        <f t="shared" si="17"/>
        <v>0.97796143250688705</v>
      </c>
      <c r="K260"/>
      <c r="L260"/>
      <c r="M260"/>
      <c r="N260"/>
      <c r="O260"/>
      <c r="P260"/>
      <c r="Q260"/>
      <c r="T260"/>
      <c r="U260"/>
      <c r="Y260"/>
      <c r="Z260"/>
    </row>
    <row r="261" spans="1:26" x14ac:dyDescent="0.2">
      <c r="A261" s="44">
        <v>177</v>
      </c>
      <c r="B261" s="15" t="s">
        <v>608</v>
      </c>
      <c r="C261" s="14">
        <v>2</v>
      </c>
      <c r="D261" s="36">
        <v>109</v>
      </c>
      <c r="E261" s="36">
        <v>108</v>
      </c>
      <c r="F261" s="36">
        <v>189</v>
      </c>
      <c r="G261" s="36">
        <v>194</v>
      </c>
      <c r="H261" s="36">
        <v>2</v>
      </c>
      <c r="I261" s="37">
        <f t="shared" si="16"/>
        <v>0.99082568807339455</v>
      </c>
      <c r="J261" s="37">
        <f t="shared" si="17"/>
        <v>1.0264550264550265</v>
      </c>
      <c r="K261"/>
      <c r="L261"/>
      <c r="M261"/>
      <c r="N261"/>
      <c r="O261"/>
      <c r="P261"/>
      <c r="Q261"/>
      <c r="T261"/>
      <c r="U261"/>
      <c r="Y261"/>
      <c r="Z261"/>
    </row>
    <row r="262" spans="1:26" x14ac:dyDescent="0.2">
      <c r="A262" s="43">
        <v>178</v>
      </c>
      <c r="B262" s="13" t="s">
        <v>579</v>
      </c>
      <c r="C262" s="33">
        <v>2</v>
      </c>
      <c r="D262" s="34">
        <v>109</v>
      </c>
      <c r="E262" s="34">
        <v>82</v>
      </c>
      <c r="F262" s="34">
        <v>0</v>
      </c>
      <c r="G262" s="34">
        <v>0</v>
      </c>
      <c r="H262" s="34">
        <v>4</v>
      </c>
      <c r="I262" s="35">
        <f t="shared" ref="I262:I325" si="18">IF(D262=0,"-",E262/D262)</f>
        <v>0.75229357798165142</v>
      </c>
      <c r="J262" s="35" t="str">
        <f t="shared" ref="J262:J325" si="19">IF(F262=0,"-",G262/F262)</f>
        <v>-</v>
      </c>
      <c r="K262"/>
      <c r="L262"/>
      <c r="M262"/>
      <c r="N262"/>
      <c r="O262"/>
      <c r="P262"/>
      <c r="Q262"/>
      <c r="T262"/>
      <c r="U262"/>
      <c r="Y262"/>
      <c r="Z262"/>
    </row>
    <row r="263" spans="1:26" x14ac:dyDescent="0.2">
      <c r="A263" s="44">
        <v>185</v>
      </c>
      <c r="B263" s="15" t="s">
        <v>1414</v>
      </c>
      <c r="C263" s="14">
        <v>2</v>
      </c>
      <c r="D263" s="36">
        <v>103</v>
      </c>
      <c r="E263" s="36">
        <v>0</v>
      </c>
      <c r="F263" s="36">
        <v>0</v>
      </c>
      <c r="G263" s="36">
        <v>0</v>
      </c>
      <c r="H263" s="36">
        <v>1</v>
      </c>
      <c r="I263" s="37">
        <f t="shared" si="18"/>
        <v>0</v>
      </c>
      <c r="J263" s="37" t="str">
        <f t="shared" si="19"/>
        <v>-</v>
      </c>
      <c r="K263"/>
      <c r="L263"/>
      <c r="M263"/>
      <c r="N263"/>
      <c r="O263"/>
      <c r="P263"/>
      <c r="Q263"/>
      <c r="T263"/>
      <c r="U263"/>
      <c r="Y263"/>
      <c r="Z263"/>
    </row>
    <row r="264" spans="1:26" x14ac:dyDescent="0.2">
      <c r="A264" s="43">
        <v>186</v>
      </c>
      <c r="B264" s="13" t="s">
        <v>523</v>
      </c>
      <c r="C264" s="33">
        <v>2</v>
      </c>
      <c r="D264" s="34">
        <v>103</v>
      </c>
      <c r="E264" s="34">
        <v>99</v>
      </c>
      <c r="F264" s="34">
        <v>326</v>
      </c>
      <c r="G264" s="34">
        <v>311</v>
      </c>
      <c r="H264" s="34">
        <v>2</v>
      </c>
      <c r="I264" s="35">
        <f t="shared" si="18"/>
        <v>0.96116504854368934</v>
      </c>
      <c r="J264" s="35">
        <f t="shared" si="19"/>
        <v>0.95398773006134974</v>
      </c>
      <c r="K264"/>
      <c r="L264"/>
      <c r="M264"/>
      <c r="N264"/>
      <c r="O264"/>
      <c r="P264"/>
      <c r="Q264"/>
      <c r="T264"/>
      <c r="U264"/>
      <c r="Y264"/>
      <c r="Z264"/>
    </row>
    <row r="265" spans="1:26" x14ac:dyDescent="0.2">
      <c r="A265" s="43">
        <v>192</v>
      </c>
      <c r="B265" s="13" t="s">
        <v>794</v>
      </c>
      <c r="C265" s="33">
        <v>2</v>
      </c>
      <c r="D265" s="34">
        <v>100</v>
      </c>
      <c r="E265" s="34">
        <v>44</v>
      </c>
      <c r="F265" s="34">
        <v>0</v>
      </c>
      <c r="G265" s="34">
        <v>0</v>
      </c>
      <c r="H265" s="34">
        <v>4</v>
      </c>
      <c r="I265" s="35">
        <f t="shared" si="18"/>
        <v>0.44</v>
      </c>
      <c r="J265" s="35" t="str">
        <f t="shared" si="19"/>
        <v>-</v>
      </c>
      <c r="K265"/>
      <c r="L265"/>
      <c r="M265"/>
      <c r="N265"/>
      <c r="O265"/>
      <c r="P265"/>
      <c r="Q265"/>
      <c r="T265"/>
      <c r="U265"/>
      <c r="Y265"/>
      <c r="Z265"/>
    </row>
    <row r="266" spans="1:26" x14ac:dyDescent="0.2">
      <c r="A266" s="44">
        <v>201</v>
      </c>
      <c r="B266" s="15" t="s">
        <v>745</v>
      </c>
      <c r="C266" s="14">
        <v>2</v>
      </c>
      <c r="D266" s="36">
        <v>89</v>
      </c>
      <c r="E266" s="36">
        <v>90</v>
      </c>
      <c r="F266" s="36">
        <v>0</v>
      </c>
      <c r="G266" s="36">
        <v>0</v>
      </c>
      <c r="H266" s="36">
        <v>4</v>
      </c>
      <c r="I266" s="37">
        <f t="shared" si="18"/>
        <v>1.0112359550561798</v>
      </c>
      <c r="J266" s="37" t="str">
        <f t="shared" si="19"/>
        <v>-</v>
      </c>
      <c r="K266"/>
      <c r="L266"/>
      <c r="M266"/>
      <c r="N266"/>
      <c r="O266"/>
      <c r="P266"/>
      <c r="Q266"/>
      <c r="T266"/>
      <c r="U266"/>
      <c r="Y266"/>
      <c r="Z266"/>
    </row>
    <row r="267" spans="1:26" x14ac:dyDescent="0.2">
      <c r="A267" s="43">
        <v>202</v>
      </c>
      <c r="B267" s="13" t="s">
        <v>636</v>
      </c>
      <c r="C267" s="33">
        <v>2</v>
      </c>
      <c r="D267" s="34">
        <v>89</v>
      </c>
      <c r="E267" s="34">
        <v>87</v>
      </c>
      <c r="F267" s="34">
        <v>395</v>
      </c>
      <c r="G267" s="34">
        <v>397</v>
      </c>
      <c r="H267" s="34">
        <v>3</v>
      </c>
      <c r="I267" s="35">
        <f t="shared" si="18"/>
        <v>0.97752808988764039</v>
      </c>
      <c r="J267" s="35">
        <f t="shared" si="19"/>
        <v>1.0050632911392405</v>
      </c>
      <c r="K267"/>
      <c r="L267"/>
      <c r="M267"/>
      <c r="N267"/>
      <c r="O267"/>
      <c r="P267"/>
      <c r="Q267"/>
      <c r="T267"/>
      <c r="U267"/>
      <c r="Y267"/>
      <c r="Z267"/>
    </row>
    <row r="268" spans="1:26" x14ac:dyDescent="0.2">
      <c r="A268" s="44">
        <v>205</v>
      </c>
      <c r="B268" s="15" t="s">
        <v>776</v>
      </c>
      <c r="C268" s="14">
        <v>2</v>
      </c>
      <c r="D268" s="36">
        <v>87</v>
      </c>
      <c r="E268" s="36">
        <v>65</v>
      </c>
      <c r="F268" s="36">
        <v>0</v>
      </c>
      <c r="G268" s="36">
        <v>0</v>
      </c>
      <c r="H268" s="36">
        <v>4</v>
      </c>
      <c r="I268" s="37">
        <f t="shared" si="18"/>
        <v>0.74712643678160917</v>
      </c>
      <c r="J268" s="37" t="str">
        <f t="shared" si="19"/>
        <v>-</v>
      </c>
      <c r="K268"/>
      <c r="L268"/>
      <c r="M268"/>
      <c r="N268"/>
      <c r="O268"/>
      <c r="P268"/>
      <c r="Q268"/>
      <c r="T268"/>
      <c r="U268"/>
      <c r="Y268"/>
      <c r="Z268"/>
    </row>
    <row r="269" spans="1:26" x14ac:dyDescent="0.2">
      <c r="A269" s="44">
        <v>207</v>
      </c>
      <c r="B269" s="15" t="s">
        <v>828</v>
      </c>
      <c r="C269" s="14">
        <v>2</v>
      </c>
      <c r="D269" s="36">
        <v>86</v>
      </c>
      <c r="E269" s="36">
        <v>47</v>
      </c>
      <c r="F269" s="36">
        <v>402</v>
      </c>
      <c r="G269" s="36">
        <v>402</v>
      </c>
      <c r="H269" s="36">
        <v>3</v>
      </c>
      <c r="I269" s="37">
        <f t="shared" si="18"/>
        <v>0.54651162790697672</v>
      </c>
      <c r="J269" s="37">
        <f t="shared" si="19"/>
        <v>1</v>
      </c>
      <c r="K269"/>
      <c r="L269"/>
      <c r="M269"/>
      <c r="N269"/>
      <c r="O269"/>
      <c r="P269"/>
      <c r="Q269"/>
      <c r="T269"/>
      <c r="U269"/>
      <c r="Y269"/>
      <c r="Z269"/>
    </row>
    <row r="270" spans="1:26" x14ac:dyDescent="0.2">
      <c r="A270" s="43">
        <v>208</v>
      </c>
      <c r="B270" s="13" t="s">
        <v>712</v>
      </c>
      <c r="C270" s="33">
        <v>2</v>
      </c>
      <c r="D270" s="34">
        <v>86</v>
      </c>
      <c r="E270" s="34">
        <v>83</v>
      </c>
      <c r="F270" s="34">
        <v>655</v>
      </c>
      <c r="G270" s="34">
        <v>646</v>
      </c>
      <c r="H270" s="34">
        <v>2</v>
      </c>
      <c r="I270" s="35">
        <f t="shared" si="18"/>
        <v>0.96511627906976749</v>
      </c>
      <c r="J270" s="35">
        <f t="shared" si="19"/>
        <v>0.98625954198473287</v>
      </c>
      <c r="K270"/>
      <c r="L270"/>
      <c r="M270"/>
      <c r="N270"/>
      <c r="O270"/>
      <c r="P270"/>
      <c r="Q270"/>
      <c r="T270"/>
      <c r="U270"/>
      <c r="Y270"/>
      <c r="Z270"/>
    </row>
    <row r="271" spans="1:26" x14ac:dyDescent="0.2">
      <c r="A271" s="43">
        <v>212</v>
      </c>
      <c r="B271" s="13" t="s">
        <v>907</v>
      </c>
      <c r="C271" s="33">
        <v>2</v>
      </c>
      <c r="D271" s="34">
        <v>79</v>
      </c>
      <c r="E271" s="34">
        <v>48</v>
      </c>
      <c r="F271" s="34">
        <v>0</v>
      </c>
      <c r="G271" s="34">
        <v>0</v>
      </c>
      <c r="H271" s="34">
        <v>2</v>
      </c>
      <c r="I271" s="35">
        <f t="shared" si="18"/>
        <v>0.60759493670886078</v>
      </c>
      <c r="J271" s="35" t="str">
        <f t="shared" si="19"/>
        <v>-</v>
      </c>
      <c r="K271"/>
      <c r="L271"/>
      <c r="M271"/>
      <c r="N271"/>
      <c r="O271"/>
      <c r="P271"/>
      <c r="Q271"/>
      <c r="T271"/>
      <c r="U271"/>
      <c r="Y271"/>
      <c r="Z271"/>
    </row>
    <row r="272" spans="1:26" x14ac:dyDescent="0.2">
      <c r="A272" s="44">
        <v>213</v>
      </c>
      <c r="B272" s="15" t="s">
        <v>945</v>
      </c>
      <c r="C272" s="14">
        <v>2</v>
      </c>
      <c r="D272" s="36">
        <v>79</v>
      </c>
      <c r="E272" s="36">
        <v>17</v>
      </c>
      <c r="F272" s="36">
        <v>0</v>
      </c>
      <c r="G272" s="36">
        <v>0</v>
      </c>
      <c r="H272" s="36">
        <v>2</v>
      </c>
      <c r="I272" s="37">
        <f t="shared" si="18"/>
        <v>0.21518987341772153</v>
      </c>
      <c r="J272" s="37" t="str">
        <f t="shared" si="19"/>
        <v>-</v>
      </c>
      <c r="K272"/>
      <c r="L272"/>
      <c r="M272"/>
      <c r="N272"/>
      <c r="O272"/>
      <c r="P272"/>
      <c r="Q272"/>
      <c r="T272"/>
      <c r="U272"/>
      <c r="Y272"/>
      <c r="Z272"/>
    </row>
    <row r="273" spans="1:26" x14ac:dyDescent="0.2">
      <c r="A273" s="43">
        <v>214</v>
      </c>
      <c r="B273" s="13" t="s">
        <v>673</v>
      </c>
      <c r="C273" s="33">
        <v>2</v>
      </c>
      <c r="D273" s="34">
        <v>79</v>
      </c>
      <c r="E273" s="34">
        <v>78</v>
      </c>
      <c r="F273" s="34">
        <v>111</v>
      </c>
      <c r="G273" s="34">
        <v>111</v>
      </c>
      <c r="H273" s="34">
        <v>2</v>
      </c>
      <c r="I273" s="35">
        <f t="shared" si="18"/>
        <v>0.98734177215189878</v>
      </c>
      <c r="J273" s="35">
        <f t="shared" si="19"/>
        <v>1</v>
      </c>
      <c r="K273"/>
      <c r="L273"/>
      <c r="M273"/>
      <c r="N273"/>
      <c r="O273"/>
      <c r="P273"/>
      <c r="Q273"/>
      <c r="T273"/>
      <c r="U273"/>
      <c r="Y273"/>
      <c r="Z273"/>
    </row>
    <row r="274" spans="1:26" x14ac:dyDescent="0.2">
      <c r="A274" s="43">
        <v>216</v>
      </c>
      <c r="B274" s="13" t="s">
        <v>763</v>
      </c>
      <c r="C274" s="33">
        <v>2</v>
      </c>
      <c r="D274" s="34">
        <v>78</v>
      </c>
      <c r="E274" s="34">
        <v>73</v>
      </c>
      <c r="F274" s="34">
        <v>316</v>
      </c>
      <c r="G274" s="34">
        <v>216</v>
      </c>
      <c r="H274" s="34">
        <v>3</v>
      </c>
      <c r="I274" s="35">
        <f t="shared" si="18"/>
        <v>0.9358974358974359</v>
      </c>
      <c r="J274" s="35">
        <f t="shared" si="19"/>
        <v>0.68354430379746833</v>
      </c>
      <c r="K274"/>
      <c r="L274"/>
      <c r="M274"/>
      <c r="N274"/>
      <c r="O274"/>
      <c r="P274"/>
      <c r="Q274"/>
      <c r="T274"/>
      <c r="U274"/>
      <c r="Y274"/>
      <c r="Z274"/>
    </row>
    <row r="275" spans="1:26" x14ac:dyDescent="0.2">
      <c r="A275" s="43">
        <v>220</v>
      </c>
      <c r="B275" s="13" t="s">
        <v>824</v>
      </c>
      <c r="C275" s="33">
        <v>2</v>
      </c>
      <c r="D275" s="34">
        <v>76</v>
      </c>
      <c r="E275" s="34">
        <v>61</v>
      </c>
      <c r="F275" s="34">
        <v>97</v>
      </c>
      <c r="G275" s="34">
        <v>91</v>
      </c>
      <c r="H275" s="34">
        <v>2</v>
      </c>
      <c r="I275" s="35">
        <f t="shared" si="18"/>
        <v>0.80263157894736847</v>
      </c>
      <c r="J275" s="35">
        <f t="shared" si="19"/>
        <v>0.93814432989690721</v>
      </c>
      <c r="K275"/>
      <c r="L275"/>
      <c r="M275"/>
      <c r="N275"/>
      <c r="O275"/>
      <c r="P275"/>
      <c r="Q275"/>
      <c r="T275"/>
      <c r="U275"/>
      <c r="Y275"/>
      <c r="Z275"/>
    </row>
    <row r="276" spans="1:26" x14ac:dyDescent="0.2">
      <c r="A276" s="44">
        <v>221</v>
      </c>
      <c r="B276" s="15" t="s">
        <v>766</v>
      </c>
      <c r="C276" s="14">
        <v>2</v>
      </c>
      <c r="D276" s="36">
        <v>75</v>
      </c>
      <c r="E276" s="36">
        <v>73</v>
      </c>
      <c r="F276" s="36">
        <v>0</v>
      </c>
      <c r="G276" s="36">
        <v>0</v>
      </c>
      <c r="H276" s="36">
        <v>3</v>
      </c>
      <c r="I276" s="37">
        <f t="shared" si="18"/>
        <v>0.97333333333333338</v>
      </c>
      <c r="J276" s="37" t="str">
        <f t="shared" si="19"/>
        <v>-</v>
      </c>
      <c r="K276"/>
      <c r="L276"/>
      <c r="M276"/>
      <c r="N276"/>
      <c r="O276"/>
      <c r="P276"/>
      <c r="Q276"/>
      <c r="T276"/>
      <c r="U276"/>
      <c r="Y276"/>
      <c r="Z276"/>
    </row>
    <row r="277" spans="1:26" x14ac:dyDescent="0.2">
      <c r="A277" s="43">
        <v>224</v>
      </c>
      <c r="B277" s="13" t="s">
        <v>739</v>
      </c>
      <c r="C277" s="33">
        <v>2</v>
      </c>
      <c r="D277" s="34">
        <v>75</v>
      </c>
      <c r="E277" s="34">
        <v>75</v>
      </c>
      <c r="F277" s="34">
        <v>0</v>
      </c>
      <c r="G277" s="34">
        <v>0</v>
      </c>
      <c r="H277" s="34">
        <v>2</v>
      </c>
      <c r="I277" s="35">
        <f t="shared" si="18"/>
        <v>1</v>
      </c>
      <c r="J277" s="35" t="str">
        <f t="shared" si="19"/>
        <v>-</v>
      </c>
      <c r="K277"/>
      <c r="L277"/>
      <c r="M277"/>
      <c r="N277"/>
      <c r="O277"/>
      <c r="P277"/>
      <c r="Q277"/>
      <c r="T277"/>
      <c r="U277"/>
      <c r="Y277"/>
      <c r="Z277"/>
    </row>
    <row r="278" spans="1:26" x14ac:dyDescent="0.2">
      <c r="A278" s="43">
        <v>226</v>
      </c>
      <c r="B278" s="13" t="s">
        <v>741</v>
      </c>
      <c r="C278" s="33">
        <v>2</v>
      </c>
      <c r="D278" s="34">
        <v>75</v>
      </c>
      <c r="E278" s="34">
        <v>75</v>
      </c>
      <c r="F278" s="34">
        <v>0</v>
      </c>
      <c r="G278" s="34">
        <v>0</v>
      </c>
      <c r="H278" s="34">
        <v>3</v>
      </c>
      <c r="I278" s="35">
        <f t="shared" si="18"/>
        <v>1</v>
      </c>
      <c r="J278" s="35" t="str">
        <f t="shared" si="19"/>
        <v>-</v>
      </c>
      <c r="K278"/>
      <c r="L278"/>
      <c r="M278"/>
      <c r="N278"/>
      <c r="O278"/>
      <c r="P278"/>
      <c r="Q278"/>
      <c r="T278"/>
      <c r="U278"/>
      <c r="Y278"/>
      <c r="Z278"/>
    </row>
    <row r="279" spans="1:26" x14ac:dyDescent="0.2">
      <c r="A279" s="44">
        <v>231</v>
      </c>
      <c r="B279" s="15" t="s">
        <v>919</v>
      </c>
      <c r="C279" s="14">
        <v>2</v>
      </c>
      <c r="D279" s="36">
        <v>72</v>
      </c>
      <c r="E279" s="36">
        <v>41</v>
      </c>
      <c r="F279" s="36">
        <v>0</v>
      </c>
      <c r="G279" s="36">
        <v>0</v>
      </c>
      <c r="H279" s="36">
        <v>3</v>
      </c>
      <c r="I279" s="37">
        <f t="shared" si="18"/>
        <v>0.56944444444444442</v>
      </c>
      <c r="J279" s="37" t="str">
        <f t="shared" si="19"/>
        <v>-</v>
      </c>
      <c r="K279"/>
      <c r="L279"/>
      <c r="M279"/>
      <c r="N279"/>
      <c r="O279"/>
      <c r="P279"/>
      <c r="Q279"/>
      <c r="T279"/>
      <c r="U279"/>
      <c r="Y279"/>
      <c r="Z279"/>
    </row>
    <row r="280" spans="1:26" x14ac:dyDescent="0.2">
      <c r="A280" s="44">
        <v>233</v>
      </c>
      <c r="B280" s="15" t="s">
        <v>800</v>
      </c>
      <c r="C280" s="14">
        <v>2</v>
      </c>
      <c r="D280" s="36">
        <v>71</v>
      </c>
      <c r="E280" s="36">
        <v>71</v>
      </c>
      <c r="F280" s="36">
        <v>0</v>
      </c>
      <c r="G280" s="36">
        <v>0</v>
      </c>
      <c r="H280" s="36">
        <v>2</v>
      </c>
      <c r="I280" s="37">
        <f t="shared" si="18"/>
        <v>1</v>
      </c>
      <c r="J280" s="37" t="str">
        <f t="shared" si="19"/>
        <v>-</v>
      </c>
      <c r="K280"/>
      <c r="L280"/>
      <c r="M280"/>
      <c r="N280"/>
      <c r="O280"/>
      <c r="P280"/>
      <c r="Q280"/>
      <c r="T280"/>
      <c r="U280"/>
      <c r="Y280"/>
      <c r="Z280"/>
    </row>
    <row r="281" spans="1:26" x14ac:dyDescent="0.2">
      <c r="A281" s="43">
        <v>236</v>
      </c>
      <c r="B281" s="13" t="s">
        <v>778</v>
      </c>
      <c r="C281" s="33">
        <v>2</v>
      </c>
      <c r="D281" s="34">
        <v>70</v>
      </c>
      <c r="E281" s="34">
        <v>70</v>
      </c>
      <c r="F281" s="34">
        <v>0</v>
      </c>
      <c r="G281" s="34">
        <v>0</v>
      </c>
      <c r="H281" s="34">
        <v>2</v>
      </c>
      <c r="I281" s="35">
        <f t="shared" si="18"/>
        <v>1</v>
      </c>
      <c r="J281" s="35" t="str">
        <f t="shared" si="19"/>
        <v>-</v>
      </c>
      <c r="K281"/>
      <c r="L281"/>
      <c r="M281"/>
      <c r="N281"/>
      <c r="O281"/>
      <c r="P281"/>
      <c r="Q281"/>
      <c r="T281"/>
      <c r="U281"/>
      <c r="Y281"/>
      <c r="Z281"/>
    </row>
    <row r="282" spans="1:26" x14ac:dyDescent="0.2">
      <c r="A282" s="44">
        <v>237</v>
      </c>
      <c r="B282" s="15" t="s">
        <v>806</v>
      </c>
      <c r="C282" s="14">
        <v>2</v>
      </c>
      <c r="D282" s="36">
        <v>70</v>
      </c>
      <c r="E282" s="36">
        <v>69</v>
      </c>
      <c r="F282" s="36">
        <v>0</v>
      </c>
      <c r="G282" s="36">
        <v>0</v>
      </c>
      <c r="H282" s="36">
        <v>2</v>
      </c>
      <c r="I282" s="37">
        <f t="shared" si="18"/>
        <v>0.98571428571428577</v>
      </c>
      <c r="J282" s="37" t="str">
        <f t="shared" si="19"/>
        <v>-</v>
      </c>
      <c r="K282"/>
      <c r="L282"/>
      <c r="M282"/>
      <c r="N282"/>
      <c r="O282"/>
      <c r="P282"/>
      <c r="Q282"/>
      <c r="T282"/>
      <c r="U282"/>
      <c r="Y282"/>
      <c r="Z282"/>
    </row>
    <row r="283" spans="1:26" x14ac:dyDescent="0.2">
      <c r="A283" s="44">
        <v>245</v>
      </c>
      <c r="B283" s="15" t="s">
        <v>764</v>
      </c>
      <c r="C283" s="14">
        <v>2</v>
      </c>
      <c r="D283" s="36">
        <v>68</v>
      </c>
      <c r="E283" s="36">
        <v>67</v>
      </c>
      <c r="F283" s="36">
        <v>210</v>
      </c>
      <c r="G283" s="36">
        <v>208</v>
      </c>
      <c r="H283" s="36">
        <v>2</v>
      </c>
      <c r="I283" s="37">
        <f t="shared" si="18"/>
        <v>0.98529411764705888</v>
      </c>
      <c r="J283" s="37">
        <f t="shared" si="19"/>
        <v>0.99047619047619051</v>
      </c>
      <c r="K283"/>
      <c r="L283"/>
      <c r="M283"/>
      <c r="N283"/>
      <c r="O283"/>
      <c r="P283"/>
      <c r="Q283"/>
      <c r="T283"/>
      <c r="U283"/>
      <c r="Y283"/>
      <c r="Z283"/>
    </row>
    <row r="284" spans="1:26" x14ac:dyDescent="0.2">
      <c r="A284" s="43">
        <v>250</v>
      </c>
      <c r="B284" s="13" t="s">
        <v>670</v>
      </c>
      <c r="C284" s="33">
        <v>2</v>
      </c>
      <c r="D284" s="34">
        <v>64</v>
      </c>
      <c r="E284" s="34">
        <v>61</v>
      </c>
      <c r="F284" s="34">
        <v>0</v>
      </c>
      <c r="G284" s="34">
        <v>0</v>
      </c>
      <c r="H284" s="34">
        <v>2</v>
      </c>
      <c r="I284" s="35">
        <f t="shared" si="18"/>
        <v>0.953125</v>
      </c>
      <c r="J284" s="35" t="str">
        <f t="shared" si="19"/>
        <v>-</v>
      </c>
      <c r="K284"/>
      <c r="L284"/>
      <c r="M284"/>
      <c r="N284"/>
      <c r="O284"/>
      <c r="P284"/>
      <c r="Q284"/>
      <c r="T284"/>
      <c r="U284"/>
      <c r="Y284"/>
      <c r="Z284"/>
    </row>
    <row r="285" spans="1:26" x14ac:dyDescent="0.2">
      <c r="A285" s="43">
        <v>254</v>
      </c>
      <c r="B285" s="13" t="s">
        <v>944</v>
      </c>
      <c r="C285" s="33">
        <v>2</v>
      </c>
      <c r="D285" s="34">
        <v>61</v>
      </c>
      <c r="E285" s="34">
        <v>34</v>
      </c>
      <c r="F285" s="34">
        <v>0</v>
      </c>
      <c r="G285" s="34">
        <v>0</v>
      </c>
      <c r="H285" s="34">
        <v>2</v>
      </c>
      <c r="I285" s="35">
        <f t="shared" si="18"/>
        <v>0.55737704918032782</v>
      </c>
      <c r="J285" s="35" t="str">
        <f t="shared" si="19"/>
        <v>-</v>
      </c>
      <c r="K285"/>
      <c r="L285"/>
      <c r="M285"/>
      <c r="N285"/>
      <c r="O285"/>
      <c r="P285"/>
      <c r="Q285"/>
      <c r="T285"/>
      <c r="U285"/>
      <c r="Y285"/>
      <c r="Z285"/>
    </row>
    <row r="286" spans="1:26" x14ac:dyDescent="0.2">
      <c r="A286" s="44">
        <v>261</v>
      </c>
      <c r="B286" s="15" t="s">
        <v>889</v>
      </c>
      <c r="C286" s="14">
        <v>2</v>
      </c>
      <c r="D286" s="36">
        <v>57</v>
      </c>
      <c r="E286" s="36">
        <v>40</v>
      </c>
      <c r="F286" s="36">
        <v>0</v>
      </c>
      <c r="G286" s="36">
        <v>0</v>
      </c>
      <c r="H286" s="36">
        <v>2</v>
      </c>
      <c r="I286" s="37">
        <f t="shared" si="18"/>
        <v>0.70175438596491224</v>
      </c>
      <c r="J286" s="37" t="str">
        <f t="shared" si="19"/>
        <v>-</v>
      </c>
      <c r="K286"/>
      <c r="L286"/>
      <c r="M286"/>
      <c r="N286"/>
      <c r="O286"/>
      <c r="P286"/>
      <c r="Q286"/>
      <c r="T286"/>
      <c r="U286"/>
      <c r="Y286"/>
      <c r="Z286"/>
    </row>
    <row r="287" spans="1:26" x14ac:dyDescent="0.2">
      <c r="A287" s="43">
        <v>266</v>
      </c>
      <c r="B287" s="13" t="s">
        <v>838</v>
      </c>
      <c r="C287" s="33">
        <v>2</v>
      </c>
      <c r="D287" s="34">
        <v>54</v>
      </c>
      <c r="E287" s="34">
        <v>53</v>
      </c>
      <c r="F287" s="34">
        <v>0</v>
      </c>
      <c r="G287" s="34">
        <v>0</v>
      </c>
      <c r="H287" s="34">
        <v>2</v>
      </c>
      <c r="I287" s="35">
        <f t="shared" si="18"/>
        <v>0.98148148148148151</v>
      </c>
      <c r="J287" s="35" t="str">
        <f t="shared" si="19"/>
        <v>-</v>
      </c>
      <c r="K287"/>
      <c r="L287"/>
      <c r="M287"/>
      <c r="N287"/>
      <c r="O287"/>
      <c r="P287"/>
      <c r="Q287"/>
      <c r="T287"/>
      <c r="U287"/>
      <c r="Y287"/>
      <c r="Z287"/>
    </row>
    <row r="288" spans="1:26" x14ac:dyDescent="0.2">
      <c r="A288" s="44">
        <v>269</v>
      </c>
      <c r="B288" s="15" t="s">
        <v>1418</v>
      </c>
      <c r="C288" s="14">
        <v>2</v>
      </c>
      <c r="D288" s="36">
        <v>52</v>
      </c>
      <c r="E288" s="36">
        <v>0</v>
      </c>
      <c r="F288" s="36">
        <v>0</v>
      </c>
      <c r="G288" s="36">
        <v>0</v>
      </c>
      <c r="H288" s="36">
        <v>2</v>
      </c>
      <c r="I288" s="37">
        <f t="shared" si="18"/>
        <v>0</v>
      </c>
      <c r="J288" s="37" t="str">
        <f t="shared" si="19"/>
        <v>-</v>
      </c>
      <c r="K288"/>
      <c r="L288"/>
      <c r="M288"/>
      <c r="N288"/>
      <c r="O288"/>
      <c r="P288"/>
      <c r="Q288"/>
      <c r="T288"/>
      <c r="U288"/>
      <c r="Y288"/>
      <c r="Z288"/>
    </row>
    <row r="289" spans="1:26" x14ac:dyDescent="0.2">
      <c r="A289" s="43">
        <v>272</v>
      </c>
      <c r="B289" s="13" t="s">
        <v>788</v>
      </c>
      <c r="C289" s="33">
        <v>2</v>
      </c>
      <c r="D289" s="34">
        <v>51</v>
      </c>
      <c r="E289" s="34">
        <v>62</v>
      </c>
      <c r="F289" s="34">
        <v>0</v>
      </c>
      <c r="G289" s="34">
        <v>0</v>
      </c>
      <c r="H289" s="34">
        <v>2</v>
      </c>
      <c r="I289" s="35">
        <f t="shared" si="18"/>
        <v>1.2156862745098038</v>
      </c>
      <c r="J289" s="35" t="str">
        <f t="shared" si="19"/>
        <v>-</v>
      </c>
      <c r="K289"/>
      <c r="L289"/>
      <c r="M289"/>
      <c r="N289"/>
      <c r="O289"/>
      <c r="P289"/>
      <c r="Q289"/>
      <c r="T289"/>
      <c r="U289"/>
      <c r="Y289"/>
      <c r="Z289"/>
    </row>
    <row r="290" spans="1:26" x14ac:dyDescent="0.2">
      <c r="A290" s="44">
        <v>273</v>
      </c>
      <c r="B290" s="15" t="s">
        <v>886</v>
      </c>
      <c r="C290" s="14">
        <v>2</v>
      </c>
      <c r="D290" s="36">
        <v>51</v>
      </c>
      <c r="E290" s="36">
        <v>50</v>
      </c>
      <c r="F290" s="36">
        <v>0</v>
      </c>
      <c r="G290" s="36">
        <v>0</v>
      </c>
      <c r="H290" s="36">
        <v>2</v>
      </c>
      <c r="I290" s="37">
        <f t="shared" si="18"/>
        <v>0.98039215686274506</v>
      </c>
      <c r="J290" s="37" t="str">
        <f t="shared" si="19"/>
        <v>-</v>
      </c>
      <c r="K290"/>
      <c r="L290"/>
      <c r="M290"/>
      <c r="N290"/>
      <c r="O290"/>
      <c r="P290"/>
      <c r="Q290"/>
      <c r="T290"/>
      <c r="U290"/>
      <c r="Y290"/>
      <c r="Z290"/>
    </row>
    <row r="291" spans="1:26" x14ac:dyDescent="0.2">
      <c r="A291" s="43">
        <v>282</v>
      </c>
      <c r="B291" s="13" t="s">
        <v>612</v>
      </c>
      <c r="C291" s="33">
        <v>2</v>
      </c>
      <c r="D291" s="34">
        <v>50</v>
      </c>
      <c r="E291" s="34">
        <v>100</v>
      </c>
      <c r="F291" s="34">
        <v>0</v>
      </c>
      <c r="G291" s="34">
        <v>0</v>
      </c>
      <c r="H291" s="34">
        <v>2</v>
      </c>
      <c r="I291" s="35">
        <f t="shared" si="18"/>
        <v>2</v>
      </c>
      <c r="J291" s="35" t="str">
        <f t="shared" si="19"/>
        <v>-</v>
      </c>
      <c r="K291"/>
      <c r="L291"/>
      <c r="M291"/>
      <c r="N291"/>
      <c r="O291"/>
      <c r="P291"/>
      <c r="Q291"/>
      <c r="T291"/>
      <c r="U291"/>
      <c r="Y291"/>
      <c r="Z291"/>
    </row>
    <row r="292" spans="1:26" x14ac:dyDescent="0.2">
      <c r="A292" s="44">
        <v>283</v>
      </c>
      <c r="B292" s="15" t="s">
        <v>878</v>
      </c>
      <c r="C292" s="14">
        <v>2</v>
      </c>
      <c r="D292" s="36">
        <v>50</v>
      </c>
      <c r="E292" s="36">
        <v>50</v>
      </c>
      <c r="F292" s="36">
        <v>0</v>
      </c>
      <c r="G292" s="36">
        <v>0</v>
      </c>
      <c r="H292" s="36">
        <v>2</v>
      </c>
      <c r="I292" s="37">
        <f t="shared" si="18"/>
        <v>1</v>
      </c>
      <c r="J292" s="37" t="str">
        <f t="shared" si="19"/>
        <v>-</v>
      </c>
      <c r="K292"/>
      <c r="L292"/>
      <c r="M292"/>
      <c r="N292"/>
      <c r="O292"/>
      <c r="P292"/>
      <c r="Q292"/>
      <c r="T292"/>
      <c r="U292"/>
      <c r="Y292"/>
      <c r="Z292"/>
    </row>
    <row r="293" spans="1:26" x14ac:dyDescent="0.2">
      <c r="A293" s="44">
        <v>289</v>
      </c>
      <c r="B293" s="15" t="s">
        <v>884</v>
      </c>
      <c r="C293" s="14">
        <v>2</v>
      </c>
      <c r="D293" s="36">
        <v>49</v>
      </c>
      <c r="E293" s="36">
        <v>48</v>
      </c>
      <c r="F293" s="36">
        <v>0</v>
      </c>
      <c r="G293" s="36">
        <v>0</v>
      </c>
      <c r="H293" s="36">
        <v>2</v>
      </c>
      <c r="I293" s="37">
        <f t="shared" si="18"/>
        <v>0.97959183673469385</v>
      </c>
      <c r="J293" s="37" t="str">
        <f t="shared" si="19"/>
        <v>-</v>
      </c>
      <c r="K293"/>
      <c r="L293"/>
      <c r="M293"/>
      <c r="N293"/>
      <c r="O293"/>
      <c r="P293"/>
      <c r="Q293"/>
      <c r="T293"/>
      <c r="U293"/>
      <c r="Y293"/>
      <c r="Z293"/>
    </row>
    <row r="294" spans="1:26" x14ac:dyDescent="0.2">
      <c r="A294" s="43">
        <v>292</v>
      </c>
      <c r="B294" s="13" t="s">
        <v>822</v>
      </c>
      <c r="C294" s="33">
        <v>2</v>
      </c>
      <c r="D294" s="34">
        <v>47</v>
      </c>
      <c r="E294" s="34">
        <v>47</v>
      </c>
      <c r="F294" s="34">
        <v>0</v>
      </c>
      <c r="G294" s="34">
        <v>0</v>
      </c>
      <c r="H294" s="34">
        <v>2</v>
      </c>
      <c r="I294" s="35">
        <f t="shared" si="18"/>
        <v>1</v>
      </c>
      <c r="J294" s="35" t="str">
        <f t="shared" si="19"/>
        <v>-</v>
      </c>
      <c r="K294"/>
      <c r="L294"/>
      <c r="M294"/>
      <c r="N294"/>
      <c r="O294"/>
      <c r="P294"/>
      <c r="Q294"/>
      <c r="T294"/>
      <c r="U294"/>
      <c r="Y294"/>
      <c r="Z294"/>
    </row>
    <row r="295" spans="1:26" x14ac:dyDescent="0.2">
      <c r="A295" s="44">
        <v>297</v>
      </c>
      <c r="B295" s="15" t="s">
        <v>876</v>
      </c>
      <c r="C295" s="14">
        <v>2</v>
      </c>
      <c r="D295" s="36">
        <v>45</v>
      </c>
      <c r="E295" s="36">
        <v>45</v>
      </c>
      <c r="F295" s="36">
        <v>0</v>
      </c>
      <c r="G295" s="36">
        <v>0</v>
      </c>
      <c r="H295" s="36">
        <v>2</v>
      </c>
      <c r="I295" s="37">
        <f t="shared" si="18"/>
        <v>1</v>
      </c>
      <c r="J295" s="37" t="str">
        <f t="shared" si="19"/>
        <v>-</v>
      </c>
      <c r="K295"/>
      <c r="L295"/>
      <c r="M295"/>
      <c r="N295"/>
      <c r="O295"/>
      <c r="P295"/>
      <c r="Q295"/>
      <c r="T295"/>
      <c r="U295"/>
      <c r="Y295"/>
      <c r="Z295"/>
    </row>
    <row r="296" spans="1:26" x14ac:dyDescent="0.2">
      <c r="A296" s="44">
        <v>299</v>
      </c>
      <c r="B296" s="15" t="s">
        <v>971</v>
      </c>
      <c r="C296" s="14">
        <v>2</v>
      </c>
      <c r="D296" s="36">
        <v>45</v>
      </c>
      <c r="E296" s="36">
        <v>20</v>
      </c>
      <c r="F296" s="36">
        <v>0</v>
      </c>
      <c r="G296" s="36">
        <v>0</v>
      </c>
      <c r="H296" s="36">
        <v>3</v>
      </c>
      <c r="I296" s="37">
        <f t="shared" si="18"/>
        <v>0.44444444444444442</v>
      </c>
      <c r="J296" s="37" t="str">
        <f t="shared" si="19"/>
        <v>-</v>
      </c>
      <c r="K296"/>
      <c r="L296"/>
      <c r="M296"/>
      <c r="N296"/>
      <c r="O296"/>
      <c r="P296"/>
      <c r="Q296"/>
      <c r="T296"/>
      <c r="U296"/>
      <c r="Y296"/>
      <c r="Z296"/>
    </row>
    <row r="297" spans="1:26" x14ac:dyDescent="0.2">
      <c r="A297" s="43">
        <v>302</v>
      </c>
      <c r="B297" s="13" t="s">
        <v>887</v>
      </c>
      <c r="C297" s="33">
        <v>2</v>
      </c>
      <c r="D297" s="34">
        <v>44</v>
      </c>
      <c r="E297" s="34">
        <v>42</v>
      </c>
      <c r="F297" s="34">
        <v>0</v>
      </c>
      <c r="G297" s="34">
        <v>0</v>
      </c>
      <c r="H297" s="34">
        <v>2</v>
      </c>
      <c r="I297" s="35">
        <f t="shared" si="18"/>
        <v>0.95454545454545459</v>
      </c>
      <c r="J297" s="35" t="str">
        <f t="shared" si="19"/>
        <v>-</v>
      </c>
      <c r="K297"/>
      <c r="L297"/>
      <c r="M297"/>
      <c r="N297"/>
      <c r="O297"/>
      <c r="P297"/>
      <c r="Q297"/>
      <c r="T297"/>
      <c r="U297"/>
      <c r="Y297"/>
      <c r="Z297"/>
    </row>
    <row r="298" spans="1:26" x14ac:dyDescent="0.2">
      <c r="A298" s="44">
        <v>303</v>
      </c>
      <c r="B298" s="15" t="s">
        <v>860</v>
      </c>
      <c r="C298" s="14">
        <v>2</v>
      </c>
      <c r="D298" s="36">
        <v>44</v>
      </c>
      <c r="E298" s="36">
        <v>37</v>
      </c>
      <c r="F298" s="36">
        <v>0</v>
      </c>
      <c r="G298" s="36">
        <v>0</v>
      </c>
      <c r="H298" s="36">
        <v>2</v>
      </c>
      <c r="I298" s="37">
        <f t="shared" si="18"/>
        <v>0.84090909090909094</v>
      </c>
      <c r="J298" s="37" t="str">
        <f t="shared" si="19"/>
        <v>-</v>
      </c>
      <c r="K298"/>
      <c r="L298"/>
      <c r="M298"/>
      <c r="N298"/>
      <c r="O298"/>
      <c r="P298"/>
      <c r="Q298"/>
      <c r="T298"/>
      <c r="U298"/>
      <c r="Y298"/>
      <c r="Z298"/>
    </row>
    <row r="299" spans="1:26" x14ac:dyDescent="0.2">
      <c r="A299" s="44">
        <v>309</v>
      </c>
      <c r="B299" s="15" t="s">
        <v>913</v>
      </c>
      <c r="C299" s="14">
        <v>2</v>
      </c>
      <c r="D299" s="36">
        <v>41</v>
      </c>
      <c r="E299" s="36">
        <v>39</v>
      </c>
      <c r="F299" s="36">
        <v>0</v>
      </c>
      <c r="G299" s="36">
        <v>0</v>
      </c>
      <c r="H299" s="36">
        <v>2</v>
      </c>
      <c r="I299" s="37">
        <f t="shared" si="18"/>
        <v>0.95121951219512191</v>
      </c>
      <c r="J299" s="37" t="str">
        <f t="shared" si="19"/>
        <v>-</v>
      </c>
      <c r="K299"/>
      <c r="L299"/>
      <c r="M299"/>
      <c r="N299"/>
      <c r="O299"/>
      <c r="P299"/>
      <c r="Q299"/>
      <c r="T299"/>
      <c r="U299"/>
      <c r="Y299"/>
      <c r="Z299"/>
    </row>
    <row r="300" spans="1:26" x14ac:dyDescent="0.2">
      <c r="A300" s="43">
        <v>314</v>
      </c>
      <c r="B300" s="13" t="s">
        <v>832</v>
      </c>
      <c r="C300" s="33">
        <v>2</v>
      </c>
      <c r="D300" s="34">
        <v>40</v>
      </c>
      <c r="E300" s="34">
        <v>36</v>
      </c>
      <c r="F300" s="34">
        <v>0</v>
      </c>
      <c r="G300" s="34">
        <v>0</v>
      </c>
      <c r="H300" s="34">
        <v>2</v>
      </c>
      <c r="I300" s="35">
        <f t="shared" si="18"/>
        <v>0.9</v>
      </c>
      <c r="J300" s="35" t="str">
        <f t="shared" si="19"/>
        <v>-</v>
      </c>
      <c r="K300"/>
      <c r="L300"/>
      <c r="M300"/>
      <c r="N300"/>
      <c r="O300"/>
      <c r="P300"/>
      <c r="Q300"/>
      <c r="T300"/>
      <c r="U300"/>
      <c r="Y300"/>
      <c r="Z300"/>
    </row>
    <row r="301" spans="1:26" x14ac:dyDescent="0.2">
      <c r="A301" s="43">
        <v>320</v>
      </c>
      <c r="B301" s="13" t="s">
        <v>1275</v>
      </c>
      <c r="C301" s="33">
        <v>2</v>
      </c>
      <c r="D301" s="34">
        <v>35</v>
      </c>
      <c r="E301" s="34">
        <v>0</v>
      </c>
      <c r="F301" s="34">
        <v>117</v>
      </c>
      <c r="G301" s="34">
        <v>106</v>
      </c>
      <c r="H301" s="34">
        <v>2</v>
      </c>
      <c r="I301" s="35">
        <f t="shared" si="18"/>
        <v>0</v>
      </c>
      <c r="J301" s="35">
        <f t="shared" si="19"/>
        <v>0.90598290598290598</v>
      </c>
      <c r="K301"/>
      <c r="L301"/>
      <c r="M301"/>
      <c r="N301"/>
      <c r="O301"/>
      <c r="P301"/>
      <c r="Q301"/>
      <c r="T301"/>
      <c r="U301"/>
      <c r="Y301"/>
      <c r="Z301"/>
    </row>
    <row r="302" spans="1:26" x14ac:dyDescent="0.2">
      <c r="A302" s="43">
        <v>328</v>
      </c>
      <c r="B302" s="13" t="s">
        <v>927</v>
      </c>
      <c r="C302" s="33">
        <v>2</v>
      </c>
      <c r="D302" s="34">
        <v>31</v>
      </c>
      <c r="E302" s="34">
        <v>31</v>
      </c>
      <c r="F302" s="34">
        <v>0</v>
      </c>
      <c r="G302" s="34">
        <v>0</v>
      </c>
      <c r="H302" s="34">
        <v>2</v>
      </c>
      <c r="I302" s="35">
        <f t="shared" si="18"/>
        <v>1</v>
      </c>
      <c r="J302" s="35" t="str">
        <f t="shared" si="19"/>
        <v>-</v>
      </c>
      <c r="K302"/>
      <c r="L302"/>
      <c r="M302"/>
      <c r="N302"/>
      <c r="O302"/>
      <c r="P302"/>
      <c r="Q302"/>
      <c r="T302"/>
      <c r="U302"/>
      <c r="Y302"/>
      <c r="Z302"/>
    </row>
    <row r="303" spans="1:26" x14ac:dyDescent="0.2">
      <c r="A303" s="44">
        <v>343</v>
      </c>
      <c r="B303" s="15" t="s">
        <v>903</v>
      </c>
      <c r="C303" s="14">
        <v>2</v>
      </c>
      <c r="D303" s="36">
        <v>25</v>
      </c>
      <c r="E303" s="36">
        <v>24</v>
      </c>
      <c r="F303" s="36">
        <v>267</v>
      </c>
      <c r="G303" s="36">
        <v>266</v>
      </c>
      <c r="H303" s="36">
        <v>1</v>
      </c>
      <c r="I303" s="37">
        <f t="shared" si="18"/>
        <v>0.96</v>
      </c>
      <c r="J303" s="37">
        <f t="shared" si="19"/>
        <v>0.99625468164794007</v>
      </c>
      <c r="K303"/>
      <c r="L303"/>
      <c r="M303"/>
      <c r="N303"/>
      <c r="O303"/>
      <c r="P303"/>
      <c r="Q303"/>
      <c r="T303"/>
      <c r="U303"/>
      <c r="Y303"/>
      <c r="Z303"/>
    </row>
    <row r="304" spans="1:26" x14ac:dyDescent="0.2">
      <c r="A304" s="44">
        <v>347</v>
      </c>
      <c r="B304" s="15" t="s">
        <v>965</v>
      </c>
      <c r="C304" s="14">
        <v>2</v>
      </c>
      <c r="D304" s="36">
        <v>24</v>
      </c>
      <c r="E304" s="36">
        <v>24</v>
      </c>
      <c r="F304" s="36">
        <v>0</v>
      </c>
      <c r="G304" s="36">
        <v>0</v>
      </c>
      <c r="H304" s="36">
        <v>2</v>
      </c>
      <c r="I304" s="37">
        <f t="shared" si="18"/>
        <v>1</v>
      </c>
      <c r="J304" s="37" t="str">
        <f t="shared" si="19"/>
        <v>-</v>
      </c>
      <c r="K304"/>
      <c r="L304"/>
      <c r="M304"/>
      <c r="N304"/>
      <c r="O304"/>
      <c r="P304"/>
      <c r="Q304"/>
      <c r="T304"/>
      <c r="U304"/>
      <c r="Y304"/>
      <c r="Z304"/>
    </row>
    <row r="305" spans="1:26" x14ac:dyDescent="0.2">
      <c r="A305" s="43">
        <v>352</v>
      </c>
      <c r="B305" s="13" t="s">
        <v>987</v>
      </c>
      <c r="C305" s="33">
        <v>2</v>
      </c>
      <c r="D305" s="34">
        <v>22</v>
      </c>
      <c r="E305" s="34">
        <v>4</v>
      </c>
      <c r="F305" s="34">
        <v>0</v>
      </c>
      <c r="G305" s="34">
        <v>0</v>
      </c>
      <c r="H305" s="34">
        <v>2</v>
      </c>
      <c r="I305" s="35">
        <f t="shared" si="18"/>
        <v>0.18181818181818182</v>
      </c>
      <c r="J305" s="35" t="str">
        <f t="shared" si="19"/>
        <v>-</v>
      </c>
      <c r="K305"/>
      <c r="L305"/>
      <c r="M305"/>
      <c r="N305"/>
      <c r="O305"/>
      <c r="P305"/>
      <c r="Q305"/>
      <c r="T305"/>
      <c r="U305"/>
      <c r="Y305"/>
      <c r="Z305"/>
    </row>
    <row r="306" spans="1:26" x14ac:dyDescent="0.2">
      <c r="A306" s="44">
        <v>353</v>
      </c>
      <c r="B306" s="15" t="s">
        <v>915</v>
      </c>
      <c r="C306" s="14">
        <v>2</v>
      </c>
      <c r="D306" s="36">
        <v>22</v>
      </c>
      <c r="E306" s="36">
        <v>38</v>
      </c>
      <c r="F306" s="36">
        <v>0</v>
      </c>
      <c r="G306" s="36">
        <v>0</v>
      </c>
      <c r="H306" s="36">
        <v>1</v>
      </c>
      <c r="I306" s="37">
        <f t="shared" si="18"/>
        <v>1.7272727272727273</v>
      </c>
      <c r="J306" s="37" t="str">
        <f t="shared" si="19"/>
        <v>-</v>
      </c>
      <c r="K306"/>
      <c r="L306"/>
      <c r="M306"/>
      <c r="N306"/>
      <c r="O306"/>
      <c r="P306"/>
      <c r="Q306"/>
      <c r="T306"/>
      <c r="U306"/>
      <c r="Y306"/>
      <c r="Z306"/>
    </row>
    <row r="307" spans="1:26" x14ac:dyDescent="0.2">
      <c r="A307" s="43">
        <v>376</v>
      </c>
      <c r="B307" s="13" t="s">
        <v>984</v>
      </c>
      <c r="C307" s="33">
        <v>2</v>
      </c>
      <c r="D307" s="34">
        <v>11</v>
      </c>
      <c r="E307" s="34">
        <v>9</v>
      </c>
      <c r="F307" s="34">
        <v>0</v>
      </c>
      <c r="G307" s="34">
        <v>0</v>
      </c>
      <c r="H307" s="34">
        <v>2</v>
      </c>
      <c r="I307" s="35">
        <f t="shared" si="18"/>
        <v>0.81818181818181823</v>
      </c>
      <c r="J307" s="35" t="str">
        <f t="shared" si="19"/>
        <v>-</v>
      </c>
      <c r="K307"/>
      <c r="L307"/>
      <c r="M307"/>
      <c r="N307"/>
      <c r="O307"/>
      <c r="P307"/>
      <c r="Q307"/>
      <c r="T307"/>
      <c r="U307"/>
      <c r="Y307"/>
      <c r="Z307"/>
    </row>
    <row r="308" spans="1:26" x14ac:dyDescent="0.2">
      <c r="A308" s="44">
        <v>381</v>
      </c>
      <c r="B308" s="15" t="s">
        <v>978</v>
      </c>
      <c r="C308" s="14">
        <v>2</v>
      </c>
      <c r="D308" s="36">
        <v>7</v>
      </c>
      <c r="E308" s="36">
        <v>7</v>
      </c>
      <c r="F308" s="36">
        <v>43</v>
      </c>
      <c r="G308" s="36">
        <v>41</v>
      </c>
      <c r="H308" s="36">
        <v>1</v>
      </c>
      <c r="I308" s="37">
        <f t="shared" si="18"/>
        <v>1</v>
      </c>
      <c r="J308" s="37">
        <f t="shared" si="19"/>
        <v>0.95348837209302328</v>
      </c>
      <c r="K308"/>
      <c r="L308"/>
      <c r="M308"/>
      <c r="N308"/>
      <c r="O308"/>
      <c r="P308"/>
      <c r="Q308"/>
      <c r="T308"/>
      <c r="U308"/>
      <c r="Y308"/>
      <c r="Z308"/>
    </row>
    <row r="309" spans="1:26" x14ac:dyDescent="0.2">
      <c r="A309" s="44">
        <v>385</v>
      </c>
      <c r="B309" s="15" t="s">
        <v>995</v>
      </c>
      <c r="C309" s="14">
        <v>2</v>
      </c>
      <c r="D309" s="36">
        <v>1</v>
      </c>
      <c r="E309" s="36">
        <v>1</v>
      </c>
      <c r="F309" s="36">
        <v>173</v>
      </c>
      <c r="G309" s="36">
        <v>167</v>
      </c>
      <c r="H309" s="36">
        <v>1</v>
      </c>
      <c r="I309" s="37">
        <f t="shared" si="18"/>
        <v>1</v>
      </c>
      <c r="J309" s="37">
        <f t="shared" si="19"/>
        <v>0.96531791907514453</v>
      </c>
      <c r="K309"/>
      <c r="L309"/>
      <c r="M309"/>
      <c r="N309"/>
      <c r="O309"/>
      <c r="P309"/>
      <c r="Q309"/>
      <c r="T309"/>
      <c r="U309"/>
      <c r="Y309"/>
      <c r="Z309"/>
    </row>
    <row r="310" spans="1:26" x14ac:dyDescent="0.2">
      <c r="A310" s="43">
        <v>408</v>
      </c>
      <c r="B310" s="13" t="s">
        <v>1279</v>
      </c>
      <c r="C310" s="33">
        <v>2</v>
      </c>
      <c r="D310" s="34">
        <v>0</v>
      </c>
      <c r="E310" s="34">
        <v>0</v>
      </c>
      <c r="F310" s="34">
        <v>149</v>
      </c>
      <c r="G310" s="34">
        <v>149</v>
      </c>
      <c r="H310" s="34">
        <v>0</v>
      </c>
      <c r="I310" s="35" t="str">
        <f t="shared" si="18"/>
        <v>-</v>
      </c>
      <c r="J310" s="35">
        <f t="shared" si="19"/>
        <v>1</v>
      </c>
      <c r="K310"/>
      <c r="L310"/>
      <c r="M310"/>
      <c r="N310"/>
      <c r="O310"/>
      <c r="P310"/>
      <c r="Q310"/>
      <c r="T310"/>
      <c r="U310"/>
      <c r="Y310"/>
      <c r="Z310"/>
    </row>
    <row r="311" spans="1:26" x14ac:dyDescent="0.2">
      <c r="A311" s="44">
        <v>413</v>
      </c>
      <c r="B311" s="15" t="s">
        <v>1162</v>
      </c>
      <c r="C311" s="14">
        <v>2</v>
      </c>
      <c r="D311" s="36">
        <v>0</v>
      </c>
      <c r="E311" s="36">
        <v>0</v>
      </c>
      <c r="F311" s="36">
        <v>313</v>
      </c>
      <c r="G311" s="36">
        <v>306</v>
      </c>
      <c r="H311" s="36">
        <v>0</v>
      </c>
      <c r="I311" s="37" t="str">
        <f t="shared" si="18"/>
        <v>-</v>
      </c>
      <c r="J311" s="37">
        <f t="shared" si="19"/>
        <v>0.97763578274760388</v>
      </c>
      <c r="K311"/>
      <c r="L311"/>
      <c r="M311"/>
      <c r="N311"/>
      <c r="O311"/>
      <c r="P311"/>
      <c r="Q311"/>
      <c r="T311"/>
      <c r="U311"/>
      <c r="Y311"/>
      <c r="Z311"/>
    </row>
    <row r="312" spans="1:26" x14ac:dyDescent="0.2">
      <c r="A312" s="44">
        <v>419</v>
      </c>
      <c r="B312" s="15" t="s">
        <v>1226</v>
      </c>
      <c r="C312" s="14">
        <v>2</v>
      </c>
      <c r="D312" s="36">
        <v>0</v>
      </c>
      <c r="E312" s="36">
        <v>0</v>
      </c>
      <c r="F312" s="36">
        <v>319</v>
      </c>
      <c r="G312" s="36">
        <v>317</v>
      </c>
      <c r="H312" s="36">
        <v>0</v>
      </c>
      <c r="I312" s="37" t="str">
        <f t="shared" si="18"/>
        <v>-</v>
      </c>
      <c r="J312" s="37">
        <f t="shared" si="19"/>
        <v>0.99373040752351094</v>
      </c>
      <c r="K312"/>
      <c r="L312"/>
      <c r="M312"/>
      <c r="N312"/>
      <c r="O312"/>
      <c r="P312"/>
      <c r="Q312"/>
      <c r="T312"/>
      <c r="U312"/>
      <c r="Y312"/>
      <c r="Z312"/>
    </row>
    <row r="313" spans="1:26" x14ac:dyDescent="0.2">
      <c r="A313" s="44">
        <v>427</v>
      </c>
      <c r="B313" s="15" t="s">
        <v>1364</v>
      </c>
      <c r="C313" s="14">
        <v>2</v>
      </c>
      <c r="D313" s="36">
        <v>0</v>
      </c>
      <c r="E313" s="36">
        <v>0</v>
      </c>
      <c r="F313" s="36">
        <v>48</v>
      </c>
      <c r="G313" s="36">
        <v>48</v>
      </c>
      <c r="H313" s="36">
        <v>0</v>
      </c>
      <c r="I313" s="37" t="str">
        <f t="shared" si="18"/>
        <v>-</v>
      </c>
      <c r="J313" s="37">
        <f t="shared" si="19"/>
        <v>1</v>
      </c>
      <c r="K313"/>
      <c r="L313"/>
      <c r="M313"/>
      <c r="N313"/>
      <c r="O313"/>
      <c r="P313"/>
      <c r="Q313"/>
      <c r="T313"/>
      <c r="U313"/>
      <c r="Y313"/>
      <c r="Z313"/>
    </row>
    <row r="314" spans="1:26" x14ac:dyDescent="0.2">
      <c r="A314" s="44">
        <v>429</v>
      </c>
      <c r="B314" s="15" t="s">
        <v>1246</v>
      </c>
      <c r="C314" s="14">
        <v>2</v>
      </c>
      <c r="D314" s="36">
        <v>0</v>
      </c>
      <c r="E314" s="36">
        <v>0</v>
      </c>
      <c r="F314" s="36">
        <v>193</v>
      </c>
      <c r="G314" s="36">
        <v>193</v>
      </c>
      <c r="H314" s="36">
        <v>0</v>
      </c>
      <c r="I314" s="37" t="str">
        <f t="shared" si="18"/>
        <v>-</v>
      </c>
      <c r="J314" s="37">
        <f t="shared" si="19"/>
        <v>1</v>
      </c>
      <c r="K314"/>
      <c r="L314"/>
      <c r="M314"/>
      <c r="N314"/>
      <c r="O314"/>
      <c r="P314"/>
      <c r="Q314"/>
      <c r="T314"/>
      <c r="U314"/>
      <c r="Y314"/>
      <c r="Z314"/>
    </row>
    <row r="315" spans="1:26" x14ac:dyDescent="0.2">
      <c r="A315" s="43">
        <v>432</v>
      </c>
      <c r="B315" s="13" t="s">
        <v>1202</v>
      </c>
      <c r="C315" s="33">
        <v>2</v>
      </c>
      <c r="D315" s="34">
        <v>0</v>
      </c>
      <c r="E315" s="34">
        <v>0</v>
      </c>
      <c r="F315" s="34">
        <v>404</v>
      </c>
      <c r="G315" s="34">
        <v>402</v>
      </c>
      <c r="H315" s="34">
        <v>0</v>
      </c>
      <c r="I315" s="35" t="str">
        <f t="shared" si="18"/>
        <v>-</v>
      </c>
      <c r="J315" s="35">
        <f t="shared" si="19"/>
        <v>0.99504950495049505</v>
      </c>
      <c r="K315"/>
      <c r="L315"/>
      <c r="M315"/>
      <c r="N315"/>
      <c r="O315"/>
      <c r="P315"/>
      <c r="Q315"/>
      <c r="T315"/>
      <c r="U315"/>
      <c r="Y315"/>
      <c r="Z315"/>
    </row>
    <row r="316" spans="1:26" x14ac:dyDescent="0.2">
      <c r="A316" s="44">
        <v>435</v>
      </c>
      <c r="B316" s="15" t="s">
        <v>1259</v>
      </c>
      <c r="C316" s="14">
        <v>2</v>
      </c>
      <c r="D316" s="36">
        <v>0</v>
      </c>
      <c r="E316" s="36">
        <v>0</v>
      </c>
      <c r="F316" s="36">
        <v>178</v>
      </c>
      <c r="G316" s="36">
        <v>172</v>
      </c>
      <c r="H316" s="36">
        <v>0</v>
      </c>
      <c r="I316" s="37" t="str">
        <f t="shared" si="18"/>
        <v>-</v>
      </c>
      <c r="J316" s="37">
        <f t="shared" si="19"/>
        <v>0.9662921348314607</v>
      </c>
      <c r="K316"/>
      <c r="L316"/>
      <c r="M316"/>
      <c r="N316"/>
      <c r="O316"/>
      <c r="P316"/>
      <c r="Q316"/>
      <c r="T316"/>
      <c r="U316"/>
      <c r="Y316"/>
      <c r="Z316"/>
    </row>
    <row r="317" spans="1:26" x14ac:dyDescent="0.2">
      <c r="A317" s="43">
        <v>440</v>
      </c>
      <c r="B317" s="13" t="s">
        <v>1161</v>
      </c>
      <c r="C317" s="33">
        <v>2</v>
      </c>
      <c r="D317" s="34">
        <v>0</v>
      </c>
      <c r="E317" s="34">
        <v>0</v>
      </c>
      <c r="F317" s="34">
        <v>337</v>
      </c>
      <c r="G317" s="34">
        <v>333</v>
      </c>
      <c r="H317" s="34">
        <v>0</v>
      </c>
      <c r="I317" s="35" t="str">
        <f t="shared" si="18"/>
        <v>-</v>
      </c>
      <c r="J317" s="35">
        <f t="shared" si="19"/>
        <v>0.98813056379821962</v>
      </c>
      <c r="K317"/>
      <c r="L317"/>
      <c r="M317"/>
      <c r="N317"/>
      <c r="O317"/>
      <c r="P317"/>
      <c r="Q317"/>
      <c r="T317"/>
      <c r="U317"/>
      <c r="Y317"/>
      <c r="Z317"/>
    </row>
    <row r="318" spans="1:26" x14ac:dyDescent="0.2">
      <c r="A318" s="44">
        <v>449</v>
      </c>
      <c r="B318" s="15" t="s">
        <v>1304</v>
      </c>
      <c r="C318" s="14">
        <v>2</v>
      </c>
      <c r="D318" s="36">
        <v>0</v>
      </c>
      <c r="E318" s="36">
        <v>0</v>
      </c>
      <c r="F318" s="36">
        <v>101</v>
      </c>
      <c r="G318" s="36">
        <v>101</v>
      </c>
      <c r="H318" s="36">
        <v>0</v>
      </c>
      <c r="I318" s="37" t="str">
        <f t="shared" si="18"/>
        <v>-</v>
      </c>
      <c r="J318" s="37">
        <f t="shared" si="19"/>
        <v>1</v>
      </c>
      <c r="K318"/>
      <c r="L318"/>
      <c r="M318"/>
      <c r="N318"/>
      <c r="O318"/>
      <c r="P318"/>
      <c r="Q318"/>
      <c r="T318"/>
      <c r="U318"/>
      <c r="Y318"/>
      <c r="Z318"/>
    </row>
    <row r="319" spans="1:26" x14ac:dyDescent="0.2">
      <c r="A319" s="44">
        <v>455</v>
      </c>
      <c r="B319" s="15" t="s">
        <v>1213</v>
      </c>
      <c r="C319" s="14">
        <v>2</v>
      </c>
      <c r="D319" s="36">
        <v>0</v>
      </c>
      <c r="E319" s="36">
        <v>0</v>
      </c>
      <c r="F319" s="36">
        <v>18</v>
      </c>
      <c r="G319" s="36">
        <v>18</v>
      </c>
      <c r="H319" s="36">
        <v>0</v>
      </c>
      <c r="I319" s="37" t="str">
        <f t="shared" si="18"/>
        <v>-</v>
      </c>
      <c r="J319" s="37">
        <f t="shared" si="19"/>
        <v>1</v>
      </c>
      <c r="K319"/>
      <c r="L319"/>
      <c r="M319"/>
      <c r="N319"/>
      <c r="O319"/>
      <c r="P319"/>
      <c r="Q319"/>
      <c r="T319"/>
      <c r="U319"/>
      <c r="Y319"/>
      <c r="Z319"/>
    </row>
    <row r="320" spans="1:26" x14ac:dyDescent="0.2">
      <c r="A320" s="43">
        <v>466</v>
      </c>
      <c r="B320" s="13" t="s">
        <v>1324</v>
      </c>
      <c r="C320" s="33">
        <v>2</v>
      </c>
      <c r="D320" s="34">
        <v>0</v>
      </c>
      <c r="E320" s="34">
        <v>0</v>
      </c>
      <c r="F320" s="34">
        <v>78</v>
      </c>
      <c r="G320" s="34">
        <v>93</v>
      </c>
      <c r="H320" s="34">
        <v>0</v>
      </c>
      <c r="I320" s="35" t="str">
        <f t="shared" si="18"/>
        <v>-</v>
      </c>
      <c r="J320" s="35">
        <f t="shared" si="19"/>
        <v>1.1923076923076923</v>
      </c>
      <c r="K320"/>
      <c r="L320"/>
      <c r="M320"/>
      <c r="N320"/>
      <c r="O320"/>
      <c r="P320"/>
      <c r="Q320"/>
      <c r="T320"/>
      <c r="U320"/>
      <c r="Y320"/>
      <c r="Z320"/>
    </row>
    <row r="321" spans="1:26" x14ac:dyDescent="0.2">
      <c r="A321" s="43">
        <v>468</v>
      </c>
      <c r="B321" s="13" t="s">
        <v>1234</v>
      </c>
      <c r="C321" s="33">
        <v>2</v>
      </c>
      <c r="D321" s="34">
        <v>0</v>
      </c>
      <c r="E321" s="34">
        <v>0</v>
      </c>
      <c r="F321" s="34">
        <v>307</v>
      </c>
      <c r="G321" s="34">
        <v>308</v>
      </c>
      <c r="H321" s="34">
        <v>0</v>
      </c>
      <c r="I321" s="35" t="str">
        <f t="shared" si="18"/>
        <v>-</v>
      </c>
      <c r="J321" s="35">
        <f t="shared" si="19"/>
        <v>1.003257328990228</v>
      </c>
      <c r="K321"/>
      <c r="L321"/>
      <c r="M321"/>
      <c r="N321"/>
      <c r="O321"/>
      <c r="P321"/>
      <c r="Q321"/>
      <c r="T321"/>
      <c r="U321"/>
      <c r="Y321"/>
      <c r="Z321"/>
    </row>
    <row r="322" spans="1:26" x14ac:dyDescent="0.2">
      <c r="A322" s="44">
        <v>473</v>
      </c>
      <c r="B322" s="15" t="s">
        <v>1338</v>
      </c>
      <c r="C322" s="14">
        <v>2</v>
      </c>
      <c r="D322" s="36">
        <v>0</v>
      </c>
      <c r="E322" s="36">
        <v>0</v>
      </c>
      <c r="F322" s="36">
        <v>76</v>
      </c>
      <c r="G322" s="36">
        <v>77</v>
      </c>
      <c r="H322" s="36">
        <v>0</v>
      </c>
      <c r="I322" s="37" t="str">
        <f t="shared" si="18"/>
        <v>-</v>
      </c>
      <c r="J322" s="37">
        <f t="shared" si="19"/>
        <v>1.013157894736842</v>
      </c>
      <c r="K322"/>
      <c r="L322"/>
      <c r="M322"/>
      <c r="N322"/>
      <c r="O322"/>
      <c r="P322"/>
      <c r="Q322"/>
      <c r="T322"/>
      <c r="U322"/>
      <c r="Y322"/>
      <c r="Z322"/>
    </row>
    <row r="323" spans="1:26" x14ac:dyDescent="0.2">
      <c r="A323" s="44">
        <v>491</v>
      </c>
      <c r="B323" s="15" t="s">
        <v>1147</v>
      </c>
      <c r="C323" s="14">
        <v>2</v>
      </c>
      <c r="D323" s="36">
        <v>0</v>
      </c>
      <c r="E323" s="36">
        <v>0</v>
      </c>
      <c r="F323" s="36">
        <v>384</v>
      </c>
      <c r="G323" s="36">
        <v>365</v>
      </c>
      <c r="H323" s="36">
        <v>0</v>
      </c>
      <c r="I323" s="37" t="str">
        <f t="shared" si="18"/>
        <v>-</v>
      </c>
      <c r="J323" s="37">
        <f t="shared" si="19"/>
        <v>0.95052083333333337</v>
      </c>
      <c r="K323"/>
      <c r="L323"/>
      <c r="M323"/>
      <c r="N323"/>
      <c r="O323"/>
      <c r="P323"/>
      <c r="Q323"/>
      <c r="T323"/>
      <c r="U323"/>
      <c r="Y323"/>
      <c r="Z323"/>
    </row>
    <row r="324" spans="1:26" x14ac:dyDescent="0.2">
      <c r="A324" s="44">
        <v>499</v>
      </c>
      <c r="B324" s="15" t="s">
        <v>1329</v>
      </c>
      <c r="C324" s="14">
        <v>2</v>
      </c>
      <c r="D324" s="36">
        <v>0</v>
      </c>
      <c r="E324" s="36">
        <v>0</v>
      </c>
      <c r="F324" s="36">
        <v>76</v>
      </c>
      <c r="G324" s="36">
        <v>66</v>
      </c>
      <c r="H324" s="36">
        <v>0</v>
      </c>
      <c r="I324" s="37" t="str">
        <f t="shared" si="18"/>
        <v>-</v>
      </c>
      <c r="J324" s="37">
        <f t="shared" si="19"/>
        <v>0.86842105263157898</v>
      </c>
      <c r="K324"/>
      <c r="L324"/>
      <c r="M324"/>
      <c r="N324"/>
      <c r="O324"/>
      <c r="P324"/>
      <c r="Q324"/>
      <c r="T324"/>
      <c r="U324"/>
      <c r="Y324"/>
      <c r="Z324"/>
    </row>
    <row r="325" spans="1:26" x14ac:dyDescent="0.2">
      <c r="A325" s="44">
        <v>503</v>
      </c>
      <c r="B325" s="15" t="s">
        <v>1285</v>
      </c>
      <c r="C325" s="14">
        <v>2</v>
      </c>
      <c r="D325" s="36">
        <v>0</v>
      </c>
      <c r="E325" s="36">
        <v>0</v>
      </c>
      <c r="F325" s="36">
        <v>172</v>
      </c>
      <c r="G325" s="36">
        <v>168</v>
      </c>
      <c r="H325" s="36">
        <v>0</v>
      </c>
      <c r="I325" s="37" t="str">
        <f t="shared" si="18"/>
        <v>-</v>
      </c>
      <c r="J325" s="37">
        <f t="shared" si="19"/>
        <v>0.97674418604651159</v>
      </c>
      <c r="K325"/>
      <c r="L325"/>
      <c r="M325"/>
      <c r="N325"/>
      <c r="O325"/>
      <c r="P325"/>
      <c r="Q325"/>
      <c r="T325"/>
      <c r="U325"/>
      <c r="Y325"/>
      <c r="Z325"/>
    </row>
    <row r="326" spans="1:26" x14ac:dyDescent="0.2">
      <c r="A326" s="43">
        <v>506</v>
      </c>
      <c r="B326" s="13" t="s">
        <v>1201</v>
      </c>
      <c r="C326" s="33">
        <v>2</v>
      </c>
      <c r="D326" s="34">
        <v>0</v>
      </c>
      <c r="E326" s="34">
        <v>0</v>
      </c>
      <c r="F326" s="34">
        <v>255</v>
      </c>
      <c r="G326" s="34">
        <v>255</v>
      </c>
      <c r="H326" s="34">
        <v>0</v>
      </c>
      <c r="I326" s="35" t="str">
        <f t="shared" ref="I326:I389" si="20">IF(D326=0,"-",E326/D326)</f>
        <v>-</v>
      </c>
      <c r="J326" s="35">
        <f t="shared" ref="J326:J389" si="21">IF(F326=0,"-",G326/F326)</f>
        <v>1</v>
      </c>
      <c r="K326"/>
      <c r="L326"/>
      <c r="M326"/>
      <c r="N326"/>
      <c r="O326"/>
      <c r="P326"/>
      <c r="Q326"/>
      <c r="T326"/>
      <c r="U326"/>
      <c r="Y326"/>
      <c r="Z326"/>
    </row>
    <row r="327" spans="1:26" x14ac:dyDescent="0.2">
      <c r="A327" s="43">
        <v>512</v>
      </c>
      <c r="B327" s="13" t="s">
        <v>1144</v>
      </c>
      <c r="C327" s="33">
        <v>2</v>
      </c>
      <c r="D327" s="34">
        <v>0</v>
      </c>
      <c r="E327" s="34">
        <v>0</v>
      </c>
      <c r="F327" s="34">
        <v>565</v>
      </c>
      <c r="G327" s="34">
        <v>480</v>
      </c>
      <c r="H327" s="34">
        <v>0</v>
      </c>
      <c r="I327" s="35" t="str">
        <f t="shared" si="20"/>
        <v>-</v>
      </c>
      <c r="J327" s="35">
        <f t="shared" si="21"/>
        <v>0.84955752212389379</v>
      </c>
      <c r="K327"/>
      <c r="L327"/>
      <c r="M327"/>
      <c r="N327"/>
      <c r="O327"/>
      <c r="P327"/>
      <c r="Q327"/>
      <c r="T327"/>
      <c r="U327"/>
      <c r="Y327"/>
      <c r="Z327"/>
    </row>
    <row r="328" spans="1:26" x14ac:dyDescent="0.2">
      <c r="A328" s="44">
        <v>515</v>
      </c>
      <c r="B328" s="15" t="s">
        <v>1178</v>
      </c>
      <c r="C328" s="14">
        <v>2</v>
      </c>
      <c r="D328" s="36">
        <v>0</v>
      </c>
      <c r="E328" s="36">
        <v>0</v>
      </c>
      <c r="F328" s="36">
        <v>359</v>
      </c>
      <c r="G328" s="36">
        <v>355</v>
      </c>
      <c r="H328" s="36">
        <v>0</v>
      </c>
      <c r="I328" s="37" t="str">
        <f t="shared" si="20"/>
        <v>-</v>
      </c>
      <c r="J328" s="37">
        <f t="shared" si="21"/>
        <v>0.9888579387186629</v>
      </c>
      <c r="K328"/>
      <c r="L328"/>
      <c r="M328"/>
      <c r="N328"/>
      <c r="O328"/>
      <c r="P328"/>
      <c r="Q328"/>
      <c r="T328"/>
      <c r="U328"/>
      <c r="Y328"/>
      <c r="Z328"/>
    </row>
    <row r="329" spans="1:26" x14ac:dyDescent="0.2">
      <c r="A329" s="43">
        <v>516</v>
      </c>
      <c r="B329" s="13" t="s">
        <v>1380</v>
      </c>
      <c r="C329" s="33">
        <v>2</v>
      </c>
      <c r="D329" s="34">
        <v>0</v>
      </c>
      <c r="E329" s="34">
        <v>0</v>
      </c>
      <c r="F329" s="34">
        <v>56</v>
      </c>
      <c r="G329" s="34">
        <v>29</v>
      </c>
      <c r="H329" s="34">
        <v>0</v>
      </c>
      <c r="I329" s="35" t="str">
        <f t="shared" si="20"/>
        <v>-</v>
      </c>
      <c r="J329" s="35">
        <f t="shared" si="21"/>
        <v>0.5178571428571429</v>
      </c>
      <c r="K329"/>
      <c r="L329"/>
      <c r="M329"/>
      <c r="N329"/>
      <c r="O329"/>
      <c r="P329"/>
      <c r="Q329"/>
      <c r="T329"/>
      <c r="U329"/>
      <c r="Y329"/>
      <c r="Z329"/>
    </row>
    <row r="330" spans="1:26" x14ac:dyDescent="0.2">
      <c r="A330" s="44">
        <v>531</v>
      </c>
      <c r="B330" s="15" t="s">
        <v>1171</v>
      </c>
      <c r="C330" s="14">
        <v>2</v>
      </c>
      <c r="D330" s="36">
        <v>0</v>
      </c>
      <c r="E330" s="36">
        <v>0</v>
      </c>
      <c r="F330" s="36">
        <v>425</v>
      </c>
      <c r="G330" s="36">
        <v>423</v>
      </c>
      <c r="H330" s="36">
        <v>0</v>
      </c>
      <c r="I330" s="37" t="str">
        <f t="shared" si="20"/>
        <v>-</v>
      </c>
      <c r="J330" s="37">
        <f t="shared" si="21"/>
        <v>0.99529411764705877</v>
      </c>
      <c r="K330"/>
      <c r="L330"/>
      <c r="M330"/>
      <c r="N330"/>
      <c r="O330"/>
      <c r="P330"/>
      <c r="Q330"/>
      <c r="T330"/>
      <c r="U330"/>
      <c r="Y330"/>
      <c r="Z330"/>
    </row>
    <row r="331" spans="1:26" x14ac:dyDescent="0.2">
      <c r="A331" s="43">
        <v>536</v>
      </c>
      <c r="B331" s="13" t="s">
        <v>1280</v>
      </c>
      <c r="C331" s="33">
        <v>2</v>
      </c>
      <c r="D331" s="34">
        <v>0</v>
      </c>
      <c r="E331" s="34">
        <v>0</v>
      </c>
      <c r="F331" s="34">
        <v>169</v>
      </c>
      <c r="G331" s="34">
        <v>169</v>
      </c>
      <c r="H331" s="34">
        <v>0</v>
      </c>
      <c r="I331" s="35" t="str">
        <f t="shared" si="20"/>
        <v>-</v>
      </c>
      <c r="J331" s="35">
        <f t="shared" si="21"/>
        <v>1</v>
      </c>
      <c r="K331"/>
      <c r="L331"/>
      <c r="M331"/>
      <c r="N331"/>
      <c r="O331"/>
      <c r="P331"/>
      <c r="Q331"/>
      <c r="T331"/>
      <c r="U331"/>
      <c r="Y331"/>
      <c r="Z331"/>
    </row>
    <row r="332" spans="1:26" x14ac:dyDescent="0.2">
      <c r="A332" s="43">
        <v>538</v>
      </c>
      <c r="B332" s="13" t="s">
        <v>1215</v>
      </c>
      <c r="C332" s="33">
        <v>2</v>
      </c>
      <c r="D332" s="34">
        <v>0</v>
      </c>
      <c r="E332" s="34">
        <v>0</v>
      </c>
      <c r="F332" s="34">
        <v>204</v>
      </c>
      <c r="G332" s="34">
        <v>204</v>
      </c>
      <c r="H332" s="34">
        <v>0</v>
      </c>
      <c r="I332" s="35" t="str">
        <f t="shared" si="20"/>
        <v>-</v>
      </c>
      <c r="J332" s="35">
        <f t="shared" si="21"/>
        <v>1</v>
      </c>
      <c r="K332"/>
      <c r="L332"/>
      <c r="M332"/>
      <c r="N332"/>
      <c r="O332"/>
      <c r="P332"/>
      <c r="Q332"/>
      <c r="T332"/>
      <c r="U332"/>
      <c r="Y332"/>
      <c r="Z332"/>
    </row>
    <row r="333" spans="1:26" x14ac:dyDescent="0.2">
      <c r="A333" s="44">
        <v>1</v>
      </c>
      <c r="B333" s="15" t="s">
        <v>350</v>
      </c>
      <c r="C333" s="14">
        <v>1</v>
      </c>
      <c r="D333" s="36">
        <v>2171</v>
      </c>
      <c r="E333" s="36">
        <v>167</v>
      </c>
      <c r="F333" s="36">
        <v>0</v>
      </c>
      <c r="G333" s="36">
        <v>0</v>
      </c>
      <c r="H333" s="36">
        <v>9</v>
      </c>
      <c r="I333" s="37">
        <f t="shared" si="20"/>
        <v>7.6923076923076927E-2</v>
      </c>
      <c r="J333" s="37" t="str">
        <f t="shared" si="21"/>
        <v>-</v>
      </c>
      <c r="K333"/>
      <c r="L333"/>
      <c r="M333"/>
      <c r="N333"/>
      <c r="O333"/>
      <c r="P333"/>
      <c r="Q333"/>
      <c r="T333"/>
      <c r="U333"/>
      <c r="Y333"/>
      <c r="Z333"/>
    </row>
    <row r="334" spans="1:26" x14ac:dyDescent="0.2">
      <c r="A334" s="43">
        <v>4</v>
      </c>
      <c r="B334" s="13" t="s">
        <v>48</v>
      </c>
      <c r="C334" s="33">
        <v>1</v>
      </c>
      <c r="D334" s="34">
        <v>1792</v>
      </c>
      <c r="E334" s="34">
        <v>1615</v>
      </c>
      <c r="F334" s="34">
        <v>0</v>
      </c>
      <c r="G334" s="34">
        <v>0</v>
      </c>
      <c r="H334" s="34">
        <v>8</v>
      </c>
      <c r="I334" s="35">
        <f t="shared" si="20"/>
        <v>0.9012276785714286</v>
      </c>
      <c r="J334" s="35" t="str">
        <f t="shared" si="21"/>
        <v>-</v>
      </c>
      <c r="K334"/>
      <c r="L334"/>
      <c r="M334"/>
      <c r="N334"/>
      <c r="O334"/>
      <c r="P334"/>
      <c r="Q334"/>
      <c r="T334"/>
      <c r="U334"/>
      <c r="Y334"/>
      <c r="Z334"/>
    </row>
    <row r="335" spans="1:26" x14ac:dyDescent="0.2">
      <c r="A335" s="44">
        <v>29</v>
      </c>
      <c r="B335" s="15" t="s">
        <v>320</v>
      </c>
      <c r="C335" s="14">
        <v>1</v>
      </c>
      <c r="D335" s="36">
        <v>647</v>
      </c>
      <c r="E335" s="36">
        <v>183</v>
      </c>
      <c r="F335" s="36">
        <v>0</v>
      </c>
      <c r="G335" s="36">
        <v>0</v>
      </c>
      <c r="H335" s="36">
        <v>2</v>
      </c>
      <c r="I335" s="37">
        <f t="shared" si="20"/>
        <v>0.28284389489953632</v>
      </c>
      <c r="J335" s="37" t="str">
        <f t="shared" si="21"/>
        <v>-</v>
      </c>
      <c r="K335"/>
      <c r="L335"/>
      <c r="M335"/>
      <c r="N335"/>
      <c r="O335"/>
      <c r="P335"/>
      <c r="Q335"/>
      <c r="T335"/>
      <c r="U335"/>
      <c r="Y335"/>
      <c r="Z335"/>
    </row>
    <row r="336" spans="1:26" x14ac:dyDescent="0.2">
      <c r="A336" s="44">
        <v>41</v>
      </c>
      <c r="B336" s="15" t="s">
        <v>162</v>
      </c>
      <c r="C336" s="14">
        <v>1</v>
      </c>
      <c r="D336" s="36">
        <v>465</v>
      </c>
      <c r="E336" s="36">
        <v>358</v>
      </c>
      <c r="F336" s="36">
        <v>270</v>
      </c>
      <c r="G336" s="36">
        <v>263</v>
      </c>
      <c r="H336" s="36">
        <v>5</v>
      </c>
      <c r="I336" s="37">
        <f t="shared" si="20"/>
        <v>0.76989247311827957</v>
      </c>
      <c r="J336" s="37">
        <f t="shared" si="21"/>
        <v>0.97407407407407409</v>
      </c>
      <c r="K336"/>
      <c r="L336"/>
      <c r="M336"/>
      <c r="N336"/>
      <c r="O336"/>
      <c r="P336"/>
      <c r="Q336"/>
      <c r="T336"/>
      <c r="U336"/>
      <c r="Y336"/>
      <c r="Z336"/>
    </row>
    <row r="337" spans="1:26" x14ac:dyDescent="0.2">
      <c r="A337" s="44">
        <v>45</v>
      </c>
      <c r="B337" s="15" t="s">
        <v>137</v>
      </c>
      <c r="C337" s="14">
        <v>1</v>
      </c>
      <c r="D337" s="36">
        <v>426</v>
      </c>
      <c r="E337" s="36">
        <v>424</v>
      </c>
      <c r="F337" s="36">
        <v>0</v>
      </c>
      <c r="G337" s="36">
        <v>0</v>
      </c>
      <c r="H337" s="36">
        <v>3</v>
      </c>
      <c r="I337" s="37">
        <f t="shared" si="20"/>
        <v>0.99530516431924887</v>
      </c>
      <c r="J337" s="37" t="str">
        <f t="shared" si="21"/>
        <v>-</v>
      </c>
      <c r="K337"/>
      <c r="L337"/>
      <c r="M337"/>
      <c r="N337"/>
      <c r="O337"/>
      <c r="P337"/>
      <c r="Q337"/>
      <c r="T337"/>
      <c r="U337"/>
      <c r="Y337"/>
      <c r="Z337"/>
    </row>
    <row r="338" spans="1:26" x14ac:dyDescent="0.2">
      <c r="A338" s="44">
        <v>49</v>
      </c>
      <c r="B338" s="15" t="s">
        <v>121</v>
      </c>
      <c r="C338" s="14">
        <v>1</v>
      </c>
      <c r="D338" s="36">
        <v>401</v>
      </c>
      <c r="E338" s="36">
        <v>462</v>
      </c>
      <c r="F338" s="36">
        <v>0</v>
      </c>
      <c r="G338" s="36">
        <v>0</v>
      </c>
      <c r="H338" s="36">
        <v>3</v>
      </c>
      <c r="I338" s="37">
        <f t="shared" si="20"/>
        <v>1.1521197007481296</v>
      </c>
      <c r="J338" s="37" t="str">
        <f t="shared" si="21"/>
        <v>-</v>
      </c>
      <c r="K338"/>
      <c r="L338"/>
      <c r="M338"/>
      <c r="N338"/>
      <c r="O338"/>
      <c r="P338"/>
      <c r="Q338"/>
      <c r="T338"/>
      <c r="U338"/>
      <c r="Y338"/>
      <c r="Z338"/>
    </row>
    <row r="339" spans="1:26" x14ac:dyDescent="0.2">
      <c r="A339" s="43">
        <v>56</v>
      </c>
      <c r="B339" s="13" t="s">
        <v>158</v>
      </c>
      <c r="C339" s="33">
        <v>1</v>
      </c>
      <c r="D339" s="34">
        <v>365</v>
      </c>
      <c r="E339" s="34">
        <v>364</v>
      </c>
      <c r="F339" s="34">
        <v>313</v>
      </c>
      <c r="G339" s="34">
        <v>312</v>
      </c>
      <c r="H339" s="34">
        <v>4</v>
      </c>
      <c r="I339" s="35">
        <f t="shared" si="20"/>
        <v>0.99726027397260275</v>
      </c>
      <c r="J339" s="35">
        <f t="shared" si="21"/>
        <v>0.99680511182108622</v>
      </c>
      <c r="K339"/>
      <c r="L339"/>
      <c r="M339"/>
      <c r="N339"/>
      <c r="O339"/>
      <c r="P339"/>
      <c r="Q339"/>
      <c r="T339"/>
      <c r="U339"/>
      <c r="Y339"/>
      <c r="Z339"/>
    </row>
    <row r="340" spans="1:26" x14ac:dyDescent="0.2">
      <c r="A340" s="43">
        <v>68</v>
      </c>
      <c r="B340" s="13" t="s">
        <v>164</v>
      </c>
      <c r="C340" s="33">
        <v>1</v>
      </c>
      <c r="D340" s="34">
        <v>328</v>
      </c>
      <c r="E340" s="34">
        <v>357</v>
      </c>
      <c r="F340" s="34">
        <v>0</v>
      </c>
      <c r="G340" s="34">
        <v>0</v>
      </c>
      <c r="H340" s="34">
        <v>5</v>
      </c>
      <c r="I340" s="35">
        <f t="shared" si="20"/>
        <v>1.0884146341463414</v>
      </c>
      <c r="J340" s="35" t="str">
        <f t="shared" si="21"/>
        <v>-</v>
      </c>
      <c r="K340"/>
      <c r="L340"/>
      <c r="M340"/>
      <c r="N340"/>
      <c r="O340"/>
      <c r="P340"/>
      <c r="Q340"/>
      <c r="T340"/>
      <c r="U340"/>
      <c r="Y340"/>
      <c r="Z340"/>
    </row>
    <row r="341" spans="1:26" x14ac:dyDescent="0.2">
      <c r="A341" s="43">
        <v>74</v>
      </c>
      <c r="B341" s="13" t="s">
        <v>199</v>
      </c>
      <c r="C341" s="33">
        <v>1</v>
      </c>
      <c r="D341" s="34">
        <v>304</v>
      </c>
      <c r="E341" s="34">
        <v>309</v>
      </c>
      <c r="F341" s="34">
        <v>0</v>
      </c>
      <c r="G341" s="34">
        <v>0</v>
      </c>
      <c r="H341" s="34">
        <v>3</v>
      </c>
      <c r="I341" s="35">
        <f t="shared" si="20"/>
        <v>1.0164473684210527</v>
      </c>
      <c r="J341" s="35" t="str">
        <f t="shared" si="21"/>
        <v>-</v>
      </c>
      <c r="K341"/>
      <c r="L341"/>
      <c r="M341"/>
      <c r="N341"/>
      <c r="O341"/>
      <c r="P341"/>
      <c r="Q341"/>
      <c r="T341"/>
      <c r="U341"/>
      <c r="Y341"/>
      <c r="Z341"/>
    </row>
    <row r="342" spans="1:26" x14ac:dyDescent="0.2">
      <c r="A342" s="44">
        <v>83</v>
      </c>
      <c r="B342" s="15" t="s">
        <v>256</v>
      </c>
      <c r="C342" s="14">
        <v>1</v>
      </c>
      <c r="D342" s="36">
        <v>276</v>
      </c>
      <c r="E342" s="36">
        <v>236</v>
      </c>
      <c r="F342" s="36">
        <v>0</v>
      </c>
      <c r="G342" s="36">
        <v>0</v>
      </c>
      <c r="H342" s="36">
        <v>3</v>
      </c>
      <c r="I342" s="37">
        <f t="shared" si="20"/>
        <v>0.85507246376811596</v>
      </c>
      <c r="J342" s="37" t="str">
        <f t="shared" si="21"/>
        <v>-</v>
      </c>
      <c r="K342"/>
      <c r="L342"/>
      <c r="M342"/>
      <c r="N342"/>
      <c r="O342"/>
      <c r="P342"/>
      <c r="Q342"/>
      <c r="T342"/>
      <c r="U342"/>
      <c r="Y342"/>
      <c r="Z342"/>
    </row>
    <row r="343" spans="1:26" x14ac:dyDescent="0.2">
      <c r="A343" s="44">
        <v>87</v>
      </c>
      <c r="B343" s="15" t="s">
        <v>231</v>
      </c>
      <c r="C343" s="14">
        <v>1</v>
      </c>
      <c r="D343" s="36">
        <v>270</v>
      </c>
      <c r="E343" s="36">
        <v>270</v>
      </c>
      <c r="F343" s="36">
        <v>0</v>
      </c>
      <c r="G343" s="36">
        <v>0</v>
      </c>
      <c r="H343" s="36">
        <v>2</v>
      </c>
      <c r="I343" s="37">
        <f t="shared" si="20"/>
        <v>1</v>
      </c>
      <c r="J343" s="37" t="str">
        <f t="shared" si="21"/>
        <v>-</v>
      </c>
      <c r="K343"/>
      <c r="L343"/>
      <c r="M343"/>
      <c r="N343"/>
      <c r="O343"/>
      <c r="P343"/>
      <c r="Q343"/>
      <c r="T343"/>
      <c r="U343"/>
      <c r="Y343"/>
      <c r="Z343"/>
    </row>
    <row r="344" spans="1:26" x14ac:dyDescent="0.2">
      <c r="A344" s="43">
        <v>90</v>
      </c>
      <c r="B344" s="13" t="s">
        <v>246</v>
      </c>
      <c r="C344" s="33">
        <v>1</v>
      </c>
      <c r="D344" s="34">
        <v>260</v>
      </c>
      <c r="E344" s="34">
        <v>254</v>
      </c>
      <c r="F344" s="34">
        <v>0</v>
      </c>
      <c r="G344" s="34">
        <v>0</v>
      </c>
      <c r="H344" s="34">
        <v>2</v>
      </c>
      <c r="I344" s="35">
        <f t="shared" si="20"/>
        <v>0.97692307692307689</v>
      </c>
      <c r="J344" s="35" t="str">
        <f t="shared" si="21"/>
        <v>-</v>
      </c>
      <c r="K344"/>
      <c r="L344"/>
      <c r="M344"/>
      <c r="N344"/>
      <c r="O344"/>
      <c r="P344"/>
      <c r="Q344"/>
      <c r="T344"/>
      <c r="U344"/>
      <c r="Y344"/>
      <c r="Z344"/>
    </row>
    <row r="345" spans="1:26" x14ac:dyDescent="0.2">
      <c r="A345" s="43">
        <v>96</v>
      </c>
      <c r="B345" s="13" t="s">
        <v>277</v>
      </c>
      <c r="C345" s="33">
        <v>1</v>
      </c>
      <c r="D345" s="34">
        <v>244</v>
      </c>
      <c r="E345" s="34">
        <v>222</v>
      </c>
      <c r="F345" s="34">
        <v>0</v>
      </c>
      <c r="G345" s="34">
        <v>0</v>
      </c>
      <c r="H345" s="34">
        <v>2</v>
      </c>
      <c r="I345" s="35">
        <f t="shared" si="20"/>
        <v>0.9098360655737705</v>
      </c>
      <c r="J345" s="35" t="str">
        <f t="shared" si="21"/>
        <v>-</v>
      </c>
      <c r="K345"/>
      <c r="L345"/>
      <c r="M345"/>
      <c r="N345"/>
      <c r="O345"/>
      <c r="P345"/>
      <c r="Q345"/>
      <c r="T345"/>
      <c r="U345"/>
      <c r="Y345"/>
      <c r="Z345"/>
    </row>
    <row r="346" spans="1:26" x14ac:dyDescent="0.2">
      <c r="A346" s="43">
        <v>98</v>
      </c>
      <c r="B346" s="13" t="s">
        <v>272</v>
      </c>
      <c r="C346" s="33">
        <v>1</v>
      </c>
      <c r="D346" s="34">
        <v>228</v>
      </c>
      <c r="E346" s="34">
        <v>228</v>
      </c>
      <c r="F346" s="34">
        <v>0</v>
      </c>
      <c r="G346" s="34">
        <v>0</v>
      </c>
      <c r="H346" s="34">
        <v>4</v>
      </c>
      <c r="I346" s="35">
        <f t="shared" si="20"/>
        <v>1</v>
      </c>
      <c r="J346" s="35" t="str">
        <f t="shared" si="21"/>
        <v>-</v>
      </c>
      <c r="K346"/>
      <c r="L346"/>
      <c r="M346"/>
      <c r="N346"/>
      <c r="O346"/>
      <c r="P346"/>
      <c r="Q346"/>
      <c r="T346"/>
      <c r="U346"/>
      <c r="Y346"/>
      <c r="Z346"/>
    </row>
    <row r="347" spans="1:26" x14ac:dyDescent="0.2">
      <c r="A347" s="43">
        <v>118</v>
      </c>
      <c r="B347" s="13" t="s">
        <v>301</v>
      </c>
      <c r="C347" s="33">
        <v>1</v>
      </c>
      <c r="D347" s="34">
        <v>199</v>
      </c>
      <c r="E347" s="34">
        <v>200</v>
      </c>
      <c r="F347" s="34">
        <v>0</v>
      </c>
      <c r="G347" s="34">
        <v>0</v>
      </c>
      <c r="H347" s="34">
        <v>3</v>
      </c>
      <c r="I347" s="35">
        <f t="shared" si="20"/>
        <v>1.0050251256281406</v>
      </c>
      <c r="J347" s="35" t="str">
        <f t="shared" si="21"/>
        <v>-</v>
      </c>
      <c r="K347"/>
      <c r="L347"/>
      <c r="M347"/>
      <c r="N347"/>
      <c r="O347"/>
      <c r="P347"/>
      <c r="Q347"/>
      <c r="T347"/>
      <c r="U347"/>
      <c r="Y347"/>
      <c r="Z347"/>
    </row>
    <row r="348" spans="1:26" x14ac:dyDescent="0.2">
      <c r="A348" s="43">
        <v>122</v>
      </c>
      <c r="B348" s="13" t="s">
        <v>397</v>
      </c>
      <c r="C348" s="33">
        <v>1</v>
      </c>
      <c r="D348" s="34">
        <v>196</v>
      </c>
      <c r="E348" s="34">
        <v>148</v>
      </c>
      <c r="F348" s="34">
        <v>0</v>
      </c>
      <c r="G348" s="34">
        <v>0</v>
      </c>
      <c r="H348" s="34">
        <v>4</v>
      </c>
      <c r="I348" s="35">
        <f t="shared" si="20"/>
        <v>0.75510204081632648</v>
      </c>
      <c r="J348" s="35" t="str">
        <f t="shared" si="21"/>
        <v>-</v>
      </c>
      <c r="K348"/>
      <c r="L348"/>
      <c r="M348"/>
      <c r="N348"/>
      <c r="O348"/>
      <c r="P348"/>
      <c r="Q348"/>
      <c r="T348"/>
      <c r="U348"/>
      <c r="Y348"/>
      <c r="Z348"/>
    </row>
    <row r="349" spans="1:26" x14ac:dyDescent="0.2">
      <c r="A349" s="44">
        <v>125</v>
      </c>
      <c r="B349" s="15" t="s">
        <v>415</v>
      </c>
      <c r="C349" s="14">
        <v>1</v>
      </c>
      <c r="D349" s="36">
        <v>185</v>
      </c>
      <c r="E349" s="36">
        <v>138</v>
      </c>
      <c r="F349" s="36">
        <v>0</v>
      </c>
      <c r="G349" s="36">
        <v>0</v>
      </c>
      <c r="H349" s="36">
        <v>2</v>
      </c>
      <c r="I349" s="37">
        <f t="shared" si="20"/>
        <v>0.74594594594594599</v>
      </c>
      <c r="J349" s="37" t="str">
        <f t="shared" si="21"/>
        <v>-</v>
      </c>
      <c r="K349"/>
      <c r="L349"/>
      <c r="M349"/>
      <c r="N349"/>
      <c r="O349"/>
      <c r="P349"/>
      <c r="Q349"/>
      <c r="T349"/>
      <c r="U349"/>
      <c r="Y349"/>
      <c r="Z349"/>
    </row>
    <row r="350" spans="1:26" x14ac:dyDescent="0.2">
      <c r="A350" s="44">
        <v>129</v>
      </c>
      <c r="B350" s="15" t="s">
        <v>511</v>
      </c>
      <c r="C350" s="14">
        <v>1</v>
      </c>
      <c r="D350" s="36">
        <v>174</v>
      </c>
      <c r="E350" s="36">
        <v>101</v>
      </c>
      <c r="F350" s="36">
        <v>0</v>
      </c>
      <c r="G350" s="36">
        <v>0</v>
      </c>
      <c r="H350" s="36">
        <v>1</v>
      </c>
      <c r="I350" s="37">
        <f t="shared" si="20"/>
        <v>0.58045977011494254</v>
      </c>
      <c r="J350" s="37" t="str">
        <f t="shared" si="21"/>
        <v>-</v>
      </c>
      <c r="K350"/>
      <c r="L350"/>
      <c r="M350"/>
      <c r="N350"/>
      <c r="O350"/>
      <c r="P350"/>
      <c r="Q350"/>
      <c r="T350"/>
      <c r="U350"/>
      <c r="Y350"/>
      <c r="Z350"/>
    </row>
    <row r="351" spans="1:26" x14ac:dyDescent="0.2">
      <c r="A351" s="44">
        <v>133</v>
      </c>
      <c r="B351" s="15" t="s">
        <v>347</v>
      </c>
      <c r="C351" s="14">
        <v>1</v>
      </c>
      <c r="D351" s="36">
        <v>170</v>
      </c>
      <c r="E351" s="36">
        <v>170</v>
      </c>
      <c r="F351" s="36">
        <v>0</v>
      </c>
      <c r="G351" s="36">
        <v>0</v>
      </c>
      <c r="H351" s="36">
        <v>7</v>
      </c>
      <c r="I351" s="37">
        <f t="shared" si="20"/>
        <v>1</v>
      </c>
      <c r="J351" s="37" t="str">
        <f t="shared" si="21"/>
        <v>-</v>
      </c>
      <c r="K351"/>
      <c r="L351"/>
      <c r="M351"/>
      <c r="N351"/>
      <c r="O351"/>
      <c r="P351"/>
      <c r="Q351"/>
      <c r="T351"/>
      <c r="U351"/>
      <c r="Y351"/>
      <c r="Z351"/>
    </row>
    <row r="352" spans="1:26" x14ac:dyDescent="0.2">
      <c r="A352" s="43">
        <v>134</v>
      </c>
      <c r="B352" s="13" t="s">
        <v>396</v>
      </c>
      <c r="C352" s="33">
        <v>1</v>
      </c>
      <c r="D352" s="34">
        <v>163</v>
      </c>
      <c r="E352" s="34">
        <v>149</v>
      </c>
      <c r="F352" s="34">
        <v>0</v>
      </c>
      <c r="G352" s="34">
        <v>0</v>
      </c>
      <c r="H352" s="34">
        <v>2</v>
      </c>
      <c r="I352" s="35">
        <f t="shared" si="20"/>
        <v>0.91411042944785281</v>
      </c>
      <c r="J352" s="35" t="str">
        <f t="shared" si="21"/>
        <v>-</v>
      </c>
      <c r="K352"/>
      <c r="L352"/>
      <c r="M352"/>
      <c r="N352"/>
      <c r="O352"/>
      <c r="P352"/>
      <c r="Q352"/>
      <c r="T352"/>
      <c r="U352"/>
      <c r="Y352"/>
      <c r="Z352"/>
    </row>
    <row r="353" spans="1:26" x14ac:dyDescent="0.2">
      <c r="A353" s="43">
        <v>136</v>
      </c>
      <c r="B353" s="13" t="s">
        <v>357</v>
      </c>
      <c r="C353" s="33">
        <v>1</v>
      </c>
      <c r="D353" s="34">
        <v>158</v>
      </c>
      <c r="E353" s="34">
        <v>165</v>
      </c>
      <c r="F353" s="34">
        <v>0</v>
      </c>
      <c r="G353" s="34">
        <v>0</v>
      </c>
      <c r="H353" s="34">
        <v>2</v>
      </c>
      <c r="I353" s="35">
        <f t="shared" si="20"/>
        <v>1.0443037974683544</v>
      </c>
      <c r="J353" s="35" t="str">
        <f t="shared" si="21"/>
        <v>-</v>
      </c>
      <c r="K353"/>
      <c r="L353"/>
      <c r="M353"/>
      <c r="N353"/>
      <c r="O353"/>
      <c r="P353"/>
      <c r="Q353"/>
      <c r="T353"/>
      <c r="U353"/>
      <c r="Y353"/>
      <c r="Z353"/>
    </row>
    <row r="354" spans="1:26" x14ac:dyDescent="0.2">
      <c r="A354" s="43">
        <v>144</v>
      </c>
      <c r="B354" s="13" t="s">
        <v>657</v>
      </c>
      <c r="C354" s="33">
        <v>1</v>
      </c>
      <c r="D354" s="34">
        <v>150</v>
      </c>
      <c r="E354" s="34">
        <v>64</v>
      </c>
      <c r="F354" s="34">
        <v>0</v>
      </c>
      <c r="G354" s="34">
        <v>0</v>
      </c>
      <c r="H354" s="34">
        <v>2</v>
      </c>
      <c r="I354" s="35">
        <f t="shared" si="20"/>
        <v>0.42666666666666669</v>
      </c>
      <c r="J354" s="35" t="str">
        <f t="shared" si="21"/>
        <v>-</v>
      </c>
      <c r="K354"/>
      <c r="L354"/>
      <c r="M354"/>
      <c r="N354"/>
      <c r="O354"/>
      <c r="P354"/>
      <c r="Q354"/>
      <c r="T354"/>
      <c r="U354"/>
      <c r="Y354"/>
      <c r="Z354"/>
    </row>
    <row r="355" spans="1:26" x14ac:dyDescent="0.2">
      <c r="A355" s="44">
        <v>145</v>
      </c>
      <c r="B355" s="15" t="s">
        <v>400</v>
      </c>
      <c r="C355" s="14">
        <v>1</v>
      </c>
      <c r="D355" s="36">
        <v>148</v>
      </c>
      <c r="E355" s="36">
        <v>148</v>
      </c>
      <c r="F355" s="36">
        <v>0</v>
      </c>
      <c r="G355" s="36">
        <v>0</v>
      </c>
      <c r="H355" s="36">
        <v>4</v>
      </c>
      <c r="I355" s="37">
        <f t="shared" si="20"/>
        <v>1</v>
      </c>
      <c r="J355" s="37" t="str">
        <f t="shared" si="21"/>
        <v>-</v>
      </c>
      <c r="K355"/>
      <c r="L355"/>
      <c r="M355"/>
      <c r="N355"/>
      <c r="O355"/>
      <c r="P355"/>
      <c r="Q355"/>
      <c r="T355"/>
      <c r="U355"/>
      <c r="Y355"/>
      <c r="Z355"/>
    </row>
    <row r="356" spans="1:26" x14ac:dyDescent="0.2">
      <c r="A356" s="43">
        <v>148</v>
      </c>
      <c r="B356" s="13" t="s">
        <v>406</v>
      </c>
      <c r="C356" s="33">
        <v>1</v>
      </c>
      <c r="D356" s="34">
        <v>140</v>
      </c>
      <c r="E356" s="34">
        <v>145</v>
      </c>
      <c r="F356" s="34">
        <v>0</v>
      </c>
      <c r="G356" s="34">
        <v>0</v>
      </c>
      <c r="H356" s="34">
        <v>1</v>
      </c>
      <c r="I356" s="35">
        <f t="shared" si="20"/>
        <v>1.0357142857142858</v>
      </c>
      <c r="J356" s="35" t="str">
        <f t="shared" si="21"/>
        <v>-</v>
      </c>
      <c r="K356"/>
      <c r="L356"/>
      <c r="M356"/>
      <c r="N356"/>
      <c r="O356"/>
      <c r="P356"/>
      <c r="Q356"/>
      <c r="T356"/>
      <c r="U356"/>
      <c r="Y356"/>
      <c r="Z356"/>
    </row>
    <row r="357" spans="1:26" x14ac:dyDescent="0.2">
      <c r="A357" s="44">
        <v>149</v>
      </c>
      <c r="B357" s="15" t="s">
        <v>409</v>
      </c>
      <c r="C357" s="14">
        <v>1</v>
      </c>
      <c r="D357" s="36">
        <v>138</v>
      </c>
      <c r="E357" s="36">
        <v>143</v>
      </c>
      <c r="F357" s="36">
        <v>0</v>
      </c>
      <c r="G357" s="36">
        <v>0</v>
      </c>
      <c r="H357" s="36">
        <v>2</v>
      </c>
      <c r="I357" s="37">
        <f t="shared" si="20"/>
        <v>1.036231884057971</v>
      </c>
      <c r="J357" s="37" t="str">
        <f t="shared" si="21"/>
        <v>-</v>
      </c>
      <c r="K357"/>
      <c r="L357"/>
      <c r="M357"/>
      <c r="N357"/>
      <c r="O357"/>
      <c r="P357"/>
      <c r="Q357"/>
      <c r="T357"/>
      <c r="U357"/>
      <c r="Y357"/>
      <c r="Z357"/>
    </row>
    <row r="358" spans="1:26" x14ac:dyDescent="0.2">
      <c r="A358" s="44">
        <v>151</v>
      </c>
      <c r="B358" s="15" t="s">
        <v>577</v>
      </c>
      <c r="C358" s="14">
        <v>1</v>
      </c>
      <c r="D358" s="36">
        <v>136</v>
      </c>
      <c r="E358" s="36">
        <v>83</v>
      </c>
      <c r="F358" s="36">
        <v>0</v>
      </c>
      <c r="G358" s="36">
        <v>0</v>
      </c>
      <c r="H358" s="36">
        <v>1</v>
      </c>
      <c r="I358" s="37">
        <f t="shared" si="20"/>
        <v>0.61029411764705888</v>
      </c>
      <c r="J358" s="37" t="str">
        <f t="shared" si="21"/>
        <v>-</v>
      </c>
      <c r="K358"/>
      <c r="L358"/>
      <c r="M358"/>
      <c r="N358"/>
      <c r="O358"/>
      <c r="P358"/>
      <c r="Q358"/>
      <c r="T358"/>
      <c r="U358"/>
      <c r="Y358"/>
      <c r="Z358"/>
    </row>
    <row r="359" spans="1:26" x14ac:dyDescent="0.2">
      <c r="A359" s="44">
        <v>153</v>
      </c>
      <c r="B359" s="15" t="s">
        <v>418</v>
      </c>
      <c r="C359" s="14">
        <v>1</v>
      </c>
      <c r="D359" s="36">
        <v>132</v>
      </c>
      <c r="E359" s="36">
        <v>132</v>
      </c>
      <c r="F359" s="36">
        <v>0</v>
      </c>
      <c r="G359" s="36">
        <v>0</v>
      </c>
      <c r="H359" s="36">
        <v>2</v>
      </c>
      <c r="I359" s="37">
        <f t="shared" si="20"/>
        <v>1</v>
      </c>
      <c r="J359" s="37" t="str">
        <f t="shared" si="21"/>
        <v>-</v>
      </c>
      <c r="K359"/>
      <c r="L359"/>
      <c r="M359"/>
      <c r="N359"/>
      <c r="O359"/>
      <c r="P359"/>
      <c r="Q359"/>
      <c r="T359"/>
      <c r="U359"/>
      <c r="Y359"/>
      <c r="Z359"/>
    </row>
    <row r="360" spans="1:26" x14ac:dyDescent="0.2">
      <c r="A360" s="43">
        <v>158</v>
      </c>
      <c r="B360" s="13" t="s">
        <v>404</v>
      </c>
      <c r="C360" s="33">
        <v>1</v>
      </c>
      <c r="D360" s="34">
        <v>127</v>
      </c>
      <c r="E360" s="34">
        <v>145</v>
      </c>
      <c r="F360" s="34">
        <v>114</v>
      </c>
      <c r="G360" s="34">
        <v>114</v>
      </c>
      <c r="H360" s="34">
        <v>3</v>
      </c>
      <c r="I360" s="35">
        <f t="shared" si="20"/>
        <v>1.1417322834645669</v>
      </c>
      <c r="J360" s="35">
        <f t="shared" si="21"/>
        <v>1</v>
      </c>
      <c r="K360"/>
      <c r="L360"/>
      <c r="M360"/>
      <c r="N360"/>
      <c r="O360"/>
      <c r="P360"/>
      <c r="Q360"/>
      <c r="T360"/>
      <c r="U360"/>
      <c r="Y360"/>
      <c r="Z360"/>
    </row>
    <row r="361" spans="1:26" x14ac:dyDescent="0.2">
      <c r="A361" s="44">
        <v>159</v>
      </c>
      <c r="B361" s="15" t="s">
        <v>413</v>
      </c>
      <c r="C361" s="14">
        <v>1</v>
      </c>
      <c r="D361" s="36">
        <v>126</v>
      </c>
      <c r="E361" s="36">
        <v>139</v>
      </c>
      <c r="F361" s="36">
        <v>0</v>
      </c>
      <c r="G361" s="36">
        <v>0</v>
      </c>
      <c r="H361" s="36">
        <v>3</v>
      </c>
      <c r="I361" s="37">
        <f t="shared" si="20"/>
        <v>1.1031746031746033</v>
      </c>
      <c r="J361" s="37" t="str">
        <f t="shared" si="21"/>
        <v>-</v>
      </c>
      <c r="K361"/>
      <c r="L361"/>
      <c r="M361"/>
      <c r="N361"/>
      <c r="O361"/>
      <c r="P361"/>
      <c r="Q361"/>
      <c r="T361"/>
      <c r="U361"/>
      <c r="Y361"/>
      <c r="Z361"/>
    </row>
    <row r="362" spans="1:26" x14ac:dyDescent="0.2">
      <c r="A362" s="44">
        <v>161</v>
      </c>
      <c r="B362" s="15" t="s">
        <v>533</v>
      </c>
      <c r="C362" s="14">
        <v>1</v>
      </c>
      <c r="D362" s="36">
        <v>125</v>
      </c>
      <c r="E362" s="36">
        <v>96</v>
      </c>
      <c r="F362" s="36">
        <v>0</v>
      </c>
      <c r="G362" s="36">
        <v>0</v>
      </c>
      <c r="H362" s="36">
        <v>1</v>
      </c>
      <c r="I362" s="37">
        <f t="shared" si="20"/>
        <v>0.76800000000000002</v>
      </c>
      <c r="J362" s="37" t="str">
        <f t="shared" si="21"/>
        <v>-</v>
      </c>
      <c r="K362"/>
      <c r="L362"/>
      <c r="M362"/>
      <c r="N362"/>
      <c r="O362"/>
      <c r="P362"/>
      <c r="Q362"/>
      <c r="T362"/>
      <c r="U362"/>
      <c r="Y362"/>
      <c r="Z362"/>
    </row>
    <row r="363" spans="1:26" x14ac:dyDescent="0.2">
      <c r="A363" s="44">
        <v>167</v>
      </c>
      <c r="B363" s="15" t="s">
        <v>767</v>
      </c>
      <c r="C363" s="14">
        <v>1</v>
      </c>
      <c r="D363" s="36">
        <v>122</v>
      </c>
      <c r="E363" s="36">
        <v>48</v>
      </c>
      <c r="F363" s="36">
        <v>0</v>
      </c>
      <c r="G363" s="36">
        <v>0</v>
      </c>
      <c r="H363" s="36">
        <v>1</v>
      </c>
      <c r="I363" s="37">
        <f t="shared" si="20"/>
        <v>0.39344262295081966</v>
      </c>
      <c r="J363" s="37" t="str">
        <f t="shared" si="21"/>
        <v>-</v>
      </c>
      <c r="K363"/>
      <c r="L363"/>
      <c r="M363"/>
      <c r="N363"/>
      <c r="O363"/>
      <c r="P363"/>
      <c r="Q363"/>
      <c r="T363"/>
      <c r="U363"/>
      <c r="Y363"/>
      <c r="Z363"/>
    </row>
    <row r="364" spans="1:26" x14ac:dyDescent="0.2">
      <c r="A364" s="43">
        <v>170</v>
      </c>
      <c r="B364" s="13" t="s">
        <v>599</v>
      </c>
      <c r="C364" s="33">
        <v>1</v>
      </c>
      <c r="D364" s="34">
        <v>119</v>
      </c>
      <c r="E364" s="34">
        <v>78</v>
      </c>
      <c r="F364" s="34">
        <v>0</v>
      </c>
      <c r="G364" s="34">
        <v>0</v>
      </c>
      <c r="H364" s="34">
        <v>2</v>
      </c>
      <c r="I364" s="35">
        <f t="shared" si="20"/>
        <v>0.65546218487394958</v>
      </c>
      <c r="J364" s="35" t="str">
        <f t="shared" si="21"/>
        <v>-</v>
      </c>
      <c r="K364"/>
      <c r="L364"/>
      <c r="M364"/>
      <c r="N364"/>
      <c r="O364"/>
      <c r="P364"/>
      <c r="Q364"/>
      <c r="T364"/>
      <c r="U364"/>
      <c r="Y364"/>
      <c r="Z364"/>
    </row>
    <row r="365" spans="1:26" x14ac:dyDescent="0.2">
      <c r="A365" s="43">
        <v>174</v>
      </c>
      <c r="B365" s="13" t="s">
        <v>504</v>
      </c>
      <c r="C365" s="33">
        <v>1</v>
      </c>
      <c r="D365" s="34">
        <v>114</v>
      </c>
      <c r="E365" s="34">
        <v>102</v>
      </c>
      <c r="F365" s="34">
        <v>0</v>
      </c>
      <c r="G365" s="34">
        <v>0</v>
      </c>
      <c r="H365" s="34">
        <v>3</v>
      </c>
      <c r="I365" s="35">
        <f t="shared" si="20"/>
        <v>0.89473684210526316</v>
      </c>
      <c r="J365" s="35" t="str">
        <f t="shared" si="21"/>
        <v>-</v>
      </c>
      <c r="K365"/>
      <c r="L365"/>
      <c r="M365"/>
      <c r="N365"/>
      <c r="O365"/>
      <c r="P365"/>
      <c r="Q365"/>
      <c r="T365"/>
      <c r="U365"/>
      <c r="Y365"/>
      <c r="Z365"/>
    </row>
    <row r="366" spans="1:26" x14ac:dyDescent="0.2">
      <c r="A366" s="44">
        <v>175</v>
      </c>
      <c r="B366" s="15" t="s">
        <v>487</v>
      </c>
      <c r="C366" s="14">
        <v>1</v>
      </c>
      <c r="D366" s="36">
        <v>111</v>
      </c>
      <c r="E366" s="36">
        <v>111</v>
      </c>
      <c r="F366" s="36">
        <v>0</v>
      </c>
      <c r="G366" s="36">
        <v>0</v>
      </c>
      <c r="H366" s="36">
        <v>2</v>
      </c>
      <c r="I366" s="37">
        <f t="shared" si="20"/>
        <v>1</v>
      </c>
      <c r="J366" s="37" t="str">
        <f t="shared" si="21"/>
        <v>-</v>
      </c>
      <c r="K366"/>
      <c r="L366"/>
      <c r="M366"/>
      <c r="N366"/>
      <c r="O366"/>
      <c r="P366"/>
      <c r="Q366"/>
      <c r="T366"/>
      <c r="U366"/>
      <c r="Y366"/>
      <c r="Z366"/>
    </row>
    <row r="367" spans="1:26" x14ac:dyDescent="0.2">
      <c r="A367" s="44">
        <v>179</v>
      </c>
      <c r="B367" s="15" t="s">
        <v>527</v>
      </c>
      <c r="C367" s="14">
        <v>1</v>
      </c>
      <c r="D367" s="36">
        <v>108</v>
      </c>
      <c r="E367" s="36">
        <v>99</v>
      </c>
      <c r="F367" s="36">
        <v>0</v>
      </c>
      <c r="G367" s="36">
        <v>0</v>
      </c>
      <c r="H367" s="36">
        <v>2</v>
      </c>
      <c r="I367" s="37">
        <f t="shared" si="20"/>
        <v>0.91666666666666663</v>
      </c>
      <c r="J367" s="37" t="str">
        <f t="shared" si="21"/>
        <v>-</v>
      </c>
      <c r="K367"/>
      <c r="L367"/>
      <c r="M367"/>
      <c r="N367"/>
      <c r="O367"/>
      <c r="P367"/>
      <c r="Q367"/>
      <c r="T367"/>
      <c r="U367"/>
      <c r="Y367"/>
      <c r="Z367"/>
    </row>
    <row r="368" spans="1:26" x14ac:dyDescent="0.2">
      <c r="A368" s="43">
        <v>180</v>
      </c>
      <c r="B368" s="13" t="s">
        <v>656</v>
      </c>
      <c r="C368" s="33">
        <v>1</v>
      </c>
      <c r="D368" s="34">
        <v>107</v>
      </c>
      <c r="E368" s="34">
        <v>65</v>
      </c>
      <c r="F368" s="34">
        <v>0</v>
      </c>
      <c r="G368" s="34">
        <v>0</v>
      </c>
      <c r="H368" s="34">
        <v>1</v>
      </c>
      <c r="I368" s="35">
        <f t="shared" si="20"/>
        <v>0.60747663551401865</v>
      </c>
      <c r="J368" s="35" t="str">
        <f t="shared" si="21"/>
        <v>-</v>
      </c>
      <c r="K368"/>
      <c r="L368"/>
      <c r="M368"/>
      <c r="N368"/>
      <c r="O368"/>
      <c r="P368"/>
      <c r="Q368"/>
      <c r="T368"/>
      <c r="U368"/>
      <c r="Y368"/>
      <c r="Z368"/>
    </row>
    <row r="369" spans="1:26" x14ac:dyDescent="0.2">
      <c r="A369" s="44">
        <v>181</v>
      </c>
      <c r="B369" s="15" t="s">
        <v>559</v>
      </c>
      <c r="C369" s="14">
        <v>1</v>
      </c>
      <c r="D369" s="36">
        <v>106</v>
      </c>
      <c r="E369" s="36">
        <v>90</v>
      </c>
      <c r="F369" s="36">
        <v>102</v>
      </c>
      <c r="G369" s="36">
        <v>102</v>
      </c>
      <c r="H369" s="36">
        <v>2</v>
      </c>
      <c r="I369" s="37">
        <f t="shared" si="20"/>
        <v>0.84905660377358494</v>
      </c>
      <c r="J369" s="37">
        <f t="shared" si="21"/>
        <v>1</v>
      </c>
      <c r="K369"/>
      <c r="L369"/>
      <c r="M369"/>
      <c r="N369"/>
      <c r="O369"/>
      <c r="P369"/>
      <c r="Q369"/>
      <c r="T369"/>
      <c r="U369"/>
      <c r="Y369"/>
      <c r="Z369"/>
    </row>
    <row r="370" spans="1:26" x14ac:dyDescent="0.2">
      <c r="A370" s="43">
        <v>184</v>
      </c>
      <c r="B370" s="13" t="s">
        <v>650</v>
      </c>
      <c r="C370" s="33">
        <v>1</v>
      </c>
      <c r="D370" s="34">
        <v>104</v>
      </c>
      <c r="E370" s="34">
        <v>67</v>
      </c>
      <c r="F370" s="34">
        <v>0</v>
      </c>
      <c r="G370" s="34">
        <v>0</v>
      </c>
      <c r="H370" s="34">
        <v>2</v>
      </c>
      <c r="I370" s="35">
        <f t="shared" si="20"/>
        <v>0.64423076923076927</v>
      </c>
      <c r="J370" s="35" t="str">
        <f t="shared" si="21"/>
        <v>-</v>
      </c>
      <c r="K370"/>
      <c r="L370"/>
      <c r="M370"/>
      <c r="N370"/>
      <c r="O370"/>
      <c r="P370"/>
      <c r="Q370"/>
      <c r="T370"/>
      <c r="U370"/>
      <c r="Y370"/>
      <c r="Z370"/>
    </row>
    <row r="371" spans="1:26" x14ac:dyDescent="0.2">
      <c r="A371" s="44">
        <v>187</v>
      </c>
      <c r="B371" s="15" t="s">
        <v>526</v>
      </c>
      <c r="C371" s="14">
        <v>1</v>
      </c>
      <c r="D371" s="36">
        <v>102</v>
      </c>
      <c r="E371" s="36">
        <v>99</v>
      </c>
      <c r="F371" s="36">
        <v>0</v>
      </c>
      <c r="G371" s="36">
        <v>0</v>
      </c>
      <c r="H371" s="36">
        <v>1</v>
      </c>
      <c r="I371" s="37">
        <f t="shared" si="20"/>
        <v>0.97058823529411764</v>
      </c>
      <c r="J371" s="37" t="str">
        <f t="shared" si="21"/>
        <v>-</v>
      </c>
      <c r="K371"/>
      <c r="L371"/>
      <c r="M371"/>
      <c r="N371"/>
      <c r="O371"/>
      <c r="P371"/>
      <c r="Q371"/>
      <c r="T371"/>
      <c r="U371"/>
      <c r="Y371"/>
      <c r="Z371"/>
    </row>
    <row r="372" spans="1:26" x14ac:dyDescent="0.2">
      <c r="A372" s="43">
        <v>188</v>
      </c>
      <c r="B372" s="13" t="s">
        <v>465</v>
      </c>
      <c r="C372" s="33">
        <v>1</v>
      </c>
      <c r="D372" s="34">
        <v>101</v>
      </c>
      <c r="E372" s="34">
        <v>116</v>
      </c>
      <c r="F372" s="34">
        <v>147</v>
      </c>
      <c r="G372" s="34">
        <v>144</v>
      </c>
      <c r="H372" s="34">
        <v>2</v>
      </c>
      <c r="I372" s="35">
        <f t="shared" si="20"/>
        <v>1.1485148514851484</v>
      </c>
      <c r="J372" s="35">
        <f t="shared" si="21"/>
        <v>0.97959183673469385</v>
      </c>
      <c r="K372"/>
      <c r="L372"/>
      <c r="M372"/>
      <c r="N372"/>
      <c r="O372"/>
      <c r="P372"/>
      <c r="Q372"/>
      <c r="T372"/>
      <c r="U372"/>
      <c r="Y372"/>
      <c r="Z372"/>
    </row>
    <row r="373" spans="1:26" x14ac:dyDescent="0.2">
      <c r="A373" s="44">
        <v>191</v>
      </c>
      <c r="B373" s="15" t="s">
        <v>518</v>
      </c>
      <c r="C373" s="14">
        <v>1</v>
      </c>
      <c r="D373" s="36">
        <v>100</v>
      </c>
      <c r="E373" s="36">
        <v>100</v>
      </c>
      <c r="F373" s="36">
        <v>0</v>
      </c>
      <c r="G373" s="36">
        <v>0</v>
      </c>
      <c r="H373" s="36">
        <v>1</v>
      </c>
      <c r="I373" s="37">
        <f t="shared" si="20"/>
        <v>1</v>
      </c>
      <c r="J373" s="37" t="str">
        <f t="shared" si="21"/>
        <v>-</v>
      </c>
      <c r="K373"/>
      <c r="L373"/>
      <c r="M373"/>
      <c r="N373"/>
      <c r="O373"/>
      <c r="P373"/>
      <c r="Q373"/>
      <c r="T373"/>
      <c r="U373"/>
      <c r="Y373"/>
      <c r="Z373"/>
    </row>
    <row r="374" spans="1:26" x14ac:dyDescent="0.2">
      <c r="A374" s="44">
        <v>193</v>
      </c>
      <c r="B374" s="15" t="s">
        <v>521</v>
      </c>
      <c r="C374" s="14">
        <v>1</v>
      </c>
      <c r="D374" s="36">
        <v>100</v>
      </c>
      <c r="E374" s="36">
        <v>100</v>
      </c>
      <c r="F374" s="36">
        <v>0</v>
      </c>
      <c r="G374" s="36">
        <v>0</v>
      </c>
      <c r="H374" s="36">
        <v>4</v>
      </c>
      <c r="I374" s="37">
        <f t="shared" si="20"/>
        <v>1</v>
      </c>
      <c r="J374" s="37" t="str">
        <f t="shared" si="21"/>
        <v>-</v>
      </c>
      <c r="K374"/>
      <c r="L374"/>
      <c r="M374"/>
      <c r="N374"/>
      <c r="O374"/>
      <c r="P374"/>
      <c r="Q374"/>
      <c r="T374"/>
      <c r="U374"/>
      <c r="Y374"/>
      <c r="Z374"/>
    </row>
    <row r="375" spans="1:26" x14ac:dyDescent="0.2">
      <c r="A375" s="43">
        <v>194</v>
      </c>
      <c r="B375" s="13" t="s">
        <v>497</v>
      </c>
      <c r="C375" s="33">
        <v>1</v>
      </c>
      <c r="D375" s="34">
        <v>100</v>
      </c>
      <c r="E375" s="34">
        <v>106</v>
      </c>
      <c r="F375" s="34">
        <v>0</v>
      </c>
      <c r="G375" s="34">
        <v>0</v>
      </c>
      <c r="H375" s="34">
        <v>1</v>
      </c>
      <c r="I375" s="35">
        <f t="shared" si="20"/>
        <v>1.06</v>
      </c>
      <c r="J375" s="35" t="str">
        <f t="shared" si="21"/>
        <v>-</v>
      </c>
      <c r="K375"/>
      <c r="L375"/>
      <c r="M375"/>
      <c r="N375"/>
      <c r="O375"/>
      <c r="P375"/>
      <c r="Q375"/>
      <c r="T375"/>
      <c r="U375"/>
      <c r="Y375"/>
      <c r="Z375"/>
    </row>
    <row r="376" spans="1:26" x14ac:dyDescent="0.2">
      <c r="A376" s="44">
        <v>195</v>
      </c>
      <c r="B376" s="15" t="s">
        <v>921</v>
      </c>
      <c r="C376" s="14">
        <v>1</v>
      </c>
      <c r="D376" s="36">
        <v>97</v>
      </c>
      <c r="E376" s="36">
        <v>22</v>
      </c>
      <c r="F376" s="36">
        <v>0</v>
      </c>
      <c r="G376" s="36">
        <v>0</v>
      </c>
      <c r="H376" s="36">
        <v>4</v>
      </c>
      <c r="I376" s="37">
        <f t="shared" si="20"/>
        <v>0.22680412371134021</v>
      </c>
      <c r="J376" s="37" t="str">
        <f t="shared" si="21"/>
        <v>-</v>
      </c>
      <c r="K376"/>
      <c r="L376"/>
      <c r="M376"/>
      <c r="N376"/>
      <c r="O376"/>
      <c r="P376"/>
      <c r="Q376"/>
      <c r="T376"/>
      <c r="U376"/>
      <c r="Y376"/>
      <c r="Z376"/>
    </row>
    <row r="377" spans="1:26" x14ac:dyDescent="0.2">
      <c r="A377" s="43">
        <v>196</v>
      </c>
      <c r="B377" s="13" t="s">
        <v>561</v>
      </c>
      <c r="C377" s="33">
        <v>1</v>
      </c>
      <c r="D377" s="34">
        <v>96</v>
      </c>
      <c r="E377" s="34">
        <v>90</v>
      </c>
      <c r="F377" s="34">
        <v>0</v>
      </c>
      <c r="G377" s="34">
        <v>0</v>
      </c>
      <c r="H377" s="34">
        <v>1</v>
      </c>
      <c r="I377" s="35">
        <f t="shared" si="20"/>
        <v>0.9375</v>
      </c>
      <c r="J377" s="35" t="str">
        <f t="shared" si="21"/>
        <v>-</v>
      </c>
      <c r="K377"/>
      <c r="L377"/>
      <c r="M377"/>
      <c r="N377"/>
      <c r="O377"/>
      <c r="P377"/>
      <c r="Q377"/>
      <c r="T377"/>
      <c r="U377"/>
      <c r="Y377"/>
      <c r="Z377"/>
    </row>
    <row r="378" spans="1:26" x14ac:dyDescent="0.2">
      <c r="A378" s="43">
        <v>198</v>
      </c>
      <c r="B378" s="13" t="s">
        <v>491</v>
      </c>
      <c r="C378" s="33">
        <v>1</v>
      </c>
      <c r="D378" s="34">
        <v>96</v>
      </c>
      <c r="E378" s="34">
        <v>109</v>
      </c>
      <c r="F378" s="34">
        <v>0</v>
      </c>
      <c r="G378" s="34">
        <v>0</v>
      </c>
      <c r="H378" s="34">
        <v>1</v>
      </c>
      <c r="I378" s="35">
        <f t="shared" si="20"/>
        <v>1.1354166666666667</v>
      </c>
      <c r="J378" s="35" t="str">
        <f t="shared" si="21"/>
        <v>-</v>
      </c>
      <c r="K378"/>
      <c r="L378"/>
      <c r="M378"/>
      <c r="N378"/>
      <c r="O378"/>
      <c r="P378"/>
      <c r="Q378"/>
      <c r="T378"/>
      <c r="U378"/>
      <c r="Y378"/>
      <c r="Z378"/>
    </row>
    <row r="379" spans="1:26" x14ac:dyDescent="0.2">
      <c r="A379" s="43">
        <v>200</v>
      </c>
      <c r="B379" s="13" t="s">
        <v>648</v>
      </c>
      <c r="C379" s="33">
        <v>1</v>
      </c>
      <c r="D379" s="34">
        <v>94</v>
      </c>
      <c r="E379" s="34">
        <v>67</v>
      </c>
      <c r="F379" s="34">
        <v>0</v>
      </c>
      <c r="G379" s="34">
        <v>0</v>
      </c>
      <c r="H379" s="34">
        <v>2</v>
      </c>
      <c r="I379" s="35">
        <f t="shared" si="20"/>
        <v>0.71276595744680848</v>
      </c>
      <c r="J379" s="35" t="str">
        <f t="shared" si="21"/>
        <v>-</v>
      </c>
      <c r="K379"/>
      <c r="L379"/>
      <c r="M379"/>
      <c r="N379"/>
      <c r="O379"/>
      <c r="P379"/>
      <c r="Q379"/>
      <c r="T379"/>
      <c r="U379"/>
      <c r="Y379"/>
      <c r="Z379"/>
    </row>
    <row r="380" spans="1:26" x14ac:dyDescent="0.2">
      <c r="A380" s="44">
        <v>203</v>
      </c>
      <c r="B380" s="15" t="s">
        <v>624</v>
      </c>
      <c r="C380" s="14">
        <v>1</v>
      </c>
      <c r="D380" s="36">
        <v>89</v>
      </c>
      <c r="E380" s="36">
        <v>74</v>
      </c>
      <c r="F380" s="36">
        <v>0</v>
      </c>
      <c r="G380" s="36">
        <v>0</v>
      </c>
      <c r="H380" s="36">
        <v>1</v>
      </c>
      <c r="I380" s="37">
        <f t="shared" si="20"/>
        <v>0.8314606741573034</v>
      </c>
      <c r="J380" s="37" t="str">
        <f t="shared" si="21"/>
        <v>-</v>
      </c>
      <c r="K380"/>
      <c r="L380"/>
      <c r="M380"/>
      <c r="N380"/>
      <c r="O380"/>
      <c r="P380"/>
      <c r="Q380"/>
      <c r="T380"/>
      <c r="U380"/>
      <c r="Y380"/>
      <c r="Z380"/>
    </row>
    <row r="381" spans="1:26" x14ac:dyDescent="0.2">
      <c r="A381" s="43">
        <v>206</v>
      </c>
      <c r="B381" s="13" t="s">
        <v>568</v>
      </c>
      <c r="C381" s="33">
        <v>1</v>
      </c>
      <c r="D381" s="34">
        <v>86</v>
      </c>
      <c r="E381" s="34">
        <v>86</v>
      </c>
      <c r="F381" s="34">
        <v>0</v>
      </c>
      <c r="G381" s="34">
        <v>0</v>
      </c>
      <c r="H381" s="34">
        <v>3</v>
      </c>
      <c r="I381" s="35">
        <f t="shared" si="20"/>
        <v>1</v>
      </c>
      <c r="J381" s="35" t="str">
        <f t="shared" si="21"/>
        <v>-</v>
      </c>
      <c r="K381"/>
      <c r="L381"/>
      <c r="M381"/>
      <c r="N381"/>
      <c r="O381"/>
      <c r="P381"/>
      <c r="Q381"/>
      <c r="T381"/>
      <c r="U381"/>
      <c r="Y381"/>
      <c r="Z381"/>
    </row>
    <row r="382" spans="1:26" x14ac:dyDescent="0.2">
      <c r="A382" s="44">
        <v>211</v>
      </c>
      <c r="B382" s="15" t="s">
        <v>438</v>
      </c>
      <c r="C382" s="14">
        <v>1</v>
      </c>
      <c r="D382" s="36">
        <v>81</v>
      </c>
      <c r="E382" s="36">
        <v>124</v>
      </c>
      <c r="F382" s="36">
        <v>0</v>
      </c>
      <c r="G382" s="36">
        <v>0</v>
      </c>
      <c r="H382" s="36">
        <v>1</v>
      </c>
      <c r="I382" s="37">
        <f t="shared" si="20"/>
        <v>1.5308641975308641</v>
      </c>
      <c r="J382" s="37" t="str">
        <f t="shared" si="21"/>
        <v>-</v>
      </c>
      <c r="K382"/>
      <c r="L382"/>
      <c r="M382"/>
      <c r="N382"/>
      <c r="O382"/>
      <c r="P382"/>
      <c r="Q382"/>
      <c r="T382"/>
      <c r="U382"/>
      <c r="Y382"/>
      <c r="Z382"/>
    </row>
    <row r="383" spans="1:26" x14ac:dyDescent="0.2">
      <c r="A383" s="43">
        <v>218</v>
      </c>
      <c r="B383" s="13" t="s">
        <v>638</v>
      </c>
      <c r="C383" s="33">
        <v>1</v>
      </c>
      <c r="D383" s="34">
        <v>76</v>
      </c>
      <c r="E383" s="34">
        <v>69</v>
      </c>
      <c r="F383" s="34">
        <v>0</v>
      </c>
      <c r="G383" s="34">
        <v>0</v>
      </c>
      <c r="H383" s="34">
        <v>1</v>
      </c>
      <c r="I383" s="35">
        <f t="shared" si="20"/>
        <v>0.90789473684210531</v>
      </c>
      <c r="J383" s="35" t="str">
        <f t="shared" si="21"/>
        <v>-</v>
      </c>
      <c r="K383"/>
      <c r="L383"/>
      <c r="M383"/>
      <c r="N383"/>
      <c r="O383"/>
      <c r="P383"/>
      <c r="Q383"/>
      <c r="T383"/>
      <c r="U383"/>
      <c r="Y383"/>
      <c r="Z383"/>
    </row>
    <row r="384" spans="1:26" x14ac:dyDescent="0.2">
      <c r="A384" s="44">
        <v>219</v>
      </c>
      <c r="B384" s="15" t="s">
        <v>710</v>
      </c>
      <c r="C384" s="14">
        <v>1</v>
      </c>
      <c r="D384" s="36">
        <v>76</v>
      </c>
      <c r="E384" s="36">
        <v>53</v>
      </c>
      <c r="F384" s="36">
        <v>0</v>
      </c>
      <c r="G384" s="36">
        <v>0</v>
      </c>
      <c r="H384" s="36">
        <v>1</v>
      </c>
      <c r="I384" s="37">
        <f t="shared" si="20"/>
        <v>0.69736842105263153</v>
      </c>
      <c r="J384" s="37" t="str">
        <f t="shared" si="21"/>
        <v>-</v>
      </c>
      <c r="K384"/>
      <c r="L384"/>
      <c r="M384"/>
      <c r="N384"/>
      <c r="O384"/>
      <c r="P384"/>
      <c r="Q384"/>
      <c r="T384"/>
      <c r="U384"/>
      <c r="Y384"/>
      <c r="Z384"/>
    </row>
    <row r="385" spans="1:26" x14ac:dyDescent="0.2">
      <c r="A385" s="44">
        <v>223</v>
      </c>
      <c r="B385" s="15" t="s">
        <v>747</v>
      </c>
      <c r="C385" s="14">
        <v>1</v>
      </c>
      <c r="D385" s="36">
        <v>75</v>
      </c>
      <c r="E385" s="36">
        <v>50</v>
      </c>
      <c r="F385" s="36">
        <v>0</v>
      </c>
      <c r="G385" s="36">
        <v>0</v>
      </c>
      <c r="H385" s="36">
        <v>2</v>
      </c>
      <c r="I385" s="37">
        <f t="shared" si="20"/>
        <v>0.66666666666666663</v>
      </c>
      <c r="J385" s="37" t="str">
        <f t="shared" si="21"/>
        <v>-</v>
      </c>
      <c r="K385"/>
      <c r="L385"/>
      <c r="M385"/>
      <c r="N385"/>
      <c r="O385"/>
      <c r="P385"/>
      <c r="Q385"/>
      <c r="T385"/>
      <c r="U385"/>
      <c r="Y385"/>
      <c r="Z385"/>
    </row>
    <row r="386" spans="1:26" x14ac:dyDescent="0.2">
      <c r="A386" s="44">
        <v>227</v>
      </c>
      <c r="B386" s="15" t="s">
        <v>621</v>
      </c>
      <c r="C386" s="14">
        <v>1</v>
      </c>
      <c r="D386" s="36">
        <v>74</v>
      </c>
      <c r="E386" s="36">
        <v>74</v>
      </c>
      <c r="F386" s="36">
        <v>0</v>
      </c>
      <c r="G386" s="36">
        <v>0</v>
      </c>
      <c r="H386" s="36">
        <v>2</v>
      </c>
      <c r="I386" s="37">
        <f t="shared" si="20"/>
        <v>1</v>
      </c>
      <c r="J386" s="37" t="str">
        <f t="shared" si="21"/>
        <v>-</v>
      </c>
      <c r="K386"/>
      <c r="L386"/>
      <c r="M386"/>
      <c r="N386"/>
      <c r="O386"/>
      <c r="P386"/>
      <c r="Q386"/>
      <c r="T386"/>
      <c r="U386"/>
      <c r="Y386"/>
      <c r="Z386"/>
    </row>
    <row r="387" spans="1:26" x14ac:dyDescent="0.2">
      <c r="A387" s="43">
        <v>228</v>
      </c>
      <c r="B387" s="13" t="s">
        <v>798</v>
      </c>
      <c r="C387" s="33">
        <v>1</v>
      </c>
      <c r="D387" s="34">
        <v>73</v>
      </c>
      <c r="E387" s="34">
        <v>43</v>
      </c>
      <c r="F387" s="34">
        <v>0</v>
      </c>
      <c r="G387" s="34">
        <v>0</v>
      </c>
      <c r="H387" s="34">
        <v>2</v>
      </c>
      <c r="I387" s="35">
        <f t="shared" si="20"/>
        <v>0.58904109589041098</v>
      </c>
      <c r="J387" s="35" t="str">
        <f t="shared" si="21"/>
        <v>-</v>
      </c>
      <c r="K387"/>
      <c r="L387"/>
      <c r="M387"/>
      <c r="N387"/>
      <c r="O387"/>
      <c r="P387"/>
      <c r="Q387"/>
      <c r="T387"/>
      <c r="U387"/>
      <c r="Y387"/>
      <c r="Z387"/>
    </row>
    <row r="388" spans="1:26" x14ac:dyDescent="0.2">
      <c r="A388" s="44">
        <v>229</v>
      </c>
      <c r="B388" s="15" t="s">
        <v>556</v>
      </c>
      <c r="C388" s="14">
        <v>1</v>
      </c>
      <c r="D388" s="36">
        <v>72</v>
      </c>
      <c r="E388" s="36">
        <v>91</v>
      </c>
      <c r="F388" s="36">
        <v>0</v>
      </c>
      <c r="G388" s="36">
        <v>0</v>
      </c>
      <c r="H388" s="36">
        <v>2</v>
      </c>
      <c r="I388" s="37">
        <f t="shared" si="20"/>
        <v>1.2638888888888888</v>
      </c>
      <c r="J388" s="37" t="str">
        <f t="shared" si="21"/>
        <v>-</v>
      </c>
      <c r="K388"/>
      <c r="L388"/>
      <c r="M388"/>
      <c r="N388"/>
      <c r="O388"/>
      <c r="P388"/>
      <c r="Q388"/>
      <c r="T388"/>
      <c r="U388"/>
      <c r="Y388"/>
      <c r="Z388"/>
    </row>
    <row r="389" spans="1:26" x14ac:dyDescent="0.2">
      <c r="A389" s="43">
        <v>234</v>
      </c>
      <c r="B389" s="13" t="s">
        <v>653</v>
      </c>
      <c r="C389" s="33">
        <v>1</v>
      </c>
      <c r="D389" s="34">
        <v>71</v>
      </c>
      <c r="E389" s="34">
        <v>67</v>
      </c>
      <c r="F389" s="34">
        <v>0</v>
      </c>
      <c r="G389" s="34">
        <v>0</v>
      </c>
      <c r="H389" s="34">
        <v>1</v>
      </c>
      <c r="I389" s="35">
        <f t="shared" si="20"/>
        <v>0.94366197183098588</v>
      </c>
      <c r="J389" s="35" t="str">
        <f t="shared" si="21"/>
        <v>-</v>
      </c>
      <c r="K389"/>
      <c r="L389"/>
      <c r="M389"/>
      <c r="N389"/>
      <c r="O389"/>
      <c r="P389"/>
      <c r="Q389"/>
      <c r="T389"/>
      <c r="U389"/>
      <c r="Y389"/>
      <c r="Z389"/>
    </row>
    <row r="390" spans="1:26" x14ac:dyDescent="0.2">
      <c r="A390" s="44">
        <v>235</v>
      </c>
      <c r="B390" s="15" t="s">
        <v>641</v>
      </c>
      <c r="C390" s="14">
        <v>1</v>
      </c>
      <c r="D390" s="36">
        <v>71</v>
      </c>
      <c r="E390" s="36">
        <v>68</v>
      </c>
      <c r="F390" s="36">
        <v>0</v>
      </c>
      <c r="G390" s="36">
        <v>0</v>
      </c>
      <c r="H390" s="36">
        <v>1</v>
      </c>
      <c r="I390" s="37">
        <f t="shared" ref="I390:I453" si="22">IF(D390=0,"-",E390/D390)</f>
        <v>0.95774647887323938</v>
      </c>
      <c r="J390" s="37" t="str">
        <f t="shared" ref="J390:J453" si="23">IF(F390=0,"-",G390/F390)</f>
        <v>-</v>
      </c>
      <c r="K390"/>
      <c r="L390"/>
      <c r="M390"/>
      <c r="N390"/>
      <c r="O390"/>
      <c r="P390"/>
      <c r="Q390"/>
      <c r="T390"/>
      <c r="U390"/>
      <c r="Y390"/>
      <c r="Z390"/>
    </row>
    <row r="391" spans="1:26" x14ac:dyDescent="0.2">
      <c r="A391" s="43">
        <v>240</v>
      </c>
      <c r="B391" s="13" t="s">
        <v>787</v>
      </c>
      <c r="C391" s="33">
        <v>1</v>
      </c>
      <c r="D391" s="34">
        <v>69</v>
      </c>
      <c r="E391" s="34">
        <v>45</v>
      </c>
      <c r="F391" s="34">
        <v>0</v>
      </c>
      <c r="G391" s="34">
        <v>0</v>
      </c>
      <c r="H391" s="34">
        <v>2</v>
      </c>
      <c r="I391" s="35">
        <f t="shared" si="22"/>
        <v>0.65217391304347827</v>
      </c>
      <c r="J391" s="35" t="str">
        <f t="shared" si="23"/>
        <v>-</v>
      </c>
      <c r="K391"/>
      <c r="L391"/>
      <c r="M391"/>
      <c r="N391"/>
      <c r="O391"/>
      <c r="P391"/>
      <c r="Q391"/>
      <c r="T391"/>
      <c r="U391"/>
      <c r="Y391"/>
      <c r="Z391"/>
    </row>
    <row r="392" spans="1:26" x14ac:dyDescent="0.2">
      <c r="A392" s="44">
        <v>241</v>
      </c>
      <c r="B392" s="15" t="s">
        <v>922</v>
      </c>
      <c r="C392" s="14">
        <v>1</v>
      </c>
      <c r="D392" s="36">
        <v>68</v>
      </c>
      <c r="E392" s="36">
        <v>22</v>
      </c>
      <c r="F392" s="36">
        <v>0</v>
      </c>
      <c r="G392" s="36">
        <v>0</v>
      </c>
      <c r="H392" s="36">
        <v>1</v>
      </c>
      <c r="I392" s="37">
        <f t="shared" si="22"/>
        <v>0.3235294117647059</v>
      </c>
      <c r="J392" s="37" t="str">
        <f t="shared" si="23"/>
        <v>-</v>
      </c>
      <c r="K392"/>
      <c r="L392"/>
      <c r="M392"/>
      <c r="N392"/>
      <c r="O392"/>
      <c r="P392"/>
      <c r="Q392"/>
      <c r="T392"/>
      <c r="U392"/>
      <c r="Y392"/>
      <c r="Z392"/>
    </row>
    <row r="393" spans="1:26" x14ac:dyDescent="0.2">
      <c r="A393" s="44">
        <v>243</v>
      </c>
      <c r="B393" s="15" t="s">
        <v>651</v>
      </c>
      <c r="C393" s="14">
        <v>1</v>
      </c>
      <c r="D393" s="36">
        <v>68</v>
      </c>
      <c r="E393" s="36">
        <v>67</v>
      </c>
      <c r="F393" s="36">
        <v>0</v>
      </c>
      <c r="G393" s="36">
        <v>0</v>
      </c>
      <c r="H393" s="36">
        <v>1</v>
      </c>
      <c r="I393" s="37">
        <f t="shared" si="22"/>
        <v>0.98529411764705888</v>
      </c>
      <c r="J393" s="37" t="str">
        <f t="shared" si="23"/>
        <v>-</v>
      </c>
      <c r="K393"/>
      <c r="L393"/>
      <c r="M393"/>
      <c r="N393"/>
      <c r="O393"/>
      <c r="P393"/>
      <c r="Q393"/>
      <c r="T393"/>
      <c r="U393"/>
      <c r="Y393"/>
      <c r="Z393"/>
    </row>
    <row r="394" spans="1:26" x14ac:dyDescent="0.2">
      <c r="A394" s="43">
        <v>244</v>
      </c>
      <c r="B394" s="13" t="s">
        <v>644</v>
      </c>
      <c r="C394" s="33">
        <v>1</v>
      </c>
      <c r="D394" s="34">
        <v>68</v>
      </c>
      <c r="E394" s="34">
        <v>68</v>
      </c>
      <c r="F394" s="34">
        <v>0</v>
      </c>
      <c r="G394" s="34">
        <v>0</v>
      </c>
      <c r="H394" s="34">
        <v>2</v>
      </c>
      <c r="I394" s="35">
        <f t="shared" si="22"/>
        <v>1</v>
      </c>
      <c r="J394" s="35" t="str">
        <f t="shared" si="23"/>
        <v>-</v>
      </c>
      <c r="K394"/>
      <c r="L394"/>
      <c r="M394"/>
      <c r="N394"/>
      <c r="O394"/>
      <c r="P394"/>
      <c r="Q394"/>
      <c r="T394"/>
      <c r="U394"/>
      <c r="Y394"/>
      <c r="Z394"/>
    </row>
    <row r="395" spans="1:26" x14ac:dyDescent="0.2">
      <c r="A395" s="43">
        <v>246</v>
      </c>
      <c r="B395" s="13" t="s">
        <v>654</v>
      </c>
      <c r="C395" s="33">
        <v>1</v>
      </c>
      <c r="D395" s="34">
        <v>67</v>
      </c>
      <c r="E395" s="34">
        <v>67</v>
      </c>
      <c r="F395" s="34">
        <v>0</v>
      </c>
      <c r="G395" s="34">
        <v>0</v>
      </c>
      <c r="H395" s="34">
        <v>1</v>
      </c>
      <c r="I395" s="35">
        <f t="shared" si="22"/>
        <v>1</v>
      </c>
      <c r="J395" s="35" t="str">
        <f t="shared" si="23"/>
        <v>-</v>
      </c>
      <c r="K395"/>
      <c r="L395"/>
      <c r="M395"/>
      <c r="N395"/>
      <c r="O395"/>
      <c r="P395"/>
      <c r="Q395"/>
      <c r="T395"/>
      <c r="U395"/>
      <c r="Y395"/>
      <c r="Z395"/>
    </row>
    <row r="396" spans="1:26" x14ac:dyDescent="0.2">
      <c r="A396" s="44">
        <v>247</v>
      </c>
      <c r="B396" s="15" t="s">
        <v>845</v>
      </c>
      <c r="C396" s="14">
        <v>1</v>
      </c>
      <c r="D396" s="36">
        <v>66</v>
      </c>
      <c r="E396" s="36">
        <v>33</v>
      </c>
      <c r="F396" s="36">
        <v>0</v>
      </c>
      <c r="G396" s="36">
        <v>0</v>
      </c>
      <c r="H396" s="36">
        <v>2</v>
      </c>
      <c r="I396" s="37">
        <f t="shared" si="22"/>
        <v>0.5</v>
      </c>
      <c r="J396" s="37" t="str">
        <f t="shared" si="23"/>
        <v>-</v>
      </c>
      <c r="K396"/>
      <c r="L396"/>
      <c r="M396"/>
      <c r="N396"/>
      <c r="O396"/>
      <c r="P396"/>
      <c r="Q396"/>
      <c r="T396"/>
      <c r="U396"/>
      <c r="Y396"/>
      <c r="Z396"/>
    </row>
    <row r="397" spans="1:26" x14ac:dyDescent="0.2">
      <c r="A397" s="43">
        <v>248</v>
      </c>
      <c r="B397" s="13" t="s">
        <v>628</v>
      </c>
      <c r="C397" s="33">
        <v>1</v>
      </c>
      <c r="D397" s="34">
        <v>66</v>
      </c>
      <c r="E397" s="34">
        <v>72</v>
      </c>
      <c r="F397" s="34">
        <v>107</v>
      </c>
      <c r="G397" s="34">
        <v>107</v>
      </c>
      <c r="H397" s="34">
        <v>2</v>
      </c>
      <c r="I397" s="35">
        <f t="shared" si="22"/>
        <v>1.0909090909090908</v>
      </c>
      <c r="J397" s="35">
        <f t="shared" si="23"/>
        <v>1</v>
      </c>
      <c r="K397"/>
      <c r="L397"/>
      <c r="M397"/>
      <c r="N397"/>
      <c r="O397"/>
      <c r="P397"/>
      <c r="Q397"/>
      <c r="T397"/>
      <c r="U397"/>
      <c r="Y397"/>
      <c r="Z397"/>
    </row>
    <row r="398" spans="1:26" x14ac:dyDescent="0.2">
      <c r="A398" s="44">
        <v>249</v>
      </c>
      <c r="B398" s="15" t="s">
        <v>566</v>
      </c>
      <c r="C398" s="14">
        <v>1</v>
      </c>
      <c r="D398" s="36">
        <v>65</v>
      </c>
      <c r="E398" s="36">
        <v>86</v>
      </c>
      <c r="F398" s="36">
        <v>0</v>
      </c>
      <c r="G398" s="36">
        <v>0</v>
      </c>
      <c r="H398" s="36">
        <v>1</v>
      </c>
      <c r="I398" s="37">
        <f t="shared" si="22"/>
        <v>1.323076923076923</v>
      </c>
      <c r="J398" s="37" t="str">
        <f t="shared" si="23"/>
        <v>-</v>
      </c>
      <c r="K398"/>
      <c r="L398"/>
      <c r="M398"/>
      <c r="N398"/>
      <c r="O398"/>
      <c r="P398"/>
      <c r="Q398"/>
      <c r="T398"/>
      <c r="U398"/>
      <c r="Y398"/>
      <c r="Z398"/>
    </row>
    <row r="399" spans="1:26" x14ac:dyDescent="0.2">
      <c r="A399" s="44">
        <v>251</v>
      </c>
      <c r="B399" s="15" t="s">
        <v>678</v>
      </c>
      <c r="C399" s="14">
        <v>1</v>
      </c>
      <c r="D399" s="36">
        <v>64</v>
      </c>
      <c r="E399" s="36">
        <v>59</v>
      </c>
      <c r="F399" s="36">
        <v>56</v>
      </c>
      <c r="G399" s="36">
        <v>56</v>
      </c>
      <c r="H399" s="36">
        <v>2</v>
      </c>
      <c r="I399" s="37">
        <f t="shared" si="22"/>
        <v>0.921875</v>
      </c>
      <c r="J399" s="37">
        <f t="shared" si="23"/>
        <v>1</v>
      </c>
      <c r="K399"/>
      <c r="L399"/>
      <c r="M399"/>
      <c r="N399"/>
      <c r="O399"/>
      <c r="P399"/>
      <c r="Q399"/>
      <c r="T399"/>
      <c r="U399"/>
      <c r="Y399"/>
      <c r="Z399"/>
    </row>
    <row r="400" spans="1:26" x14ac:dyDescent="0.2">
      <c r="A400" s="43">
        <v>252</v>
      </c>
      <c r="B400" s="13" t="s">
        <v>645</v>
      </c>
      <c r="C400" s="33">
        <v>1</v>
      </c>
      <c r="D400" s="34">
        <v>63</v>
      </c>
      <c r="E400" s="34">
        <v>67</v>
      </c>
      <c r="F400" s="34">
        <v>65</v>
      </c>
      <c r="G400" s="34">
        <v>56</v>
      </c>
      <c r="H400" s="34">
        <v>3</v>
      </c>
      <c r="I400" s="35">
        <f t="shared" si="22"/>
        <v>1.0634920634920635</v>
      </c>
      <c r="J400" s="35">
        <f t="shared" si="23"/>
        <v>0.86153846153846159</v>
      </c>
      <c r="K400"/>
      <c r="L400"/>
      <c r="M400"/>
      <c r="N400"/>
      <c r="O400"/>
      <c r="P400"/>
      <c r="Q400"/>
      <c r="T400"/>
      <c r="U400"/>
      <c r="Y400"/>
      <c r="Z400"/>
    </row>
    <row r="401" spans="1:26" x14ac:dyDescent="0.2">
      <c r="A401" s="44">
        <v>253</v>
      </c>
      <c r="B401" s="15" t="s">
        <v>827</v>
      </c>
      <c r="C401" s="14">
        <v>1</v>
      </c>
      <c r="D401" s="36">
        <v>61</v>
      </c>
      <c r="E401" s="36">
        <v>36</v>
      </c>
      <c r="F401" s="36">
        <v>0</v>
      </c>
      <c r="G401" s="36">
        <v>0</v>
      </c>
      <c r="H401" s="36">
        <v>1</v>
      </c>
      <c r="I401" s="37">
        <f t="shared" si="22"/>
        <v>0.5901639344262295</v>
      </c>
      <c r="J401" s="37" t="str">
        <f t="shared" si="23"/>
        <v>-</v>
      </c>
      <c r="K401"/>
      <c r="L401"/>
      <c r="M401"/>
      <c r="N401"/>
      <c r="O401"/>
      <c r="P401"/>
      <c r="Q401"/>
      <c r="T401"/>
      <c r="U401"/>
      <c r="Y401"/>
      <c r="Z401"/>
    </row>
    <row r="402" spans="1:26" x14ac:dyDescent="0.2">
      <c r="A402" s="44">
        <v>255</v>
      </c>
      <c r="B402" s="15" t="s">
        <v>672</v>
      </c>
      <c r="C402" s="14">
        <v>1</v>
      </c>
      <c r="D402" s="36">
        <v>61</v>
      </c>
      <c r="E402" s="36">
        <v>61</v>
      </c>
      <c r="F402" s="36">
        <v>0</v>
      </c>
      <c r="G402" s="36">
        <v>0</v>
      </c>
      <c r="H402" s="36">
        <v>1</v>
      </c>
      <c r="I402" s="37">
        <f t="shared" si="22"/>
        <v>1</v>
      </c>
      <c r="J402" s="37" t="str">
        <f t="shared" si="23"/>
        <v>-</v>
      </c>
      <c r="K402"/>
      <c r="L402"/>
      <c r="M402"/>
      <c r="N402"/>
      <c r="O402"/>
      <c r="P402"/>
      <c r="Q402"/>
      <c r="T402"/>
      <c r="U402"/>
      <c r="Y402"/>
      <c r="Z402"/>
    </row>
    <row r="403" spans="1:26" x14ac:dyDescent="0.2">
      <c r="A403" s="43">
        <v>256</v>
      </c>
      <c r="B403" s="13" t="s">
        <v>635</v>
      </c>
      <c r="C403" s="33">
        <v>1</v>
      </c>
      <c r="D403" s="34">
        <v>60</v>
      </c>
      <c r="E403" s="34">
        <v>70</v>
      </c>
      <c r="F403" s="34">
        <v>0</v>
      </c>
      <c r="G403" s="34">
        <v>0</v>
      </c>
      <c r="H403" s="34">
        <v>1</v>
      </c>
      <c r="I403" s="35">
        <f t="shared" si="22"/>
        <v>1.1666666666666667</v>
      </c>
      <c r="J403" s="35" t="str">
        <f t="shared" si="23"/>
        <v>-</v>
      </c>
      <c r="K403"/>
      <c r="L403"/>
      <c r="M403"/>
      <c r="N403"/>
      <c r="O403"/>
      <c r="P403"/>
      <c r="Q403"/>
      <c r="T403"/>
      <c r="U403"/>
      <c r="Y403"/>
      <c r="Z403"/>
    </row>
    <row r="404" spans="1:26" x14ac:dyDescent="0.2">
      <c r="A404" s="44">
        <v>257</v>
      </c>
      <c r="B404" s="15" t="s">
        <v>595</v>
      </c>
      <c r="C404" s="14">
        <v>1</v>
      </c>
      <c r="D404" s="36">
        <v>60</v>
      </c>
      <c r="E404" s="36">
        <v>79</v>
      </c>
      <c r="F404" s="36">
        <v>0</v>
      </c>
      <c r="G404" s="36">
        <v>0</v>
      </c>
      <c r="H404" s="36">
        <v>2</v>
      </c>
      <c r="I404" s="37">
        <f t="shared" si="22"/>
        <v>1.3166666666666667</v>
      </c>
      <c r="J404" s="37" t="str">
        <f t="shared" si="23"/>
        <v>-</v>
      </c>
      <c r="K404"/>
      <c r="L404"/>
      <c r="M404"/>
      <c r="N404"/>
      <c r="O404"/>
      <c r="P404"/>
      <c r="Q404"/>
      <c r="T404"/>
      <c r="U404"/>
      <c r="Y404"/>
      <c r="Z404"/>
    </row>
    <row r="405" spans="1:26" x14ac:dyDescent="0.2">
      <c r="A405" s="43">
        <v>258</v>
      </c>
      <c r="B405" s="13" t="s">
        <v>680</v>
      </c>
      <c r="C405" s="33">
        <v>1</v>
      </c>
      <c r="D405" s="34">
        <v>60</v>
      </c>
      <c r="E405" s="34">
        <v>59</v>
      </c>
      <c r="F405" s="34">
        <v>0</v>
      </c>
      <c r="G405" s="34">
        <v>0</v>
      </c>
      <c r="H405" s="34">
        <v>1</v>
      </c>
      <c r="I405" s="35">
        <f t="shared" si="22"/>
        <v>0.98333333333333328</v>
      </c>
      <c r="J405" s="35" t="str">
        <f t="shared" si="23"/>
        <v>-</v>
      </c>
      <c r="K405"/>
      <c r="L405"/>
      <c r="M405"/>
      <c r="N405"/>
      <c r="O405"/>
      <c r="P405"/>
      <c r="Q405"/>
      <c r="T405"/>
      <c r="U405"/>
      <c r="Y405"/>
      <c r="Z405"/>
    </row>
    <row r="406" spans="1:26" x14ac:dyDescent="0.2">
      <c r="A406" s="44">
        <v>259</v>
      </c>
      <c r="B406" s="15" t="s">
        <v>699</v>
      </c>
      <c r="C406" s="14">
        <v>1</v>
      </c>
      <c r="D406" s="36">
        <v>59</v>
      </c>
      <c r="E406" s="36">
        <v>56</v>
      </c>
      <c r="F406" s="36">
        <v>0</v>
      </c>
      <c r="G406" s="36">
        <v>0</v>
      </c>
      <c r="H406" s="36">
        <v>1</v>
      </c>
      <c r="I406" s="37">
        <f t="shared" si="22"/>
        <v>0.94915254237288138</v>
      </c>
      <c r="J406" s="37" t="str">
        <f t="shared" si="23"/>
        <v>-</v>
      </c>
      <c r="K406"/>
      <c r="L406"/>
      <c r="M406"/>
      <c r="N406"/>
      <c r="O406"/>
      <c r="P406"/>
      <c r="Q406"/>
      <c r="T406"/>
      <c r="U406"/>
      <c r="Y406"/>
      <c r="Z406"/>
    </row>
    <row r="407" spans="1:26" x14ac:dyDescent="0.2">
      <c r="A407" s="43">
        <v>260</v>
      </c>
      <c r="B407" s="13" t="s">
        <v>758</v>
      </c>
      <c r="C407" s="33">
        <v>1</v>
      </c>
      <c r="D407" s="34">
        <v>59</v>
      </c>
      <c r="E407" s="34">
        <v>49</v>
      </c>
      <c r="F407" s="34">
        <v>0</v>
      </c>
      <c r="G407" s="34">
        <v>0</v>
      </c>
      <c r="H407" s="34">
        <v>1</v>
      </c>
      <c r="I407" s="35">
        <f t="shared" si="22"/>
        <v>0.83050847457627119</v>
      </c>
      <c r="J407" s="35" t="str">
        <f t="shared" si="23"/>
        <v>-</v>
      </c>
      <c r="K407"/>
      <c r="L407"/>
      <c r="M407"/>
      <c r="N407"/>
      <c r="O407"/>
      <c r="P407"/>
      <c r="Q407"/>
      <c r="T407"/>
      <c r="U407"/>
      <c r="Y407"/>
      <c r="Z407"/>
    </row>
    <row r="408" spans="1:26" x14ac:dyDescent="0.2">
      <c r="A408" s="43">
        <v>262</v>
      </c>
      <c r="B408" s="13" t="s">
        <v>972</v>
      </c>
      <c r="C408" s="33">
        <v>1</v>
      </c>
      <c r="D408" s="34">
        <v>56</v>
      </c>
      <c r="E408" s="34">
        <v>11</v>
      </c>
      <c r="F408" s="34">
        <v>0</v>
      </c>
      <c r="G408" s="34">
        <v>0</v>
      </c>
      <c r="H408" s="34">
        <v>1</v>
      </c>
      <c r="I408" s="35">
        <f t="shared" si="22"/>
        <v>0.19642857142857142</v>
      </c>
      <c r="J408" s="35" t="str">
        <f t="shared" si="23"/>
        <v>-</v>
      </c>
      <c r="K408"/>
      <c r="L408"/>
      <c r="M408"/>
      <c r="N408"/>
      <c r="O408"/>
      <c r="P408"/>
      <c r="Q408"/>
      <c r="T408"/>
      <c r="U408"/>
      <c r="Y408"/>
      <c r="Z408"/>
    </row>
    <row r="409" spans="1:26" x14ac:dyDescent="0.2">
      <c r="A409" s="44">
        <v>263</v>
      </c>
      <c r="B409" s="15" t="s">
        <v>726</v>
      </c>
      <c r="C409" s="14">
        <v>1</v>
      </c>
      <c r="D409" s="36">
        <v>56</v>
      </c>
      <c r="E409" s="36">
        <v>51</v>
      </c>
      <c r="F409" s="36">
        <v>0</v>
      </c>
      <c r="G409" s="36">
        <v>0</v>
      </c>
      <c r="H409" s="36">
        <v>1</v>
      </c>
      <c r="I409" s="37">
        <f t="shared" si="22"/>
        <v>0.9107142857142857</v>
      </c>
      <c r="J409" s="37" t="str">
        <f t="shared" si="23"/>
        <v>-</v>
      </c>
      <c r="K409"/>
      <c r="L409"/>
      <c r="M409"/>
      <c r="N409"/>
      <c r="O409"/>
      <c r="P409"/>
      <c r="Q409"/>
      <c r="T409"/>
      <c r="U409"/>
      <c r="Y409"/>
      <c r="Z409"/>
    </row>
    <row r="410" spans="1:26" x14ac:dyDescent="0.2">
      <c r="A410" s="43">
        <v>264</v>
      </c>
      <c r="B410" s="13" t="s">
        <v>721</v>
      </c>
      <c r="C410" s="33">
        <v>1</v>
      </c>
      <c r="D410" s="34">
        <v>56</v>
      </c>
      <c r="E410" s="34">
        <v>52</v>
      </c>
      <c r="F410" s="34">
        <v>0</v>
      </c>
      <c r="G410" s="34">
        <v>0</v>
      </c>
      <c r="H410" s="34">
        <v>1</v>
      </c>
      <c r="I410" s="35">
        <f t="shared" si="22"/>
        <v>0.9285714285714286</v>
      </c>
      <c r="J410" s="35" t="str">
        <f t="shared" si="23"/>
        <v>-</v>
      </c>
      <c r="K410"/>
      <c r="L410"/>
      <c r="M410"/>
      <c r="N410"/>
      <c r="O410"/>
      <c r="P410"/>
      <c r="Q410"/>
      <c r="T410"/>
      <c r="U410"/>
      <c r="Y410"/>
      <c r="Z410"/>
    </row>
    <row r="411" spans="1:26" x14ac:dyDescent="0.2">
      <c r="A411" s="44">
        <v>265</v>
      </c>
      <c r="B411" s="15" t="s">
        <v>717</v>
      </c>
      <c r="C411" s="14">
        <v>1</v>
      </c>
      <c r="D411" s="36">
        <v>56</v>
      </c>
      <c r="E411" s="36">
        <v>52</v>
      </c>
      <c r="F411" s="36">
        <v>0</v>
      </c>
      <c r="G411" s="36">
        <v>0</v>
      </c>
      <c r="H411" s="36">
        <v>1</v>
      </c>
      <c r="I411" s="37">
        <f t="shared" si="22"/>
        <v>0.9285714285714286</v>
      </c>
      <c r="J411" s="37" t="str">
        <f t="shared" si="23"/>
        <v>-</v>
      </c>
      <c r="K411"/>
      <c r="L411"/>
      <c r="M411"/>
      <c r="N411"/>
      <c r="O411"/>
      <c r="P411"/>
      <c r="Q411"/>
      <c r="T411"/>
      <c r="U411"/>
      <c r="Y411"/>
      <c r="Z411"/>
    </row>
    <row r="412" spans="1:26" x14ac:dyDescent="0.2">
      <c r="A412" s="44">
        <v>267</v>
      </c>
      <c r="B412" s="15" t="s">
        <v>821</v>
      </c>
      <c r="C412" s="14">
        <v>1</v>
      </c>
      <c r="D412" s="36">
        <v>54</v>
      </c>
      <c r="E412" s="36">
        <v>37</v>
      </c>
      <c r="F412" s="36">
        <v>0</v>
      </c>
      <c r="G412" s="36">
        <v>0</v>
      </c>
      <c r="H412" s="36">
        <v>1</v>
      </c>
      <c r="I412" s="37">
        <f t="shared" si="22"/>
        <v>0.68518518518518523</v>
      </c>
      <c r="J412" s="37" t="str">
        <f t="shared" si="23"/>
        <v>-</v>
      </c>
      <c r="K412"/>
      <c r="L412"/>
      <c r="M412"/>
      <c r="N412"/>
      <c r="O412"/>
      <c r="P412"/>
      <c r="Q412"/>
      <c r="T412"/>
      <c r="U412"/>
      <c r="Y412"/>
      <c r="Z412"/>
    </row>
    <row r="413" spans="1:26" x14ac:dyDescent="0.2">
      <c r="A413" s="43">
        <v>268</v>
      </c>
      <c r="B413" s="13" t="s">
        <v>649</v>
      </c>
      <c r="C413" s="33">
        <v>1</v>
      </c>
      <c r="D413" s="34">
        <v>53</v>
      </c>
      <c r="E413" s="34">
        <v>67</v>
      </c>
      <c r="F413" s="34">
        <v>0</v>
      </c>
      <c r="G413" s="34">
        <v>0</v>
      </c>
      <c r="H413" s="34">
        <v>1</v>
      </c>
      <c r="I413" s="35">
        <f t="shared" si="22"/>
        <v>1.2641509433962264</v>
      </c>
      <c r="J413" s="35" t="str">
        <f t="shared" si="23"/>
        <v>-</v>
      </c>
      <c r="K413"/>
      <c r="L413"/>
      <c r="M413"/>
      <c r="N413"/>
      <c r="O413"/>
      <c r="P413"/>
      <c r="Q413"/>
      <c r="T413"/>
      <c r="U413"/>
      <c r="Y413"/>
      <c r="Z413"/>
    </row>
    <row r="414" spans="1:26" x14ac:dyDescent="0.2">
      <c r="A414" s="43">
        <v>270</v>
      </c>
      <c r="B414" s="13" t="s">
        <v>729</v>
      </c>
      <c r="C414" s="33">
        <v>1</v>
      </c>
      <c r="D414" s="34">
        <v>52</v>
      </c>
      <c r="E414" s="34">
        <v>51</v>
      </c>
      <c r="F414" s="34">
        <v>0</v>
      </c>
      <c r="G414" s="34">
        <v>0</v>
      </c>
      <c r="H414" s="34">
        <v>1</v>
      </c>
      <c r="I414" s="35">
        <f t="shared" si="22"/>
        <v>0.98076923076923073</v>
      </c>
      <c r="J414" s="35" t="str">
        <f t="shared" si="23"/>
        <v>-</v>
      </c>
      <c r="K414"/>
      <c r="L414"/>
      <c r="M414"/>
      <c r="N414"/>
      <c r="O414"/>
      <c r="P414"/>
      <c r="Q414"/>
      <c r="T414"/>
      <c r="U414"/>
      <c r="Y414"/>
      <c r="Z414"/>
    </row>
    <row r="415" spans="1:26" x14ac:dyDescent="0.2">
      <c r="A415" s="44">
        <v>271</v>
      </c>
      <c r="B415" s="15" t="s">
        <v>723</v>
      </c>
      <c r="C415" s="14">
        <v>1</v>
      </c>
      <c r="D415" s="36">
        <v>52</v>
      </c>
      <c r="E415" s="36">
        <v>52</v>
      </c>
      <c r="F415" s="36">
        <v>0</v>
      </c>
      <c r="G415" s="36">
        <v>0</v>
      </c>
      <c r="H415" s="36">
        <v>1</v>
      </c>
      <c r="I415" s="37">
        <f t="shared" si="22"/>
        <v>1</v>
      </c>
      <c r="J415" s="37" t="str">
        <f t="shared" si="23"/>
        <v>-</v>
      </c>
      <c r="K415"/>
      <c r="L415"/>
      <c r="M415"/>
      <c r="N415"/>
      <c r="O415"/>
      <c r="P415"/>
      <c r="Q415"/>
      <c r="T415"/>
      <c r="U415"/>
      <c r="Y415"/>
      <c r="Z415"/>
    </row>
    <row r="416" spans="1:26" x14ac:dyDescent="0.2">
      <c r="A416" s="43">
        <v>274</v>
      </c>
      <c r="B416" s="13" t="s">
        <v>932</v>
      </c>
      <c r="C416" s="33">
        <v>1</v>
      </c>
      <c r="D416" s="34">
        <v>50</v>
      </c>
      <c r="E416" s="34">
        <v>20</v>
      </c>
      <c r="F416" s="34">
        <v>0</v>
      </c>
      <c r="G416" s="34">
        <v>0</v>
      </c>
      <c r="H416" s="34">
        <v>1</v>
      </c>
      <c r="I416" s="35">
        <f t="shared" si="22"/>
        <v>0.4</v>
      </c>
      <c r="J416" s="35" t="str">
        <f t="shared" si="23"/>
        <v>-</v>
      </c>
      <c r="K416"/>
      <c r="L416"/>
      <c r="M416"/>
      <c r="N416"/>
      <c r="O416"/>
      <c r="P416"/>
      <c r="Q416"/>
      <c r="T416"/>
      <c r="U416"/>
      <c r="Y416"/>
      <c r="Z416"/>
    </row>
    <row r="417" spans="1:26" x14ac:dyDescent="0.2">
      <c r="A417" s="44">
        <v>275</v>
      </c>
      <c r="B417" s="15" t="s">
        <v>744</v>
      </c>
      <c r="C417" s="14">
        <v>1</v>
      </c>
      <c r="D417" s="36">
        <v>50</v>
      </c>
      <c r="E417" s="36">
        <v>50</v>
      </c>
      <c r="F417" s="36">
        <v>0</v>
      </c>
      <c r="G417" s="36">
        <v>0</v>
      </c>
      <c r="H417" s="36">
        <v>1</v>
      </c>
      <c r="I417" s="37">
        <f t="shared" si="22"/>
        <v>1</v>
      </c>
      <c r="J417" s="37" t="str">
        <f t="shared" si="23"/>
        <v>-</v>
      </c>
      <c r="K417"/>
      <c r="L417"/>
      <c r="M417"/>
      <c r="N417"/>
      <c r="O417"/>
      <c r="P417"/>
      <c r="Q417"/>
      <c r="T417"/>
      <c r="U417"/>
      <c r="Y417"/>
      <c r="Z417"/>
    </row>
    <row r="418" spans="1:26" x14ac:dyDescent="0.2">
      <c r="A418" s="44">
        <v>277</v>
      </c>
      <c r="B418" s="15" t="s">
        <v>751</v>
      </c>
      <c r="C418" s="14">
        <v>1</v>
      </c>
      <c r="D418" s="36">
        <v>50</v>
      </c>
      <c r="E418" s="36">
        <v>50</v>
      </c>
      <c r="F418" s="36">
        <v>0</v>
      </c>
      <c r="G418" s="36">
        <v>0</v>
      </c>
      <c r="H418" s="36">
        <v>2</v>
      </c>
      <c r="I418" s="37">
        <f t="shared" si="22"/>
        <v>1</v>
      </c>
      <c r="J418" s="37" t="str">
        <f t="shared" si="23"/>
        <v>-</v>
      </c>
      <c r="K418"/>
      <c r="L418"/>
      <c r="M418"/>
      <c r="N418"/>
      <c r="O418"/>
      <c r="P418"/>
      <c r="Q418"/>
      <c r="T418"/>
      <c r="U418"/>
      <c r="Y418"/>
      <c r="Z418"/>
    </row>
    <row r="419" spans="1:26" x14ac:dyDescent="0.2">
      <c r="A419" s="43">
        <v>278</v>
      </c>
      <c r="B419" s="13" t="s">
        <v>783</v>
      </c>
      <c r="C419" s="33">
        <v>1</v>
      </c>
      <c r="D419" s="34">
        <v>50</v>
      </c>
      <c r="E419" s="34">
        <v>45</v>
      </c>
      <c r="F419" s="34">
        <v>0</v>
      </c>
      <c r="G419" s="34">
        <v>0</v>
      </c>
      <c r="H419" s="34">
        <v>1</v>
      </c>
      <c r="I419" s="35">
        <f t="shared" si="22"/>
        <v>0.9</v>
      </c>
      <c r="J419" s="35" t="str">
        <f t="shared" si="23"/>
        <v>-</v>
      </c>
      <c r="K419"/>
      <c r="L419"/>
      <c r="M419"/>
      <c r="N419"/>
      <c r="O419"/>
      <c r="P419"/>
      <c r="Q419"/>
      <c r="T419"/>
      <c r="U419"/>
      <c r="Y419"/>
      <c r="Z419"/>
    </row>
    <row r="420" spans="1:26" x14ac:dyDescent="0.2">
      <c r="A420" s="43">
        <v>280</v>
      </c>
      <c r="B420" s="13" t="s">
        <v>937</v>
      </c>
      <c r="C420" s="33">
        <v>1</v>
      </c>
      <c r="D420" s="34">
        <v>50</v>
      </c>
      <c r="E420" s="34">
        <v>19</v>
      </c>
      <c r="F420" s="34">
        <v>0</v>
      </c>
      <c r="G420" s="34">
        <v>0</v>
      </c>
      <c r="H420" s="34">
        <v>2</v>
      </c>
      <c r="I420" s="35">
        <f t="shared" si="22"/>
        <v>0.38</v>
      </c>
      <c r="J420" s="35" t="str">
        <f t="shared" si="23"/>
        <v>-</v>
      </c>
      <c r="K420"/>
      <c r="L420"/>
      <c r="M420"/>
      <c r="N420"/>
      <c r="O420"/>
      <c r="P420"/>
      <c r="Q420"/>
      <c r="T420"/>
      <c r="U420"/>
      <c r="Y420"/>
      <c r="Z420"/>
    </row>
    <row r="421" spans="1:26" x14ac:dyDescent="0.2">
      <c r="A421" s="44">
        <v>281</v>
      </c>
      <c r="B421" s="15" t="s">
        <v>740</v>
      </c>
      <c r="C421" s="14">
        <v>1</v>
      </c>
      <c r="D421" s="36">
        <v>50</v>
      </c>
      <c r="E421" s="36">
        <v>50</v>
      </c>
      <c r="F421" s="36">
        <v>0</v>
      </c>
      <c r="G421" s="36">
        <v>0</v>
      </c>
      <c r="H421" s="36">
        <v>2</v>
      </c>
      <c r="I421" s="37">
        <f t="shared" si="22"/>
        <v>1</v>
      </c>
      <c r="J421" s="37" t="str">
        <f t="shared" si="23"/>
        <v>-</v>
      </c>
      <c r="K421"/>
      <c r="L421"/>
      <c r="M421"/>
      <c r="N421"/>
      <c r="O421"/>
      <c r="P421"/>
      <c r="Q421"/>
      <c r="T421"/>
      <c r="U421"/>
      <c r="Y421"/>
      <c r="Z421"/>
    </row>
    <row r="422" spans="1:26" x14ac:dyDescent="0.2">
      <c r="A422" s="43">
        <v>284</v>
      </c>
      <c r="B422" s="13" t="s">
        <v>760</v>
      </c>
      <c r="C422" s="33">
        <v>1</v>
      </c>
      <c r="D422" s="34">
        <v>50</v>
      </c>
      <c r="E422" s="34">
        <v>49</v>
      </c>
      <c r="F422" s="34">
        <v>0</v>
      </c>
      <c r="G422" s="34">
        <v>0</v>
      </c>
      <c r="H422" s="34">
        <v>1</v>
      </c>
      <c r="I422" s="35">
        <f t="shared" si="22"/>
        <v>0.98</v>
      </c>
      <c r="J422" s="35" t="str">
        <f t="shared" si="23"/>
        <v>-</v>
      </c>
      <c r="K422"/>
      <c r="L422"/>
      <c r="M422"/>
      <c r="N422"/>
      <c r="O422"/>
      <c r="P422"/>
      <c r="Q422"/>
      <c r="T422"/>
      <c r="U422"/>
      <c r="Y422"/>
      <c r="Z422"/>
    </row>
    <row r="423" spans="1:26" x14ac:dyDescent="0.2">
      <c r="A423" s="44">
        <v>285</v>
      </c>
      <c r="B423" s="15" t="s">
        <v>755</v>
      </c>
      <c r="C423" s="14">
        <v>1</v>
      </c>
      <c r="D423" s="36">
        <v>49</v>
      </c>
      <c r="E423" s="36">
        <v>49</v>
      </c>
      <c r="F423" s="36">
        <v>0</v>
      </c>
      <c r="G423" s="36">
        <v>0</v>
      </c>
      <c r="H423" s="36">
        <v>2</v>
      </c>
      <c r="I423" s="37">
        <f t="shared" si="22"/>
        <v>1</v>
      </c>
      <c r="J423" s="37" t="str">
        <f t="shared" si="23"/>
        <v>-</v>
      </c>
      <c r="K423"/>
      <c r="L423"/>
      <c r="M423"/>
      <c r="N423"/>
      <c r="O423"/>
      <c r="P423"/>
      <c r="Q423"/>
      <c r="T423"/>
      <c r="U423"/>
      <c r="Y423"/>
      <c r="Z423"/>
    </row>
    <row r="424" spans="1:26" x14ac:dyDescent="0.2">
      <c r="A424" s="43">
        <v>286</v>
      </c>
      <c r="B424" s="13" t="s">
        <v>757</v>
      </c>
      <c r="C424" s="33">
        <v>1</v>
      </c>
      <c r="D424" s="34">
        <v>49</v>
      </c>
      <c r="E424" s="34">
        <v>49</v>
      </c>
      <c r="F424" s="34">
        <v>0</v>
      </c>
      <c r="G424" s="34">
        <v>0</v>
      </c>
      <c r="H424" s="34">
        <v>1</v>
      </c>
      <c r="I424" s="35">
        <f t="shared" si="22"/>
        <v>1</v>
      </c>
      <c r="J424" s="35" t="str">
        <f t="shared" si="23"/>
        <v>-</v>
      </c>
      <c r="K424"/>
      <c r="L424"/>
      <c r="M424"/>
      <c r="N424"/>
      <c r="O424"/>
      <c r="P424"/>
      <c r="Q424"/>
      <c r="T424"/>
      <c r="U424"/>
      <c r="Y424"/>
      <c r="Z424"/>
    </row>
    <row r="425" spans="1:26" x14ac:dyDescent="0.2">
      <c r="A425" s="44">
        <v>287</v>
      </c>
      <c r="B425" s="15" t="s">
        <v>752</v>
      </c>
      <c r="C425" s="14">
        <v>1</v>
      </c>
      <c r="D425" s="36">
        <v>49</v>
      </c>
      <c r="E425" s="36">
        <v>49</v>
      </c>
      <c r="F425" s="36">
        <v>0</v>
      </c>
      <c r="G425" s="36">
        <v>0</v>
      </c>
      <c r="H425" s="36">
        <v>1</v>
      </c>
      <c r="I425" s="37">
        <f t="shared" si="22"/>
        <v>1</v>
      </c>
      <c r="J425" s="37" t="str">
        <f t="shared" si="23"/>
        <v>-</v>
      </c>
      <c r="K425"/>
      <c r="L425"/>
      <c r="M425"/>
      <c r="N425"/>
      <c r="O425"/>
      <c r="P425"/>
      <c r="Q425"/>
      <c r="T425"/>
      <c r="U425"/>
      <c r="Y425"/>
      <c r="Z425"/>
    </row>
    <row r="426" spans="1:26" x14ac:dyDescent="0.2">
      <c r="A426" s="43">
        <v>290</v>
      </c>
      <c r="B426" s="13" t="s">
        <v>761</v>
      </c>
      <c r="C426" s="33">
        <v>1</v>
      </c>
      <c r="D426" s="34">
        <v>48</v>
      </c>
      <c r="E426" s="34">
        <v>48</v>
      </c>
      <c r="F426" s="34">
        <v>428</v>
      </c>
      <c r="G426" s="34">
        <v>413</v>
      </c>
      <c r="H426" s="34">
        <v>1</v>
      </c>
      <c r="I426" s="35">
        <f t="shared" si="22"/>
        <v>1</v>
      </c>
      <c r="J426" s="35">
        <f t="shared" si="23"/>
        <v>0.96495327102803741</v>
      </c>
      <c r="K426"/>
      <c r="L426"/>
      <c r="M426"/>
      <c r="N426"/>
      <c r="O426"/>
      <c r="P426"/>
      <c r="Q426"/>
      <c r="T426"/>
      <c r="U426"/>
      <c r="Y426"/>
      <c r="Z426"/>
    </row>
    <row r="427" spans="1:26" x14ac:dyDescent="0.2">
      <c r="A427" s="44">
        <v>291</v>
      </c>
      <c r="B427" s="15" t="s">
        <v>789</v>
      </c>
      <c r="C427" s="14">
        <v>1</v>
      </c>
      <c r="D427" s="36">
        <v>47</v>
      </c>
      <c r="E427" s="36">
        <v>45</v>
      </c>
      <c r="F427" s="36">
        <v>0</v>
      </c>
      <c r="G427" s="36">
        <v>0</v>
      </c>
      <c r="H427" s="36">
        <v>1</v>
      </c>
      <c r="I427" s="37">
        <f t="shared" si="22"/>
        <v>0.95744680851063835</v>
      </c>
      <c r="J427" s="37" t="str">
        <f t="shared" si="23"/>
        <v>-</v>
      </c>
      <c r="K427"/>
      <c r="L427"/>
      <c r="M427"/>
      <c r="N427"/>
      <c r="O427"/>
      <c r="P427"/>
      <c r="Q427"/>
      <c r="T427"/>
      <c r="U427"/>
      <c r="Y427"/>
      <c r="Z427"/>
    </row>
    <row r="428" spans="1:26" x14ac:dyDescent="0.2">
      <c r="A428" s="43">
        <v>296</v>
      </c>
      <c r="B428" s="13" t="s">
        <v>666</v>
      </c>
      <c r="C428" s="33">
        <v>1</v>
      </c>
      <c r="D428" s="34">
        <v>45</v>
      </c>
      <c r="E428" s="34">
        <v>62</v>
      </c>
      <c r="F428" s="34">
        <v>0</v>
      </c>
      <c r="G428" s="34">
        <v>0</v>
      </c>
      <c r="H428" s="34">
        <v>1</v>
      </c>
      <c r="I428" s="35">
        <f t="shared" si="22"/>
        <v>1.3777777777777778</v>
      </c>
      <c r="J428" s="35" t="str">
        <f t="shared" si="23"/>
        <v>-</v>
      </c>
      <c r="K428"/>
      <c r="L428"/>
      <c r="M428"/>
      <c r="N428"/>
      <c r="O428"/>
      <c r="P428"/>
      <c r="Q428"/>
      <c r="T428"/>
      <c r="U428"/>
      <c r="Y428"/>
      <c r="Z428"/>
    </row>
    <row r="429" spans="1:26" x14ac:dyDescent="0.2">
      <c r="A429" s="43">
        <v>298</v>
      </c>
      <c r="B429" s="13" t="s">
        <v>799</v>
      </c>
      <c r="C429" s="33">
        <v>1</v>
      </c>
      <c r="D429" s="34">
        <v>45</v>
      </c>
      <c r="E429" s="34">
        <v>43</v>
      </c>
      <c r="F429" s="34">
        <v>0</v>
      </c>
      <c r="G429" s="34">
        <v>0</v>
      </c>
      <c r="H429" s="34">
        <v>1</v>
      </c>
      <c r="I429" s="35">
        <f t="shared" si="22"/>
        <v>0.9555555555555556</v>
      </c>
      <c r="J429" s="35" t="str">
        <f t="shared" si="23"/>
        <v>-</v>
      </c>
      <c r="K429"/>
      <c r="L429"/>
      <c r="M429"/>
      <c r="N429"/>
      <c r="O429"/>
      <c r="P429"/>
      <c r="Q429"/>
      <c r="T429"/>
      <c r="U429"/>
      <c r="Y429"/>
      <c r="Z429"/>
    </row>
    <row r="430" spans="1:26" x14ac:dyDescent="0.2">
      <c r="A430" s="43">
        <v>300</v>
      </c>
      <c r="B430" s="13" t="s">
        <v>689</v>
      </c>
      <c r="C430" s="33">
        <v>1</v>
      </c>
      <c r="D430" s="34">
        <v>44</v>
      </c>
      <c r="E430" s="34">
        <v>57</v>
      </c>
      <c r="F430" s="34">
        <v>0</v>
      </c>
      <c r="G430" s="34">
        <v>0</v>
      </c>
      <c r="H430" s="34">
        <v>1</v>
      </c>
      <c r="I430" s="35">
        <f t="shared" si="22"/>
        <v>1.2954545454545454</v>
      </c>
      <c r="J430" s="35" t="str">
        <f t="shared" si="23"/>
        <v>-</v>
      </c>
      <c r="K430"/>
      <c r="L430"/>
      <c r="M430"/>
      <c r="N430"/>
      <c r="O430"/>
      <c r="P430"/>
      <c r="Q430"/>
      <c r="T430"/>
      <c r="U430"/>
      <c r="Y430"/>
      <c r="Z430"/>
    </row>
    <row r="431" spans="1:26" x14ac:dyDescent="0.2">
      <c r="A431" s="44">
        <v>301</v>
      </c>
      <c r="B431" s="15" t="s">
        <v>836</v>
      </c>
      <c r="C431" s="14">
        <v>1</v>
      </c>
      <c r="D431" s="36">
        <v>44</v>
      </c>
      <c r="E431" s="36">
        <v>35</v>
      </c>
      <c r="F431" s="36">
        <v>0</v>
      </c>
      <c r="G431" s="36">
        <v>0</v>
      </c>
      <c r="H431" s="36">
        <v>1</v>
      </c>
      <c r="I431" s="37">
        <f t="shared" si="22"/>
        <v>0.79545454545454541</v>
      </c>
      <c r="J431" s="37" t="str">
        <f t="shared" si="23"/>
        <v>-</v>
      </c>
      <c r="K431"/>
      <c r="L431"/>
      <c r="M431"/>
      <c r="N431"/>
      <c r="O431"/>
      <c r="P431"/>
      <c r="Q431"/>
      <c r="T431"/>
      <c r="U431"/>
      <c r="Y431"/>
      <c r="Z431"/>
    </row>
    <row r="432" spans="1:26" x14ac:dyDescent="0.2">
      <c r="A432" s="43">
        <v>304</v>
      </c>
      <c r="B432" s="13" t="s">
        <v>837</v>
      </c>
      <c r="C432" s="33">
        <v>1</v>
      </c>
      <c r="D432" s="34">
        <v>44</v>
      </c>
      <c r="E432" s="34">
        <v>34</v>
      </c>
      <c r="F432" s="34">
        <v>50</v>
      </c>
      <c r="G432" s="34">
        <v>49</v>
      </c>
      <c r="H432" s="34">
        <v>2</v>
      </c>
      <c r="I432" s="35">
        <f t="shared" si="22"/>
        <v>0.77272727272727271</v>
      </c>
      <c r="J432" s="35">
        <f t="shared" si="23"/>
        <v>0.98</v>
      </c>
      <c r="K432"/>
      <c r="L432"/>
      <c r="M432"/>
      <c r="N432"/>
      <c r="O432"/>
      <c r="P432"/>
      <c r="Q432"/>
      <c r="T432"/>
      <c r="U432"/>
      <c r="Y432"/>
      <c r="Z432"/>
    </row>
    <row r="433" spans="1:26" x14ac:dyDescent="0.2">
      <c r="A433" s="44">
        <v>305</v>
      </c>
      <c r="B433" s="15" t="s">
        <v>906</v>
      </c>
      <c r="C433" s="14">
        <v>1</v>
      </c>
      <c r="D433" s="36">
        <v>43</v>
      </c>
      <c r="E433" s="36">
        <v>24</v>
      </c>
      <c r="F433" s="36">
        <v>0</v>
      </c>
      <c r="G433" s="36">
        <v>0</v>
      </c>
      <c r="H433" s="36">
        <v>1</v>
      </c>
      <c r="I433" s="37">
        <f t="shared" si="22"/>
        <v>0.55813953488372092</v>
      </c>
      <c r="J433" s="37" t="str">
        <f t="shared" si="23"/>
        <v>-</v>
      </c>
      <c r="K433"/>
      <c r="L433"/>
      <c r="M433"/>
      <c r="N433"/>
      <c r="O433"/>
      <c r="P433"/>
      <c r="Q433"/>
      <c r="T433"/>
      <c r="U433"/>
      <c r="Y433"/>
      <c r="Z433"/>
    </row>
    <row r="434" spans="1:26" x14ac:dyDescent="0.2">
      <c r="A434" s="43">
        <v>306</v>
      </c>
      <c r="B434" s="13" t="s">
        <v>808</v>
      </c>
      <c r="C434" s="33">
        <v>1</v>
      </c>
      <c r="D434" s="34">
        <v>42</v>
      </c>
      <c r="E434" s="34">
        <v>42</v>
      </c>
      <c r="F434" s="34">
        <v>0</v>
      </c>
      <c r="G434" s="34">
        <v>0</v>
      </c>
      <c r="H434" s="34">
        <v>2</v>
      </c>
      <c r="I434" s="35">
        <f t="shared" si="22"/>
        <v>1</v>
      </c>
      <c r="J434" s="35" t="str">
        <f t="shared" si="23"/>
        <v>-</v>
      </c>
      <c r="K434"/>
      <c r="L434"/>
      <c r="M434"/>
      <c r="N434"/>
      <c r="O434"/>
      <c r="P434"/>
      <c r="Q434"/>
      <c r="T434"/>
      <c r="U434"/>
      <c r="Y434"/>
      <c r="Z434"/>
    </row>
    <row r="435" spans="1:26" x14ac:dyDescent="0.2">
      <c r="A435" s="43">
        <v>308</v>
      </c>
      <c r="B435" s="13" t="s">
        <v>1421</v>
      </c>
      <c r="C435" s="33">
        <v>1</v>
      </c>
      <c r="D435" s="34">
        <v>41</v>
      </c>
      <c r="E435" s="34">
        <v>0</v>
      </c>
      <c r="F435" s="34">
        <v>0</v>
      </c>
      <c r="G435" s="34">
        <v>0</v>
      </c>
      <c r="H435" s="34">
        <v>1</v>
      </c>
      <c r="I435" s="35">
        <f t="shared" si="22"/>
        <v>0</v>
      </c>
      <c r="J435" s="35" t="str">
        <f t="shared" si="23"/>
        <v>-</v>
      </c>
      <c r="K435"/>
      <c r="L435"/>
      <c r="M435"/>
      <c r="N435"/>
      <c r="O435"/>
      <c r="P435"/>
      <c r="Q435"/>
      <c r="T435"/>
      <c r="U435"/>
      <c r="Y435"/>
      <c r="Z435"/>
    </row>
    <row r="436" spans="1:26" x14ac:dyDescent="0.2">
      <c r="A436" s="43">
        <v>310</v>
      </c>
      <c r="B436" s="13" t="s">
        <v>819</v>
      </c>
      <c r="C436" s="33">
        <v>1</v>
      </c>
      <c r="D436" s="34">
        <v>41</v>
      </c>
      <c r="E436" s="34">
        <v>38</v>
      </c>
      <c r="F436" s="34">
        <v>0</v>
      </c>
      <c r="G436" s="34">
        <v>0</v>
      </c>
      <c r="H436" s="34">
        <v>1</v>
      </c>
      <c r="I436" s="35">
        <f t="shared" si="22"/>
        <v>0.92682926829268297</v>
      </c>
      <c r="J436" s="35" t="str">
        <f t="shared" si="23"/>
        <v>-</v>
      </c>
      <c r="K436"/>
      <c r="L436"/>
      <c r="M436"/>
      <c r="N436"/>
      <c r="O436"/>
      <c r="P436"/>
      <c r="Q436"/>
      <c r="T436"/>
      <c r="U436"/>
      <c r="Y436"/>
      <c r="Z436"/>
    </row>
    <row r="437" spans="1:26" x14ac:dyDescent="0.2">
      <c r="A437" s="43">
        <v>312</v>
      </c>
      <c r="B437" s="13" t="s">
        <v>613</v>
      </c>
      <c r="C437" s="33">
        <v>1</v>
      </c>
      <c r="D437" s="34">
        <v>41</v>
      </c>
      <c r="E437" s="34">
        <v>75</v>
      </c>
      <c r="F437" s="34">
        <v>0</v>
      </c>
      <c r="G437" s="34">
        <v>0</v>
      </c>
      <c r="H437" s="34">
        <v>2</v>
      </c>
      <c r="I437" s="35">
        <f t="shared" si="22"/>
        <v>1.8292682926829269</v>
      </c>
      <c r="J437" s="35" t="str">
        <f t="shared" si="23"/>
        <v>-</v>
      </c>
      <c r="K437"/>
      <c r="L437"/>
      <c r="M437"/>
      <c r="N437"/>
      <c r="O437"/>
      <c r="P437"/>
      <c r="Q437"/>
      <c r="T437"/>
      <c r="U437"/>
      <c r="Y437"/>
      <c r="Z437"/>
    </row>
    <row r="438" spans="1:26" x14ac:dyDescent="0.2">
      <c r="A438" s="44">
        <v>313</v>
      </c>
      <c r="B438" s="15" t="s">
        <v>825</v>
      </c>
      <c r="C438" s="14">
        <v>1</v>
      </c>
      <c r="D438" s="36">
        <v>40</v>
      </c>
      <c r="E438" s="36">
        <v>36</v>
      </c>
      <c r="F438" s="36">
        <v>0</v>
      </c>
      <c r="G438" s="36">
        <v>0</v>
      </c>
      <c r="H438" s="36">
        <v>1</v>
      </c>
      <c r="I438" s="37">
        <f t="shared" si="22"/>
        <v>0.9</v>
      </c>
      <c r="J438" s="37" t="str">
        <f t="shared" si="23"/>
        <v>-</v>
      </c>
      <c r="K438"/>
      <c r="L438"/>
      <c r="M438"/>
      <c r="N438"/>
      <c r="O438"/>
      <c r="P438"/>
      <c r="Q438"/>
      <c r="T438"/>
      <c r="U438"/>
      <c r="Y438"/>
      <c r="Z438"/>
    </row>
    <row r="439" spans="1:26" x14ac:dyDescent="0.2">
      <c r="A439" s="44">
        <v>315</v>
      </c>
      <c r="B439" s="15" t="s">
        <v>815</v>
      </c>
      <c r="C439" s="14">
        <v>1</v>
      </c>
      <c r="D439" s="36">
        <v>40</v>
      </c>
      <c r="E439" s="36">
        <v>40</v>
      </c>
      <c r="F439" s="36">
        <v>0</v>
      </c>
      <c r="G439" s="36">
        <v>0</v>
      </c>
      <c r="H439" s="36">
        <v>2</v>
      </c>
      <c r="I439" s="37">
        <f t="shared" si="22"/>
        <v>1</v>
      </c>
      <c r="J439" s="37" t="str">
        <f t="shared" si="23"/>
        <v>-</v>
      </c>
      <c r="K439"/>
      <c r="L439"/>
      <c r="M439"/>
      <c r="N439"/>
      <c r="O439"/>
      <c r="P439"/>
      <c r="Q439"/>
      <c r="T439"/>
      <c r="U439"/>
      <c r="Y439"/>
      <c r="Z439"/>
    </row>
    <row r="440" spans="1:26" x14ac:dyDescent="0.2">
      <c r="A440" s="43">
        <v>316</v>
      </c>
      <c r="B440" s="13" t="s">
        <v>872</v>
      </c>
      <c r="C440" s="33">
        <v>1</v>
      </c>
      <c r="D440" s="34">
        <v>40</v>
      </c>
      <c r="E440" s="34">
        <v>26</v>
      </c>
      <c r="F440" s="34">
        <v>0</v>
      </c>
      <c r="G440" s="34">
        <v>0</v>
      </c>
      <c r="H440" s="34">
        <v>1</v>
      </c>
      <c r="I440" s="35">
        <f t="shared" si="22"/>
        <v>0.65</v>
      </c>
      <c r="J440" s="35" t="str">
        <f t="shared" si="23"/>
        <v>-</v>
      </c>
      <c r="K440"/>
      <c r="L440"/>
      <c r="M440"/>
      <c r="N440"/>
      <c r="O440"/>
      <c r="P440"/>
      <c r="Q440"/>
      <c r="T440"/>
      <c r="U440"/>
      <c r="Y440"/>
      <c r="Z440"/>
    </row>
    <row r="441" spans="1:26" x14ac:dyDescent="0.2">
      <c r="A441" s="44">
        <v>317</v>
      </c>
      <c r="B441" s="15" t="s">
        <v>931</v>
      </c>
      <c r="C441" s="14">
        <v>1</v>
      </c>
      <c r="D441" s="36">
        <v>39</v>
      </c>
      <c r="E441" s="36">
        <v>20</v>
      </c>
      <c r="F441" s="36">
        <v>0</v>
      </c>
      <c r="G441" s="36">
        <v>0</v>
      </c>
      <c r="H441" s="36">
        <v>1</v>
      </c>
      <c r="I441" s="37">
        <f t="shared" si="22"/>
        <v>0.51282051282051277</v>
      </c>
      <c r="J441" s="37" t="str">
        <f t="shared" si="23"/>
        <v>-</v>
      </c>
      <c r="K441"/>
      <c r="L441"/>
      <c r="M441"/>
      <c r="N441"/>
      <c r="O441"/>
      <c r="P441"/>
      <c r="Q441"/>
      <c r="T441"/>
      <c r="U441"/>
      <c r="Y441"/>
      <c r="Z441"/>
    </row>
    <row r="442" spans="1:26" x14ac:dyDescent="0.2">
      <c r="A442" s="43">
        <v>318</v>
      </c>
      <c r="B442" s="13" t="s">
        <v>840</v>
      </c>
      <c r="C442" s="33">
        <v>1</v>
      </c>
      <c r="D442" s="34">
        <v>36</v>
      </c>
      <c r="E442" s="34">
        <v>34</v>
      </c>
      <c r="F442" s="34">
        <v>0</v>
      </c>
      <c r="G442" s="34">
        <v>0</v>
      </c>
      <c r="H442" s="34">
        <v>1</v>
      </c>
      <c r="I442" s="35">
        <f t="shared" si="22"/>
        <v>0.94444444444444442</v>
      </c>
      <c r="J442" s="35" t="str">
        <f t="shared" si="23"/>
        <v>-</v>
      </c>
      <c r="K442"/>
      <c r="L442"/>
      <c r="M442"/>
      <c r="N442"/>
      <c r="O442"/>
      <c r="P442"/>
      <c r="Q442"/>
      <c r="T442"/>
      <c r="U442"/>
      <c r="Y442"/>
      <c r="Z442"/>
    </row>
    <row r="443" spans="1:26" x14ac:dyDescent="0.2">
      <c r="A443" s="44">
        <v>319</v>
      </c>
      <c r="B443" s="15" t="s">
        <v>909</v>
      </c>
      <c r="C443" s="14">
        <v>1</v>
      </c>
      <c r="D443" s="36">
        <v>35</v>
      </c>
      <c r="E443" s="36">
        <v>23</v>
      </c>
      <c r="F443" s="36">
        <v>0</v>
      </c>
      <c r="G443" s="36">
        <v>0</v>
      </c>
      <c r="H443" s="36">
        <v>1</v>
      </c>
      <c r="I443" s="37">
        <f t="shared" si="22"/>
        <v>0.65714285714285714</v>
      </c>
      <c r="J443" s="37" t="str">
        <f t="shared" si="23"/>
        <v>-</v>
      </c>
      <c r="K443"/>
      <c r="L443"/>
      <c r="M443"/>
      <c r="N443"/>
      <c r="O443"/>
      <c r="P443"/>
      <c r="Q443"/>
      <c r="T443"/>
      <c r="U443"/>
      <c r="Y443"/>
      <c r="Z443"/>
    </row>
    <row r="444" spans="1:26" x14ac:dyDescent="0.2">
      <c r="A444" s="44">
        <v>321</v>
      </c>
      <c r="B444" s="15" t="s">
        <v>1412</v>
      </c>
      <c r="C444" s="14">
        <v>1</v>
      </c>
      <c r="D444" s="36">
        <v>34</v>
      </c>
      <c r="E444" s="36">
        <v>0</v>
      </c>
      <c r="F444" s="36">
        <v>0</v>
      </c>
      <c r="G444" s="36">
        <v>0</v>
      </c>
      <c r="H444" s="36">
        <v>1</v>
      </c>
      <c r="I444" s="37">
        <f t="shared" si="22"/>
        <v>0</v>
      </c>
      <c r="J444" s="37" t="str">
        <f t="shared" si="23"/>
        <v>-</v>
      </c>
      <c r="K444"/>
      <c r="L444"/>
      <c r="M444"/>
      <c r="N444"/>
      <c r="O444"/>
      <c r="P444"/>
      <c r="Q444"/>
      <c r="T444"/>
      <c r="U444"/>
      <c r="Y444"/>
      <c r="Z444"/>
    </row>
    <row r="445" spans="1:26" x14ac:dyDescent="0.2">
      <c r="A445" s="43">
        <v>322</v>
      </c>
      <c r="B445" s="13" t="s">
        <v>849</v>
      </c>
      <c r="C445" s="33">
        <v>1</v>
      </c>
      <c r="D445" s="34">
        <v>33</v>
      </c>
      <c r="E445" s="34">
        <v>32</v>
      </c>
      <c r="F445" s="34">
        <v>0</v>
      </c>
      <c r="G445" s="34">
        <v>0</v>
      </c>
      <c r="H445" s="34">
        <v>1</v>
      </c>
      <c r="I445" s="35">
        <f t="shared" si="22"/>
        <v>0.96969696969696972</v>
      </c>
      <c r="J445" s="35" t="str">
        <f t="shared" si="23"/>
        <v>-</v>
      </c>
      <c r="K445"/>
      <c r="L445"/>
      <c r="M445"/>
      <c r="N445"/>
      <c r="O445"/>
      <c r="P445"/>
      <c r="Q445"/>
      <c r="T445"/>
      <c r="U445"/>
      <c r="Y445"/>
      <c r="Z445"/>
    </row>
    <row r="446" spans="1:26" x14ac:dyDescent="0.2">
      <c r="A446" s="44">
        <v>323</v>
      </c>
      <c r="B446" s="15" t="s">
        <v>843</v>
      </c>
      <c r="C446" s="14">
        <v>1</v>
      </c>
      <c r="D446" s="36">
        <v>33</v>
      </c>
      <c r="E446" s="36">
        <v>33</v>
      </c>
      <c r="F446" s="36">
        <v>0</v>
      </c>
      <c r="G446" s="36">
        <v>0</v>
      </c>
      <c r="H446" s="36">
        <v>1</v>
      </c>
      <c r="I446" s="37">
        <f t="shared" si="22"/>
        <v>1</v>
      </c>
      <c r="J446" s="37" t="str">
        <f t="shared" si="23"/>
        <v>-</v>
      </c>
      <c r="K446"/>
      <c r="L446"/>
      <c r="M446"/>
      <c r="N446"/>
      <c r="O446"/>
      <c r="P446"/>
      <c r="Q446"/>
      <c r="T446"/>
      <c r="U446"/>
      <c r="Y446"/>
      <c r="Z446"/>
    </row>
    <row r="447" spans="1:26" x14ac:dyDescent="0.2">
      <c r="A447" s="43">
        <v>324</v>
      </c>
      <c r="B447" s="13" t="s">
        <v>850</v>
      </c>
      <c r="C447" s="33">
        <v>1</v>
      </c>
      <c r="D447" s="34">
        <v>33</v>
      </c>
      <c r="E447" s="34">
        <v>31</v>
      </c>
      <c r="F447" s="34">
        <v>0</v>
      </c>
      <c r="G447" s="34">
        <v>0</v>
      </c>
      <c r="H447" s="34">
        <v>1</v>
      </c>
      <c r="I447" s="35">
        <f t="shared" si="22"/>
        <v>0.93939393939393945</v>
      </c>
      <c r="J447" s="35" t="str">
        <f t="shared" si="23"/>
        <v>-</v>
      </c>
      <c r="K447"/>
      <c r="L447"/>
      <c r="M447"/>
      <c r="N447"/>
      <c r="O447"/>
      <c r="P447"/>
      <c r="Q447"/>
      <c r="T447"/>
      <c r="U447"/>
      <c r="Y447"/>
      <c r="Z447"/>
    </row>
    <row r="448" spans="1:26" x14ac:dyDescent="0.2">
      <c r="A448" s="44">
        <v>325</v>
      </c>
      <c r="B448" s="15" t="s">
        <v>851</v>
      </c>
      <c r="C448" s="14">
        <v>1</v>
      </c>
      <c r="D448" s="36">
        <v>32</v>
      </c>
      <c r="E448" s="36">
        <v>31</v>
      </c>
      <c r="F448" s="36">
        <v>0</v>
      </c>
      <c r="G448" s="36">
        <v>0</v>
      </c>
      <c r="H448" s="36">
        <v>1</v>
      </c>
      <c r="I448" s="37">
        <f t="shared" si="22"/>
        <v>0.96875</v>
      </c>
      <c r="J448" s="37" t="str">
        <f t="shared" si="23"/>
        <v>-</v>
      </c>
      <c r="K448"/>
      <c r="L448"/>
      <c r="M448"/>
      <c r="N448"/>
      <c r="O448"/>
      <c r="P448"/>
      <c r="Q448"/>
      <c r="T448"/>
      <c r="U448"/>
      <c r="Y448"/>
      <c r="Z448"/>
    </row>
    <row r="449" spans="1:26" x14ac:dyDescent="0.2">
      <c r="A449" s="43">
        <v>326</v>
      </c>
      <c r="B449" s="13" t="s">
        <v>864</v>
      </c>
      <c r="C449" s="33">
        <v>1</v>
      </c>
      <c r="D449" s="34">
        <v>32</v>
      </c>
      <c r="E449" s="34">
        <v>28</v>
      </c>
      <c r="F449" s="34">
        <v>0</v>
      </c>
      <c r="G449" s="34">
        <v>0</v>
      </c>
      <c r="H449" s="34">
        <v>1</v>
      </c>
      <c r="I449" s="35">
        <f t="shared" si="22"/>
        <v>0.875</v>
      </c>
      <c r="J449" s="35" t="str">
        <f t="shared" si="23"/>
        <v>-</v>
      </c>
      <c r="K449"/>
      <c r="L449"/>
      <c r="M449"/>
      <c r="N449"/>
      <c r="O449"/>
      <c r="P449"/>
      <c r="Q449"/>
      <c r="T449"/>
      <c r="U449"/>
      <c r="Y449"/>
      <c r="Z449"/>
    </row>
    <row r="450" spans="1:26" x14ac:dyDescent="0.2">
      <c r="A450" s="44">
        <v>327</v>
      </c>
      <c r="B450" s="15" t="s">
        <v>847</v>
      </c>
      <c r="C450" s="14">
        <v>1</v>
      </c>
      <c r="D450" s="36">
        <v>32</v>
      </c>
      <c r="E450" s="36">
        <v>32</v>
      </c>
      <c r="F450" s="36">
        <v>0</v>
      </c>
      <c r="G450" s="36">
        <v>0</v>
      </c>
      <c r="H450" s="36">
        <v>1</v>
      </c>
      <c r="I450" s="37">
        <f t="shared" si="22"/>
        <v>1</v>
      </c>
      <c r="J450" s="37" t="str">
        <f t="shared" si="23"/>
        <v>-</v>
      </c>
      <c r="K450"/>
      <c r="L450"/>
      <c r="M450"/>
      <c r="N450"/>
      <c r="O450"/>
      <c r="P450"/>
      <c r="Q450"/>
      <c r="T450"/>
      <c r="U450"/>
      <c r="Y450"/>
      <c r="Z450"/>
    </row>
    <row r="451" spans="1:26" x14ac:dyDescent="0.2">
      <c r="A451" s="44">
        <v>329</v>
      </c>
      <c r="B451" s="15" t="s">
        <v>856</v>
      </c>
      <c r="C451" s="14">
        <v>1</v>
      </c>
      <c r="D451" s="36">
        <v>30</v>
      </c>
      <c r="E451" s="36">
        <v>30</v>
      </c>
      <c r="F451" s="36">
        <v>0</v>
      </c>
      <c r="G451" s="36">
        <v>0</v>
      </c>
      <c r="H451" s="36">
        <v>2</v>
      </c>
      <c r="I451" s="37">
        <f t="shared" si="22"/>
        <v>1</v>
      </c>
      <c r="J451" s="37" t="str">
        <f t="shared" si="23"/>
        <v>-</v>
      </c>
      <c r="K451"/>
      <c r="L451"/>
      <c r="M451"/>
      <c r="N451"/>
      <c r="O451"/>
      <c r="P451"/>
      <c r="Q451"/>
      <c r="T451"/>
      <c r="U451"/>
      <c r="Y451"/>
      <c r="Z451"/>
    </row>
    <row r="452" spans="1:26" x14ac:dyDescent="0.2">
      <c r="A452" s="43">
        <v>330</v>
      </c>
      <c r="B452" s="13" t="s">
        <v>773</v>
      </c>
      <c r="C452" s="33">
        <v>1</v>
      </c>
      <c r="D452" s="34">
        <v>28</v>
      </c>
      <c r="E452" s="34">
        <v>46</v>
      </c>
      <c r="F452" s="34">
        <v>0</v>
      </c>
      <c r="G452" s="34">
        <v>0</v>
      </c>
      <c r="H452" s="34">
        <v>1</v>
      </c>
      <c r="I452" s="35">
        <f t="shared" si="22"/>
        <v>1.6428571428571428</v>
      </c>
      <c r="J452" s="35" t="str">
        <f t="shared" si="23"/>
        <v>-</v>
      </c>
      <c r="K452"/>
      <c r="L452"/>
      <c r="M452"/>
      <c r="N452"/>
      <c r="O452"/>
      <c r="P452"/>
      <c r="Q452"/>
      <c r="T452"/>
      <c r="U452"/>
      <c r="Y452"/>
      <c r="Z452"/>
    </row>
    <row r="453" spans="1:26" x14ac:dyDescent="0.2">
      <c r="A453" s="44">
        <v>331</v>
      </c>
      <c r="B453" s="15" t="s">
        <v>830</v>
      </c>
      <c r="C453" s="14">
        <v>1</v>
      </c>
      <c r="D453" s="36">
        <v>28</v>
      </c>
      <c r="E453" s="36">
        <v>36</v>
      </c>
      <c r="F453" s="36">
        <v>0</v>
      </c>
      <c r="G453" s="36">
        <v>0</v>
      </c>
      <c r="H453" s="36">
        <v>1</v>
      </c>
      <c r="I453" s="37">
        <f t="shared" si="22"/>
        <v>1.2857142857142858</v>
      </c>
      <c r="J453" s="37" t="str">
        <f t="shared" si="23"/>
        <v>-</v>
      </c>
      <c r="K453"/>
      <c r="L453"/>
      <c r="M453"/>
      <c r="N453"/>
      <c r="O453"/>
      <c r="P453"/>
      <c r="Q453"/>
      <c r="T453"/>
      <c r="U453"/>
      <c r="Y453"/>
      <c r="Z453"/>
    </row>
    <row r="454" spans="1:26" x14ac:dyDescent="0.2">
      <c r="A454" s="43">
        <v>332</v>
      </c>
      <c r="B454" s="13" t="s">
        <v>871</v>
      </c>
      <c r="C454" s="33">
        <v>1</v>
      </c>
      <c r="D454" s="34">
        <v>27</v>
      </c>
      <c r="E454" s="34">
        <v>26</v>
      </c>
      <c r="F454" s="34">
        <v>0</v>
      </c>
      <c r="G454" s="34">
        <v>0</v>
      </c>
      <c r="H454" s="34">
        <v>1</v>
      </c>
      <c r="I454" s="35">
        <f t="shared" ref="I454:I517" si="24">IF(D454=0,"-",E454/D454)</f>
        <v>0.96296296296296291</v>
      </c>
      <c r="J454" s="35" t="str">
        <f t="shared" ref="J454:J517" si="25">IF(F454=0,"-",G454/F454)</f>
        <v>-</v>
      </c>
      <c r="K454"/>
      <c r="L454"/>
      <c r="M454"/>
      <c r="N454"/>
      <c r="O454"/>
      <c r="P454"/>
      <c r="Q454"/>
      <c r="T454"/>
      <c r="U454"/>
      <c r="Y454"/>
      <c r="Z454"/>
    </row>
    <row r="455" spans="1:26" x14ac:dyDescent="0.2">
      <c r="A455" s="44">
        <v>333</v>
      </c>
      <c r="B455" s="15" t="s">
        <v>866</v>
      </c>
      <c r="C455" s="14">
        <v>1</v>
      </c>
      <c r="D455" s="36">
        <v>27</v>
      </c>
      <c r="E455" s="36">
        <v>27</v>
      </c>
      <c r="F455" s="36">
        <v>0</v>
      </c>
      <c r="G455" s="36">
        <v>0</v>
      </c>
      <c r="H455" s="36">
        <v>1</v>
      </c>
      <c r="I455" s="37">
        <f t="shared" si="24"/>
        <v>1</v>
      </c>
      <c r="J455" s="37" t="str">
        <f t="shared" si="25"/>
        <v>-</v>
      </c>
      <c r="K455"/>
      <c r="L455"/>
      <c r="M455"/>
      <c r="N455"/>
      <c r="O455"/>
      <c r="P455"/>
      <c r="Q455"/>
      <c r="T455"/>
      <c r="U455"/>
      <c r="Y455"/>
      <c r="Z455"/>
    </row>
    <row r="456" spans="1:26" x14ac:dyDescent="0.2">
      <c r="A456" s="43">
        <v>334</v>
      </c>
      <c r="B456" s="13" t="s">
        <v>964</v>
      </c>
      <c r="C456" s="33">
        <v>1</v>
      </c>
      <c r="D456" s="34">
        <v>27</v>
      </c>
      <c r="E456" s="34">
        <v>13</v>
      </c>
      <c r="F456" s="34">
        <v>0</v>
      </c>
      <c r="G456" s="34">
        <v>0</v>
      </c>
      <c r="H456" s="34">
        <v>2</v>
      </c>
      <c r="I456" s="35">
        <f t="shared" si="24"/>
        <v>0.48148148148148145</v>
      </c>
      <c r="J456" s="35" t="str">
        <f t="shared" si="25"/>
        <v>-</v>
      </c>
      <c r="K456"/>
      <c r="L456"/>
      <c r="M456"/>
      <c r="N456"/>
      <c r="O456"/>
      <c r="P456"/>
      <c r="Q456"/>
      <c r="T456"/>
      <c r="U456"/>
      <c r="Y456"/>
      <c r="Z456"/>
    </row>
    <row r="457" spans="1:26" x14ac:dyDescent="0.2">
      <c r="A457" s="44">
        <v>335</v>
      </c>
      <c r="B457" s="15" t="s">
        <v>869</v>
      </c>
      <c r="C457" s="14">
        <v>1</v>
      </c>
      <c r="D457" s="36">
        <v>26</v>
      </c>
      <c r="E457" s="36">
        <v>26</v>
      </c>
      <c r="F457" s="36">
        <v>49</v>
      </c>
      <c r="G457" s="36">
        <v>48</v>
      </c>
      <c r="H457" s="36">
        <v>1</v>
      </c>
      <c r="I457" s="37">
        <f t="shared" si="24"/>
        <v>1</v>
      </c>
      <c r="J457" s="37">
        <f t="shared" si="25"/>
        <v>0.97959183673469385</v>
      </c>
      <c r="K457"/>
      <c r="L457"/>
      <c r="M457"/>
      <c r="N457"/>
      <c r="O457"/>
      <c r="P457"/>
      <c r="Q457"/>
      <c r="T457"/>
      <c r="U457"/>
      <c r="Y457"/>
      <c r="Z457"/>
    </row>
    <row r="458" spans="1:26" x14ac:dyDescent="0.2">
      <c r="A458" s="43">
        <v>336</v>
      </c>
      <c r="B458" s="13" t="s">
        <v>925</v>
      </c>
      <c r="C458" s="33">
        <v>1</v>
      </c>
      <c r="D458" s="34">
        <v>25</v>
      </c>
      <c r="E458" s="34">
        <v>22</v>
      </c>
      <c r="F458" s="34">
        <v>0</v>
      </c>
      <c r="G458" s="34">
        <v>0</v>
      </c>
      <c r="H458" s="34">
        <v>1</v>
      </c>
      <c r="I458" s="35">
        <f t="shared" si="24"/>
        <v>0.88</v>
      </c>
      <c r="J458" s="35" t="str">
        <f t="shared" si="25"/>
        <v>-</v>
      </c>
      <c r="K458"/>
      <c r="L458"/>
      <c r="M458"/>
      <c r="N458"/>
      <c r="O458"/>
      <c r="P458"/>
      <c r="Q458"/>
      <c r="T458"/>
      <c r="U458"/>
      <c r="Y458"/>
      <c r="Z458"/>
    </row>
    <row r="459" spans="1:26" x14ac:dyDescent="0.2">
      <c r="A459" s="44">
        <v>337</v>
      </c>
      <c r="B459" s="15" t="s">
        <v>881</v>
      </c>
      <c r="C459" s="14">
        <v>1</v>
      </c>
      <c r="D459" s="36">
        <v>25</v>
      </c>
      <c r="E459" s="36">
        <v>25</v>
      </c>
      <c r="F459" s="36">
        <v>0</v>
      </c>
      <c r="G459" s="36">
        <v>0</v>
      </c>
      <c r="H459" s="36">
        <v>1</v>
      </c>
      <c r="I459" s="37">
        <f t="shared" si="24"/>
        <v>1</v>
      </c>
      <c r="J459" s="37" t="str">
        <f t="shared" si="25"/>
        <v>-</v>
      </c>
      <c r="K459"/>
      <c r="L459"/>
      <c r="M459"/>
      <c r="N459"/>
      <c r="O459"/>
      <c r="P459"/>
      <c r="Q459"/>
      <c r="T459"/>
      <c r="U459"/>
      <c r="Y459"/>
      <c r="Z459"/>
    </row>
    <row r="460" spans="1:26" x14ac:dyDescent="0.2">
      <c r="A460" s="43">
        <v>338</v>
      </c>
      <c r="B460" s="13" t="s">
        <v>896</v>
      </c>
      <c r="C460" s="33">
        <v>1</v>
      </c>
      <c r="D460" s="34">
        <v>25</v>
      </c>
      <c r="E460" s="34">
        <v>25</v>
      </c>
      <c r="F460" s="34">
        <v>0</v>
      </c>
      <c r="G460" s="34">
        <v>0</v>
      </c>
      <c r="H460" s="34">
        <v>1</v>
      </c>
      <c r="I460" s="35">
        <f t="shared" si="24"/>
        <v>1</v>
      </c>
      <c r="J460" s="35" t="str">
        <f t="shared" si="25"/>
        <v>-</v>
      </c>
      <c r="K460"/>
      <c r="L460"/>
      <c r="M460"/>
      <c r="N460"/>
      <c r="O460"/>
      <c r="P460"/>
      <c r="Q460"/>
      <c r="T460"/>
      <c r="U460"/>
      <c r="Y460"/>
      <c r="Z460"/>
    </row>
    <row r="461" spans="1:26" x14ac:dyDescent="0.2">
      <c r="A461" s="44">
        <v>339</v>
      </c>
      <c r="B461" s="15" t="s">
        <v>911</v>
      </c>
      <c r="C461" s="14">
        <v>1</v>
      </c>
      <c r="D461" s="36">
        <v>25</v>
      </c>
      <c r="E461" s="36">
        <v>23</v>
      </c>
      <c r="F461" s="36">
        <v>0</v>
      </c>
      <c r="G461" s="36">
        <v>0</v>
      </c>
      <c r="H461" s="36">
        <v>1</v>
      </c>
      <c r="I461" s="37">
        <f t="shared" si="24"/>
        <v>0.92</v>
      </c>
      <c r="J461" s="37" t="str">
        <f t="shared" si="25"/>
        <v>-</v>
      </c>
      <c r="K461"/>
      <c r="L461"/>
      <c r="M461"/>
      <c r="N461"/>
      <c r="O461"/>
      <c r="P461"/>
      <c r="Q461"/>
      <c r="T461"/>
      <c r="U461"/>
      <c r="Y461"/>
      <c r="Z461"/>
    </row>
    <row r="462" spans="1:26" x14ac:dyDescent="0.2">
      <c r="A462" s="43">
        <v>340</v>
      </c>
      <c r="B462" s="13" t="s">
        <v>895</v>
      </c>
      <c r="C462" s="33">
        <v>1</v>
      </c>
      <c r="D462" s="34">
        <v>25</v>
      </c>
      <c r="E462" s="34">
        <v>25</v>
      </c>
      <c r="F462" s="34">
        <v>0</v>
      </c>
      <c r="G462" s="34">
        <v>0</v>
      </c>
      <c r="H462" s="34">
        <v>1</v>
      </c>
      <c r="I462" s="35">
        <f t="shared" si="24"/>
        <v>1</v>
      </c>
      <c r="J462" s="35" t="str">
        <f t="shared" si="25"/>
        <v>-</v>
      </c>
      <c r="K462"/>
      <c r="L462"/>
      <c r="M462"/>
      <c r="N462"/>
      <c r="O462"/>
      <c r="P462"/>
      <c r="Q462"/>
      <c r="T462"/>
      <c r="U462"/>
      <c r="Y462"/>
      <c r="Z462"/>
    </row>
    <row r="463" spans="1:26" x14ac:dyDescent="0.2">
      <c r="A463" s="44">
        <v>341</v>
      </c>
      <c r="B463" s="15" t="s">
        <v>898</v>
      </c>
      <c r="C463" s="14">
        <v>1</v>
      </c>
      <c r="D463" s="36">
        <v>25</v>
      </c>
      <c r="E463" s="36">
        <v>25</v>
      </c>
      <c r="F463" s="36">
        <v>0</v>
      </c>
      <c r="G463" s="36">
        <v>0</v>
      </c>
      <c r="H463" s="36">
        <v>1</v>
      </c>
      <c r="I463" s="37">
        <f t="shared" si="24"/>
        <v>1</v>
      </c>
      <c r="J463" s="37" t="str">
        <f t="shared" si="25"/>
        <v>-</v>
      </c>
      <c r="K463"/>
      <c r="L463"/>
      <c r="M463"/>
      <c r="N463"/>
      <c r="O463"/>
      <c r="P463"/>
      <c r="Q463"/>
      <c r="T463"/>
      <c r="U463"/>
      <c r="Y463"/>
      <c r="Z463"/>
    </row>
    <row r="464" spans="1:26" x14ac:dyDescent="0.2">
      <c r="A464" s="43">
        <v>342</v>
      </c>
      <c r="B464" s="13" t="s">
        <v>874</v>
      </c>
      <c r="C464" s="33">
        <v>1</v>
      </c>
      <c r="D464" s="34">
        <v>25</v>
      </c>
      <c r="E464" s="34">
        <v>25</v>
      </c>
      <c r="F464" s="34">
        <v>19</v>
      </c>
      <c r="G464" s="34">
        <v>19</v>
      </c>
      <c r="H464" s="34">
        <v>1</v>
      </c>
      <c r="I464" s="35">
        <f t="shared" si="24"/>
        <v>1</v>
      </c>
      <c r="J464" s="35">
        <f t="shared" si="25"/>
        <v>1</v>
      </c>
      <c r="K464"/>
      <c r="L464"/>
      <c r="M464"/>
      <c r="N464"/>
      <c r="O464"/>
      <c r="P464"/>
      <c r="Q464"/>
      <c r="T464"/>
      <c r="U464"/>
      <c r="Y464"/>
      <c r="Z464"/>
    </row>
    <row r="465" spans="1:26" x14ac:dyDescent="0.2">
      <c r="A465" s="43">
        <v>344</v>
      </c>
      <c r="B465" s="13" t="s">
        <v>899</v>
      </c>
      <c r="C465" s="33">
        <v>1</v>
      </c>
      <c r="D465" s="34">
        <v>25</v>
      </c>
      <c r="E465" s="34">
        <v>25</v>
      </c>
      <c r="F465" s="34">
        <v>0</v>
      </c>
      <c r="G465" s="34">
        <v>0</v>
      </c>
      <c r="H465" s="34">
        <v>1</v>
      </c>
      <c r="I465" s="35">
        <f t="shared" si="24"/>
        <v>1</v>
      </c>
      <c r="J465" s="35" t="str">
        <f t="shared" si="25"/>
        <v>-</v>
      </c>
      <c r="K465"/>
      <c r="L465"/>
      <c r="M465"/>
      <c r="N465"/>
      <c r="O465"/>
      <c r="P465"/>
      <c r="Q465"/>
      <c r="T465"/>
      <c r="U465"/>
      <c r="Y465"/>
      <c r="Z465"/>
    </row>
    <row r="466" spans="1:26" x14ac:dyDescent="0.2">
      <c r="A466" s="44">
        <v>345</v>
      </c>
      <c r="B466" s="15" t="s">
        <v>1417</v>
      </c>
      <c r="C466" s="14">
        <v>1</v>
      </c>
      <c r="D466" s="36">
        <v>24</v>
      </c>
      <c r="E466" s="36">
        <v>0</v>
      </c>
      <c r="F466" s="36">
        <v>0</v>
      </c>
      <c r="G466" s="36">
        <v>0</v>
      </c>
      <c r="H466" s="36">
        <v>1</v>
      </c>
      <c r="I466" s="37">
        <f t="shared" si="24"/>
        <v>0</v>
      </c>
      <c r="J466" s="37" t="str">
        <f t="shared" si="25"/>
        <v>-</v>
      </c>
      <c r="K466"/>
      <c r="L466"/>
      <c r="M466"/>
      <c r="N466"/>
      <c r="O466"/>
      <c r="P466"/>
      <c r="Q466"/>
      <c r="T466"/>
      <c r="U466"/>
      <c r="Y466"/>
      <c r="Z466"/>
    </row>
    <row r="467" spans="1:26" x14ac:dyDescent="0.2">
      <c r="A467" s="43">
        <v>346</v>
      </c>
      <c r="B467" s="13" t="s">
        <v>905</v>
      </c>
      <c r="C467" s="33">
        <v>1</v>
      </c>
      <c r="D467" s="34">
        <v>24</v>
      </c>
      <c r="E467" s="34">
        <v>24</v>
      </c>
      <c r="F467" s="34">
        <v>0</v>
      </c>
      <c r="G467" s="34">
        <v>0</v>
      </c>
      <c r="H467" s="34">
        <v>2</v>
      </c>
      <c r="I467" s="35">
        <f t="shared" si="24"/>
        <v>1</v>
      </c>
      <c r="J467" s="35" t="str">
        <f t="shared" si="25"/>
        <v>-</v>
      </c>
      <c r="K467"/>
      <c r="L467"/>
      <c r="M467"/>
      <c r="N467"/>
      <c r="O467"/>
      <c r="P467"/>
      <c r="Q467"/>
      <c r="T467"/>
      <c r="U467"/>
      <c r="Y467"/>
      <c r="Z467"/>
    </row>
    <row r="468" spans="1:26" x14ac:dyDescent="0.2">
      <c r="A468" s="44">
        <v>349</v>
      </c>
      <c r="B468" s="15" t="s">
        <v>910</v>
      </c>
      <c r="C468" s="14">
        <v>1</v>
      </c>
      <c r="D468" s="36">
        <v>23</v>
      </c>
      <c r="E468" s="36">
        <v>23</v>
      </c>
      <c r="F468" s="36">
        <v>0</v>
      </c>
      <c r="G468" s="36">
        <v>0</v>
      </c>
      <c r="H468" s="36">
        <v>2</v>
      </c>
      <c r="I468" s="37">
        <f t="shared" si="24"/>
        <v>1</v>
      </c>
      <c r="J468" s="37" t="str">
        <f t="shared" si="25"/>
        <v>-</v>
      </c>
      <c r="K468"/>
      <c r="L468"/>
      <c r="M468"/>
      <c r="N468"/>
      <c r="O468"/>
      <c r="P468"/>
      <c r="Q468"/>
      <c r="T468"/>
      <c r="U468"/>
      <c r="Y468"/>
      <c r="Z468"/>
    </row>
    <row r="469" spans="1:26" x14ac:dyDescent="0.2">
      <c r="A469" s="44">
        <v>351</v>
      </c>
      <c r="B469" s="15" t="s">
        <v>968</v>
      </c>
      <c r="C469" s="14">
        <v>1</v>
      </c>
      <c r="D469" s="36">
        <v>22</v>
      </c>
      <c r="E469" s="36">
        <v>12</v>
      </c>
      <c r="F469" s="36">
        <v>0</v>
      </c>
      <c r="G469" s="36">
        <v>0</v>
      </c>
      <c r="H469" s="36">
        <v>2</v>
      </c>
      <c r="I469" s="37">
        <f t="shared" si="24"/>
        <v>0.54545454545454541</v>
      </c>
      <c r="J469" s="37" t="str">
        <f t="shared" si="25"/>
        <v>-</v>
      </c>
      <c r="K469"/>
      <c r="L469"/>
      <c r="M469"/>
      <c r="N469"/>
      <c r="O469"/>
      <c r="P469"/>
      <c r="Q469"/>
      <c r="T469"/>
      <c r="U469"/>
      <c r="Y469"/>
      <c r="Z469"/>
    </row>
    <row r="470" spans="1:26" x14ac:dyDescent="0.2">
      <c r="A470" s="43">
        <v>354</v>
      </c>
      <c r="B470" s="13" t="s">
        <v>926</v>
      </c>
      <c r="C470" s="33">
        <v>1</v>
      </c>
      <c r="D470" s="34">
        <v>22</v>
      </c>
      <c r="E470" s="34">
        <v>22</v>
      </c>
      <c r="F470" s="34">
        <v>0</v>
      </c>
      <c r="G470" s="34">
        <v>0</v>
      </c>
      <c r="H470" s="34">
        <v>1</v>
      </c>
      <c r="I470" s="35">
        <f t="shared" si="24"/>
        <v>1</v>
      </c>
      <c r="J470" s="35" t="str">
        <f t="shared" si="25"/>
        <v>-</v>
      </c>
      <c r="K470"/>
      <c r="L470"/>
      <c r="M470"/>
      <c r="N470"/>
      <c r="O470"/>
      <c r="P470"/>
      <c r="Q470"/>
      <c r="T470"/>
      <c r="U470"/>
      <c r="Y470"/>
      <c r="Z470"/>
    </row>
    <row r="471" spans="1:26" x14ac:dyDescent="0.2">
      <c r="A471" s="44">
        <v>355</v>
      </c>
      <c r="B471" s="15" t="s">
        <v>989</v>
      </c>
      <c r="C471" s="14">
        <v>1</v>
      </c>
      <c r="D471" s="36">
        <v>20</v>
      </c>
      <c r="E471" s="36">
        <v>4</v>
      </c>
      <c r="F471" s="36">
        <v>0</v>
      </c>
      <c r="G471" s="36">
        <v>0</v>
      </c>
      <c r="H471" s="36">
        <v>2</v>
      </c>
      <c r="I471" s="37">
        <f t="shared" si="24"/>
        <v>0.2</v>
      </c>
      <c r="J471" s="37" t="str">
        <f t="shared" si="25"/>
        <v>-</v>
      </c>
      <c r="K471"/>
      <c r="L471"/>
      <c r="M471"/>
      <c r="N471"/>
      <c r="O471"/>
      <c r="P471"/>
      <c r="Q471"/>
      <c r="T471"/>
      <c r="U471"/>
      <c r="Y471"/>
      <c r="Z471"/>
    </row>
    <row r="472" spans="1:26" x14ac:dyDescent="0.2">
      <c r="A472" s="43">
        <v>356</v>
      </c>
      <c r="B472" s="13" t="s">
        <v>930</v>
      </c>
      <c r="C472" s="33">
        <v>1</v>
      </c>
      <c r="D472" s="34">
        <v>20</v>
      </c>
      <c r="E472" s="34">
        <v>20</v>
      </c>
      <c r="F472" s="34">
        <v>0</v>
      </c>
      <c r="G472" s="34">
        <v>0</v>
      </c>
      <c r="H472" s="34">
        <v>1</v>
      </c>
      <c r="I472" s="35">
        <f t="shared" si="24"/>
        <v>1</v>
      </c>
      <c r="J472" s="35" t="str">
        <f t="shared" si="25"/>
        <v>-</v>
      </c>
      <c r="K472"/>
      <c r="L472"/>
      <c r="M472"/>
      <c r="N472"/>
      <c r="O472"/>
      <c r="P472"/>
      <c r="Q472"/>
      <c r="T472"/>
      <c r="U472"/>
      <c r="Y472"/>
      <c r="Z472"/>
    </row>
    <row r="473" spans="1:26" x14ac:dyDescent="0.2">
      <c r="A473" s="44">
        <v>357</v>
      </c>
      <c r="B473" s="15" t="s">
        <v>936</v>
      </c>
      <c r="C473" s="14">
        <v>1</v>
      </c>
      <c r="D473" s="36">
        <v>20</v>
      </c>
      <c r="E473" s="36">
        <v>19</v>
      </c>
      <c r="F473" s="36">
        <v>0</v>
      </c>
      <c r="G473" s="36">
        <v>0</v>
      </c>
      <c r="H473" s="36">
        <v>1</v>
      </c>
      <c r="I473" s="37">
        <f t="shared" si="24"/>
        <v>0.95</v>
      </c>
      <c r="J473" s="37" t="str">
        <f t="shared" si="25"/>
        <v>-</v>
      </c>
      <c r="K473"/>
      <c r="L473"/>
      <c r="M473"/>
      <c r="N473"/>
      <c r="O473"/>
      <c r="P473"/>
      <c r="Q473"/>
      <c r="T473"/>
      <c r="U473"/>
      <c r="Y473"/>
      <c r="Z473"/>
    </row>
    <row r="474" spans="1:26" x14ac:dyDescent="0.2">
      <c r="A474" s="43">
        <v>358</v>
      </c>
      <c r="B474" s="13" t="s">
        <v>949</v>
      </c>
      <c r="C474" s="33">
        <v>1</v>
      </c>
      <c r="D474" s="34">
        <v>17</v>
      </c>
      <c r="E474" s="34">
        <v>16</v>
      </c>
      <c r="F474" s="34">
        <v>0</v>
      </c>
      <c r="G474" s="34">
        <v>0</v>
      </c>
      <c r="H474" s="34">
        <v>1</v>
      </c>
      <c r="I474" s="35">
        <f t="shared" si="24"/>
        <v>0.94117647058823528</v>
      </c>
      <c r="J474" s="35" t="str">
        <f t="shared" si="25"/>
        <v>-</v>
      </c>
      <c r="K474"/>
      <c r="L474"/>
      <c r="M474"/>
      <c r="N474"/>
      <c r="O474"/>
      <c r="P474"/>
      <c r="Q474"/>
      <c r="T474"/>
      <c r="U474"/>
      <c r="Y474"/>
      <c r="Z474"/>
    </row>
    <row r="475" spans="1:26" x14ac:dyDescent="0.2">
      <c r="A475" s="44">
        <v>359</v>
      </c>
      <c r="B475" s="15" t="s">
        <v>958</v>
      </c>
      <c r="C475" s="14">
        <v>1</v>
      </c>
      <c r="D475" s="36">
        <v>17</v>
      </c>
      <c r="E475" s="36">
        <v>15</v>
      </c>
      <c r="F475" s="36">
        <v>0</v>
      </c>
      <c r="G475" s="36">
        <v>0</v>
      </c>
      <c r="H475" s="36">
        <v>1</v>
      </c>
      <c r="I475" s="37">
        <f t="shared" si="24"/>
        <v>0.88235294117647056</v>
      </c>
      <c r="J475" s="37" t="str">
        <f t="shared" si="25"/>
        <v>-</v>
      </c>
      <c r="K475"/>
      <c r="L475"/>
      <c r="M475"/>
      <c r="N475"/>
      <c r="O475"/>
      <c r="P475"/>
      <c r="Q475"/>
      <c r="T475"/>
      <c r="U475"/>
      <c r="Y475"/>
      <c r="Z475"/>
    </row>
    <row r="476" spans="1:26" x14ac:dyDescent="0.2">
      <c r="A476" s="43">
        <v>360</v>
      </c>
      <c r="B476" s="13" t="s">
        <v>942</v>
      </c>
      <c r="C476" s="33">
        <v>1</v>
      </c>
      <c r="D476" s="34">
        <v>17</v>
      </c>
      <c r="E476" s="34">
        <v>17</v>
      </c>
      <c r="F476" s="34">
        <v>0</v>
      </c>
      <c r="G476" s="34">
        <v>0</v>
      </c>
      <c r="H476" s="34">
        <v>1</v>
      </c>
      <c r="I476" s="35">
        <f t="shared" si="24"/>
        <v>1</v>
      </c>
      <c r="J476" s="35" t="str">
        <f t="shared" si="25"/>
        <v>-</v>
      </c>
      <c r="K476"/>
      <c r="L476"/>
      <c r="M476"/>
      <c r="N476"/>
      <c r="O476"/>
      <c r="P476"/>
      <c r="Q476"/>
      <c r="T476"/>
      <c r="U476"/>
      <c r="Y476"/>
      <c r="Z476"/>
    </row>
    <row r="477" spans="1:26" x14ac:dyDescent="0.2">
      <c r="A477" s="44">
        <v>361</v>
      </c>
      <c r="B477" s="15" t="s">
        <v>997</v>
      </c>
      <c r="C477" s="14">
        <v>1</v>
      </c>
      <c r="D477" s="36">
        <v>17</v>
      </c>
      <c r="E477" s="36">
        <v>1</v>
      </c>
      <c r="F477" s="36">
        <v>0</v>
      </c>
      <c r="G477" s="36">
        <v>0</v>
      </c>
      <c r="H477" s="36">
        <v>1</v>
      </c>
      <c r="I477" s="37">
        <f t="shared" si="24"/>
        <v>5.8823529411764705E-2</v>
      </c>
      <c r="J477" s="37" t="str">
        <f t="shared" si="25"/>
        <v>-</v>
      </c>
      <c r="K477"/>
      <c r="L477"/>
      <c r="M477"/>
      <c r="N477"/>
      <c r="O477"/>
      <c r="P477"/>
      <c r="Q477"/>
      <c r="T477"/>
      <c r="U477"/>
      <c r="Y477"/>
      <c r="Z477"/>
    </row>
    <row r="478" spans="1:26" x14ac:dyDescent="0.2">
      <c r="A478" s="43">
        <v>362</v>
      </c>
      <c r="B478" s="13" t="s">
        <v>952</v>
      </c>
      <c r="C478" s="33">
        <v>1</v>
      </c>
      <c r="D478" s="34">
        <v>16</v>
      </c>
      <c r="E478" s="34">
        <v>16</v>
      </c>
      <c r="F478" s="34">
        <v>0</v>
      </c>
      <c r="G478" s="34">
        <v>0</v>
      </c>
      <c r="H478" s="34">
        <v>1</v>
      </c>
      <c r="I478" s="35">
        <f t="shared" si="24"/>
        <v>1</v>
      </c>
      <c r="J478" s="35" t="str">
        <f t="shared" si="25"/>
        <v>-</v>
      </c>
      <c r="K478"/>
      <c r="L478"/>
      <c r="M478"/>
      <c r="N478"/>
      <c r="O478"/>
      <c r="P478"/>
      <c r="Q478"/>
      <c r="T478"/>
      <c r="U478"/>
      <c r="Y478"/>
      <c r="Z478"/>
    </row>
    <row r="479" spans="1:26" x14ac:dyDescent="0.2">
      <c r="A479" s="44">
        <v>363</v>
      </c>
      <c r="B479" s="15" t="s">
        <v>953</v>
      </c>
      <c r="C479" s="14">
        <v>1</v>
      </c>
      <c r="D479" s="36">
        <v>16</v>
      </c>
      <c r="E479" s="36">
        <v>16</v>
      </c>
      <c r="F479" s="36">
        <v>0</v>
      </c>
      <c r="G479" s="36">
        <v>0</v>
      </c>
      <c r="H479" s="36">
        <v>1</v>
      </c>
      <c r="I479" s="37">
        <f t="shared" si="24"/>
        <v>1</v>
      </c>
      <c r="J479" s="37" t="str">
        <f t="shared" si="25"/>
        <v>-</v>
      </c>
      <c r="K479"/>
      <c r="L479"/>
      <c r="M479"/>
      <c r="N479"/>
      <c r="O479"/>
      <c r="P479"/>
      <c r="Q479"/>
      <c r="T479"/>
      <c r="U479"/>
      <c r="Y479"/>
      <c r="Z479"/>
    </row>
    <row r="480" spans="1:26" x14ac:dyDescent="0.2">
      <c r="A480" s="43">
        <v>364</v>
      </c>
      <c r="B480" s="13" t="s">
        <v>966</v>
      </c>
      <c r="C480" s="33">
        <v>1</v>
      </c>
      <c r="D480" s="34">
        <v>16</v>
      </c>
      <c r="E480" s="34">
        <v>12</v>
      </c>
      <c r="F480" s="34">
        <v>0</v>
      </c>
      <c r="G480" s="34">
        <v>0</v>
      </c>
      <c r="H480" s="34">
        <v>1</v>
      </c>
      <c r="I480" s="35">
        <f t="shared" si="24"/>
        <v>0.75</v>
      </c>
      <c r="J480" s="35" t="str">
        <f t="shared" si="25"/>
        <v>-</v>
      </c>
      <c r="K480"/>
      <c r="L480"/>
      <c r="M480"/>
      <c r="N480"/>
      <c r="O480"/>
      <c r="P480"/>
      <c r="Q480"/>
      <c r="T480"/>
      <c r="U480"/>
      <c r="Y480"/>
      <c r="Z480"/>
    </row>
    <row r="481" spans="1:26" x14ac:dyDescent="0.2">
      <c r="A481" s="44">
        <v>365</v>
      </c>
      <c r="B481" s="15" t="s">
        <v>1420</v>
      </c>
      <c r="C481" s="14">
        <v>1</v>
      </c>
      <c r="D481" s="36">
        <v>16</v>
      </c>
      <c r="E481" s="36">
        <v>0</v>
      </c>
      <c r="F481" s="36">
        <v>0</v>
      </c>
      <c r="G481" s="36">
        <v>0</v>
      </c>
      <c r="H481" s="36">
        <v>1</v>
      </c>
      <c r="I481" s="37">
        <f t="shared" si="24"/>
        <v>0</v>
      </c>
      <c r="J481" s="37" t="str">
        <f t="shared" si="25"/>
        <v>-</v>
      </c>
      <c r="K481"/>
      <c r="L481"/>
      <c r="M481"/>
      <c r="N481"/>
      <c r="O481"/>
      <c r="P481"/>
      <c r="Q481"/>
      <c r="T481"/>
      <c r="U481"/>
      <c r="Y481"/>
      <c r="Z481"/>
    </row>
    <row r="482" spans="1:26" x14ac:dyDescent="0.2">
      <c r="A482" s="43">
        <v>366</v>
      </c>
      <c r="B482" s="13" t="s">
        <v>980</v>
      </c>
      <c r="C482" s="33">
        <v>1</v>
      </c>
      <c r="D482" s="34">
        <v>15</v>
      </c>
      <c r="E482" s="34">
        <v>7</v>
      </c>
      <c r="F482" s="34">
        <v>0</v>
      </c>
      <c r="G482" s="34">
        <v>0</v>
      </c>
      <c r="H482" s="34">
        <v>1</v>
      </c>
      <c r="I482" s="35">
        <f t="shared" si="24"/>
        <v>0.46666666666666667</v>
      </c>
      <c r="J482" s="35" t="str">
        <f t="shared" si="25"/>
        <v>-</v>
      </c>
      <c r="K482"/>
      <c r="L482"/>
      <c r="M482"/>
      <c r="N482"/>
      <c r="O482"/>
      <c r="P482"/>
      <c r="Q482"/>
      <c r="T482"/>
      <c r="U482"/>
      <c r="Y482"/>
      <c r="Z482"/>
    </row>
    <row r="483" spans="1:26" x14ac:dyDescent="0.2">
      <c r="A483" s="44">
        <v>367</v>
      </c>
      <c r="B483" s="15" t="s">
        <v>954</v>
      </c>
      <c r="C483" s="14">
        <v>1</v>
      </c>
      <c r="D483" s="36">
        <v>15</v>
      </c>
      <c r="E483" s="36">
        <v>15</v>
      </c>
      <c r="F483" s="36">
        <v>0</v>
      </c>
      <c r="G483" s="36">
        <v>0</v>
      </c>
      <c r="H483" s="36">
        <v>1</v>
      </c>
      <c r="I483" s="37">
        <f t="shared" si="24"/>
        <v>1</v>
      </c>
      <c r="J483" s="37" t="str">
        <f t="shared" si="25"/>
        <v>-</v>
      </c>
      <c r="K483"/>
      <c r="L483"/>
      <c r="M483"/>
      <c r="N483"/>
      <c r="O483"/>
      <c r="P483"/>
      <c r="Q483"/>
      <c r="T483"/>
      <c r="U483"/>
      <c r="Y483"/>
      <c r="Z483"/>
    </row>
    <row r="484" spans="1:26" x14ac:dyDescent="0.2">
      <c r="A484" s="43">
        <v>368</v>
      </c>
      <c r="B484" s="13" t="s">
        <v>988</v>
      </c>
      <c r="C484" s="33">
        <v>1</v>
      </c>
      <c r="D484" s="34">
        <v>13</v>
      </c>
      <c r="E484" s="34">
        <v>4</v>
      </c>
      <c r="F484" s="34">
        <v>0</v>
      </c>
      <c r="G484" s="34">
        <v>0</v>
      </c>
      <c r="H484" s="34">
        <v>1</v>
      </c>
      <c r="I484" s="35">
        <f t="shared" si="24"/>
        <v>0.30769230769230771</v>
      </c>
      <c r="J484" s="35" t="str">
        <f t="shared" si="25"/>
        <v>-</v>
      </c>
      <c r="K484"/>
      <c r="L484"/>
      <c r="M484"/>
      <c r="N484"/>
      <c r="O484"/>
      <c r="P484"/>
      <c r="Q484"/>
      <c r="T484"/>
      <c r="U484"/>
      <c r="Y484"/>
      <c r="Z484"/>
    </row>
    <row r="485" spans="1:26" x14ac:dyDescent="0.2">
      <c r="A485" s="44">
        <v>369</v>
      </c>
      <c r="B485" s="15" t="s">
        <v>1415</v>
      </c>
      <c r="C485" s="14">
        <v>1</v>
      </c>
      <c r="D485" s="36">
        <v>12</v>
      </c>
      <c r="E485" s="36">
        <v>0</v>
      </c>
      <c r="F485" s="36">
        <v>0</v>
      </c>
      <c r="G485" s="36">
        <v>0</v>
      </c>
      <c r="H485" s="36">
        <v>1</v>
      </c>
      <c r="I485" s="37">
        <f t="shared" si="24"/>
        <v>0</v>
      </c>
      <c r="J485" s="37" t="str">
        <f t="shared" si="25"/>
        <v>-</v>
      </c>
      <c r="K485"/>
      <c r="L485"/>
      <c r="M485"/>
      <c r="N485"/>
      <c r="O485"/>
      <c r="P485"/>
      <c r="Q485"/>
      <c r="T485"/>
      <c r="U485"/>
      <c r="Y485"/>
      <c r="Z485"/>
    </row>
    <row r="486" spans="1:26" x14ac:dyDescent="0.2">
      <c r="A486" s="43">
        <v>370</v>
      </c>
      <c r="B486" s="13" t="s">
        <v>862</v>
      </c>
      <c r="C486" s="33">
        <v>1</v>
      </c>
      <c r="D486" s="34">
        <v>12</v>
      </c>
      <c r="E486" s="34">
        <v>28</v>
      </c>
      <c r="F486" s="34">
        <v>0</v>
      </c>
      <c r="G486" s="34">
        <v>0</v>
      </c>
      <c r="H486" s="34">
        <v>1</v>
      </c>
      <c r="I486" s="35">
        <f t="shared" si="24"/>
        <v>2.3333333333333335</v>
      </c>
      <c r="J486" s="35" t="str">
        <f t="shared" si="25"/>
        <v>-</v>
      </c>
      <c r="K486"/>
      <c r="L486"/>
      <c r="M486"/>
      <c r="N486"/>
      <c r="O486"/>
      <c r="P486"/>
      <c r="Q486"/>
      <c r="T486"/>
      <c r="U486"/>
      <c r="Y486"/>
      <c r="Z486"/>
    </row>
    <row r="487" spans="1:26" x14ac:dyDescent="0.2">
      <c r="A487" s="44">
        <v>371</v>
      </c>
      <c r="B487" s="15" t="s">
        <v>1419</v>
      </c>
      <c r="C487" s="14">
        <v>1</v>
      </c>
      <c r="D487" s="36">
        <v>12</v>
      </c>
      <c r="E487" s="36">
        <v>0</v>
      </c>
      <c r="F487" s="36">
        <v>0</v>
      </c>
      <c r="G487" s="36">
        <v>0</v>
      </c>
      <c r="H487" s="36">
        <v>1</v>
      </c>
      <c r="I487" s="37">
        <f t="shared" si="24"/>
        <v>0</v>
      </c>
      <c r="J487" s="37" t="str">
        <f t="shared" si="25"/>
        <v>-</v>
      </c>
      <c r="K487"/>
      <c r="L487"/>
      <c r="M487"/>
      <c r="N487"/>
      <c r="O487"/>
      <c r="P487"/>
      <c r="Q487"/>
      <c r="T487"/>
      <c r="U487"/>
      <c r="Y487"/>
      <c r="Z487"/>
    </row>
    <row r="488" spans="1:26" x14ac:dyDescent="0.2">
      <c r="A488" s="43">
        <v>372</v>
      </c>
      <c r="B488" s="13" t="s">
        <v>928</v>
      </c>
      <c r="C488" s="33">
        <v>1</v>
      </c>
      <c r="D488" s="34">
        <v>11</v>
      </c>
      <c r="E488" s="34">
        <v>21</v>
      </c>
      <c r="F488" s="34">
        <v>0</v>
      </c>
      <c r="G488" s="34">
        <v>0</v>
      </c>
      <c r="H488" s="34">
        <v>1</v>
      </c>
      <c r="I488" s="35">
        <f t="shared" si="24"/>
        <v>1.9090909090909092</v>
      </c>
      <c r="J488" s="35" t="str">
        <f t="shared" si="25"/>
        <v>-</v>
      </c>
      <c r="K488"/>
      <c r="L488"/>
      <c r="M488"/>
      <c r="N488"/>
      <c r="O488"/>
      <c r="P488"/>
      <c r="Q488"/>
      <c r="T488"/>
      <c r="U488"/>
      <c r="Y488"/>
      <c r="Z488"/>
    </row>
    <row r="489" spans="1:26" x14ac:dyDescent="0.2">
      <c r="A489" s="44">
        <v>373</v>
      </c>
      <c r="B489" s="15" t="s">
        <v>973</v>
      </c>
      <c r="C489" s="14">
        <v>1</v>
      </c>
      <c r="D489" s="36">
        <v>11</v>
      </c>
      <c r="E489" s="36">
        <v>11</v>
      </c>
      <c r="F489" s="36">
        <v>0</v>
      </c>
      <c r="G489" s="36">
        <v>0</v>
      </c>
      <c r="H489" s="36">
        <v>1</v>
      </c>
      <c r="I489" s="37">
        <f t="shared" si="24"/>
        <v>1</v>
      </c>
      <c r="J489" s="37" t="str">
        <f t="shared" si="25"/>
        <v>-</v>
      </c>
      <c r="K489"/>
      <c r="L489"/>
      <c r="M489"/>
      <c r="N489"/>
      <c r="O489"/>
      <c r="P489"/>
      <c r="Q489"/>
      <c r="T489"/>
      <c r="U489"/>
      <c r="Y489"/>
      <c r="Z489"/>
    </row>
    <row r="490" spans="1:26" x14ac:dyDescent="0.2">
      <c r="A490" s="43">
        <v>374</v>
      </c>
      <c r="B490" s="13" t="s">
        <v>969</v>
      </c>
      <c r="C490" s="33">
        <v>1</v>
      </c>
      <c r="D490" s="34">
        <v>11</v>
      </c>
      <c r="E490" s="34">
        <v>11</v>
      </c>
      <c r="F490" s="34">
        <v>56</v>
      </c>
      <c r="G490" s="34">
        <v>56</v>
      </c>
      <c r="H490" s="34">
        <v>1</v>
      </c>
      <c r="I490" s="35">
        <f t="shared" si="24"/>
        <v>1</v>
      </c>
      <c r="J490" s="35">
        <f t="shared" si="25"/>
        <v>1</v>
      </c>
      <c r="K490"/>
      <c r="L490"/>
      <c r="M490"/>
      <c r="N490"/>
      <c r="O490"/>
      <c r="P490"/>
      <c r="Q490"/>
      <c r="T490"/>
      <c r="U490"/>
      <c r="Y490"/>
      <c r="Z490"/>
    </row>
    <row r="491" spans="1:26" x14ac:dyDescent="0.2">
      <c r="A491" s="44">
        <v>375</v>
      </c>
      <c r="B491" s="15" t="s">
        <v>617</v>
      </c>
      <c r="C491" s="14">
        <v>1</v>
      </c>
      <c r="D491" s="36">
        <v>11</v>
      </c>
      <c r="E491" s="36">
        <v>75</v>
      </c>
      <c r="F491" s="36">
        <v>0</v>
      </c>
      <c r="G491" s="36">
        <v>0</v>
      </c>
      <c r="H491" s="36">
        <v>1</v>
      </c>
      <c r="I491" s="37">
        <f t="shared" si="24"/>
        <v>6.8181818181818183</v>
      </c>
      <c r="J491" s="37" t="str">
        <f t="shared" si="25"/>
        <v>-</v>
      </c>
      <c r="K491"/>
      <c r="L491"/>
      <c r="M491"/>
      <c r="N491"/>
      <c r="O491"/>
      <c r="P491"/>
      <c r="Q491"/>
      <c r="T491"/>
      <c r="U491"/>
      <c r="Y491"/>
      <c r="Z491"/>
    </row>
    <row r="492" spans="1:26" x14ac:dyDescent="0.2">
      <c r="A492" s="43">
        <v>378</v>
      </c>
      <c r="B492" s="13" t="s">
        <v>956</v>
      </c>
      <c r="C492" s="33">
        <v>1</v>
      </c>
      <c r="D492" s="34">
        <v>9</v>
      </c>
      <c r="E492" s="34">
        <v>15</v>
      </c>
      <c r="F492" s="34">
        <v>0</v>
      </c>
      <c r="G492" s="34">
        <v>0</v>
      </c>
      <c r="H492" s="34">
        <v>1</v>
      </c>
      <c r="I492" s="35">
        <f t="shared" si="24"/>
        <v>1.6666666666666667</v>
      </c>
      <c r="J492" s="35" t="str">
        <f t="shared" si="25"/>
        <v>-</v>
      </c>
      <c r="K492"/>
      <c r="L492"/>
      <c r="M492"/>
      <c r="N492"/>
      <c r="O492"/>
      <c r="P492"/>
      <c r="Q492"/>
      <c r="T492"/>
      <c r="U492"/>
      <c r="Y492"/>
      <c r="Z492"/>
    </row>
    <row r="493" spans="1:26" x14ac:dyDescent="0.2">
      <c r="A493" s="44">
        <v>379</v>
      </c>
      <c r="B493" s="15" t="s">
        <v>981</v>
      </c>
      <c r="C493" s="14">
        <v>1</v>
      </c>
      <c r="D493" s="36">
        <v>9</v>
      </c>
      <c r="E493" s="36">
        <v>7</v>
      </c>
      <c r="F493" s="36">
        <v>0</v>
      </c>
      <c r="G493" s="36">
        <v>0</v>
      </c>
      <c r="H493" s="36">
        <v>1</v>
      </c>
      <c r="I493" s="37">
        <f t="shared" si="24"/>
        <v>0.77777777777777779</v>
      </c>
      <c r="J493" s="37" t="str">
        <f t="shared" si="25"/>
        <v>-</v>
      </c>
      <c r="K493"/>
      <c r="L493"/>
      <c r="M493"/>
      <c r="N493"/>
      <c r="O493"/>
      <c r="P493"/>
      <c r="Q493"/>
      <c r="T493"/>
      <c r="U493"/>
      <c r="Y493"/>
      <c r="Z493"/>
    </row>
    <row r="494" spans="1:26" x14ac:dyDescent="0.2">
      <c r="A494" s="43">
        <v>380</v>
      </c>
      <c r="B494" s="13" t="s">
        <v>1409</v>
      </c>
      <c r="C494" s="33">
        <v>1</v>
      </c>
      <c r="D494" s="34">
        <v>8</v>
      </c>
      <c r="E494" s="34">
        <v>0</v>
      </c>
      <c r="F494" s="34">
        <v>0</v>
      </c>
      <c r="G494" s="34">
        <v>0</v>
      </c>
      <c r="H494" s="34">
        <v>1</v>
      </c>
      <c r="I494" s="35">
        <f t="shared" si="24"/>
        <v>0</v>
      </c>
      <c r="J494" s="35" t="str">
        <f t="shared" si="25"/>
        <v>-</v>
      </c>
      <c r="K494"/>
      <c r="L494"/>
      <c r="M494"/>
      <c r="N494"/>
      <c r="O494"/>
      <c r="P494"/>
      <c r="Q494"/>
      <c r="T494"/>
      <c r="U494"/>
      <c r="Y494"/>
      <c r="Z494"/>
    </row>
    <row r="495" spans="1:26" x14ac:dyDescent="0.2">
      <c r="A495" s="43">
        <v>382</v>
      </c>
      <c r="B495" s="13" t="s">
        <v>983</v>
      </c>
      <c r="C495" s="33">
        <v>1</v>
      </c>
      <c r="D495" s="34">
        <v>6</v>
      </c>
      <c r="E495" s="34">
        <v>6</v>
      </c>
      <c r="F495" s="34">
        <v>215</v>
      </c>
      <c r="G495" s="34">
        <v>203</v>
      </c>
      <c r="H495" s="34">
        <v>1</v>
      </c>
      <c r="I495" s="35">
        <f t="shared" si="24"/>
        <v>1</v>
      </c>
      <c r="J495" s="35">
        <f t="shared" si="25"/>
        <v>0.94418604651162785</v>
      </c>
      <c r="K495"/>
      <c r="L495"/>
      <c r="M495"/>
      <c r="N495"/>
      <c r="O495"/>
      <c r="P495"/>
      <c r="Q495"/>
      <c r="T495"/>
      <c r="U495"/>
      <c r="Y495"/>
      <c r="Z495"/>
    </row>
    <row r="496" spans="1:26" x14ac:dyDescent="0.2">
      <c r="A496" s="43">
        <v>384</v>
      </c>
      <c r="B496" s="13" t="s">
        <v>992</v>
      </c>
      <c r="C496" s="33">
        <v>1</v>
      </c>
      <c r="D496" s="34">
        <v>3</v>
      </c>
      <c r="E496" s="34">
        <v>3</v>
      </c>
      <c r="F496" s="34">
        <v>0</v>
      </c>
      <c r="G496" s="34">
        <v>0</v>
      </c>
      <c r="H496" s="34">
        <v>1</v>
      </c>
      <c r="I496" s="35">
        <f t="shared" si="24"/>
        <v>1</v>
      </c>
      <c r="J496" s="35" t="str">
        <f t="shared" si="25"/>
        <v>-</v>
      </c>
      <c r="K496"/>
      <c r="L496"/>
      <c r="M496"/>
      <c r="N496"/>
      <c r="O496"/>
      <c r="P496"/>
      <c r="Q496"/>
      <c r="T496"/>
      <c r="U496"/>
      <c r="Y496"/>
      <c r="Z496"/>
    </row>
    <row r="497" spans="1:26" x14ac:dyDescent="0.2">
      <c r="A497" s="43">
        <v>386</v>
      </c>
      <c r="B497" s="13" t="s">
        <v>883</v>
      </c>
      <c r="C497" s="33">
        <v>1</v>
      </c>
      <c r="D497" s="34">
        <v>1</v>
      </c>
      <c r="E497" s="34">
        <v>25</v>
      </c>
      <c r="F497" s="34">
        <v>0</v>
      </c>
      <c r="G497" s="34">
        <v>0</v>
      </c>
      <c r="H497" s="34">
        <v>1</v>
      </c>
      <c r="I497" s="35">
        <f t="shared" si="24"/>
        <v>25</v>
      </c>
      <c r="J497" s="35" t="str">
        <f t="shared" si="25"/>
        <v>-</v>
      </c>
      <c r="K497"/>
      <c r="L497"/>
      <c r="M497"/>
      <c r="N497"/>
      <c r="O497"/>
      <c r="P497"/>
      <c r="Q497"/>
      <c r="T497"/>
      <c r="U497"/>
      <c r="Y497"/>
      <c r="Z497"/>
    </row>
    <row r="498" spans="1:26" x14ac:dyDescent="0.2">
      <c r="A498" s="43">
        <v>390</v>
      </c>
      <c r="B498" s="13" t="s">
        <v>1166</v>
      </c>
      <c r="C498" s="33">
        <v>1</v>
      </c>
      <c r="D498" s="34">
        <v>0</v>
      </c>
      <c r="E498" s="34">
        <v>0</v>
      </c>
      <c r="F498" s="34">
        <v>286</v>
      </c>
      <c r="G498" s="34">
        <v>286</v>
      </c>
      <c r="H498" s="34">
        <v>0</v>
      </c>
      <c r="I498" s="35" t="str">
        <f t="shared" si="24"/>
        <v>-</v>
      </c>
      <c r="J498" s="35">
        <f t="shared" si="25"/>
        <v>1</v>
      </c>
      <c r="K498"/>
      <c r="L498"/>
      <c r="M498"/>
      <c r="N498"/>
      <c r="O498"/>
      <c r="P498"/>
      <c r="Q498"/>
      <c r="T498"/>
      <c r="U498"/>
      <c r="Y498"/>
      <c r="Z498"/>
    </row>
    <row r="499" spans="1:26" x14ac:dyDescent="0.2">
      <c r="A499" s="44">
        <v>391</v>
      </c>
      <c r="B499" s="15" t="s">
        <v>462</v>
      </c>
      <c r="C499" s="14">
        <v>1</v>
      </c>
      <c r="D499" s="36">
        <v>0</v>
      </c>
      <c r="E499" s="36">
        <v>119</v>
      </c>
      <c r="F499" s="36">
        <v>0</v>
      </c>
      <c r="G499" s="36">
        <v>0</v>
      </c>
      <c r="H499" s="36">
        <v>0</v>
      </c>
      <c r="I499" s="37" t="str">
        <f t="shared" si="24"/>
        <v>-</v>
      </c>
      <c r="J499" s="37" t="str">
        <f t="shared" si="25"/>
        <v>-</v>
      </c>
      <c r="K499"/>
      <c r="L499"/>
      <c r="M499"/>
      <c r="N499"/>
      <c r="O499"/>
      <c r="P499"/>
      <c r="Q499"/>
      <c r="T499"/>
      <c r="U499"/>
      <c r="Y499"/>
      <c r="Z499"/>
    </row>
    <row r="500" spans="1:26" x14ac:dyDescent="0.2">
      <c r="A500" s="43">
        <v>392</v>
      </c>
      <c r="B500" s="13" t="s">
        <v>1232</v>
      </c>
      <c r="C500" s="33">
        <v>1</v>
      </c>
      <c r="D500" s="34">
        <v>0</v>
      </c>
      <c r="E500" s="34">
        <v>0</v>
      </c>
      <c r="F500" s="34">
        <v>173</v>
      </c>
      <c r="G500" s="34">
        <v>173</v>
      </c>
      <c r="H500" s="34">
        <v>0</v>
      </c>
      <c r="I500" s="35" t="str">
        <f t="shared" si="24"/>
        <v>-</v>
      </c>
      <c r="J500" s="35">
        <f t="shared" si="25"/>
        <v>1</v>
      </c>
      <c r="K500"/>
      <c r="L500"/>
      <c r="M500"/>
      <c r="N500"/>
      <c r="O500"/>
      <c r="P500"/>
      <c r="Q500"/>
      <c r="T500"/>
      <c r="U500"/>
      <c r="Y500"/>
      <c r="Z500"/>
    </row>
    <row r="501" spans="1:26" x14ac:dyDescent="0.2">
      <c r="A501" s="43">
        <v>394</v>
      </c>
      <c r="B501" s="13" t="s">
        <v>1158</v>
      </c>
      <c r="C501" s="33">
        <v>1</v>
      </c>
      <c r="D501" s="34">
        <v>0</v>
      </c>
      <c r="E501" s="34">
        <v>0</v>
      </c>
      <c r="F501" s="34">
        <v>347</v>
      </c>
      <c r="G501" s="34">
        <v>310</v>
      </c>
      <c r="H501" s="34">
        <v>0</v>
      </c>
      <c r="I501" s="35" t="str">
        <f t="shared" si="24"/>
        <v>-</v>
      </c>
      <c r="J501" s="35">
        <f t="shared" si="25"/>
        <v>0.89337175792507206</v>
      </c>
      <c r="K501"/>
      <c r="L501"/>
      <c r="M501"/>
      <c r="N501"/>
      <c r="O501"/>
      <c r="P501"/>
      <c r="Q501"/>
      <c r="T501"/>
      <c r="U501"/>
      <c r="Y501"/>
      <c r="Z501"/>
    </row>
    <row r="502" spans="1:26" x14ac:dyDescent="0.2">
      <c r="A502" s="43">
        <v>396</v>
      </c>
      <c r="B502" s="13" t="s">
        <v>1351</v>
      </c>
      <c r="C502" s="33">
        <v>1</v>
      </c>
      <c r="D502" s="34">
        <v>0</v>
      </c>
      <c r="E502" s="34">
        <v>0</v>
      </c>
      <c r="F502" s="34">
        <v>29</v>
      </c>
      <c r="G502" s="34">
        <v>29</v>
      </c>
      <c r="H502" s="34">
        <v>0</v>
      </c>
      <c r="I502" s="35" t="str">
        <f t="shared" si="24"/>
        <v>-</v>
      </c>
      <c r="J502" s="35">
        <f t="shared" si="25"/>
        <v>1</v>
      </c>
      <c r="K502"/>
      <c r="L502"/>
      <c r="M502"/>
      <c r="N502"/>
      <c r="O502"/>
      <c r="P502"/>
      <c r="Q502"/>
      <c r="T502"/>
      <c r="U502"/>
      <c r="Y502"/>
      <c r="Z502"/>
    </row>
    <row r="503" spans="1:26" x14ac:dyDescent="0.2">
      <c r="A503" s="43">
        <v>398</v>
      </c>
      <c r="B503" s="13" t="s">
        <v>897</v>
      </c>
      <c r="C503" s="33">
        <v>1</v>
      </c>
      <c r="D503" s="34">
        <v>0</v>
      </c>
      <c r="E503" s="34">
        <v>25</v>
      </c>
      <c r="F503" s="34">
        <v>0</v>
      </c>
      <c r="G503" s="34">
        <v>0</v>
      </c>
      <c r="H503" s="34">
        <v>0</v>
      </c>
      <c r="I503" s="35" t="str">
        <f t="shared" si="24"/>
        <v>-</v>
      </c>
      <c r="J503" s="35" t="str">
        <f t="shared" si="25"/>
        <v>-</v>
      </c>
      <c r="K503"/>
      <c r="L503"/>
      <c r="M503"/>
      <c r="N503"/>
      <c r="O503"/>
      <c r="P503"/>
      <c r="Q503"/>
      <c r="T503"/>
      <c r="U503"/>
      <c r="Y503"/>
      <c r="Z503"/>
    </row>
    <row r="504" spans="1:26" x14ac:dyDescent="0.2">
      <c r="A504" s="43">
        <v>404</v>
      </c>
      <c r="B504" s="13" t="s">
        <v>810</v>
      </c>
      <c r="C504" s="33">
        <v>1</v>
      </c>
      <c r="D504" s="34">
        <v>0</v>
      </c>
      <c r="E504" s="34">
        <v>41</v>
      </c>
      <c r="F504" s="34">
        <v>0</v>
      </c>
      <c r="G504" s="34">
        <v>0</v>
      </c>
      <c r="H504" s="34">
        <v>0</v>
      </c>
      <c r="I504" s="35" t="str">
        <f t="shared" si="24"/>
        <v>-</v>
      </c>
      <c r="J504" s="35" t="str">
        <f t="shared" si="25"/>
        <v>-</v>
      </c>
      <c r="K504"/>
      <c r="L504"/>
      <c r="M504"/>
      <c r="N504"/>
      <c r="O504"/>
      <c r="P504"/>
      <c r="Q504"/>
      <c r="T504"/>
      <c r="U504"/>
      <c r="Y504"/>
      <c r="Z504"/>
    </row>
    <row r="505" spans="1:26" x14ac:dyDescent="0.2">
      <c r="A505" s="44">
        <v>405</v>
      </c>
      <c r="B505" s="15" t="s">
        <v>1296</v>
      </c>
      <c r="C505" s="14">
        <v>1</v>
      </c>
      <c r="D505" s="36">
        <v>0</v>
      </c>
      <c r="E505" s="36">
        <v>0</v>
      </c>
      <c r="F505" s="36">
        <v>87</v>
      </c>
      <c r="G505" s="36">
        <v>83</v>
      </c>
      <c r="H505" s="36">
        <v>0</v>
      </c>
      <c r="I505" s="37" t="str">
        <f t="shared" si="24"/>
        <v>-</v>
      </c>
      <c r="J505" s="37">
        <f t="shared" si="25"/>
        <v>0.95402298850574707</v>
      </c>
      <c r="K505"/>
      <c r="L505"/>
      <c r="M505"/>
      <c r="N505"/>
      <c r="O505"/>
      <c r="P505"/>
      <c r="Q505"/>
      <c r="T505"/>
      <c r="U505"/>
      <c r="Y505"/>
      <c r="Z505"/>
    </row>
    <row r="506" spans="1:26" x14ac:dyDescent="0.2">
      <c r="A506" s="44">
        <v>407</v>
      </c>
      <c r="B506" s="15" t="s">
        <v>1314</v>
      </c>
      <c r="C506" s="14">
        <v>1</v>
      </c>
      <c r="D506" s="36">
        <v>0</v>
      </c>
      <c r="E506" s="36">
        <v>0</v>
      </c>
      <c r="F506" s="36">
        <v>65</v>
      </c>
      <c r="G506" s="36">
        <v>65</v>
      </c>
      <c r="H506" s="36">
        <v>0</v>
      </c>
      <c r="I506" s="37" t="str">
        <f t="shared" si="24"/>
        <v>-</v>
      </c>
      <c r="J506" s="37">
        <f t="shared" si="25"/>
        <v>1</v>
      </c>
      <c r="K506"/>
      <c r="L506"/>
      <c r="M506"/>
      <c r="N506"/>
      <c r="O506"/>
      <c r="P506"/>
      <c r="Q506"/>
      <c r="T506"/>
      <c r="U506"/>
      <c r="Y506"/>
      <c r="Z506"/>
    </row>
    <row r="507" spans="1:26" x14ac:dyDescent="0.2">
      <c r="A507" s="43">
        <v>420</v>
      </c>
      <c r="B507" s="13" t="s">
        <v>1156</v>
      </c>
      <c r="C507" s="33">
        <v>1</v>
      </c>
      <c r="D507" s="34">
        <v>0</v>
      </c>
      <c r="E507" s="34">
        <v>0</v>
      </c>
      <c r="F507" s="34">
        <v>334</v>
      </c>
      <c r="G507" s="34">
        <v>311</v>
      </c>
      <c r="H507" s="34">
        <v>0</v>
      </c>
      <c r="I507" s="35" t="str">
        <f t="shared" si="24"/>
        <v>-</v>
      </c>
      <c r="J507" s="35">
        <f t="shared" si="25"/>
        <v>0.93113772455089816</v>
      </c>
      <c r="K507"/>
      <c r="L507"/>
      <c r="M507"/>
      <c r="N507"/>
      <c r="O507"/>
      <c r="P507"/>
      <c r="Q507"/>
      <c r="T507"/>
      <c r="U507"/>
      <c r="Y507"/>
      <c r="Z507"/>
    </row>
    <row r="508" spans="1:26" x14ac:dyDescent="0.2">
      <c r="A508" s="44">
        <v>421</v>
      </c>
      <c r="B508" s="15" t="s">
        <v>1378</v>
      </c>
      <c r="C508" s="14">
        <v>1</v>
      </c>
      <c r="D508" s="36">
        <v>0</v>
      </c>
      <c r="E508" s="36">
        <v>0</v>
      </c>
      <c r="F508" s="36">
        <v>17</v>
      </c>
      <c r="G508" s="36">
        <v>17</v>
      </c>
      <c r="H508" s="36">
        <v>0</v>
      </c>
      <c r="I508" s="37" t="str">
        <f t="shared" si="24"/>
        <v>-</v>
      </c>
      <c r="J508" s="37">
        <f t="shared" si="25"/>
        <v>1</v>
      </c>
      <c r="K508"/>
      <c r="L508"/>
      <c r="M508"/>
      <c r="N508"/>
      <c r="O508"/>
      <c r="P508"/>
      <c r="Q508"/>
      <c r="T508"/>
      <c r="U508"/>
      <c r="Y508"/>
      <c r="Z508"/>
    </row>
    <row r="509" spans="1:26" x14ac:dyDescent="0.2">
      <c r="A509" s="44">
        <v>423</v>
      </c>
      <c r="B509" s="15" t="s">
        <v>1386</v>
      </c>
      <c r="C509" s="14">
        <v>1</v>
      </c>
      <c r="D509" s="36">
        <v>0</v>
      </c>
      <c r="E509" s="36">
        <v>0</v>
      </c>
      <c r="F509" s="36">
        <v>10</v>
      </c>
      <c r="G509" s="36">
        <v>10</v>
      </c>
      <c r="H509" s="36">
        <v>0</v>
      </c>
      <c r="I509" s="37" t="str">
        <f t="shared" si="24"/>
        <v>-</v>
      </c>
      <c r="J509" s="37">
        <f t="shared" si="25"/>
        <v>1</v>
      </c>
      <c r="K509"/>
      <c r="L509"/>
      <c r="M509"/>
      <c r="N509"/>
      <c r="O509"/>
      <c r="P509"/>
      <c r="Q509"/>
      <c r="T509"/>
      <c r="U509"/>
      <c r="Y509"/>
      <c r="Z509"/>
    </row>
    <row r="510" spans="1:26" x14ac:dyDescent="0.2">
      <c r="A510" s="44">
        <v>437</v>
      </c>
      <c r="B510" s="15" t="s">
        <v>1330</v>
      </c>
      <c r="C510" s="14">
        <v>1</v>
      </c>
      <c r="D510" s="36">
        <v>0</v>
      </c>
      <c r="E510" s="36">
        <v>0</v>
      </c>
      <c r="F510" s="36">
        <v>49</v>
      </c>
      <c r="G510" s="36">
        <v>49</v>
      </c>
      <c r="H510" s="36">
        <v>0</v>
      </c>
      <c r="I510" s="37" t="str">
        <f t="shared" si="24"/>
        <v>-</v>
      </c>
      <c r="J510" s="37">
        <f t="shared" si="25"/>
        <v>1</v>
      </c>
      <c r="K510"/>
      <c r="L510"/>
      <c r="M510"/>
      <c r="N510"/>
      <c r="O510"/>
      <c r="P510"/>
      <c r="Q510"/>
      <c r="T510"/>
      <c r="U510"/>
      <c r="Y510"/>
      <c r="Z510"/>
    </row>
    <row r="511" spans="1:26" x14ac:dyDescent="0.2">
      <c r="A511" s="44">
        <v>439</v>
      </c>
      <c r="B511" s="15" t="s">
        <v>1381</v>
      </c>
      <c r="C511" s="14">
        <v>1</v>
      </c>
      <c r="D511" s="36">
        <v>0</v>
      </c>
      <c r="E511" s="36">
        <v>0</v>
      </c>
      <c r="F511" s="36">
        <v>15</v>
      </c>
      <c r="G511" s="36">
        <v>15</v>
      </c>
      <c r="H511" s="36">
        <v>0</v>
      </c>
      <c r="I511" s="37" t="str">
        <f t="shared" si="24"/>
        <v>-</v>
      </c>
      <c r="J511" s="37">
        <f t="shared" si="25"/>
        <v>1</v>
      </c>
      <c r="K511"/>
      <c r="L511"/>
      <c r="M511"/>
      <c r="N511"/>
      <c r="O511"/>
      <c r="P511"/>
      <c r="Q511"/>
      <c r="T511"/>
      <c r="U511"/>
      <c r="Y511"/>
      <c r="Z511"/>
    </row>
    <row r="512" spans="1:26" x14ac:dyDescent="0.2">
      <c r="A512" s="44">
        <v>441</v>
      </c>
      <c r="B512" s="15" t="s">
        <v>389</v>
      </c>
      <c r="C512" s="14">
        <v>1</v>
      </c>
      <c r="D512" s="36">
        <v>0</v>
      </c>
      <c r="E512" s="36">
        <v>0</v>
      </c>
      <c r="F512" s="36">
        <v>199</v>
      </c>
      <c r="G512" s="36">
        <v>197</v>
      </c>
      <c r="H512" s="36">
        <v>0</v>
      </c>
      <c r="I512" s="37" t="str">
        <f t="shared" si="24"/>
        <v>-</v>
      </c>
      <c r="J512" s="37">
        <f t="shared" si="25"/>
        <v>0.98994974874371855</v>
      </c>
      <c r="K512"/>
      <c r="L512"/>
      <c r="M512"/>
      <c r="N512"/>
      <c r="O512"/>
      <c r="P512"/>
      <c r="Q512"/>
      <c r="T512"/>
      <c r="U512"/>
      <c r="Y512"/>
      <c r="Z512"/>
    </row>
    <row r="513" spans="1:26" x14ac:dyDescent="0.2">
      <c r="A513" s="43">
        <v>442</v>
      </c>
      <c r="B513" s="13" t="s">
        <v>1376</v>
      </c>
      <c r="C513" s="33">
        <v>1</v>
      </c>
      <c r="D513" s="34">
        <v>0</v>
      </c>
      <c r="E513" s="34">
        <v>0</v>
      </c>
      <c r="F513" s="34">
        <v>19</v>
      </c>
      <c r="G513" s="34">
        <v>18</v>
      </c>
      <c r="H513" s="34">
        <v>0</v>
      </c>
      <c r="I513" s="35" t="str">
        <f t="shared" si="24"/>
        <v>-</v>
      </c>
      <c r="J513" s="35">
        <f t="shared" si="25"/>
        <v>0.94736842105263153</v>
      </c>
      <c r="K513"/>
      <c r="L513"/>
      <c r="M513"/>
      <c r="N513"/>
      <c r="O513"/>
      <c r="P513"/>
      <c r="Q513"/>
      <c r="T513"/>
      <c r="U513"/>
      <c r="Y513"/>
      <c r="Z513"/>
    </row>
    <row r="514" spans="1:26" x14ac:dyDescent="0.2">
      <c r="A514" s="44">
        <v>443</v>
      </c>
      <c r="B514" s="15" t="s">
        <v>943</v>
      </c>
      <c r="C514" s="14">
        <v>1</v>
      </c>
      <c r="D514" s="36">
        <v>0</v>
      </c>
      <c r="E514" s="36">
        <v>17</v>
      </c>
      <c r="F514" s="36">
        <v>0</v>
      </c>
      <c r="G514" s="36">
        <v>0</v>
      </c>
      <c r="H514" s="36">
        <v>0</v>
      </c>
      <c r="I514" s="37" t="str">
        <f t="shared" si="24"/>
        <v>-</v>
      </c>
      <c r="J514" s="37" t="str">
        <f t="shared" si="25"/>
        <v>-</v>
      </c>
      <c r="K514"/>
      <c r="L514"/>
      <c r="M514"/>
      <c r="N514"/>
      <c r="O514"/>
      <c r="P514"/>
      <c r="Q514"/>
      <c r="T514"/>
      <c r="U514"/>
      <c r="Y514"/>
      <c r="Z514"/>
    </row>
    <row r="515" spans="1:26" x14ac:dyDescent="0.2">
      <c r="A515" s="43">
        <v>444</v>
      </c>
      <c r="B515" s="13" t="s">
        <v>1301</v>
      </c>
      <c r="C515" s="33">
        <v>1</v>
      </c>
      <c r="D515" s="34">
        <v>0</v>
      </c>
      <c r="E515" s="34">
        <v>0</v>
      </c>
      <c r="F515" s="34">
        <v>77</v>
      </c>
      <c r="G515" s="34">
        <v>77</v>
      </c>
      <c r="H515" s="34">
        <v>0</v>
      </c>
      <c r="I515" s="35" t="str">
        <f t="shared" si="24"/>
        <v>-</v>
      </c>
      <c r="J515" s="35">
        <f t="shared" si="25"/>
        <v>1</v>
      </c>
      <c r="K515"/>
      <c r="L515"/>
      <c r="M515"/>
      <c r="N515"/>
      <c r="O515"/>
      <c r="P515"/>
      <c r="Q515"/>
      <c r="T515"/>
      <c r="U515"/>
      <c r="Y515"/>
      <c r="Z515"/>
    </row>
    <row r="516" spans="1:26" x14ac:dyDescent="0.2">
      <c r="A516" s="43">
        <v>446</v>
      </c>
      <c r="B516" s="13" t="s">
        <v>1219</v>
      </c>
      <c r="C516" s="33">
        <v>1</v>
      </c>
      <c r="D516" s="34">
        <v>0</v>
      </c>
      <c r="E516" s="34">
        <v>0</v>
      </c>
      <c r="F516" s="34">
        <v>191</v>
      </c>
      <c r="G516" s="34">
        <v>191</v>
      </c>
      <c r="H516" s="34">
        <v>0</v>
      </c>
      <c r="I516" s="35" t="str">
        <f t="shared" si="24"/>
        <v>-</v>
      </c>
      <c r="J516" s="35">
        <f t="shared" si="25"/>
        <v>1</v>
      </c>
      <c r="K516"/>
      <c r="L516"/>
      <c r="M516"/>
      <c r="N516"/>
      <c r="O516"/>
      <c r="P516"/>
      <c r="Q516"/>
      <c r="T516"/>
      <c r="U516"/>
      <c r="Y516"/>
      <c r="Z516"/>
    </row>
    <row r="517" spans="1:26" x14ac:dyDescent="0.2">
      <c r="A517" s="43">
        <v>452</v>
      </c>
      <c r="B517" s="13" t="s">
        <v>1396</v>
      </c>
      <c r="C517" s="33">
        <v>1</v>
      </c>
      <c r="D517" s="34">
        <v>0</v>
      </c>
      <c r="E517" s="34">
        <v>0</v>
      </c>
      <c r="F517" s="34">
        <v>10</v>
      </c>
      <c r="G517" s="34">
        <v>8</v>
      </c>
      <c r="H517" s="34">
        <v>0</v>
      </c>
      <c r="I517" s="35" t="str">
        <f t="shared" si="24"/>
        <v>-</v>
      </c>
      <c r="J517" s="35">
        <f t="shared" si="25"/>
        <v>0.8</v>
      </c>
      <c r="K517"/>
      <c r="L517"/>
      <c r="M517"/>
      <c r="N517"/>
      <c r="O517"/>
      <c r="P517"/>
      <c r="Q517"/>
      <c r="T517"/>
      <c r="U517"/>
      <c r="Y517"/>
      <c r="Z517"/>
    </row>
    <row r="518" spans="1:26" x14ac:dyDescent="0.2">
      <c r="A518" s="43">
        <v>454</v>
      </c>
      <c r="B518" s="13" t="s">
        <v>951</v>
      </c>
      <c r="C518" s="33">
        <v>1</v>
      </c>
      <c r="D518" s="34">
        <v>0</v>
      </c>
      <c r="E518" s="34">
        <v>16</v>
      </c>
      <c r="F518" s="34">
        <v>0</v>
      </c>
      <c r="G518" s="34">
        <v>0</v>
      </c>
      <c r="H518" s="34">
        <v>0</v>
      </c>
      <c r="I518" s="35" t="str">
        <f t="shared" ref="I518:I548" si="26">IF(D518=0,"-",E518/D518)</f>
        <v>-</v>
      </c>
      <c r="J518" s="35" t="str">
        <f t="shared" ref="J518:J548" si="27">IF(F518=0,"-",G518/F518)</f>
        <v>-</v>
      </c>
      <c r="K518"/>
      <c r="L518"/>
      <c r="M518"/>
      <c r="N518"/>
      <c r="O518"/>
      <c r="P518"/>
      <c r="Q518"/>
      <c r="T518"/>
      <c r="U518"/>
      <c r="Y518"/>
      <c r="Z518"/>
    </row>
    <row r="519" spans="1:26" x14ac:dyDescent="0.2">
      <c r="A519" s="44">
        <v>459</v>
      </c>
      <c r="B519" s="15" t="s">
        <v>1180</v>
      </c>
      <c r="C519" s="14">
        <v>1</v>
      </c>
      <c r="D519" s="36">
        <v>0</v>
      </c>
      <c r="E519" s="36">
        <v>0</v>
      </c>
      <c r="F519" s="36">
        <v>255</v>
      </c>
      <c r="G519" s="36">
        <v>258</v>
      </c>
      <c r="H519" s="36">
        <v>0</v>
      </c>
      <c r="I519" s="37" t="str">
        <f t="shared" si="26"/>
        <v>-</v>
      </c>
      <c r="J519" s="37">
        <f t="shared" si="27"/>
        <v>1.0117647058823529</v>
      </c>
      <c r="K519"/>
      <c r="L519"/>
      <c r="M519"/>
      <c r="N519"/>
      <c r="O519"/>
      <c r="P519"/>
      <c r="Q519"/>
      <c r="T519"/>
      <c r="U519"/>
      <c r="Y519"/>
      <c r="Z519"/>
    </row>
    <row r="520" spans="1:26" x14ac:dyDescent="0.2">
      <c r="A520" s="43">
        <v>460</v>
      </c>
      <c r="B520" s="13" t="s">
        <v>962</v>
      </c>
      <c r="C520" s="33">
        <v>1</v>
      </c>
      <c r="D520" s="34">
        <v>0</v>
      </c>
      <c r="E520" s="34">
        <v>14</v>
      </c>
      <c r="F520" s="34">
        <v>0</v>
      </c>
      <c r="G520" s="34">
        <v>0</v>
      </c>
      <c r="H520" s="34">
        <v>0</v>
      </c>
      <c r="I520" s="35" t="str">
        <f t="shared" si="26"/>
        <v>-</v>
      </c>
      <c r="J520" s="35" t="str">
        <f t="shared" si="27"/>
        <v>-</v>
      </c>
      <c r="K520"/>
      <c r="L520"/>
      <c r="M520"/>
      <c r="N520"/>
      <c r="O520"/>
      <c r="P520"/>
      <c r="Q520"/>
      <c r="T520"/>
      <c r="U520"/>
      <c r="Y520"/>
      <c r="Z520"/>
    </row>
    <row r="521" spans="1:26" x14ac:dyDescent="0.2">
      <c r="A521" s="44">
        <v>461</v>
      </c>
      <c r="B521" s="15" t="s">
        <v>1299</v>
      </c>
      <c r="C521" s="14">
        <v>1</v>
      </c>
      <c r="D521" s="36">
        <v>0</v>
      </c>
      <c r="E521" s="36">
        <v>0</v>
      </c>
      <c r="F521" s="36">
        <v>127</v>
      </c>
      <c r="G521" s="36">
        <v>78</v>
      </c>
      <c r="H521" s="36">
        <v>0</v>
      </c>
      <c r="I521" s="37" t="str">
        <f t="shared" si="26"/>
        <v>-</v>
      </c>
      <c r="J521" s="37">
        <f t="shared" si="27"/>
        <v>0.61417322834645671</v>
      </c>
      <c r="K521"/>
      <c r="L521"/>
      <c r="M521"/>
      <c r="N521"/>
      <c r="O521"/>
      <c r="P521"/>
      <c r="Q521"/>
      <c r="T521"/>
      <c r="U521"/>
      <c r="Y521"/>
      <c r="Z521"/>
    </row>
    <row r="522" spans="1:26" x14ac:dyDescent="0.2">
      <c r="A522" s="43">
        <v>464</v>
      </c>
      <c r="B522" s="13" t="s">
        <v>1303</v>
      </c>
      <c r="C522" s="33">
        <v>1</v>
      </c>
      <c r="D522" s="34">
        <v>0</v>
      </c>
      <c r="E522" s="34">
        <v>0</v>
      </c>
      <c r="F522" s="34">
        <v>82</v>
      </c>
      <c r="G522" s="34">
        <v>76</v>
      </c>
      <c r="H522" s="34">
        <v>0</v>
      </c>
      <c r="I522" s="35" t="str">
        <f t="shared" si="26"/>
        <v>-</v>
      </c>
      <c r="J522" s="35">
        <f t="shared" si="27"/>
        <v>0.92682926829268297</v>
      </c>
      <c r="K522"/>
      <c r="L522"/>
      <c r="M522"/>
      <c r="N522"/>
      <c r="O522"/>
      <c r="P522"/>
      <c r="Q522"/>
      <c r="T522"/>
      <c r="U522"/>
      <c r="Y522"/>
      <c r="Z522"/>
    </row>
    <row r="523" spans="1:26" x14ac:dyDescent="0.2">
      <c r="A523" s="44">
        <v>469</v>
      </c>
      <c r="B523" s="15" t="s">
        <v>1281</v>
      </c>
      <c r="C523" s="14">
        <v>1</v>
      </c>
      <c r="D523" s="36">
        <v>0</v>
      </c>
      <c r="E523" s="36">
        <v>0</v>
      </c>
      <c r="F523" s="36">
        <v>98</v>
      </c>
      <c r="G523" s="36">
        <v>98</v>
      </c>
      <c r="H523" s="36">
        <v>0</v>
      </c>
      <c r="I523" s="37" t="str">
        <f t="shared" si="26"/>
        <v>-</v>
      </c>
      <c r="J523" s="37">
        <f t="shared" si="27"/>
        <v>1</v>
      </c>
      <c r="K523"/>
      <c r="L523"/>
      <c r="M523"/>
      <c r="N523"/>
      <c r="O523"/>
      <c r="P523"/>
      <c r="Q523"/>
      <c r="T523"/>
      <c r="U523"/>
      <c r="Y523"/>
      <c r="Z523"/>
    </row>
    <row r="524" spans="1:26" x14ac:dyDescent="0.2">
      <c r="A524" s="44">
        <v>471</v>
      </c>
      <c r="B524" s="15" t="s">
        <v>1387</v>
      </c>
      <c r="C524" s="14">
        <v>1</v>
      </c>
      <c r="D524" s="36">
        <v>0</v>
      </c>
      <c r="E524" s="36">
        <v>0</v>
      </c>
      <c r="F524" s="36">
        <v>19</v>
      </c>
      <c r="G524" s="36">
        <v>10</v>
      </c>
      <c r="H524" s="36">
        <v>0</v>
      </c>
      <c r="I524" s="37" t="str">
        <f t="shared" si="26"/>
        <v>-</v>
      </c>
      <c r="J524" s="37">
        <f t="shared" si="27"/>
        <v>0.52631578947368418</v>
      </c>
      <c r="K524"/>
      <c r="L524"/>
      <c r="M524"/>
      <c r="N524"/>
      <c r="O524"/>
      <c r="P524"/>
      <c r="Q524"/>
      <c r="T524"/>
      <c r="U524"/>
      <c r="Y524"/>
      <c r="Z524"/>
    </row>
    <row r="525" spans="1:26" x14ac:dyDescent="0.2">
      <c r="A525" s="43">
        <v>472</v>
      </c>
      <c r="B525" s="13" t="s">
        <v>1255</v>
      </c>
      <c r="C525" s="33">
        <v>1</v>
      </c>
      <c r="D525" s="34">
        <v>0</v>
      </c>
      <c r="E525" s="34">
        <v>0</v>
      </c>
      <c r="F525" s="34">
        <v>93</v>
      </c>
      <c r="G525" s="34">
        <v>134</v>
      </c>
      <c r="H525" s="34">
        <v>0</v>
      </c>
      <c r="I525" s="35" t="str">
        <f t="shared" si="26"/>
        <v>-</v>
      </c>
      <c r="J525" s="35">
        <f t="shared" si="27"/>
        <v>1.4408602150537635</v>
      </c>
      <c r="K525"/>
      <c r="L525"/>
      <c r="M525"/>
      <c r="N525"/>
      <c r="O525"/>
      <c r="P525"/>
      <c r="Q525"/>
      <c r="T525"/>
      <c r="U525"/>
      <c r="Y525"/>
      <c r="Z525"/>
    </row>
    <row r="526" spans="1:26" x14ac:dyDescent="0.2">
      <c r="A526" s="43">
        <v>474</v>
      </c>
      <c r="B526" s="13" t="s">
        <v>858</v>
      </c>
      <c r="C526" s="33">
        <v>1</v>
      </c>
      <c r="D526" s="34">
        <v>0</v>
      </c>
      <c r="E526" s="34">
        <v>29</v>
      </c>
      <c r="F526" s="34">
        <v>49</v>
      </c>
      <c r="G526" s="34">
        <v>48</v>
      </c>
      <c r="H526" s="34">
        <v>0</v>
      </c>
      <c r="I526" s="35" t="str">
        <f t="shared" si="26"/>
        <v>-</v>
      </c>
      <c r="J526" s="35">
        <f t="shared" si="27"/>
        <v>0.97959183673469385</v>
      </c>
      <c r="K526"/>
      <c r="L526"/>
      <c r="M526"/>
      <c r="N526"/>
      <c r="O526"/>
      <c r="P526"/>
      <c r="Q526"/>
      <c r="T526"/>
      <c r="U526"/>
      <c r="Y526"/>
      <c r="Z526"/>
    </row>
    <row r="527" spans="1:26" x14ac:dyDescent="0.2">
      <c r="A527" s="43">
        <v>476</v>
      </c>
      <c r="B527" s="13" t="s">
        <v>929</v>
      </c>
      <c r="C527" s="33">
        <v>1</v>
      </c>
      <c r="D527" s="34">
        <v>0</v>
      </c>
      <c r="E527" s="34">
        <v>21</v>
      </c>
      <c r="F527" s="34">
        <v>0</v>
      </c>
      <c r="G527" s="34">
        <v>0</v>
      </c>
      <c r="H527" s="34">
        <v>0</v>
      </c>
      <c r="I527" s="35" t="str">
        <f t="shared" si="26"/>
        <v>-</v>
      </c>
      <c r="J527" s="35" t="str">
        <f t="shared" si="27"/>
        <v>-</v>
      </c>
      <c r="K527"/>
      <c r="L527"/>
      <c r="M527"/>
      <c r="N527"/>
      <c r="O527"/>
      <c r="P527"/>
      <c r="Q527"/>
      <c r="T527"/>
      <c r="U527"/>
      <c r="Y527"/>
      <c r="Z527"/>
    </row>
    <row r="528" spans="1:26" x14ac:dyDescent="0.2">
      <c r="A528" s="43">
        <v>480</v>
      </c>
      <c r="B528" s="13" t="s">
        <v>1143</v>
      </c>
      <c r="C528" s="33">
        <v>1</v>
      </c>
      <c r="D528" s="34">
        <v>0</v>
      </c>
      <c r="E528" s="34">
        <v>0</v>
      </c>
      <c r="F528" s="34">
        <v>345</v>
      </c>
      <c r="G528" s="34">
        <v>344</v>
      </c>
      <c r="H528" s="34">
        <v>0</v>
      </c>
      <c r="I528" s="35" t="str">
        <f t="shared" si="26"/>
        <v>-</v>
      </c>
      <c r="J528" s="35">
        <f t="shared" si="27"/>
        <v>0.99710144927536237</v>
      </c>
      <c r="K528"/>
      <c r="L528"/>
      <c r="M528"/>
      <c r="N528"/>
      <c r="O528"/>
      <c r="P528"/>
      <c r="Q528"/>
      <c r="T528"/>
      <c r="U528"/>
      <c r="Y528"/>
      <c r="Z528"/>
    </row>
    <row r="529" spans="1:26" x14ac:dyDescent="0.2">
      <c r="A529" s="44">
        <v>481</v>
      </c>
      <c r="B529" s="15" t="s">
        <v>1169</v>
      </c>
      <c r="C529" s="14">
        <v>1</v>
      </c>
      <c r="D529" s="36">
        <v>0</v>
      </c>
      <c r="E529" s="36">
        <v>0</v>
      </c>
      <c r="F529" s="36">
        <v>280</v>
      </c>
      <c r="G529" s="36">
        <v>280</v>
      </c>
      <c r="H529" s="36">
        <v>0</v>
      </c>
      <c r="I529" s="37" t="str">
        <f t="shared" si="26"/>
        <v>-</v>
      </c>
      <c r="J529" s="37">
        <f t="shared" si="27"/>
        <v>1</v>
      </c>
      <c r="K529"/>
      <c r="L529"/>
      <c r="M529"/>
      <c r="N529"/>
      <c r="O529"/>
      <c r="P529"/>
      <c r="Q529"/>
      <c r="T529"/>
      <c r="U529"/>
      <c r="Y529"/>
      <c r="Z529"/>
    </row>
    <row r="530" spans="1:26" x14ac:dyDescent="0.2">
      <c r="A530" s="43">
        <v>484</v>
      </c>
      <c r="B530" s="13" t="s">
        <v>1316</v>
      </c>
      <c r="C530" s="33">
        <v>1</v>
      </c>
      <c r="D530" s="34">
        <v>0</v>
      </c>
      <c r="E530" s="34">
        <v>0</v>
      </c>
      <c r="F530" s="34">
        <v>64</v>
      </c>
      <c r="G530" s="34">
        <v>64</v>
      </c>
      <c r="H530" s="34">
        <v>0</v>
      </c>
      <c r="I530" s="35" t="str">
        <f t="shared" si="26"/>
        <v>-</v>
      </c>
      <c r="J530" s="35">
        <f t="shared" si="27"/>
        <v>1</v>
      </c>
      <c r="K530"/>
      <c r="L530"/>
      <c r="M530"/>
      <c r="N530"/>
      <c r="O530"/>
      <c r="P530"/>
      <c r="Q530"/>
      <c r="T530"/>
      <c r="U530"/>
      <c r="Y530"/>
      <c r="Z530"/>
    </row>
    <row r="531" spans="1:26" x14ac:dyDescent="0.2">
      <c r="A531" s="43">
        <v>488</v>
      </c>
      <c r="B531" s="13" t="s">
        <v>950</v>
      </c>
      <c r="C531" s="33">
        <v>1</v>
      </c>
      <c r="D531" s="34">
        <v>0</v>
      </c>
      <c r="E531" s="34">
        <v>16</v>
      </c>
      <c r="F531" s="34">
        <v>0</v>
      </c>
      <c r="G531" s="34">
        <v>0</v>
      </c>
      <c r="H531" s="34">
        <v>0</v>
      </c>
      <c r="I531" s="35" t="str">
        <f t="shared" si="26"/>
        <v>-</v>
      </c>
      <c r="J531" s="35" t="str">
        <f t="shared" si="27"/>
        <v>-</v>
      </c>
      <c r="K531"/>
      <c r="L531"/>
      <c r="M531"/>
      <c r="N531"/>
      <c r="O531"/>
      <c r="P531"/>
      <c r="Q531"/>
      <c r="T531"/>
      <c r="U531"/>
      <c r="Y531"/>
      <c r="Z531"/>
    </row>
    <row r="532" spans="1:26" x14ac:dyDescent="0.2">
      <c r="A532" s="44">
        <v>489</v>
      </c>
      <c r="B532" s="15" t="s">
        <v>1318</v>
      </c>
      <c r="C532" s="14">
        <v>1</v>
      </c>
      <c r="D532" s="36">
        <v>0</v>
      </c>
      <c r="E532" s="36">
        <v>0</v>
      </c>
      <c r="F532" s="36">
        <v>75</v>
      </c>
      <c r="G532" s="36">
        <v>62</v>
      </c>
      <c r="H532" s="36">
        <v>0</v>
      </c>
      <c r="I532" s="37" t="str">
        <f t="shared" si="26"/>
        <v>-</v>
      </c>
      <c r="J532" s="37">
        <f t="shared" si="27"/>
        <v>0.82666666666666666</v>
      </c>
      <c r="K532"/>
      <c r="L532"/>
      <c r="M532"/>
      <c r="N532"/>
      <c r="O532"/>
      <c r="P532"/>
      <c r="Q532"/>
      <c r="T532"/>
      <c r="U532"/>
      <c r="Y532"/>
      <c r="Z532"/>
    </row>
    <row r="533" spans="1:26" x14ac:dyDescent="0.2">
      <c r="A533" s="43">
        <v>494</v>
      </c>
      <c r="B533" s="13" t="s">
        <v>1392</v>
      </c>
      <c r="C533" s="33">
        <v>1</v>
      </c>
      <c r="D533" s="34">
        <v>0</v>
      </c>
      <c r="E533" s="34">
        <v>0</v>
      </c>
      <c r="F533" s="34">
        <v>9</v>
      </c>
      <c r="G533" s="34">
        <v>9</v>
      </c>
      <c r="H533" s="34">
        <v>0</v>
      </c>
      <c r="I533" s="35" t="str">
        <f t="shared" si="26"/>
        <v>-</v>
      </c>
      <c r="J533" s="35">
        <f t="shared" si="27"/>
        <v>1</v>
      </c>
      <c r="K533"/>
      <c r="L533"/>
      <c r="M533"/>
      <c r="N533"/>
      <c r="O533"/>
      <c r="P533"/>
      <c r="Q533"/>
      <c r="T533"/>
      <c r="U533"/>
      <c r="Y533"/>
      <c r="Z533"/>
    </row>
    <row r="534" spans="1:26" x14ac:dyDescent="0.2">
      <c r="A534" s="44">
        <v>495</v>
      </c>
      <c r="B534" s="15" t="s">
        <v>1273</v>
      </c>
      <c r="C534" s="14">
        <v>1</v>
      </c>
      <c r="D534" s="36">
        <v>0</v>
      </c>
      <c r="E534" s="36">
        <v>0</v>
      </c>
      <c r="F534" s="36">
        <v>107</v>
      </c>
      <c r="G534" s="36">
        <v>107</v>
      </c>
      <c r="H534" s="36">
        <v>0</v>
      </c>
      <c r="I534" s="37" t="str">
        <f t="shared" si="26"/>
        <v>-</v>
      </c>
      <c r="J534" s="37">
        <f t="shared" si="27"/>
        <v>1</v>
      </c>
      <c r="K534"/>
      <c r="L534"/>
      <c r="M534"/>
      <c r="N534"/>
      <c r="O534"/>
      <c r="P534"/>
      <c r="Q534"/>
      <c r="T534"/>
      <c r="U534"/>
      <c r="Y534"/>
      <c r="Z534"/>
    </row>
    <row r="535" spans="1:26" x14ac:dyDescent="0.2">
      <c r="A535" s="43">
        <v>496</v>
      </c>
      <c r="B535" s="13" t="s">
        <v>1271</v>
      </c>
      <c r="C535" s="33">
        <v>1</v>
      </c>
      <c r="D535" s="34">
        <v>0</v>
      </c>
      <c r="E535" s="34">
        <v>0</v>
      </c>
      <c r="F535" s="34">
        <v>113</v>
      </c>
      <c r="G535" s="34">
        <v>112</v>
      </c>
      <c r="H535" s="34">
        <v>0</v>
      </c>
      <c r="I535" s="35" t="str">
        <f t="shared" si="26"/>
        <v>-</v>
      </c>
      <c r="J535" s="35">
        <f t="shared" si="27"/>
        <v>0.99115044247787609</v>
      </c>
      <c r="K535"/>
      <c r="L535"/>
      <c r="M535"/>
      <c r="N535"/>
      <c r="O535"/>
      <c r="P535"/>
      <c r="Q535"/>
      <c r="T535"/>
      <c r="U535"/>
      <c r="Y535"/>
      <c r="Z535"/>
    </row>
    <row r="536" spans="1:26" x14ac:dyDescent="0.2">
      <c r="A536" s="44">
        <v>497</v>
      </c>
      <c r="B536" s="15" t="s">
        <v>1054</v>
      </c>
      <c r="C536" s="14">
        <v>1</v>
      </c>
      <c r="D536" s="36">
        <v>0</v>
      </c>
      <c r="E536" s="36">
        <v>0</v>
      </c>
      <c r="F536" s="36">
        <v>822</v>
      </c>
      <c r="G536" s="36">
        <v>951</v>
      </c>
      <c r="H536" s="36">
        <v>0</v>
      </c>
      <c r="I536" s="37" t="str">
        <f t="shared" si="26"/>
        <v>-</v>
      </c>
      <c r="J536" s="37">
        <f t="shared" si="27"/>
        <v>1.1569343065693432</v>
      </c>
      <c r="K536"/>
      <c r="L536"/>
      <c r="M536"/>
      <c r="N536"/>
      <c r="O536"/>
      <c r="P536"/>
      <c r="Q536"/>
      <c r="T536"/>
      <c r="U536"/>
      <c r="Y536"/>
      <c r="Z536"/>
    </row>
    <row r="537" spans="1:26" x14ac:dyDescent="0.2">
      <c r="A537" s="43">
        <v>500</v>
      </c>
      <c r="B537" s="13" t="s">
        <v>1377</v>
      </c>
      <c r="C537" s="33">
        <v>1</v>
      </c>
      <c r="D537" s="34">
        <v>0</v>
      </c>
      <c r="E537" s="34">
        <v>0</v>
      </c>
      <c r="F537" s="34">
        <v>17</v>
      </c>
      <c r="G537" s="34">
        <v>17</v>
      </c>
      <c r="H537" s="34">
        <v>0</v>
      </c>
      <c r="I537" s="35" t="str">
        <f t="shared" si="26"/>
        <v>-</v>
      </c>
      <c r="J537" s="35">
        <f t="shared" si="27"/>
        <v>1</v>
      </c>
      <c r="K537"/>
      <c r="L537"/>
      <c r="M537"/>
      <c r="N537"/>
      <c r="O537"/>
      <c r="P537"/>
      <c r="Q537"/>
      <c r="T537"/>
      <c r="U537"/>
      <c r="Y537"/>
      <c r="Z537"/>
    </row>
    <row r="538" spans="1:26" x14ac:dyDescent="0.2">
      <c r="A538" s="43">
        <v>502</v>
      </c>
      <c r="B538" s="13" t="s">
        <v>797</v>
      </c>
      <c r="C538" s="33">
        <v>1</v>
      </c>
      <c r="D538" s="34">
        <v>0</v>
      </c>
      <c r="E538" s="34">
        <v>43</v>
      </c>
      <c r="F538" s="34">
        <v>0</v>
      </c>
      <c r="G538" s="34">
        <v>0</v>
      </c>
      <c r="H538" s="34">
        <v>0</v>
      </c>
      <c r="I538" s="35" t="str">
        <f t="shared" si="26"/>
        <v>-</v>
      </c>
      <c r="J538" s="35" t="str">
        <f t="shared" si="27"/>
        <v>-</v>
      </c>
      <c r="K538">
        <v>1</v>
      </c>
      <c r="L538"/>
      <c r="M538"/>
      <c r="N538"/>
      <c r="O538"/>
      <c r="P538"/>
      <c r="Q538"/>
      <c r="T538"/>
      <c r="U538"/>
      <c r="Y538"/>
      <c r="Z538"/>
    </row>
    <row r="539" spans="1:26" x14ac:dyDescent="0.2">
      <c r="A539" s="43">
        <v>508</v>
      </c>
      <c r="B539" s="13" t="s">
        <v>1399</v>
      </c>
      <c r="C539" s="33">
        <v>1</v>
      </c>
      <c r="D539" s="34">
        <v>0</v>
      </c>
      <c r="E539" s="34">
        <v>0</v>
      </c>
      <c r="F539" s="34">
        <v>4</v>
      </c>
      <c r="G539" s="34">
        <v>4</v>
      </c>
      <c r="H539" s="34">
        <v>0</v>
      </c>
      <c r="I539" s="35" t="str">
        <f t="shared" si="26"/>
        <v>-</v>
      </c>
      <c r="J539" s="35">
        <f t="shared" si="27"/>
        <v>1</v>
      </c>
      <c r="K539">
        <v>1</v>
      </c>
      <c r="L539"/>
      <c r="M539"/>
      <c r="N539"/>
      <c r="O539"/>
      <c r="P539"/>
      <c r="Q539"/>
      <c r="T539"/>
      <c r="U539"/>
      <c r="Y539"/>
      <c r="Z539"/>
    </row>
    <row r="540" spans="1:26" x14ac:dyDescent="0.2">
      <c r="A540" s="43">
        <v>514</v>
      </c>
      <c r="B540" s="13" t="s">
        <v>1322</v>
      </c>
      <c r="C540" s="33">
        <v>1</v>
      </c>
      <c r="D540" s="34">
        <v>0</v>
      </c>
      <c r="E540" s="34">
        <v>0</v>
      </c>
      <c r="F540" s="34">
        <v>60</v>
      </c>
      <c r="G540" s="34">
        <v>60</v>
      </c>
      <c r="H540" s="34">
        <v>0</v>
      </c>
      <c r="I540" s="35" t="str">
        <f t="shared" si="26"/>
        <v>-</v>
      </c>
      <c r="J540" s="35">
        <f t="shared" si="27"/>
        <v>1</v>
      </c>
      <c r="K540">
        <v>1</v>
      </c>
      <c r="L540"/>
      <c r="M540"/>
      <c r="N540"/>
      <c r="O540"/>
      <c r="P540"/>
      <c r="Q540"/>
      <c r="T540"/>
      <c r="U540"/>
      <c r="Y540"/>
      <c r="Z540"/>
    </row>
    <row r="541" spans="1:26" x14ac:dyDescent="0.2">
      <c r="A541" s="43">
        <v>522</v>
      </c>
      <c r="B541" s="13" t="s">
        <v>1159</v>
      </c>
      <c r="C541" s="33">
        <v>1</v>
      </c>
      <c r="D541" s="34">
        <v>0</v>
      </c>
      <c r="E541" s="34">
        <v>0</v>
      </c>
      <c r="F541" s="34">
        <v>402</v>
      </c>
      <c r="G541" s="34">
        <v>308</v>
      </c>
      <c r="H541" s="34">
        <v>0</v>
      </c>
      <c r="I541" s="35" t="str">
        <f t="shared" si="26"/>
        <v>-</v>
      </c>
      <c r="J541" s="35">
        <f t="shared" si="27"/>
        <v>0.76616915422885568</v>
      </c>
      <c r="K541">
        <v>1</v>
      </c>
      <c r="L541"/>
      <c r="M541"/>
      <c r="N541"/>
      <c r="O541"/>
      <c r="P541"/>
      <c r="Q541"/>
      <c r="T541"/>
      <c r="U541"/>
      <c r="Y541"/>
      <c r="Z541"/>
    </row>
    <row r="542" spans="1:26" x14ac:dyDescent="0.2">
      <c r="A542" s="43">
        <v>526</v>
      </c>
      <c r="B542" s="13" t="s">
        <v>1333</v>
      </c>
      <c r="C542" s="33">
        <v>1</v>
      </c>
      <c r="D542" s="34">
        <v>0</v>
      </c>
      <c r="E542" s="34">
        <v>0</v>
      </c>
      <c r="F542" s="34">
        <v>47</v>
      </c>
      <c r="G542" s="34">
        <v>47</v>
      </c>
      <c r="H542" s="34">
        <v>0</v>
      </c>
      <c r="I542" s="35" t="str">
        <f t="shared" si="26"/>
        <v>-</v>
      </c>
      <c r="J542" s="35">
        <f t="shared" si="27"/>
        <v>1</v>
      </c>
      <c r="K542">
        <v>1</v>
      </c>
      <c r="L542"/>
      <c r="M542"/>
      <c r="N542"/>
      <c r="O542"/>
      <c r="P542"/>
      <c r="Q542"/>
      <c r="T542"/>
      <c r="U542"/>
      <c r="Y542"/>
      <c r="Z542"/>
    </row>
    <row r="543" spans="1:26" x14ac:dyDescent="0.2">
      <c r="A543" s="44">
        <v>529</v>
      </c>
      <c r="B543" s="15" t="s">
        <v>1363</v>
      </c>
      <c r="C543" s="14">
        <v>1</v>
      </c>
      <c r="D543" s="36">
        <v>0</v>
      </c>
      <c r="E543" s="36">
        <v>0</v>
      </c>
      <c r="F543" s="36">
        <v>25</v>
      </c>
      <c r="G543" s="36">
        <v>25</v>
      </c>
      <c r="H543" s="36">
        <v>0</v>
      </c>
      <c r="I543" s="37" t="str">
        <f t="shared" si="26"/>
        <v>-</v>
      </c>
      <c r="J543" s="37">
        <f t="shared" si="27"/>
        <v>1</v>
      </c>
      <c r="K543">
        <v>1</v>
      </c>
      <c r="L543"/>
      <c r="M543"/>
      <c r="N543"/>
      <c r="O543"/>
      <c r="P543"/>
      <c r="Q543"/>
      <c r="T543"/>
      <c r="U543"/>
      <c r="Y543"/>
      <c r="Z543"/>
    </row>
    <row r="544" spans="1:26" x14ac:dyDescent="0.2">
      <c r="A544" s="43">
        <v>532</v>
      </c>
      <c r="B544" s="13" t="s">
        <v>1371</v>
      </c>
      <c r="C544" s="33">
        <v>1</v>
      </c>
      <c r="D544" s="34">
        <v>0</v>
      </c>
      <c r="E544" s="34">
        <v>0</v>
      </c>
      <c r="F544" s="34">
        <v>23</v>
      </c>
      <c r="G544" s="34">
        <v>23</v>
      </c>
      <c r="H544" s="34">
        <v>0</v>
      </c>
      <c r="I544" s="35" t="str">
        <f t="shared" si="26"/>
        <v>-</v>
      </c>
      <c r="J544" s="35">
        <f t="shared" si="27"/>
        <v>1</v>
      </c>
      <c r="K544">
        <v>1</v>
      </c>
      <c r="L544"/>
      <c r="M544"/>
      <c r="N544"/>
      <c r="O544"/>
      <c r="P544"/>
      <c r="Q544"/>
      <c r="T544"/>
      <c r="U544"/>
      <c r="Y544"/>
      <c r="Z544"/>
    </row>
    <row r="545" spans="1:26" x14ac:dyDescent="0.2">
      <c r="A545" s="44">
        <v>533</v>
      </c>
      <c r="B545" s="15" t="s">
        <v>1209</v>
      </c>
      <c r="C545" s="14">
        <v>1</v>
      </c>
      <c r="D545" s="36">
        <v>0</v>
      </c>
      <c r="E545" s="36">
        <v>0</v>
      </c>
      <c r="F545" s="36">
        <v>204</v>
      </c>
      <c r="G545" s="36">
        <v>204</v>
      </c>
      <c r="H545" s="36">
        <v>0</v>
      </c>
      <c r="I545" s="37" t="str">
        <f t="shared" si="26"/>
        <v>-</v>
      </c>
      <c r="J545" s="37">
        <f t="shared" si="27"/>
        <v>1</v>
      </c>
      <c r="K545">
        <v>1</v>
      </c>
      <c r="L545"/>
      <c r="M545"/>
      <c r="N545"/>
      <c r="O545"/>
      <c r="P545"/>
      <c r="Q545"/>
      <c r="T545"/>
      <c r="U545"/>
      <c r="Y545"/>
      <c r="Z545"/>
    </row>
    <row r="546" spans="1:26" x14ac:dyDescent="0.2">
      <c r="A546" s="44">
        <v>537</v>
      </c>
      <c r="B546" s="15" t="s">
        <v>1373</v>
      </c>
      <c r="C546" s="14">
        <v>1</v>
      </c>
      <c r="D546" s="36">
        <v>0</v>
      </c>
      <c r="E546" s="36">
        <v>0</v>
      </c>
      <c r="F546" s="36">
        <v>22</v>
      </c>
      <c r="G546" s="36">
        <v>22</v>
      </c>
      <c r="H546" s="36">
        <v>0</v>
      </c>
      <c r="I546" s="37" t="str">
        <f t="shared" si="26"/>
        <v>-</v>
      </c>
      <c r="J546" s="37">
        <f t="shared" si="27"/>
        <v>1</v>
      </c>
      <c r="K546">
        <v>1</v>
      </c>
      <c r="L546"/>
      <c r="M546"/>
      <c r="N546"/>
      <c r="O546"/>
      <c r="P546"/>
      <c r="Q546"/>
      <c r="T546"/>
      <c r="U546"/>
      <c r="Y546"/>
      <c r="Z546"/>
    </row>
    <row r="547" spans="1:26" x14ac:dyDescent="0.2">
      <c r="A547" s="44">
        <v>539</v>
      </c>
      <c r="B547" s="15" t="s">
        <v>900</v>
      </c>
      <c r="C547" s="14">
        <v>1</v>
      </c>
      <c r="D547" s="36">
        <v>0</v>
      </c>
      <c r="E547" s="36">
        <v>25</v>
      </c>
      <c r="F547" s="36">
        <v>0</v>
      </c>
      <c r="G547" s="36">
        <v>0</v>
      </c>
      <c r="H547" s="36">
        <v>0</v>
      </c>
      <c r="I547" s="37" t="str">
        <f t="shared" si="26"/>
        <v>-</v>
      </c>
      <c r="J547" s="37" t="str">
        <f t="shared" si="27"/>
        <v>-</v>
      </c>
      <c r="K547">
        <v>1</v>
      </c>
      <c r="L547"/>
      <c r="M547"/>
      <c r="N547"/>
      <c r="O547"/>
      <c r="P547"/>
      <c r="Q547"/>
      <c r="T547"/>
      <c r="U547"/>
      <c r="Y547"/>
      <c r="Z547"/>
    </row>
    <row r="548" spans="1:26" x14ac:dyDescent="0.2">
      <c r="A548" s="44">
        <v>541</v>
      </c>
      <c r="B548" s="15" t="s">
        <v>802</v>
      </c>
      <c r="C548" s="14">
        <v>1</v>
      </c>
      <c r="D548" s="36">
        <v>0</v>
      </c>
      <c r="E548" s="36">
        <v>43</v>
      </c>
      <c r="F548" s="36">
        <v>0</v>
      </c>
      <c r="G548" s="36">
        <v>0</v>
      </c>
      <c r="H548" s="36">
        <v>0</v>
      </c>
      <c r="I548" s="37" t="str">
        <f t="shared" si="26"/>
        <v>-</v>
      </c>
      <c r="J548" s="37" t="str">
        <f t="shared" si="27"/>
        <v>-</v>
      </c>
      <c r="K548">
        <v>1</v>
      </c>
      <c r="L548"/>
      <c r="M548"/>
      <c r="N548"/>
      <c r="O548"/>
      <c r="P548"/>
      <c r="Q548"/>
      <c r="T548"/>
      <c r="U548"/>
      <c r="Y548"/>
      <c r="Z548"/>
    </row>
    <row r="549" spans="1:26" x14ac:dyDescent="0.2">
      <c r="A549" s="82"/>
      <c r="B549" s="83"/>
      <c r="C549" s="84"/>
      <c r="D549" s="85"/>
      <c r="E549" s="85"/>
      <c r="F549" s="85"/>
      <c r="G549" s="85"/>
      <c r="H549" s="85"/>
      <c r="I549" s="86" t="str">
        <f>IF(D549=0,"-",E549/D549)</f>
        <v>-</v>
      </c>
      <c r="J549" s="86" t="str">
        <f>IF(F549=0,"-",G549/F549)</f>
        <v>-</v>
      </c>
      <c r="Y549" s="27"/>
      <c r="Z549" s="27"/>
    </row>
    <row r="550" spans="1:26" x14ac:dyDescent="0.2">
      <c r="A550" s="82"/>
      <c r="B550" s="83"/>
      <c r="C550" s="84"/>
      <c r="D550" s="85"/>
      <c r="E550" s="85"/>
      <c r="F550" s="85"/>
      <c r="G550" s="85"/>
      <c r="H550" s="85"/>
      <c r="I550" s="86" t="str">
        <f>IF(D550=0,"-",E550/D550)</f>
        <v>-</v>
      </c>
      <c r="J550" s="86" t="str">
        <f>IF(F550=0,"-",G550/F550)</f>
        <v>-</v>
      </c>
      <c r="Y550" s="27"/>
      <c r="Z550" s="27"/>
    </row>
    <row r="551" spans="1:26" x14ac:dyDescent="0.2">
      <c r="A551" s="82"/>
      <c r="B551" s="83"/>
      <c r="C551" s="84"/>
      <c r="D551" s="85"/>
      <c r="E551" s="85"/>
      <c r="F551" s="85"/>
      <c r="G551" s="85"/>
      <c r="H551" s="85"/>
      <c r="I551" s="86" t="str">
        <f>IF(D551=0,"-",E551/D551)</f>
        <v>-</v>
      </c>
      <c r="J551" s="86" t="str">
        <f>IF(F551=0,"-",G551/F551)</f>
        <v>-</v>
      </c>
      <c r="Y551" s="27"/>
      <c r="Z551" s="27"/>
    </row>
    <row r="552" spans="1:26" x14ac:dyDescent="0.2">
      <c r="A552" s="82"/>
      <c r="B552" s="83"/>
      <c r="C552" s="84"/>
      <c r="D552" s="85"/>
      <c r="E552" s="85"/>
      <c r="F552" s="85"/>
      <c r="G552" s="85"/>
      <c r="H552" s="85"/>
      <c r="I552" s="86" t="str">
        <f>IF(D552=0,"-",E552/D552)</f>
        <v>-</v>
      </c>
      <c r="J552" s="86" t="str">
        <f>IF(F552=0,"-",G552/F552)</f>
        <v>-</v>
      </c>
      <c r="Y552" s="27"/>
      <c r="Z552" s="27"/>
    </row>
    <row r="553" spans="1:26" x14ac:dyDescent="0.2">
      <c r="J553" s="24">
        <f>COUNTIF(K:K, "1")</f>
        <v>73</v>
      </c>
      <c r="Y553" s="27"/>
      <c r="Z553" s="27"/>
    </row>
    <row r="554" spans="1:26" x14ac:dyDescent="0.2">
      <c r="Y554" s="27"/>
      <c r="Z554" s="27"/>
    </row>
    <row r="555" spans="1:26" x14ac:dyDescent="0.2">
      <c r="Y555" s="27"/>
      <c r="Z555" s="27"/>
    </row>
    <row r="556" spans="1:26" x14ac:dyDescent="0.2">
      <c r="Y556" s="27"/>
      <c r="Z556" s="27"/>
    </row>
    <row r="557" spans="1:26" x14ac:dyDescent="0.2">
      <c r="Y557" s="27"/>
      <c r="Z557" s="27"/>
    </row>
    <row r="558" spans="1:26" x14ac:dyDescent="0.2">
      <c r="Y558" s="27"/>
      <c r="Z558" s="27"/>
    </row>
    <row r="559" spans="1:26" x14ac:dyDescent="0.2">
      <c r="Y559" s="27"/>
      <c r="Z559" s="27"/>
    </row>
  </sheetData>
  <hyperlinks>
    <hyperlink ref="AA51" r:id="rId1" display="mailto:jzgmsat@tesda.gov.ph" xr:uid="{0F171A09-7A2F-C74E-9E5B-2C0E527A51BD}"/>
    <hyperlink ref="Z77" r:id="rId2" xr:uid="{DE8230B0-F77B-6F4D-A675-E554EBC5B068}"/>
    <hyperlink ref="AA11" r:id="rId3" display="mailto:colegiodesantocristodeburgos@gmail.com" xr:uid="{0958B1CB-8112-6247-B9E1-484374656F3B}"/>
    <hyperlink ref="AA35" r:id="rId4" xr:uid="{49155EF2-92C6-8E4C-8D8A-26A91646BF88}"/>
    <hyperlink ref="AA16" r:id="rId5" xr:uid="{2E469E62-BE9C-1F42-835B-6548FA7014EA}"/>
    <hyperlink ref="AA75" r:id="rId6" xr:uid="{B12B9CA2-38B3-C54E-8F0A-BA454A213E85}"/>
    <hyperlink ref="AA86" r:id="rId7" xr:uid="{AF8B5894-425C-E04E-BB1E-BF51ADD357E0}"/>
    <hyperlink ref="R44" r:id="rId8" xr:uid="{3038998C-EC86-634D-8374-20D49552BF7E}"/>
    <hyperlink ref="R86" r:id="rId9" xr:uid="{29E56651-8982-9F42-922A-660ECEE118A5}"/>
    <hyperlink ref="R16" r:id="rId10" xr:uid="{1F25B250-0DD5-DA43-938A-F19BC4CC8852}"/>
    <hyperlink ref="R17" r:id="rId11" xr:uid="{3A0909B5-2F4B-6047-91B5-F34E68E017A3}"/>
    <hyperlink ref="R51" r:id="rId12" xr:uid="{6FA08F61-6881-C043-BBA9-C1BBE335FC10}"/>
    <hyperlink ref="R28" r:id="rId13" xr:uid="{F639A47D-CF71-384E-BA58-0B18CBA2474F}"/>
    <hyperlink ref="R14" r:id="rId14" xr:uid="{08ADEA3E-76E9-AD43-B774-EDB9087729EF}"/>
    <hyperlink ref="R77" r:id="rId15" xr:uid="{97102851-A7F3-AF45-B11C-D63154217606}"/>
    <hyperlink ref="R11" r:id="rId16" xr:uid="{08CD1765-A21F-0948-8AFA-793ECBC42624}"/>
    <hyperlink ref="R104" r:id="rId17" xr:uid="{71ED14D4-3571-A941-93DC-42D15CE95E68}"/>
    <hyperlink ref="R75" r:id="rId18" xr:uid="{9565DCAC-0B38-DF40-8B05-8E5C2B867EA7}"/>
    <hyperlink ref="R29" r:id="rId19" xr:uid="{B5B00A8B-ED50-394F-AB34-F70C796DA7BF}"/>
    <hyperlink ref="R72" r:id="rId20" xr:uid="{A91E1096-D410-F848-B36E-1BD0583714CD}"/>
  </hyperlinks>
  <pageMargins left="0.75" right="0.75" top="1" bottom="1" header="0.511811023622047" footer="0.511811023622047"/>
  <pageSetup paperSize="9" orientation="portrait" horizontalDpi="300" verticalDpi="300"/>
  <tableParts count="1">
    <tablePart r:id="rId2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2B396-C443-1949-885B-D106ACDEC278}">
  <dimension ref="A1:BQ41"/>
  <sheetViews>
    <sheetView workbookViewId="0">
      <selection activeCell="E3" sqref="E3"/>
    </sheetView>
  </sheetViews>
  <sheetFormatPr baseColWidth="10" defaultRowHeight="15" x14ac:dyDescent="0.2"/>
  <cols>
    <col min="5" max="5" width="51.5" customWidth="1"/>
    <col min="10" max="10" width="35.33203125" customWidth="1"/>
    <col min="11" max="11" width="32.5" customWidth="1"/>
  </cols>
  <sheetData>
    <row r="1" spans="1:69" x14ac:dyDescent="0.2">
      <c r="A1" s="60" t="s">
        <v>1812</v>
      </c>
      <c r="B1" s="60" t="s">
        <v>1813</v>
      </c>
      <c r="C1" s="60" t="s">
        <v>1814</v>
      </c>
      <c r="D1" s="60" t="s">
        <v>1815</v>
      </c>
      <c r="E1" s="61" t="s">
        <v>1816</v>
      </c>
      <c r="F1" s="61" t="s">
        <v>1443</v>
      </c>
      <c r="G1" s="61" t="s">
        <v>1444</v>
      </c>
      <c r="H1" s="62" t="s">
        <v>1445</v>
      </c>
      <c r="I1" s="63" t="s">
        <v>1817</v>
      </c>
      <c r="J1" s="61" t="s">
        <v>1818</v>
      </c>
      <c r="K1" s="61" t="s">
        <v>1819</v>
      </c>
      <c r="L1" s="60" t="s">
        <v>1820</v>
      </c>
      <c r="M1" s="60" t="s">
        <v>1821</v>
      </c>
      <c r="N1" s="60" t="s">
        <v>1822</v>
      </c>
      <c r="O1" s="64" t="s">
        <v>1823</v>
      </c>
      <c r="P1" s="64" t="s">
        <v>1824</v>
      </c>
      <c r="Q1" s="60" t="s">
        <v>1825</v>
      </c>
      <c r="R1" s="60" t="s">
        <v>1826</v>
      </c>
      <c r="S1" s="60" t="s">
        <v>1827</v>
      </c>
      <c r="T1" s="60" t="s">
        <v>1828</v>
      </c>
      <c r="U1" s="60" t="s">
        <v>1829</v>
      </c>
      <c r="V1" s="60" t="s">
        <v>1830</v>
      </c>
      <c r="W1" s="60" t="s">
        <v>1831</v>
      </c>
      <c r="X1" s="60" t="s">
        <v>28</v>
      </c>
      <c r="Y1" s="60" t="s">
        <v>1832</v>
      </c>
      <c r="Z1" s="60" t="s">
        <v>1833</v>
      </c>
      <c r="AA1" s="60" t="s">
        <v>1834</v>
      </c>
      <c r="AB1" s="60" t="s">
        <v>1835</v>
      </c>
      <c r="AC1" s="60" t="s">
        <v>1836</v>
      </c>
      <c r="AD1" s="60" t="s">
        <v>1837</v>
      </c>
      <c r="AE1" s="60" t="s">
        <v>1838</v>
      </c>
      <c r="AF1" s="60" t="s">
        <v>1839</v>
      </c>
      <c r="AG1" s="60" t="s">
        <v>1840</v>
      </c>
      <c r="AH1" s="60" t="s">
        <v>1841</v>
      </c>
      <c r="AI1" s="60" t="s">
        <v>1842</v>
      </c>
      <c r="AJ1" s="60" t="s">
        <v>1843</v>
      </c>
      <c r="AK1" s="60" t="s">
        <v>1844</v>
      </c>
      <c r="AL1" s="60" t="s">
        <v>1845</v>
      </c>
      <c r="AM1" s="60" t="s">
        <v>1846</v>
      </c>
      <c r="AN1" s="60" t="s">
        <v>1847</v>
      </c>
      <c r="AO1" s="60" t="s">
        <v>1848</v>
      </c>
      <c r="AP1" s="60" t="s">
        <v>1849</v>
      </c>
      <c r="AQ1" s="60" t="s">
        <v>1850</v>
      </c>
      <c r="AR1" s="60" t="s">
        <v>1851</v>
      </c>
      <c r="AS1" s="60" t="s">
        <v>1852</v>
      </c>
      <c r="AT1" s="60" t="s">
        <v>1853</v>
      </c>
      <c r="AU1" s="60" t="s">
        <v>1854</v>
      </c>
      <c r="AV1" s="60" t="s">
        <v>1855</v>
      </c>
      <c r="AW1" s="60" t="s">
        <v>1856</v>
      </c>
      <c r="AX1" s="60" t="s">
        <v>1857</v>
      </c>
      <c r="AY1" s="60" t="s">
        <v>1858</v>
      </c>
      <c r="AZ1" s="60" t="s">
        <v>1859</v>
      </c>
      <c r="BA1" s="60" t="s">
        <v>1860</v>
      </c>
      <c r="BB1" s="60" t="s">
        <v>1861</v>
      </c>
      <c r="BC1" s="60" t="s">
        <v>1862</v>
      </c>
      <c r="BD1" s="60" t="s">
        <v>1863</v>
      </c>
      <c r="BE1" s="60" t="s">
        <v>1864</v>
      </c>
      <c r="BF1" s="60" t="s">
        <v>1865</v>
      </c>
      <c r="BG1" s="60" t="s">
        <v>1866</v>
      </c>
      <c r="BH1" s="60" t="s">
        <v>1867</v>
      </c>
      <c r="BI1" s="60" t="s">
        <v>1868</v>
      </c>
      <c r="BJ1" s="60" t="s">
        <v>1869</v>
      </c>
      <c r="BK1" s="60" t="s">
        <v>1870</v>
      </c>
      <c r="BL1" s="60" t="s">
        <v>1871</v>
      </c>
      <c r="BM1" s="60" t="s">
        <v>1872</v>
      </c>
      <c r="BN1" s="60" t="s">
        <v>1873</v>
      </c>
      <c r="BO1" s="60" t="s">
        <v>1874</v>
      </c>
      <c r="BP1" s="60" t="s">
        <v>1875</v>
      </c>
      <c r="BQ1" s="60" t="s">
        <v>1876</v>
      </c>
    </row>
    <row r="2" spans="1:69" ht="16" x14ac:dyDescent="0.2">
      <c r="A2" s="65"/>
      <c r="B2" s="65"/>
      <c r="C2" s="65"/>
      <c r="D2" s="65"/>
      <c r="E2" s="66" t="s">
        <v>182</v>
      </c>
      <c r="F2" s="67" t="s">
        <v>1461</v>
      </c>
      <c r="G2" s="67" t="s">
        <v>1462</v>
      </c>
      <c r="H2" s="68" t="s">
        <v>1877</v>
      </c>
      <c r="I2" s="69" t="s">
        <v>1878</v>
      </c>
      <c r="J2" s="70" t="s">
        <v>1464</v>
      </c>
      <c r="K2" s="69" t="s">
        <v>1879</v>
      </c>
      <c r="L2" s="65"/>
      <c r="M2" s="65"/>
      <c r="N2" s="65"/>
      <c r="O2" s="65" t="s">
        <v>1880</v>
      </c>
      <c r="P2" s="71" t="s">
        <v>1881</v>
      </c>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5"/>
      <c r="AY2" s="65"/>
      <c r="AZ2" s="65"/>
      <c r="BA2" s="65"/>
      <c r="BB2" s="65"/>
      <c r="BC2" s="65"/>
      <c r="BD2" s="65"/>
      <c r="BE2" s="65"/>
      <c r="BF2" s="65"/>
      <c r="BG2" s="65"/>
      <c r="BH2" s="65"/>
      <c r="BI2" s="65"/>
      <c r="BJ2" s="65"/>
      <c r="BK2" s="65"/>
      <c r="BL2" s="65"/>
      <c r="BM2" s="65"/>
      <c r="BN2" s="65"/>
      <c r="BO2" s="65"/>
      <c r="BP2" s="65"/>
      <c r="BQ2" s="65"/>
    </row>
    <row r="3" spans="1:69" ht="32" x14ac:dyDescent="0.2">
      <c r="A3" s="65"/>
      <c r="B3" s="65"/>
      <c r="C3" s="65"/>
      <c r="D3" s="70"/>
      <c r="E3" s="72" t="s">
        <v>150</v>
      </c>
      <c r="F3" s="72" t="s">
        <v>1490</v>
      </c>
      <c r="G3" s="72" t="s">
        <v>1491</v>
      </c>
      <c r="H3" s="72" t="s">
        <v>1492</v>
      </c>
      <c r="I3" s="69" t="s">
        <v>1878</v>
      </c>
      <c r="J3" s="70" t="s">
        <v>1494</v>
      </c>
      <c r="K3" s="69" t="s">
        <v>1879</v>
      </c>
      <c r="L3" s="65"/>
      <c r="M3" s="70"/>
      <c r="N3" s="70"/>
      <c r="O3" s="70"/>
      <c r="P3" s="70"/>
      <c r="Q3" s="70"/>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row>
    <row r="4" spans="1:69" ht="32" x14ac:dyDescent="0.2">
      <c r="A4" s="65"/>
      <c r="B4" s="65"/>
      <c r="C4" s="65"/>
      <c r="D4" s="70"/>
      <c r="E4" s="73" t="s">
        <v>221</v>
      </c>
      <c r="F4" s="73" t="s">
        <v>1882</v>
      </c>
      <c r="G4" s="73" t="s">
        <v>1883</v>
      </c>
      <c r="H4" s="73" t="s">
        <v>1884</v>
      </c>
      <c r="I4" s="69" t="s">
        <v>1878</v>
      </c>
      <c r="J4" s="70" t="s">
        <v>1885</v>
      </c>
      <c r="K4" s="69" t="s">
        <v>1886</v>
      </c>
      <c r="L4" s="70"/>
      <c r="M4" s="70"/>
      <c r="N4" s="70"/>
      <c r="O4" s="70"/>
      <c r="P4" s="70"/>
      <c r="Q4" s="70"/>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row>
    <row r="5" spans="1:69" ht="28" x14ac:dyDescent="0.2">
      <c r="A5" s="65"/>
      <c r="B5" s="65"/>
      <c r="C5" s="65"/>
      <c r="D5" s="70"/>
      <c r="E5" s="72" t="s">
        <v>353</v>
      </c>
      <c r="F5" s="73" t="s">
        <v>1887</v>
      </c>
      <c r="G5" s="73" t="s">
        <v>1888</v>
      </c>
      <c r="H5" s="73" t="s">
        <v>1889</v>
      </c>
      <c r="I5" s="69" t="s">
        <v>1878</v>
      </c>
      <c r="J5" s="70" t="s">
        <v>1661</v>
      </c>
      <c r="K5" s="69" t="s">
        <v>1879</v>
      </c>
      <c r="L5" s="65"/>
      <c r="M5" s="70"/>
      <c r="N5" s="70"/>
      <c r="O5" s="70"/>
      <c r="P5" s="70"/>
      <c r="Q5" s="70"/>
      <c r="R5" s="65"/>
      <c r="S5" s="65"/>
      <c r="T5" s="65"/>
      <c r="U5" s="65"/>
      <c r="V5" s="65"/>
      <c r="W5" s="65"/>
      <c r="X5" s="65"/>
      <c r="Y5" s="65"/>
      <c r="Z5" s="65"/>
      <c r="AA5" s="65"/>
      <c r="AB5" s="65"/>
      <c r="AC5" s="65"/>
      <c r="AD5" s="65"/>
      <c r="AE5" s="65"/>
      <c r="AF5" s="65"/>
      <c r="AG5" s="65"/>
      <c r="AH5" s="65"/>
      <c r="AI5" s="65"/>
      <c r="AJ5" s="65"/>
      <c r="AK5" s="65"/>
      <c r="AL5" s="65"/>
      <c r="AM5" s="65"/>
      <c r="AN5" s="65"/>
      <c r="AO5" s="65"/>
      <c r="AP5" s="65"/>
      <c r="AQ5" s="65"/>
      <c r="AR5" s="65"/>
      <c r="AS5" s="65"/>
      <c r="AT5" s="65"/>
      <c r="AU5" s="65"/>
      <c r="AV5" s="65"/>
      <c r="AW5" s="65"/>
      <c r="AX5" s="65"/>
      <c r="AY5" s="65"/>
      <c r="AZ5" s="65"/>
      <c r="BA5" s="65"/>
      <c r="BB5" s="65"/>
      <c r="BC5" s="65"/>
      <c r="BD5" s="65"/>
      <c r="BE5" s="65"/>
      <c r="BF5" s="65"/>
      <c r="BG5" s="65"/>
      <c r="BH5" s="65"/>
      <c r="BI5" s="65"/>
      <c r="BJ5" s="65"/>
      <c r="BK5" s="65"/>
      <c r="BL5" s="65"/>
      <c r="BM5" s="65"/>
      <c r="BN5" s="65"/>
      <c r="BO5" s="65"/>
      <c r="BP5" s="65"/>
      <c r="BQ5" s="65"/>
    </row>
    <row r="6" spans="1:69" ht="32" x14ac:dyDescent="0.2">
      <c r="A6" s="65"/>
      <c r="B6" s="65"/>
      <c r="C6" s="65"/>
      <c r="D6" s="70"/>
      <c r="E6" s="72" t="s">
        <v>131</v>
      </c>
      <c r="F6" s="72" t="s">
        <v>1531</v>
      </c>
      <c r="G6" s="72" t="s">
        <v>1532</v>
      </c>
      <c r="H6" s="72" t="s">
        <v>1533</v>
      </c>
      <c r="I6" s="69" t="s">
        <v>1878</v>
      </c>
      <c r="J6" s="70" t="s">
        <v>1535</v>
      </c>
      <c r="K6" s="69" t="s">
        <v>1879</v>
      </c>
      <c r="L6" s="65"/>
      <c r="M6" s="70"/>
      <c r="N6" s="70"/>
      <c r="O6" s="70"/>
      <c r="P6" s="70"/>
      <c r="Q6" s="70"/>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c r="AY6" s="65"/>
      <c r="AZ6" s="65"/>
      <c r="BA6" s="65"/>
      <c r="BB6" s="65"/>
      <c r="BC6" s="65"/>
      <c r="BD6" s="65"/>
      <c r="BE6" s="65"/>
      <c r="BF6" s="65"/>
      <c r="BG6" s="65"/>
      <c r="BH6" s="65"/>
      <c r="BI6" s="65"/>
      <c r="BJ6" s="65"/>
      <c r="BK6" s="65"/>
      <c r="BL6" s="65"/>
      <c r="BM6" s="65"/>
      <c r="BN6" s="65"/>
      <c r="BO6" s="65"/>
      <c r="BP6" s="65"/>
      <c r="BQ6" s="65"/>
    </row>
    <row r="7" spans="1:69" ht="32" x14ac:dyDescent="0.2">
      <c r="A7" s="65"/>
      <c r="B7" s="65"/>
      <c r="C7" s="65"/>
      <c r="D7" s="70"/>
      <c r="E7" s="72" t="s">
        <v>227</v>
      </c>
      <c r="F7" s="72" t="s">
        <v>1615</v>
      </c>
      <c r="G7" s="72" t="s">
        <v>1616</v>
      </c>
      <c r="H7" s="72" t="s">
        <v>1617</v>
      </c>
      <c r="I7" s="70" t="s">
        <v>1578</v>
      </c>
      <c r="J7" s="70" t="s">
        <v>1890</v>
      </c>
      <c r="K7" s="73" t="s">
        <v>1879</v>
      </c>
      <c r="L7" s="65"/>
      <c r="M7" s="70"/>
      <c r="N7" s="70"/>
      <c r="O7" s="70"/>
      <c r="P7" s="70"/>
      <c r="Q7" s="70"/>
      <c r="R7" s="65"/>
      <c r="S7" s="65"/>
      <c r="T7" s="65"/>
      <c r="U7" s="65"/>
      <c r="V7" s="65"/>
      <c r="W7" s="65"/>
      <c r="X7" s="65"/>
      <c r="Y7" s="65"/>
      <c r="Z7" s="65"/>
      <c r="AA7" s="65"/>
      <c r="AB7" s="65"/>
      <c r="AC7" s="65"/>
      <c r="AD7" s="65"/>
      <c r="AE7" s="65"/>
      <c r="AF7" s="65"/>
      <c r="AG7" s="65"/>
      <c r="AH7" s="65"/>
      <c r="AI7" s="65"/>
      <c r="AJ7" s="65"/>
      <c r="AK7" s="65"/>
      <c r="AL7" s="65"/>
      <c r="AM7" s="65"/>
      <c r="AN7" s="65"/>
      <c r="AO7" s="65"/>
      <c r="AP7" s="65"/>
      <c r="AQ7" s="65"/>
      <c r="AR7" s="65"/>
      <c r="AS7" s="65"/>
      <c r="AT7" s="65"/>
      <c r="AU7" s="65"/>
      <c r="AV7" s="65"/>
      <c r="AW7" s="65"/>
      <c r="AX7" s="65"/>
      <c r="AY7" s="65"/>
      <c r="AZ7" s="65"/>
      <c r="BA7" s="65"/>
      <c r="BB7" s="65"/>
      <c r="BC7" s="65"/>
      <c r="BD7" s="65"/>
      <c r="BE7" s="65"/>
      <c r="BF7" s="65"/>
      <c r="BG7" s="65"/>
      <c r="BH7" s="65"/>
      <c r="BI7" s="65"/>
      <c r="BJ7" s="65"/>
      <c r="BK7" s="65"/>
      <c r="BL7" s="65"/>
      <c r="BM7" s="65"/>
      <c r="BN7" s="65"/>
      <c r="BO7" s="65"/>
      <c r="BP7" s="65"/>
      <c r="BQ7" s="65"/>
    </row>
    <row r="8" spans="1:69" ht="28" x14ac:dyDescent="0.2">
      <c r="A8" s="65"/>
      <c r="B8" s="65"/>
      <c r="C8" s="65"/>
      <c r="D8" s="70"/>
      <c r="E8" s="72" t="s">
        <v>292</v>
      </c>
      <c r="F8" s="73" t="s">
        <v>1891</v>
      </c>
      <c r="G8" s="73" t="s">
        <v>1892</v>
      </c>
      <c r="H8" s="73" t="s">
        <v>1533</v>
      </c>
      <c r="I8" s="69" t="s">
        <v>1878</v>
      </c>
      <c r="J8" s="70" t="s">
        <v>1575</v>
      </c>
      <c r="K8" s="69" t="s">
        <v>1893</v>
      </c>
      <c r="L8" s="70"/>
      <c r="M8" s="70"/>
      <c r="N8" s="70"/>
      <c r="O8" s="70"/>
      <c r="P8" s="70"/>
      <c r="Q8" s="70"/>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c r="AY8" s="65"/>
      <c r="AZ8" s="65"/>
      <c r="BA8" s="65"/>
      <c r="BB8" s="65"/>
      <c r="BC8" s="65"/>
      <c r="BD8" s="65"/>
      <c r="BE8" s="65"/>
      <c r="BF8" s="65"/>
      <c r="BG8" s="65"/>
      <c r="BH8" s="65"/>
      <c r="BI8" s="65"/>
      <c r="BJ8" s="65"/>
      <c r="BK8" s="65"/>
      <c r="BL8" s="65"/>
      <c r="BM8" s="65"/>
      <c r="BN8" s="65"/>
      <c r="BO8" s="65"/>
      <c r="BP8" s="65"/>
      <c r="BQ8" s="65"/>
    </row>
    <row r="9" spans="1:69" ht="42" x14ac:dyDescent="0.2">
      <c r="A9" s="65"/>
      <c r="B9" s="65"/>
      <c r="C9" s="65"/>
      <c r="D9" s="70"/>
      <c r="E9" s="72" t="s">
        <v>263</v>
      </c>
      <c r="F9" s="73" t="s">
        <v>1894</v>
      </c>
      <c r="G9" s="73" t="s">
        <v>1895</v>
      </c>
      <c r="H9" s="73" t="s">
        <v>1884</v>
      </c>
      <c r="I9" s="70" t="s">
        <v>1578</v>
      </c>
      <c r="J9" s="70" t="s">
        <v>1896</v>
      </c>
      <c r="K9" s="69" t="s">
        <v>1897</v>
      </c>
      <c r="L9" s="70"/>
      <c r="M9" s="70"/>
      <c r="N9" s="70"/>
      <c r="O9" s="70"/>
      <c r="P9" s="70"/>
      <c r="Q9" s="70"/>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L9" s="65"/>
      <c r="BM9" s="65"/>
      <c r="BN9" s="65"/>
      <c r="BO9" s="65"/>
      <c r="BP9" s="65"/>
      <c r="BQ9" s="65"/>
    </row>
    <row r="10" spans="1:69" ht="32" x14ac:dyDescent="0.2">
      <c r="A10" s="65"/>
      <c r="B10" s="65"/>
      <c r="C10" s="65"/>
      <c r="D10" s="70"/>
      <c r="E10" s="72" t="s">
        <v>326</v>
      </c>
      <c r="F10" s="72" t="s">
        <v>1641</v>
      </c>
      <c r="G10" s="72" t="s">
        <v>1642</v>
      </c>
      <c r="H10" s="72" t="s">
        <v>1643</v>
      </c>
      <c r="I10" s="70" t="s">
        <v>1578</v>
      </c>
      <c r="J10" s="70" t="s">
        <v>1898</v>
      </c>
      <c r="K10" s="73" t="s">
        <v>1899</v>
      </c>
      <c r="L10" s="65"/>
      <c r="M10" s="70"/>
      <c r="N10" s="70"/>
      <c r="O10" s="70"/>
      <c r="P10" s="70"/>
      <c r="Q10" s="70"/>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c r="BL10" s="65"/>
      <c r="BM10" s="65"/>
      <c r="BN10" s="65"/>
      <c r="BO10" s="65"/>
      <c r="BP10" s="65"/>
      <c r="BQ10" s="65"/>
    </row>
    <row r="11" spans="1:69" ht="42" x14ac:dyDescent="0.2">
      <c r="A11" s="65"/>
      <c r="B11" s="65"/>
      <c r="C11" s="65"/>
      <c r="D11" s="70"/>
      <c r="E11" s="72" t="s">
        <v>84</v>
      </c>
      <c r="F11" s="73" t="s">
        <v>1900</v>
      </c>
      <c r="G11" s="73" t="s">
        <v>1901</v>
      </c>
      <c r="H11" s="73" t="s">
        <v>1884</v>
      </c>
      <c r="I11" s="69" t="s">
        <v>1878</v>
      </c>
      <c r="J11" s="70" t="s">
        <v>1902</v>
      </c>
      <c r="K11" s="69" t="s">
        <v>1903</v>
      </c>
      <c r="L11" s="70"/>
      <c r="M11" s="70"/>
      <c r="N11" s="70"/>
      <c r="O11" s="70"/>
      <c r="P11" s="70"/>
      <c r="Q11" s="70"/>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5"/>
      <c r="BD11" s="65"/>
      <c r="BE11" s="65"/>
      <c r="BF11" s="65"/>
      <c r="BG11" s="65"/>
      <c r="BH11" s="65"/>
      <c r="BI11" s="65"/>
      <c r="BJ11" s="65"/>
      <c r="BK11" s="65"/>
      <c r="BL11" s="65"/>
      <c r="BM11" s="65"/>
      <c r="BN11" s="65"/>
      <c r="BO11" s="65"/>
      <c r="BP11" s="65"/>
      <c r="BQ11" s="65"/>
    </row>
    <row r="12" spans="1:69" ht="16" x14ac:dyDescent="0.2">
      <c r="A12" s="65"/>
      <c r="B12" s="65"/>
      <c r="C12" s="65"/>
      <c r="D12" s="70"/>
      <c r="E12" s="72" t="s">
        <v>66</v>
      </c>
      <c r="F12" s="72" t="s">
        <v>1476</v>
      </c>
      <c r="G12" s="72" t="s">
        <v>1477</v>
      </c>
      <c r="H12" s="72" t="s">
        <v>1478</v>
      </c>
      <c r="I12" s="69" t="s">
        <v>1878</v>
      </c>
      <c r="J12" s="70" t="s">
        <v>1479</v>
      </c>
      <c r="K12" s="73" t="s">
        <v>1904</v>
      </c>
      <c r="L12" s="65"/>
      <c r="M12" s="70"/>
      <c r="N12" s="70"/>
      <c r="O12" s="70"/>
      <c r="P12" s="70"/>
      <c r="Q12" s="70"/>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c r="AY12" s="65"/>
      <c r="AZ12" s="65"/>
      <c r="BA12" s="65"/>
      <c r="BB12" s="65"/>
      <c r="BC12" s="65"/>
      <c r="BD12" s="65"/>
      <c r="BE12" s="65"/>
      <c r="BF12" s="65"/>
      <c r="BG12" s="65"/>
      <c r="BH12" s="65"/>
      <c r="BI12" s="65"/>
      <c r="BJ12" s="65"/>
      <c r="BK12" s="65"/>
      <c r="BL12" s="65"/>
      <c r="BM12" s="65"/>
      <c r="BN12" s="65"/>
      <c r="BO12" s="65"/>
      <c r="BP12" s="65"/>
      <c r="BQ12" s="65"/>
    </row>
    <row r="13" spans="1:69" ht="160" x14ac:dyDescent="0.2">
      <c r="A13" s="65"/>
      <c r="B13" s="65"/>
      <c r="C13" s="65"/>
      <c r="D13" s="70"/>
      <c r="E13" s="72" t="s">
        <v>154</v>
      </c>
      <c r="F13" s="72" t="s">
        <v>1519</v>
      </c>
      <c r="G13" s="72" t="s">
        <v>1520</v>
      </c>
      <c r="H13" s="72" t="s">
        <v>1521</v>
      </c>
      <c r="I13" s="69" t="s">
        <v>1878</v>
      </c>
      <c r="J13" s="70" t="s">
        <v>1523</v>
      </c>
      <c r="K13" s="73" t="s">
        <v>1879</v>
      </c>
      <c r="L13" s="65"/>
      <c r="M13" s="70"/>
      <c r="N13" s="70"/>
      <c r="O13" s="70"/>
      <c r="P13" s="70"/>
      <c r="Q13" s="70"/>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row>
    <row r="14" spans="1:69" ht="28" x14ac:dyDescent="0.2">
      <c r="A14" s="65"/>
      <c r="B14" s="65"/>
      <c r="C14" s="65"/>
      <c r="D14" s="70"/>
      <c r="E14" s="72" t="s">
        <v>239</v>
      </c>
      <c r="F14" s="72" t="s">
        <v>1589</v>
      </c>
      <c r="G14" s="72" t="s">
        <v>1590</v>
      </c>
      <c r="H14" s="73" t="s">
        <v>1884</v>
      </c>
      <c r="I14" s="69" t="s">
        <v>1878</v>
      </c>
      <c r="J14" s="70" t="s">
        <v>1591</v>
      </c>
      <c r="K14" s="73" t="s">
        <v>1899</v>
      </c>
      <c r="L14" s="65"/>
      <c r="M14" s="70"/>
      <c r="N14" s="70"/>
      <c r="O14" s="70"/>
      <c r="P14" s="70"/>
      <c r="Q14" s="70"/>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5"/>
      <c r="BD14" s="65"/>
      <c r="BE14" s="65"/>
      <c r="BF14" s="65"/>
      <c r="BG14" s="65"/>
      <c r="BH14" s="65"/>
      <c r="BI14" s="65"/>
      <c r="BJ14" s="65"/>
      <c r="BK14" s="65"/>
      <c r="BL14" s="65"/>
      <c r="BM14" s="65"/>
      <c r="BN14" s="65"/>
      <c r="BO14" s="65"/>
      <c r="BP14" s="65"/>
      <c r="BQ14" s="65"/>
    </row>
    <row r="15" spans="1:69" ht="32" x14ac:dyDescent="0.2">
      <c r="A15" s="65"/>
      <c r="B15" s="65"/>
      <c r="C15" s="65"/>
      <c r="D15" s="70"/>
      <c r="E15" s="72" t="s">
        <v>278</v>
      </c>
      <c r="F15" s="73" t="s">
        <v>1905</v>
      </c>
      <c r="G15" s="73" t="s">
        <v>1906</v>
      </c>
      <c r="H15" s="73" t="s">
        <v>1884</v>
      </c>
      <c r="I15" s="69" t="s">
        <v>1878</v>
      </c>
      <c r="J15" s="70" t="s">
        <v>1907</v>
      </c>
      <c r="K15" s="69" t="s">
        <v>1886</v>
      </c>
      <c r="L15" s="70"/>
      <c r="M15" s="70"/>
      <c r="N15" s="70"/>
      <c r="O15" s="70"/>
      <c r="P15" s="70"/>
      <c r="Q15" s="70"/>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c r="BI15" s="65"/>
      <c r="BJ15" s="65"/>
      <c r="BK15" s="65"/>
      <c r="BL15" s="65"/>
      <c r="BM15" s="65"/>
      <c r="BN15" s="65"/>
      <c r="BO15" s="65"/>
      <c r="BP15" s="65"/>
      <c r="BQ15" s="65"/>
    </row>
    <row r="16" spans="1:69" ht="28" x14ac:dyDescent="0.2">
      <c r="A16" s="65"/>
      <c r="B16" s="65"/>
      <c r="C16" s="65"/>
      <c r="D16" s="70"/>
      <c r="E16" s="72" t="s">
        <v>399</v>
      </c>
      <c r="F16" s="73" t="s">
        <v>1908</v>
      </c>
      <c r="G16" s="73" t="s">
        <v>1909</v>
      </c>
      <c r="H16" s="73" t="s">
        <v>1910</v>
      </c>
      <c r="I16" s="70" t="s">
        <v>1578</v>
      </c>
      <c r="J16" s="70" t="s">
        <v>1911</v>
      </c>
      <c r="K16" s="69" t="s">
        <v>1893</v>
      </c>
      <c r="L16" s="70"/>
      <c r="M16" s="70"/>
      <c r="N16" s="70"/>
      <c r="O16" s="70"/>
      <c r="P16" s="70"/>
      <c r="Q16" s="70"/>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c r="AY16" s="65"/>
      <c r="AZ16" s="65"/>
      <c r="BA16" s="65"/>
      <c r="BB16" s="65"/>
      <c r="BC16" s="65"/>
      <c r="BD16" s="65"/>
      <c r="BE16" s="65"/>
      <c r="BF16" s="65"/>
      <c r="BG16" s="65"/>
      <c r="BH16" s="65"/>
      <c r="BI16" s="65"/>
      <c r="BJ16" s="65"/>
      <c r="BK16" s="65"/>
      <c r="BL16" s="65"/>
      <c r="BM16" s="65"/>
      <c r="BN16" s="65"/>
      <c r="BO16" s="65"/>
      <c r="BP16" s="65"/>
      <c r="BQ16" s="65"/>
    </row>
    <row r="17" spans="1:69" ht="32" x14ac:dyDescent="0.2">
      <c r="A17" s="65"/>
      <c r="B17" s="65"/>
      <c r="C17" s="65"/>
      <c r="D17" s="70"/>
      <c r="E17" s="72" t="s">
        <v>596</v>
      </c>
      <c r="F17" s="73" t="s">
        <v>1912</v>
      </c>
      <c r="G17" s="73" t="s">
        <v>1913</v>
      </c>
      <c r="H17" s="73" t="s">
        <v>1910</v>
      </c>
      <c r="I17" s="70" t="s">
        <v>1578</v>
      </c>
      <c r="J17" s="70" t="s">
        <v>1914</v>
      </c>
      <c r="K17" s="73" t="s">
        <v>1899</v>
      </c>
      <c r="L17" s="65"/>
      <c r="M17" s="70"/>
      <c r="N17" s="70"/>
      <c r="O17" s="70"/>
      <c r="P17" s="70"/>
      <c r="Q17" s="70"/>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c r="BL17" s="65"/>
      <c r="BM17" s="65"/>
      <c r="BN17" s="65"/>
      <c r="BO17" s="65"/>
      <c r="BP17" s="65"/>
      <c r="BQ17" s="65"/>
    </row>
    <row r="18" spans="1:69" ht="42" x14ac:dyDescent="0.2">
      <c r="A18" s="65"/>
      <c r="B18" s="65"/>
      <c r="C18" s="65"/>
      <c r="D18" s="70"/>
      <c r="E18" s="72" t="s">
        <v>156</v>
      </c>
      <c r="F18" s="73" t="s">
        <v>1915</v>
      </c>
      <c r="G18" s="73" t="s">
        <v>1916</v>
      </c>
      <c r="H18" s="73" t="s">
        <v>1884</v>
      </c>
      <c r="I18" s="69" t="s">
        <v>1878</v>
      </c>
      <c r="J18" s="70" t="s">
        <v>1917</v>
      </c>
      <c r="K18" s="69" t="s">
        <v>1897</v>
      </c>
      <c r="L18" s="70"/>
      <c r="M18" s="70"/>
      <c r="N18" s="70"/>
      <c r="O18" s="70"/>
      <c r="P18" s="70"/>
      <c r="Q18" s="70"/>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c r="BN18" s="65"/>
      <c r="BO18" s="65"/>
      <c r="BP18" s="65"/>
      <c r="BQ18" s="65"/>
    </row>
    <row r="19" spans="1:69" ht="42" x14ac:dyDescent="0.2">
      <c r="A19" s="65"/>
      <c r="B19" s="65"/>
      <c r="C19" s="65"/>
      <c r="D19" s="70"/>
      <c r="E19" s="72" t="s">
        <v>174</v>
      </c>
      <c r="F19" s="73" t="s">
        <v>1918</v>
      </c>
      <c r="G19" s="73" t="s">
        <v>1919</v>
      </c>
      <c r="H19" s="73" t="s">
        <v>1920</v>
      </c>
      <c r="I19" s="69" t="s">
        <v>1878</v>
      </c>
      <c r="J19" s="70" t="s">
        <v>1601</v>
      </c>
      <c r="K19" s="73" t="s">
        <v>1899</v>
      </c>
      <c r="L19" s="65"/>
      <c r="M19" s="70"/>
      <c r="N19" s="70"/>
      <c r="O19" s="70"/>
      <c r="P19" s="70"/>
      <c r="Q19" s="70"/>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c r="AY19" s="65"/>
      <c r="AZ19" s="65"/>
      <c r="BA19" s="65"/>
      <c r="BB19" s="65"/>
      <c r="BC19" s="65"/>
      <c r="BD19" s="65"/>
      <c r="BE19" s="65"/>
      <c r="BF19" s="65"/>
      <c r="BG19" s="65"/>
      <c r="BH19" s="65"/>
      <c r="BI19" s="65"/>
      <c r="BJ19" s="65"/>
      <c r="BK19" s="65"/>
      <c r="BL19" s="65"/>
      <c r="BM19" s="65"/>
      <c r="BN19" s="65"/>
      <c r="BO19" s="65"/>
      <c r="BP19" s="65"/>
      <c r="BQ19" s="65"/>
    </row>
    <row r="20" spans="1:69" ht="16" x14ac:dyDescent="0.2">
      <c r="A20" s="65"/>
      <c r="B20" s="65"/>
      <c r="C20" s="65"/>
      <c r="D20" s="70"/>
      <c r="E20" s="72" t="s">
        <v>134</v>
      </c>
      <c r="F20" s="73" t="s">
        <v>1921</v>
      </c>
      <c r="G20" s="72" t="s">
        <v>1922</v>
      </c>
      <c r="H20" s="73" t="s">
        <v>1910</v>
      </c>
      <c r="I20" s="70" t="s">
        <v>1578</v>
      </c>
      <c r="J20" s="70" t="s">
        <v>1923</v>
      </c>
      <c r="K20" s="73" t="s">
        <v>1899</v>
      </c>
      <c r="L20" s="65"/>
      <c r="M20" s="70"/>
      <c r="N20" s="70"/>
      <c r="O20" s="70"/>
      <c r="P20" s="70"/>
      <c r="Q20" s="70"/>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c r="AY20" s="65"/>
      <c r="AZ20" s="65"/>
      <c r="BA20" s="65"/>
      <c r="BB20" s="65"/>
      <c r="BC20" s="65"/>
      <c r="BD20" s="65"/>
      <c r="BE20" s="65"/>
      <c r="BF20" s="65"/>
      <c r="BG20" s="65"/>
      <c r="BH20" s="65"/>
      <c r="BI20" s="65"/>
      <c r="BJ20" s="65"/>
      <c r="BK20" s="65"/>
      <c r="BL20" s="65"/>
      <c r="BM20" s="65"/>
      <c r="BN20" s="65"/>
      <c r="BO20" s="65"/>
      <c r="BP20" s="65"/>
      <c r="BQ20" s="65"/>
    </row>
    <row r="21" spans="1:69" ht="16" x14ac:dyDescent="0.2">
      <c r="A21" s="65"/>
      <c r="B21" s="65"/>
      <c r="C21" s="65"/>
      <c r="D21" s="70"/>
      <c r="E21" s="72" t="s">
        <v>161</v>
      </c>
      <c r="F21" s="73" t="s">
        <v>1924</v>
      </c>
      <c r="G21" s="73" t="s">
        <v>1925</v>
      </c>
      <c r="H21" s="73" t="s">
        <v>1910</v>
      </c>
      <c r="I21" s="69" t="s">
        <v>1878</v>
      </c>
      <c r="J21" s="70" t="s">
        <v>1926</v>
      </c>
      <c r="K21" s="73" t="s">
        <v>1879</v>
      </c>
      <c r="L21" s="65"/>
      <c r="M21" s="70"/>
      <c r="N21" s="70"/>
      <c r="O21" s="70"/>
      <c r="P21" s="70"/>
      <c r="Q21" s="70"/>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c r="AY21" s="65"/>
      <c r="AZ21" s="65"/>
      <c r="BA21" s="65"/>
      <c r="BB21" s="65"/>
      <c r="BC21" s="65"/>
      <c r="BD21" s="65"/>
      <c r="BE21" s="65"/>
      <c r="BF21" s="65"/>
      <c r="BG21" s="65"/>
      <c r="BH21" s="65"/>
      <c r="BI21" s="65"/>
      <c r="BJ21" s="65"/>
      <c r="BK21" s="65"/>
      <c r="BL21" s="65"/>
      <c r="BM21" s="65"/>
      <c r="BN21" s="65"/>
      <c r="BO21" s="65"/>
      <c r="BP21" s="65"/>
      <c r="BQ21" s="65"/>
    </row>
    <row r="22" spans="1:69" ht="48" x14ac:dyDescent="0.2">
      <c r="A22" s="65"/>
      <c r="B22" s="65"/>
      <c r="C22" s="65"/>
      <c r="D22" s="70"/>
      <c r="E22" s="72" t="s">
        <v>179</v>
      </c>
      <c r="F22" s="73" t="s">
        <v>1927</v>
      </c>
      <c r="G22" s="73" t="s">
        <v>1928</v>
      </c>
      <c r="H22" s="70" t="s">
        <v>1929</v>
      </c>
      <c r="I22" s="70" t="s">
        <v>1578</v>
      </c>
      <c r="J22" s="70" t="s">
        <v>1930</v>
      </c>
      <c r="K22" s="73" t="s">
        <v>1931</v>
      </c>
      <c r="L22" s="65"/>
      <c r="M22" s="70"/>
      <c r="N22" s="70"/>
      <c r="O22" s="70"/>
      <c r="P22" s="70"/>
      <c r="Q22" s="70"/>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L22" s="65"/>
      <c r="BM22" s="65"/>
      <c r="BN22" s="65"/>
      <c r="BO22" s="65"/>
      <c r="BP22" s="65"/>
      <c r="BQ22" s="65"/>
    </row>
    <row r="23" spans="1:69" ht="32" x14ac:dyDescent="0.2">
      <c r="A23" s="65"/>
      <c r="B23" s="65"/>
      <c r="C23" s="65"/>
      <c r="D23" s="70"/>
      <c r="E23" s="72" t="s">
        <v>510</v>
      </c>
      <c r="F23" s="70" t="s">
        <v>1932</v>
      </c>
      <c r="G23" s="70" t="s">
        <v>1933</v>
      </c>
      <c r="H23" s="70" t="s">
        <v>1934</v>
      </c>
      <c r="I23" s="69" t="s">
        <v>1878</v>
      </c>
      <c r="J23" s="70" t="s">
        <v>1638</v>
      </c>
      <c r="K23" s="69" t="s">
        <v>1893</v>
      </c>
      <c r="L23" s="70"/>
      <c r="M23" s="70"/>
      <c r="N23" s="70"/>
      <c r="O23" s="70"/>
      <c r="P23" s="70"/>
      <c r="Q23" s="70"/>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c r="AY23" s="65"/>
      <c r="AZ23" s="65"/>
      <c r="BA23" s="65"/>
      <c r="BB23" s="65"/>
      <c r="BC23" s="65"/>
      <c r="BD23" s="65"/>
      <c r="BE23" s="65"/>
      <c r="BF23" s="65"/>
      <c r="BG23" s="65"/>
      <c r="BH23" s="65"/>
      <c r="BI23" s="65"/>
      <c r="BJ23" s="65"/>
      <c r="BK23" s="65"/>
      <c r="BL23" s="65"/>
      <c r="BM23" s="65"/>
      <c r="BN23" s="65"/>
      <c r="BO23" s="65"/>
      <c r="BP23" s="65"/>
      <c r="BQ23" s="65"/>
    </row>
    <row r="24" spans="1:69" ht="32" x14ac:dyDescent="0.2">
      <c r="A24" s="65"/>
      <c r="B24" s="65"/>
      <c r="C24" s="65"/>
      <c r="D24" s="70"/>
      <c r="E24" s="72" t="s">
        <v>529</v>
      </c>
      <c r="F24" s="73" t="s">
        <v>1935</v>
      </c>
      <c r="G24" s="73" t="s">
        <v>1936</v>
      </c>
      <c r="H24" s="73" t="s">
        <v>1533</v>
      </c>
      <c r="I24" s="69" t="s">
        <v>1878</v>
      </c>
      <c r="J24" s="70" t="s">
        <v>1937</v>
      </c>
      <c r="K24" s="73" t="s">
        <v>1879</v>
      </c>
      <c r="L24" s="65"/>
      <c r="M24" s="70"/>
      <c r="N24" s="70"/>
      <c r="O24" s="70"/>
      <c r="P24" s="70"/>
      <c r="Q24" s="70"/>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c r="AY24" s="65"/>
      <c r="AZ24" s="65"/>
      <c r="BA24" s="65"/>
      <c r="BB24" s="65"/>
      <c r="BC24" s="65"/>
      <c r="BD24" s="65"/>
      <c r="BE24" s="65"/>
      <c r="BF24" s="65"/>
      <c r="BG24" s="65"/>
      <c r="BH24" s="65"/>
      <c r="BI24" s="65"/>
      <c r="BJ24" s="65"/>
      <c r="BK24" s="65"/>
      <c r="BL24" s="65"/>
      <c r="BM24" s="65"/>
      <c r="BN24" s="65"/>
      <c r="BO24" s="65"/>
      <c r="BP24" s="65"/>
      <c r="BQ24" s="65"/>
    </row>
    <row r="25" spans="1:69" ht="64" x14ac:dyDescent="0.2">
      <c r="A25" s="65"/>
      <c r="B25" s="65"/>
      <c r="C25" s="65"/>
      <c r="D25" s="70"/>
      <c r="E25" s="72" t="s">
        <v>560</v>
      </c>
      <c r="F25" s="73" t="s">
        <v>1938</v>
      </c>
      <c r="G25" s="73" t="s">
        <v>1939</v>
      </c>
      <c r="H25" s="70" t="s">
        <v>1940</v>
      </c>
      <c r="I25" s="69" t="s">
        <v>1878</v>
      </c>
      <c r="J25" s="70" t="s">
        <v>1941</v>
      </c>
      <c r="K25" s="73" t="s">
        <v>1879</v>
      </c>
      <c r="L25" s="65"/>
      <c r="M25" s="70"/>
      <c r="N25" s="70"/>
      <c r="O25" s="70"/>
      <c r="P25" s="70"/>
      <c r="Q25" s="70"/>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c r="AY25" s="65"/>
      <c r="AZ25" s="65"/>
      <c r="BA25" s="65"/>
      <c r="BB25" s="65"/>
      <c r="BC25" s="65"/>
      <c r="BD25" s="65"/>
      <c r="BE25" s="65"/>
      <c r="BF25" s="65"/>
      <c r="BG25" s="65"/>
      <c r="BH25" s="65"/>
      <c r="BI25" s="65"/>
      <c r="BJ25" s="65"/>
      <c r="BK25" s="65"/>
      <c r="BL25" s="65"/>
      <c r="BM25" s="65"/>
      <c r="BN25" s="65"/>
      <c r="BO25" s="65"/>
      <c r="BP25" s="65"/>
      <c r="BQ25" s="65"/>
    </row>
    <row r="26" spans="1:69" ht="28" x14ac:dyDescent="0.2">
      <c r="A26" s="65"/>
      <c r="B26" s="65"/>
      <c r="C26" s="65"/>
      <c r="D26" s="70"/>
      <c r="E26" s="72" t="s">
        <v>250</v>
      </c>
      <c r="F26" s="73" t="s">
        <v>1942</v>
      </c>
      <c r="G26" s="73" t="s">
        <v>1943</v>
      </c>
      <c r="H26" s="73" t="s">
        <v>1944</v>
      </c>
      <c r="I26" s="69" t="s">
        <v>1878</v>
      </c>
      <c r="J26" s="70" t="s">
        <v>1714</v>
      </c>
      <c r="K26" s="73" t="s">
        <v>1879</v>
      </c>
      <c r="L26" s="65"/>
      <c r="M26" s="70"/>
      <c r="N26" s="70"/>
      <c r="O26" s="70"/>
      <c r="P26" s="70"/>
      <c r="Q26" s="70"/>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c r="AY26" s="65"/>
      <c r="AZ26" s="65"/>
      <c r="BA26" s="65"/>
      <c r="BB26" s="65"/>
      <c r="BC26" s="65"/>
      <c r="BD26" s="65"/>
      <c r="BE26" s="65"/>
      <c r="BF26" s="65"/>
      <c r="BG26" s="65"/>
      <c r="BH26" s="65"/>
      <c r="BI26" s="65"/>
      <c r="BJ26" s="65"/>
      <c r="BK26" s="65"/>
      <c r="BL26" s="65"/>
      <c r="BM26" s="65"/>
      <c r="BN26" s="65"/>
      <c r="BO26" s="65"/>
      <c r="BP26" s="65"/>
      <c r="BQ26" s="65"/>
    </row>
    <row r="27" spans="1:69" ht="16" x14ac:dyDescent="0.2">
      <c r="A27" s="65"/>
      <c r="B27" s="65"/>
      <c r="C27" s="70"/>
      <c r="D27" s="70"/>
      <c r="E27" s="72" t="s">
        <v>455</v>
      </c>
      <c r="F27" s="73" t="s">
        <v>1945</v>
      </c>
      <c r="G27" s="73" t="s">
        <v>1946</v>
      </c>
      <c r="H27" s="73" t="s">
        <v>1947</v>
      </c>
      <c r="I27" s="70" t="s">
        <v>1578</v>
      </c>
      <c r="J27" s="70" t="s">
        <v>1737</v>
      </c>
      <c r="K27" s="73" t="s">
        <v>1879</v>
      </c>
      <c r="L27" s="65"/>
      <c r="M27" s="70"/>
      <c r="N27" s="70"/>
      <c r="O27" s="70"/>
      <c r="P27" s="70"/>
      <c r="Q27" s="70"/>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c r="AY27" s="65"/>
      <c r="AZ27" s="65"/>
      <c r="BA27" s="65"/>
      <c r="BB27" s="65"/>
      <c r="BC27" s="65"/>
      <c r="BD27" s="65"/>
      <c r="BE27" s="65"/>
      <c r="BF27" s="65"/>
      <c r="BG27" s="65"/>
      <c r="BH27" s="65"/>
      <c r="BI27" s="65"/>
      <c r="BJ27" s="65"/>
      <c r="BK27" s="65"/>
      <c r="BL27" s="65"/>
      <c r="BM27" s="65"/>
      <c r="BN27" s="65"/>
      <c r="BO27" s="65"/>
      <c r="BP27" s="65"/>
      <c r="BQ27" s="65"/>
    </row>
    <row r="28" spans="1:69" ht="16" x14ac:dyDescent="0.2">
      <c r="A28" s="65"/>
      <c r="B28" s="65"/>
      <c r="C28" s="70"/>
      <c r="D28" s="70"/>
      <c r="E28" s="72" t="s">
        <v>455</v>
      </c>
      <c r="F28" s="73" t="s">
        <v>1948</v>
      </c>
      <c r="G28" s="73" t="s">
        <v>1949</v>
      </c>
      <c r="H28" s="73" t="s">
        <v>1950</v>
      </c>
      <c r="I28" s="70" t="s">
        <v>1578</v>
      </c>
      <c r="J28" s="70" t="s">
        <v>1737</v>
      </c>
      <c r="K28" s="73" t="s">
        <v>1879</v>
      </c>
      <c r="L28" s="65"/>
      <c r="M28" s="70"/>
      <c r="N28" s="70"/>
      <c r="O28" s="70"/>
      <c r="P28" s="70"/>
      <c r="Q28" s="70"/>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c r="AY28" s="65"/>
      <c r="AZ28" s="65"/>
      <c r="BA28" s="65"/>
      <c r="BB28" s="65"/>
      <c r="BC28" s="65"/>
      <c r="BD28" s="65"/>
      <c r="BE28" s="65"/>
      <c r="BF28" s="65"/>
      <c r="BG28" s="65"/>
      <c r="BH28" s="65"/>
      <c r="BI28" s="65"/>
      <c r="BJ28" s="65"/>
      <c r="BK28" s="65"/>
      <c r="BL28" s="65"/>
      <c r="BM28" s="65"/>
      <c r="BN28" s="65"/>
      <c r="BO28" s="65"/>
      <c r="BP28" s="65"/>
      <c r="BQ28" s="65"/>
    </row>
    <row r="29" spans="1:69" ht="28" x14ac:dyDescent="0.2">
      <c r="A29" s="65"/>
      <c r="B29" s="65"/>
      <c r="C29" s="70"/>
      <c r="D29" s="70"/>
      <c r="E29" s="72" t="s">
        <v>80</v>
      </c>
      <c r="F29" s="73" t="s">
        <v>1951</v>
      </c>
      <c r="G29" s="73" t="s">
        <v>1952</v>
      </c>
      <c r="H29" s="73" t="s">
        <v>1884</v>
      </c>
      <c r="I29" s="70" t="s">
        <v>1578</v>
      </c>
      <c r="J29" s="70" t="s">
        <v>1675</v>
      </c>
      <c r="K29" s="69" t="s">
        <v>1953</v>
      </c>
      <c r="L29" s="70"/>
      <c r="M29" s="70"/>
      <c r="N29" s="70"/>
      <c r="O29" s="70"/>
      <c r="P29" s="70"/>
      <c r="Q29" s="70"/>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c r="AY29" s="65"/>
      <c r="AZ29" s="65"/>
      <c r="BA29" s="65"/>
      <c r="BB29" s="65"/>
      <c r="BC29" s="65"/>
      <c r="BD29" s="65"/>
      <c r="BE29" s="65"/>
      <c r="BF29" s="65"/>
      <c r="BG29" s="65"/>
      <c r="BH29" s="65"/>
      <c r="BI29" s="65"/>
      <c r="BJ29" s="65"/>
      <c r="BK29" s="65"/>
      <c r="BL29" s="65"/>
      <c r="BM29" s="65"/>
      <c r="BN29" s="65"/>
      <c r="BO29" s="65"/>
      <c r="BP29" s="65"/>
      <c r="BQ29" s="65"/>
    </row>
    <row r="30" spans="1:69" ht="28" x14ac:dyDescent="0.2">
      <c r="A30" s="65"/>
      <c r="B30" s="65"/>
      <c r="C30" s="70"/>
      <c r="D30" s="70"/>
      <c r="E30" s="72" t="s">
        <v>88</v>
      </c>
      <c r="F30" s="73" t="s">
        <v>1954</v>
      </c>
      <c r="G30" s="73" t="s">
        <v>1955</v>
      </c>
      <c r="H30" s="73" t="s">
        <v>1910</v>
      </c>
      <c r="I30" s="70" t="s">
        <v>1578</v>
      </c>
      <c r="J30" s="70" t="s">
        <v>1704</v>
      </c>
      <c r="K30" s="73" t="s">
        <v>1899</v>
      </c>
      <c r="L30" s="65"/>
      <c r="M30" s="70"/>
      <c r="N30" s="70"/>
      <c r="O30" s="70"/>
      <c r="P30" s="70"/>
      <c r="Q30" s="70"/>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c r="AY30" s="65"/>
      <c r="AZ30" s="65"/>
      <c r="BA30" s="65"/>
      <c r="BB30" s="65"/>
      <c r="BC30" s="65"/>
      <c r="BD30" s="65"/>
      <c r="BE30" s="65"/>
      <c r="BF30" s="65"/>
      <c r="BG30" s="65"/>
      <c r="BH30" s="65"/>
      <c r="BI30" s="65"/>
      <c r="BJ30" s="65"/>
      <c r="BK30" s="65"/>
      <c r="BL30" s="65"/>
      <c r="BM30" s="65"/>
      <c r="BN30" s="65"/>
      <c r="BO30" s="65"/>
      <c r="BP30" s="65"/>
      <c r="BQ30" s="65"/>
    </row>
    <row r="31" spans="1:69" ht="56" x14ac:dyDescent="0.2">
      <c r="A31" s="65"/>
      <c r="B31" s="65"/>
      <c r="C31" s="70"/>
      <c r="D31" s="70"/>
      <c r="E31" s="72" t="s">
        <v>264</v>
      </c>
      <c r="F31" s="73" t="s">
        <v>1956</v>
      </c>
      <c r="G31" s="73" t="s">
        <v>1957</v>
      </c>
      <c r="H31" s="73" t="s">
        <v>1884</v>
      </c>
      <c r="I31" s="70" t="s">
        <v>1578</v>
      </c>
      <c r="J31" s="70" t="s">
        <v>1958</v>
      </c>
      <c r="K31" s="69" t="s">
        <v>1959</v>
      </c>
      <c r="L31" s="70"/>
      <c r="M31" s="70"/>
      <c r="N31" s="70"/>
      <c r="O31" s="70"/>
      <c r="P31" s="70"/>
      <c r="Q31" s="70"/>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c r="AY31" s="65"/>
      <c r="AZ31" s="65"/>
      <c r="BA31" s="65"/>
      <c r="BB31" s="65"/>
      <c r="BC31" s="65"/>
      <c r="BD31" s="65"/>
      <c r="BE31" s="65"/>
      <c r="BF31" s="65"/>
      <c r="BG31" s="65"/>
      <c r="BH31" s="65"/>
      <c r="BI31" s="65"/>
      <c r="BJ31" s="65"/>
      <c r="BK31" s="65"/>
      <c r="BL31" s="65"/>
      <c r="BM31" s="65"/>
      <c r="BN31" s="65"/>
      <c r="BO31" s="65"/>
      <c r="BP31" s="65"/>
      <c r="BQ31" s="65"/>
    </row>
    <row r="32" spans="1:69" ht="42" x14ac:dyDescent="0.2">
      <c r="A32" s="65"/>
      <c r="B32" s="65"/>
      <c r="C32" s="70"/>
      <c r="D32" s="70"/>
      <c r="E32" s="72" t="s">
        <v>59</v>
      </c>
      <c r="F32" s="73" t="s">
        <v>1960</v>
      </c>
      <c r="G32" s="73" t="s">
        <v>1961</v>
      </c>
      <c r="H32" s="73" t="s">
        <v>1962</v>
      </c>
      <c r="I32" s="70" t="s">
        <v>1578</v>
      </c>
      <c r="J32" s="70" t="s">
        <v>1680</v>
      </c>
      <c r="K32" s="73" t="s">
        <v>1899</v>
      </c>
      <c r="L32" s="65"/>
      <c r="M32" s="70"/>
      <c r="N32" s="70"/>
      <c r="O32" s="70"/>
      <c r="P32" s="70"/>
      <c r="Q32" s="70"/>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c r="AY32" s="65"/>
      <c r="AZ32" s="65"/>
      <c r="BA32" s="65"/>
      <c r="BB32" s="65"/>
      <c r="BC32" s="65"/>
      <c r="BD32" s="65"/>
      <c r="BE32" s="65"/>
      <c r="BF32" s="65"/>
      <c r="BG32" s="65"/>
      <c r="BH32" s="65"/>
      <c r="BI32" s="65"/>
      <c r="BJ32" s="65"/>
      <c r="BK32" s="65"/>
      <c r="BL32" s="65"/>
      <c r="BM32" s="65"/>
      <c r="BN32" s="65"/>
      <c r="BO32" s="65"/>
      <c r="BP32" s="65"/>
      <c r="BQ32" s="65"/>
    </row>
    <row r="33" spans="1:69" ht="28" x14ac:dyDescent="0.2">
      <c r="A33" s="65"/>
      <c r="B33" s="65"/>
      <c r="C33" s="70"/>
      <c r="D33" s="70"/>
      <c r="E33" s="72" t="s">
        <v>376</v>
      </c>
      <c r="F33" s="73" t="s">
        <v>1963</v>
      </c>
      <c r="G33" s="73" t="s">
        <v>1964</v>
      </c>
      <c r="H33" s="73" t="s">
        <v>1884</v>
      </c>
      <c r="I33" s="69" t="s">
        <v>1878</v>
      </c>
      <c r="J33" s="70" t="s">
        <v>1965</v>
      </c>
      <c r="K33" s="73" t="s">
        <v>1899</v>
      </c>
      <c r="L33" s="65"/>
      <c r="M33" s="70"/>
      <c r="N33" s="70"/>
      <c r="O33" s="70"/>
      <c r="P33" s="70"/>
      <c r="Q33" s="70"/>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5"/>
      <c r="BD33" s="65"/>
      <c r="BE33" s="65"/>
      <c r="BF33" s="65"/>
      <c r="BG33" s="65"/>
      <c r="BH33" s="65"/>
      <c r="BI33" s="65"/>
      <c r="BJ33" s="65"/>
      <c r="BK33" s="65"/>
      <c r="BL33" s="65"/>
      <c r="BM33" s="65"/>
      <c r="BN33" s="65"/>
      <c r="BO33" s="65"/>
      <c r="BP33" s="65"/>
      <c r="BQ33" s="65"/>
    </row>
    <row r="34" spans="1:69" ht="42" x14ac:dyDescent="0.2">
      <c r="A34" s="65"/>
      <c r="B34" s="65"/>
      <c r="C34" s="70"/>
      <c r="D34" s="70"/>
      <c r="E34" s="72" t="s">
        <v>108</v>
      </c>
      <c r="F34" s="73" t="s">
        <v>1966</v>
      </c>
      <c r="G34" s="73" t="s">
        <v>1967</v>
      </c>
      <c r="H34" s="73" t="s">
        <v>1968</v>
      </c>
      <c r="I34" s="69" t="s">
        <v>1878</v>
      </c>
      <c r="J34" s="70" t="s">
        <v>1684</v>
      </c>
      <c r="K34" s="73" t="s">
        <v>1879</v>
      </c>
      <c r="L34" s="65"/>
      <c r="M34" s="70"/>
      <c r="N34" s="70"/>
      <c r="O34" s="70"/>
      <c r="P34" s="70"/>
      <c r="Q34" s="70"/>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L34" s="65"/>
      <c r="BM34" s="65"/>
      <c r="BN34" s="65"/>
      <c r="BO34" s="65"/>
      <c r="BP34" s="65"/>
      <c r="BQ34" s="65"/>
    </row>
    <row r="35" spans="1:69" ht="32" x14ac:dyDescent="0.2">
      <c r="A35" s="65"/>
      <c r="B35" s="65"/>
      <c r="C35" s="70"/>
      <c r="D35" s="70"/>
      <c r="E35" s="72" t="s">
        <v>298</v>
      </c>
      <c r="F35" s="73" t="s">
        <v>1969</v>
      </c>
      <c r="G35" s="73" t="s">
        <v>1970</v>
      </c>
      <c r="H35" s="73" t="s">
        <v>1884</v>
      </c>
      <c r="I35" s="70" t="s">
        <v>1578</v>
      </c>
      <c r="J35" s="70" t="s">
        <v>1744</v>
      </c>
      <c r="K35" s="73" t="s">
        <v>1899</v>
      </c>
      <c r="L35" s="65"/>
      <c r="M35" s="70"/>
      <c r="N35" s="70"/>
      <c r="O35" s="70"/>
      <c r="P35" s="70"/>
      <c r="Q35" s="70"/>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c r="AY35" s="65"/>
      <c r="AZ35" s="65"/>
      <c r="BA35" s="65"/>
      <c r="BB35" s="65"/>
      <c r="BC35" s="65"/>
      <c r="BD35" s="65"/>
      <c r="BE35" s="65"/>
      <c r="BF35" s="65"/>
      <c r="BG35" s="65"/>
      <c r="BH35" s="65"/>
      <c r="BI35" s="65"/>
      <c r="BJ35" s="65"/>
      <c r="BK35" s="65"/>
      <c r="BL35" s="65"/>
      <c r="BM35" s="65"/>
      <c r="BN35" s="65"/>
      <c r="BO35" s="65"/>
      <c r="BP35" s="65"/>
      <c r="BQ35" s="65"/>
    </row>
    <row r="36" spans="1:69" ht="56" x14ac:dyDescent="0.2">
      <c r="A36" s="65"/>
      <c r="B36" s="65"/>
      <c r="C36" s="70"/>
      <c r="D36" s="70"/>
      <c r="E36" s="72" t="s">
        <v>489</v>
      </c>
      <c r="F36" s="73" t="s">
        <v>1971</v>
      </c>
      <c r="G36" s="73" t="s">
        <v>1972</v>
      </c>
      <c r="H36" s="73" t="s">
        <v>1973</v>
      </c>
      <c r="I36" s="69" t="s">
        <v>1878</v>
      </c>
      <c r="J36" s="70" t="s">
        <v>1974</v>
      </c>
      <c r="K36" s="73" t="s">
        <v>1879</v>
      </c>
      <c r="L36" s="65"/>
      <c r="M36" s="70"/>
      <c r="N36" s="70"/>
      <c r="O36" s="70"/>
      <c r="P36" s="70"/>
      <c r="Q36" s="70"/>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c r="AY36" s="65"/>
      <c r="AZ36" s="65"/>
      <c r="BA36" s="65"/>
      <c r="BB36" s="65"/>
      <c r="BC36" s="65"/>
      <c r="BD36" s="65"/>
      <c r="BE36" s="65"/>
      <c r="BF36" s="65"/>
      <c r="BG36" s="65"/>
      <c r="BH36" s="65"/>
      <c r="BI36" s="65"/>
      <c r="BJ36" s="65"/>
      <c r="BK36" s="65"/>
      <c r="BL36" s="65"/>
      <c r="BM36" s="65"/>
      <c r="BN36" s="65"/>
      <c r="BO36" s="65"/>
      <c r="BP36" s="65"/>
      <c r="BQ36" s="65"/>
    </row>
    <row r="37" spans="1:69" ht="28" x14ac:dyDescent="0.2">
      <c r="A37" s="65"/>
      <c r="B37" s="65"/>
      <c r="C37" s="70"/>
      <c r="D37" s="70"/>
      <c r="E37" s="72" t="s">
        <v>502</v>
      </c>
      <c r="F37" s="73" t="s">
        <v>1975</v>
      </c>
      <c r="G37" s="73" t="s">
        <v>1976</v>
      </c>
      <c r="H37" s="73" t="s">
        <v>1977</v>
      </c>
      <c r="I37" s="69" t="s">
        <v>1878</v>
      </c>
      <c r="J37" s="70" t="s">
        <v>1978</v>
      </c>
      <c r="K37" s="73" t="s">
        <v>1879</v>
      </c>
      <c r="L37" s="65"/>
      <c r="M37" s="70"/>
      <c r="N37" s="70"/>
      <c r="O37" s="70"/>
      <c r="P37" s="70"/>
      <c r="Q37" s="70"/>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c r="AY37" s="65"/>
      <c r="AZ37" s="65"/>
      <c r="BA37" s="65"/>
      <c r="BB37" s="65"/>
      <c r="BC37" s="65"/>
      <c r="BD37" s="65"/>
      <c r="BE37" s="65"/>
      <c r="BF37" s="65"/>
      <c r="BG37" s="65"/>
      <c r="BH37" s="65"/>
      <c r="BI37" s="65"/>
      <c r="BJ37" s="65"/>
      <c r="BK37" s="65"/>
      <c r="BL37" s="65"/>
      <c r="BM37" s="65"/>
      <c r="BN37" s="65"/>
      <c r="BO37" s="65"/>
      <c r="BP37" s="65"/>
      <c r="BQ37" s="65"/>
    </row>
    <row r="38" spans="1:69" ht="16" x14ac:dyDescent="0.2">
      <c r="A38" s="65"/>
      <c r="B38" s="65"/>
      <c r="C38" s="70"/>
      <c r="D38" s="70"/>
      <c r="E38" s="72" t="s">
        <v>110</v>
      </c>
      <c r="F38" s="73" t="s">
        <v>1979</v>
      </c>
      <c r="G38" s="73" t="s">
        <v>1980</v>
      </c>
      <c r="H38" s="73" t="s">
        <v>1947</v>
      </c>
      <c r="I38" s="70" t="s">
        <v>1578</v>
      </c>
      <c r="J38" s="70" t="s">
        <v>1981</v>
      </c>
      <c r="K38" s="73" t="s">
        <v>1899</v>
      </c>
      <c r="L38" s="65"/>
      <c r="M38" s="70"/>
      <c r="N38" s="70"/>
      <c r="O38" s="70"/>
      <c r="P38" s="70"/>
      <c r="Q38" s="70"/>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c r="AY38" s="65"/>
      <c r="AZ38" s="65"/>
      <c r="BA38" s="65"/>
      <c r="BB38" s="65"/>
      <c r="BC38" s="65"/>
      <c r="BD38" s="65"/>
      <c r="BE38" s="65"/>
      <c r="BF38" s="65"/>
      <c r="BG38" s="65"/>
      <c r="BH38" s="65"/>
      <c r="BI38" s="65"/>
      <c r="BJ38" s="65"/>
      <c r="BK38" s="65"/>
      <c r="BL38" s="65"/>
      <c r="BM38" s="65"/>
      <c r="BN38" s="65"/>
      <c r="BO38" s="65"/>
      <c r="BP38" s="65"/>
      <c r="BQ38" s="65"/>
    </row>
    <row r="39" spans="1:69" ht="32" x14ac:dyDescent="0.2">
      <c r="A39" s="65"/>
      <c r="B39" s="65"/>
      <c r="C39" s="70"/>
      <c r="D39" s="70"/>
      <c r="E39" s="72" t="s">
        <v>584</v>
      </c>
      <c r="F39" s="73" t="s">
        <v>1982</v>
      </c>
      <c r="G39" s="73" t="s">
        <v>1983</v>
      </c>
      <c r="H39" s="68" t="s">
        <v>1877</v>
      </c>
      <c r="I39" s="69" t="s">
        <v>1878</v>
      </c>
      <c r="J39" s="70" t="s">
        <v>1780</v>
      </c>
      <c r="K39" s="73" t="s">
        <v>1879</v>
      </c>
      <c r="L39" s="65"/>
      <c r="M39" s="70"/>
      <c r="N39" s="70"/>
      <c r="O39" s="70"/>
      <c r="P39" s="70"/>
      <c r="Q39" s="70"/>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c r="AY39" s="65"/>
      <c r="AZ39" s="65"/>
      <c r="BA39" s="65"/>
      <c r="BB39" s="65"/>
      <c r="BC39" s="65"/>
      <c r="BD39" s="65"/>
      <c r="BE39" s="65"/>
      <c r="BF39" s="65"/>
      <c r="BG39" s="65"/>
      <c r="BH39" s="65"/>
      <c r="BI39" s="65"/>
      <c r="BJ39" s="65"/>
      <c r="BK39" s="65"/>
      <c r="BL39" s="65"/>
      <c r="BM39" s="65"/>
      <c r="BN39" s="65"/>
      <c r="BO39" s="65"/>
      <c r="BP39" s="65"/>
      <c r="BQ39" s="65"/>
    </row>
    <row r="40" spans="1:69" ht="28" x14ac:dyDescent="0.2">
      <c r="A40" s="65"/>
      <c r="B40" s="65"/>
      <c r="C40" s="70"/>
      <c r="D40" s="70"/>
      <c r="E40" s="72" t="s">
        <v>237</v>
      </c>
      <c r="F40" s="73" t="s">
        <v>1984</v>
      </c>
      <c r="G40" s="73" t="s">
        <v>1985</v>
      </c>
      <c r="H40" s="73" t="s">
        <v>1884</v>
      </c>
      <c r="I40" s="70" t="s">
        <v>1578</v>
      </c>
      <c r="J40" s="70" t="s">
        <v>1986</v>
      </c>
      <c r="K40" s="69" t="s">
        <v>1886</v>
      </c>
      <c r="L40" s="70"/>
      <c r="M40" s="70"/>
      <c r="N40" s="70"/>
      <c r="O40" s="70"/>
      <c r="P40" s="70"/>
      <c r="Q40" s="70"/>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c r="AY40" s="65"/>
      <c r="AZ40" s="65"/>
      <c r="BA40" s="65"/>
      <c r="BB40" s="65"/>
      <c r="BC40" s="65"/>
      <c r="BD40" s="65"/>
      <c r="BE40" s="65"/>
      <c r="BF40" s="65"/>
      <c r="BG40" s="65"/>
      <c r="BH40" s="65"/>
      <c r="BI40" s="65"/>
      <c r="BJ40" s="65"/>
      <c r="BK40" s="65"/>
      <c r="BL40" s="65"/>
      <c r="BM40" s="65"/>
      <c r="BN40" s="65"/>
      <c r="BO40" s="65"/>
      <c r="BP40" s="65"/>
      <c r="BQ40" s="65"/>
    </row>
    <row r="41" spans="1:69" ht="42" x14ac:dyDescent="0.2">
      <c r="A41" s="65"/>
      <c r="B41" s="65"/>
      <c r="C41" s="70"/>
      <c r="D41" s="70"/>
      <c r="E41" s="72" t="s">
        <v>422</v>
      </c>
      <c r="F41" s="73" t="s">
        <v>1987</v>
      </c>
      <c r="G41" s="73" t="s">
        <v>1988</v>
      </c>
      <c r="H41" s="73" t="s">
        <v>1989</v>
      </c>
      <c r="I41" s="70" t="s">
        <v>1578</v>
      </c>
      <c r="J41" s="70" t="s">
        <v>1990</v>
      </c>
      <c r="K41" s="73" t="s">
        <v>1879</v>
      </c>
      <c r="L41" s="65"/>
      <c r="M41" s="70"/>
      <c r="N41" s="70"/>
      <c r="O41" s="70"/>
      <c r="P41" s="70"/>
      <c r="Q41" s="70"/>
      <c r="R41" s="65"/>
      <c r="S41" s="65"/>
      <c r="T41" s="65"/>
      <c r="U41" s="65"/>
      <c r="V41" s="65"/>
      <c r="W41" s="65"/>
      <c r="X41" s="65"/>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c r="AY41" s="65"/>
      <c r="AZ41" s="65"/>
      <c r="BA41" s="65"/>
      <c r="BB41" s="65"/>
      <c r="BC41" s="65"/>
      <c r="BD41" s="65"/>
      <c r="BE41" s="65"/>
      <c r="BF41" s="65"/>
      <c r="BG41" s="65"/>
      <c r="BH41" s="65"/>
      <c r="BI41" s="65"/>
      <c r="BJ41" s="65"/>
      <c r="BK41" s="65"/>
      <c r="BL41" s="65"/>
      <c r="BM41" s="65"/>
      <c r="BN41" s="65"/>
      <c r="BO41" s="65"/>
      <c r="BP41" s="65"/>
      <c r="BQ41" s="65"/>
    </row>
  </sheetData>
  <hyperlinks>
    <hyperlink ref="C1" r:id="rId1" display="Owner.id" xr:uid="{C6F84DE3-5548-EF49-8757-547A6425DF80}"/>
    <hyperlink ref="Q1" r:id="rId2" display="By.id" xr:uid="{BD05177C-8336-0C45-AD17-6DB2773E7511}"/>
    <hyperlink ref="S1" r:id="rId3" display="By.id" xr:uid="{8E943D87-01FF-0E47-B495-0042D09C428B}"/>
    <hyperlink ref="AH1" r:id="rId4" display="Account.id" xr:uid="{FC086239-34F2-0948-AC59-2F457B8C8A7E}"/>
    <hyperlink ref="AJ1" r:id="rId5" display="Contact.id" xr:uid="{D606929B-B0F4-AC43-BD72-4DAECB414760}"/>
    <hyperlink ref="AL1" r:id="rId6" display="Deal.id" xr:uid="{1E6B8A31-7218-1747-9078-B4F0DA92C413}"/>
    <hyperlink ref="J2" r:id="rId7" display="wilfredo.luna@abbott.com" xr:uid="{7EB6DC2E-3FB4-A34E-A26C-E5A597470BC6}"/>
    <hyperlink ref="J16" r:id="rId8" xr:uid="{66A5F447-1B88-E24B-B5D0-C91EE1768986}"/>
    <hyperlink ref="J4" r:id="rId9" display="milestone.camanava2022@gmail.com / " xr:uid="{9EA62F6B-8D8B-2C4F-8EA1-D3735E24D2A2}"/>
    <hyperlink ref="J17" r:id="rId10" display="techvoc.lakewood@gmail.com" xr:uid="{624ED043-A499-E147-970D-FE6C724B8ECC}"/>
    <hyperlink ref="J12" r:id="rId11" xr:uid="{D0A82355-E62E-654A-A7AE-4FD442C0E091}"/>
    <hyperlink ref="J18" r:id="rId12" display="rftc.socmed@gmail.com" xr:uid="{ECF51019-4FF7-1A4C-BC99-B0E9252FE306}"/>
    <hyperlink ref="J19" r:id="rId13" xr:uid="{BD47879B-473D-C749-B19A-A68B3BAC01A7}"/>
    <hyperlink ref="J20" r:id="rId14" xr:uid="{CDCF448D-49DD-3F48-B64B-474615DF8B4D}"/>
    <hyperlink ref="J21" r:id="rId15" xr:uid="{0B171250-D9FE-914C-8264-E2C35B7251E5}"/>
    <hyperlink ref="J22" r:id="rId16" display="tvetoffice@sltcfi.com / " xr:uid="{8BB78465-8962-6140-A2E6-43B00B7CAEEC}"/>
    <hyperlink ref="J24" r:id="rId17" display="info@umtc.com.ph" xr:uid="{47CC1227-382A-0746-9255-0E456CA84ED2}"/>
    <hyperlink ref="J25" r:id="rId18" xr:uid="{56E8C973-0E56-C64D-81F9-E48C767ABD43}"/>
    <hyperlink ref="J26" r:id="rId19" xr:uid="{546ECEB7-1313-B842-8D42-E95FBD3CF684}"/>
    <hyperlink ref="J27" r:id="rId20" xr:uid="{F51D7CCF-A653-5B47-8C6F-4612317C6D8A}"/>
    <hyperlink ref="J28" r:id="rId21" xr:uid="{199BCD19-43DE-D846-96C1-6D6E9B5F12F0}"/>
    <hyperlink ref="J29" r:id="rId22" xr:uid="{68C63B94-A211-FE40-BD2C-C55FC362A85A}"/>
    <hyperlink ref="J30" r:id="rId23" xr:uid="{3B188A37-20A1-4A47-84BF-DB87E0591C00}"/>
    <hyperlink ref="J31" r:id="rId24" xr:uid="{5A5E70FD-87D9-E04F-B73F-F118F559583E}"/>
    <hyperlink ref="J32" r:id="rId25" xr:uid="{AFE4B8CF-B96E-AA43-9667-8A0E9CEE4BE7}"/>
    <hyperlink ref="J34" r:id="rId26" xr:uid="{075B23F5-5467-9046-82C7-B5D1BB1A6A32}"/>
    <hyperlink ref="J33" r:id="rId27" xr:uid="{80A85B14-723A-374B-B99F-AC6282371BB0}"/>
    <hyperlink ref="J35" r:id="rId28" xr:uid="{70B11D3D-A811-264B-89AA-D21C4CB67614}"/>
    <hyperlink ref="J36" r:id="rId29" xr:uid="{CBBA9CE7-7AB0-0C43-8E27-D73B020716F4}"/>
    <hyperlink ref="J37" r:id="rId30" xr:uid="{61A02DC6-B926-604F-9F9A-676164A7DF20}"/>
    <hyperlink ref="J38" r:id="rId31" xr:uid="{4C4BD1D4-4272-9947-B366-AA42E7146EF4}"/>
    <hyperlink ref="J39" r:id="rId32" xr:uid="{8DCBC01E-E92D-664B-BF7D-A3C099D7CAF1}"/>
    <hyperlink ref="J40" r:id="rId33" xr:uid="{EA23C322-CEF0-054E-B5B9-897313EF7B6C}"/>
    <hyperlink ref="J41" r:id="rId34" xr:uid="{901F08FA-B1A5-8544-A671-F85E62E24FD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E6EA8-FE54-BB49-A7BC-4C55B0EFA955}">
  <dimension ref="A1:E179"/>
  <sheetViews>
    <sheetView topLeftCell="A61" workbookViewId="0">
      <selection activeCell="A35" sqref="A35"/>
    </sheetView>
  </sheetViews>
  <sheetFormatPr baseColWidth="10" defaultRowHeight="15" x14ac:dyDescent="0.2"/>
  <cols>
    <col min="1" max="1" width="121.33203125" bestFit="1" customWidth="1"/>
    <col min="2" max="2" width="19.33203125" bestFit="1" customWidth="1"/>
    <col min="3" max="3" width="18.5" bestFit="1" customWidth="1"/>
  </cols>
  <sheetData>
    <row r="1" spans="1:3" ht="19" x14ac:dyDescent="0.2">
      <c r="A1" s="1" t="s">
        <v>2222</v>
      </c>
    </row>
    <row r="2" spans="1:3" x14ac:dyDescent="0.2">
      <c r="A2" s="2" t="s">
        <v>2225</v>
      </c>
    </row>
    <row r="3" spans="1:3" x14ac:dyDescent="0.2">
      <c r="A3" s="81" t="s">
        <v>2224</v>
      </c>
    </row>
    <row r="4" spans="1:3" x14ac:dyDescent="0.2">
      <c r="A4" s="57"/>
    </row>
    <row r="5" spans="1:3" x14ac:dyDescent="0.2">
      <c r="A5" s="80" t="s">
        <v>2027</v>
      </c>
      <c r="B5" s="80" t="s">
        <v>2221</v>
      </c>
      <c r="C5" s="80" t="s">
        <v>2220</v>
      </c>
    </row>
    <row r="6" spans="1:3" x14ac:dyDescent="0.2">
      <c r="A6" t="s">
        <v>2028</v>
      </c>
      <c r="B6">
        <v>13</v>
      </c>
      <c r="C6">
        <v>0.56521739130434701</v>
      </c>
    </row>
    <row r="7" spans="1:3" x14ac:dyDescent="0.2">
      <c r="A7" t="s">
        <v>2029</v>
      </c>
      <c r="B7">
        <v>12</v>
      </c>
      <c r="C7">
        <v>0.52173913043478204</v>
      </c>
    </row>
    <row r="8" spans="1:3" x14ac:dyDescent="0.2">
      <c r="A8" t="s">
        <v>2030</v>
      </c>
      <c r="B8">
        <v>10</v>
      </c>
      <c r="C8">
        <v>0.434782608695652</v>
      </c>
    </row>
    <row r="9" spans="1:3" x14ac:dyDescent="0.2">
      <c r="A9" t="s">
        <v>2031</v>
      </c>
      <c r="B9">
        <v>9</v>
      </c>
      <c r="C9">
        <v>0.39130434782608697</v>
      </c>
    </row>
    <row r="10" spans="1:3" x14ac:dyDescent="0.2">
      <c r="A10" t="s">
        <v>2032</v>
      </c>
      <c r="B10">
        <v>8</v>
      </c>
      <c r="C10">
        <v>0.34782608695652101</v>
      </c>
    </row>
    <row r="11" spans="1:3" x14ac:dyDescent="0.2">
      <c r="A11" t="s">
        <v>2033</v>
      </c>
      <c r="B11">
        <v>7</v>
      </c>
      <c r="C11">
        <v>0.30434782608695599</v>
      </c>
    </row>
    <row r="12" spans="1:3" x14ac:dyDescent="0.2">
      <c r="A12" t="s">
        <v>2034</v>
      </c>
      <c r="B12">
        <v>7</v>
      </c>
      <c r="C12">
        <v>0.30434782608695599</v>
      </c>
    </row>
    <row r="13" spans="1:3" x14ac:dyDescent="0.2">
      <c r="A13" t="s">
        <v>2035</v>
      </c>
      <c r="B13">
        <v>7</v>
      </c>
      <c r="C13">
        <v>0.30434782608695599</v>
      </c>
    </row>
    <row r="14" spans="1:3" x14ac:dyDescent="0.2">
      <c r="A14" t="s">
        <v>2036</v>
      </c>
      <c r="B14">
        <v>7</v>
      </c>
      <c r="C14">
        <v>0.30434782608695599</v>
      </c>
    </row>
    <row r="15" spans="1:3" x14ac:dyDescent="0.2">
      <c r="A15" t="s">
        <v>2037</v>
      </c>
      <c r="B15">
        <v>6</v>
      </c>
      <c r="C15">
        <v>0.26086956521739102</v>
      </c>
    </row>
    <row r="16" spans="1:3" x14ac:dyDescent="0.2">
      <c r="A16" t="s">
        <v>2038</v>
      </c>
      <c r="B16">
        <v>6</v>
      </c>
      <c r="C16">
        <v>0.26086956521739102</v>
      </c>
    </row>
    <row r="17" spans="1:5" x14ac:dyDescent="0.2">
      <c r="A17" t="s">
        <v>2039</v>
      </c>
      <c r="B17">
        <v>5</v>
      </c>
      <c r="C17">
        <v>0.217391304347826</v>
      </c>
    </row>
    <row r="18" spans="1:5" x14ac:dyDescent="0.2">
      <c r="A18" t="s">
        <v>2040</v>
      </c>
      <c r="B18">
        <v>5</v>
      </c>
      <c r="C18">
        <v>0.217391304347826</v>
      </c>
    </row>
    <row r="19" spans="1:5" x14ac:dyDescent="0.2">
      <c r="A19" t="s">
        <v>2041</v>
      </c>
      <c r="B19">
        <v>5</v>
      </c>
      <c r="C19">
        <v>0.217391304347826</v>
      </c>
    </row>
    <row r="20" spans="1:5" x14ac:dyDescent="0.2">
      <c r="A20" t="s">
        <v>2042</v>
      </c>
      <c r="B20">
        <v>5</v>
      </c>
      <c r="C20">
        <v>0.217391304347826</v>
      </c>
    </row>
    <row r="21" spans="1:5" x14ac:dyDescent="0.2">
      <c r="A21" t="s">
        <v>2043</v>
      </c>
      <c r="B21">
        <v>5</v>
      </c>
      <c r="C21">
        <v>0.217391304347826</v>
      </c>
    </row>
    <row r="22" spans="1:5" x14ac:dyDescent="0.2">
      <c r="A22" t="s">
        <v>2044</v>
      </c>
      <c r="B22">
        <v>5</v>
      </c>
      <c r="C22">
        <v>0.217391304347826</v>
      </c>
    </row>
    <row r="23" spans="1:5" x14ac:dyDescent="0.2">
      <c r="A23" t="s">
        <v>2045</v>
      </c>
      <c r="B23">
        <v>5</v>
      </c>
      <c r="C23">
        <v>0.217391304347826</v>
      </c>
    </row>
    <row r="24" spans="1:5" x14ac:dyDescent="0.2">
      <c r="A24" t="s">
        <v>2046</v>
      </c>
      <c r="B24">
        <v>5</v>
      </c>
      <c r="C24">
        <v>0.217391304347826</v>
      </c>
    </row>
    <row r="25" spans="1:5" x14ac:dyDescent="0.2">
      <c r="A25" t="s">
        <v>2047</v>
      </c>
      <c r="B25">
        <v>5</v>
      </c>
      <c r="C25">
        <v>0.217391304347826</v>
      </c>
    </row>
    <row r="26" spans="1:5" x14ac:dyDescent="0.2">
      <c r="A26" t="s">
        <v>2048</v>
      </c>
      <c r="B26">
        <v>5</v>
      </c>
      <c r="C26">
        <v>0.217391304347826</v>
      </c>
      <c r="E26" t="s">
        <v>2219</v>
      </c>
    </row>
    <row r="27" spans="1:5" x14ac:dyDescent="0.2">
      <c r="A27" t="s">
        <v>2049</v>
      </c>
      <c r="B27">
        <v>5</v>
      </c>
      <c r="C27">
        <v>0.217391304347826</v>
      </c>
    </row>
    <row r="28" spans="1:5" x14ac:dyDescent="0.2">
      <c r="A28" t="s">
        <v>2050</v>
      </c>
      <c r="B28">
        <v>5</v>
      </c>
      <c r="C28">
        <v>0.217391304347826</v>
      </c>
    </row>
    <row r="29" spans="1:5" x14ac:dyDescent="0.2">
      <c r="A29" t="s">
        <v>2051</v>
      </c>
      <c r="B29">
        <v>5</v>
      </c>
      <c r="C29">
        <v>0.217391304347826</v>
      </c>
    </row>
    <row r="30" spans="1:5" x14ac:dyDescent="0.2">
      <c r="A30" t="s">
        <v>2052</v>
      </c>
      <c r="B30">
        <v>5</v>
      </c>
      <c r="C30">
        <v>0.217391304347826</v>
      </c>
    </row>
    <row r="31" spans="1:5" x14ac:dyDescent="0.2">
      <c r="A31" t="s">
        <v>2053</v>
      </c>
      <c r="B31">
        <v>4</v>
      </c>
      <c r="C31">
        <v>0.17391304347826</v>
      </c>
    </row>
    <row r="32" spans="1:5" x14ac:dyDescent="0.2">
      <c r="A32" t="s">
        <v>2054</v>
      </c>
      <c r="B32">
        <v>4</v>
      </c>
      <c r="C32">
        <v>0.17391304347826</v>
      </c>
    </row>
    <row r="33" spans="1:3" x14ac:dyDescent="0.2">
      <c r="A33" t="s">
        <v>2055</v>
      </c>
      <c r="B33">
        <v>4</v>
      </c>
      <c r="C33">
        <v>0.17391304347826</v>
      </c>
    </row>
    <row r="34" spans="1:3" x14ac:dyDescent="0.2">
      <c r="A34" t="s">
        <v>2056</v>
      </c>
      <c r="B34">
        <v>4</v>
      </c>
      <c r="C34">
        <v>0.17391304347826</v>
      </c>
    </row>
    <row r="35" spans="1:3" x14ac:dyDescent="0.2">
      <c r="A35" t="s">
        <v>2057</v>
      </c>
      <c r="B35">
        <v>4</v>
      </c>
      <c r="C35">
        <v>0.17391304347826</v>
      </c>
    </row>
    <row r="36" spans="1:3" x14ac:dyDescent="0.2">
      <c r="A36" t="s">
        <v>2058</v>
      </c>
      <c r="B36">
        <v>4</v>
      </c>
      <c r="C36">
        <v>0.17391304347826</v>
      </c>
    </row>
    <row r="37" spans="1:3" x14ac:dyDescent="0.2">
      <c r="A37" t="s">
        <v>2059</v>
      </c>
      <c r="B37">
        <v>4</v>
      </c>
      <c r="C37">
        <v>0.17391304347826</v>
      </c>
    </row>
    <row r="38" spans="1:3" x14ac:dyDescent="0.2">
      <c r="A38" t="s">
        <v>2060</v>
      </c>
      <c r="B38">
        <v>4</v>
      </c>
      <c r="C38">
        <v>0.17391304347826</v>
      </c>
    </row>
    <row r="39" spans="1:3" x14ac:dyDescent="0.2">
      <c r="A39" t="s">
        <v>2061</v>
      </c>
      <c r="B39">
        <v>4</v>
      </c>
      <c r="C39">
        <v>0.17391304347826</v>
      </c>
    </row>
    <row r="40" spans="1:3" x14ac:dyDescent="0.2">
      <c r="A40" t="s">
        <v>2062</v>
      </c>
      <c r="B40">
        <v>4</v>
      </c>
      <c r="C40">
        <v>0.17391304347826</v>
      </c>
    </row>
    <row r="41" spans="1:3" x14ac:dyDescent="0.2">
      <c r="A41" t="s">
        <v>2063</v>
      </c>
      <c r="B41">
        <v>4</v>
      </c>
      <c r="C41">
        <v>0.17391304347826</v>
      </c>
    </row>
    <row r="42" spans="1:3" x14ac:dyDescent="0.2">
      <c r="A42" t="s">
        <v>2064</v>
      </c>
      <c r="B42">
        <v>4</v>
      </c>
      <c r="C42">
        <v>0.17391304347826</v>
      </c>
    </row>
    <row r="43" spans="1:3" x14ac:dyDescent="0.2">
      <c r="A43" t="s">
        <v>2065</v>
      </c>
      <c r="B43">
        <v>4</v>
      </c>
      <c r="C43">
        <v>0.17391304347826</v>
      </c>
    </row>
    <row r="44" spans="1:3" x14ac:dyDescent="0.2">
      <c r="A44" t="s">
        <v>2066</v>
      </c>
      <c r="B44">
        <v>4</v>
      </c>
      <c r="C44">
        <v>0.17391304347826</v>
      </c>
    </row>
    <row r="45" spans="1:3" x14ac:dyDescent="0.2">
      <c r="A45" t="s">
        <v>2067</v>
      </c>
      <c r="B45">
        <v>4</v>
      </c>
      <c r="C45">
        <v>0.17391304347826</v>
      </c>
    </row>
    <row r="46" spans="1:3" x14ac:dyDescent="0.2">
      <c r="A46" t="s">
        <v>2068</v>
      </c>
      <c r="B46">
        <v>4</v>
      </c>
      <c r="C46">
        <v>0.17391304347826</v>
      </c>
    </row>
    <row r="47" spans="1:3" x14ac:dyDescent="0.2">
      <c r="A47" t="s">
        <v>2069</v>
      </c>
      <c r="B47">
        <v>4</v>
      </c>
      <c r="C47">
        <v>0.17391304347826</v>
      </c>
    </row>
    <row r="48" spans="1:3" x14ac:dyDescent="0.2">
      <c r="A48" t="s">
        <v>2070</v>
      </c>
      <c r="B48">
        <v>4</v>
      </c>
      <c r="C48">
        <v>0.17391304347826</v>
      </c>
    </row>
    <row r="49" spans="1:3" x14ac:dyDescent="0.2">
      <c r="A49" t="s">
        <v>2071</v>
      </c>
      <c r="B49">
        <v>4</v>
      </c>
      <c r="C49">
        <v>0.17391304347826</v>
      </c>
    </row>
    <row r="50" spans="1:3" x14ac:dyDescent="0.2">
      <c r="A50" t="s">
        <v>2072</v>
      </c>
      <c r="B50">
        <v>4</v>
      </c>
      <c r="C50">
        <v>0.17391304347826</v>
      </c>
    </row>
    <row r="51" spans="1:3" x14ac:dyDescent="0.2">
      <c r="A51" t="s">
        <v>2073</v>
      </c>
      <c r="B51">
        <v>4</v>
      </c>
      <c r="C51">
        <v>0.17391304347826</v>
      </c>
    </row>
    <row r="52" spans="1:3" x14ac:dyDescent="0.2">
      <c r="A52" t="s">
        <v>2074</v>
      </c>
      <c r="B52">
        <v>4</v>
      </c>
      <c r="C52">
        <v>0.17391304347826</v>
      </c>
    </row>
    <row r="53" spans="1:3" x14ac:dyDescent="0.2">
      <c r="A53" t="s">
        <v>2075</v>
      </c>
      <c r="B53">
        <v>4</v>
      </c>
      <c r="C53">
        <v>0.17391304347826</v>
      </c>
    </row>
    <row r="54" spans="1:3" x14ac:dyDescent="0.2">
      <c r="A54" t="s">
        <v>2076</v>
      </c>
      <c r="B54">
        <v>4</v>
      </c>
      <c r="C54">
        <v>0.17391304347826</v>
      </c>
    </row>
    <row r="55" spans="1:3" x14ac:dyDescent="0.2">
      <c r="A55" t="s">
        <v>2077</v>
      </c>
      <c r="B55">
        <v>4</v>
      </c>
      <c r="C55">
        <v>0.17391304347826</v>
      </c>
    </row>
    <row r="56" spans="1:3" x14ac:dyDescent="0.2">
      <c r="A56" t="s">
        <v>2078</v>
      </c>
      <c r="B56">
        <v>4</v>
      </c>
      <c r="C56">
        <v>0.17391304347826</v>
      </c>
    </row>
    <row r="57" spans="1:3" x14ac:dyDescent="0.2">
      <c r="A57" t="s">
        <v>2079</v>
      </c>
      <c r="B57">
        <v>4</v>
      </c>
      <c r="C57">
        <v>0.17391304347826</v>
      </c>
    </row>
    <row r="58" spans="1:3" x14ac:dyDescent="0.2">
      <c r="A58" t="s">
        <v>2080</v>
      </c>
      <c r="B58">
        <v>3</v>
      </c>
      <c r="C58">
        <v>0.13043478260869501</v>
      </c>
    </row>
    <row r="59" spans="1:3" x14ac:dyDescent="0.2">
      <c r="A59" t="s">
        <v>2081</v>
      </c>
      <c r="B59">
        <v>3</v>
      </c>
      <c r="C59">
        <v>0.13043478260869501</v>
      </c>
    </row>
    <row r="60" spans="1:3" x14ac:dyDescent="0.2">
      <c r="A60" t="s">
        <v>2082</v>
      </c>
      <c r="B60">
        <v>3</v>
      </c>
      <c r="C60">
        <v>0.13043478260869501</v>
      </c>
    </row>
    <row r="61" spans="1:3" x14ac:dyDescent="0.2">
      <c r="A61" t="s">
        <v>2083</v>
      </c>
      <c r="B61">
        <v>3</v>
      </c>
      <c r="C61">
        <v>0.13043478260869501</v>
      </c>
    </row>
    <row r="62" spans="1:3" x14ac:dyDescent="0.2">
      <c r="A62" t="s">
        <v>2084</v>
      </c>
      <c r="B62">
        <v>3</v>
      </c>
      <c r="C62">
        <v>0.13043478260869501</v>
      </c>
    </row>
    <row r="63" spans="1:3" x14ac:dyDescent="0.2">
      <c r="A63" t="s">
        <v>2085</v>
      </c>
      <c r="B63">
        <v>3</v>
      </c>
      <c r="C63">
        <v>0.13043478260869501</v>
      </c>
    </row>
    <row r="64" spans="1:3" x14ac:dyDescent="0.2">
      <c r="A64" t="s">
        <v>2086</v>
      </c>
      <c r="B64">
        <v>3</v>
      </c>
      <c r="C64">
        <v>0.13043478260869501</v>
      </c>
    </row>
    <row r="65" spans="1:3" x14ac:dyDescent="0.2">
      <c r="A65" t="s">
        <v>2087</v>
      </c>
      <c r="B65">
        <v>3</v>
      </c>
      <c r="C65">
        <v>0.13043478260869501</v>
      </c>
    </row>
    <row r="66" spans="1:3" x14ac:dyDescent="0.2">
      <c r="A66" t="s">
        <v>2088</v>
      </c>
      <c r="B66">
        <v>3</v>
      </c>
      <c r="C66">
        <v>0.13043478260869501</v>
      </c>
    </row>
    <row r="67" spans="1:3" x14ac:dyDescent="0.2">
      <c r="A67" t="s">
        <v>2089</v>
      </c>
      <c r="B67">
        <v>3</v>
      </c>
      <c r="C67">
        <v>0.13043478260869501</v>
      </c>
    </row>
    <row r="68" spans="1:3" x14ac:dyDescent="0.2">
      <c r="A68" t="s">
        <v>2090</v>
      </c>
      <c r="B68">
        <v>3</v>
      </c>
      <c r="C68">
        <v>0.13043478260869501</v>
      </c>
    </row>
    <row r="69" spans="1:3" x14ac:dyDescent="0.2">
      <c r="A69" t="s">
        <v>2091</v>
      </c>
      <c r="B69">
        <v>3</v>
      </c>
      <c r="C69">
        <v>0.13043478260869501</v>
      </c>
    </row>
    <row r="70" spans="1:3" x14ac:dyDescent="0.2">
      <c r="A70" t="s">
        <v>2092</v>
      </c>
      <c r="B70">
        <v>3</v>
      </c>
      <c r="C70">
        <v>0.13043478260869501</v>
      </c>
    </row>
    <row r="71" spans="1:3" x14ac:dyDescent="0.2">
      <c r="A71" t="s">
        <v>2093</v>
      </c>
      <c r="B71">
        <v>3</v>
      </c>
      <c r="C71">
        <v>0.13043478260869501</v>
      </c>
    </row>
    <row r="72" spans="1:3" x14ac:dyDescent="0.2">
      <c r="A72" t="s">
        <v>2094</v>
      </c>
      <c r="B72">
        <v>3</v>
      </c>
      <c r="C72">
        <v>0.13043478260869501</v>
      </c>
    </row>
    <row r="73" spans="1:3" x14ac:dyDescent="0.2">
      <c r="A73" t="s">
        <v>2095</v>
      </c>
      <c r="B73">
        <v>3</v>
      </c>
      <c r="C73">
        <v>0.13043478260869501</v>
      </c>
    </row>
    <row r="74" spans="1:3" x14ac:dyDescent="0.2">
      <c r="A74" t="s">
        <v>2096</v>
      </c>
      <c r="B74">
        <v>3</v>
      </c>
      <c r="C74">
        <v>0.13043478260869501</v>
      </c>
    </row>
    <row r="75" spans="1:3" x14ac:dyDescent="0.2">
      <c r="A75" t="s">
        <v>2097</v>
      </c>
      <c r="B75">
        <v>3</v>
      </c>
      <c r="C75">
        <v>0.13043478260869501</v>
      </c>
    </row>
    <row r="76" spans="1:3" x14ac:dyDescent="0.2">
      <c r="A76" t="s">
        <v>2098</v>
      </c>
      <c r="B76">
        <v>3</v>
      </c>
      <c r="C76">
        <v>0.13043478260869501</v>
      </c>
    </row>
    <row r="77" spans="1:3" x14ac:dyDescent="0.2">
      <c r="A77" t="s">
        <v>2099</v>
      </c>
      <c r="B77">
        <v>3</v>
      </c>
      <c r="C77">
        <v>0.13043478260869501</v>
      </c>
    </row>
    <row r="78" spans="1:3" x14ac:dyDescent="0.2">
      <c r="A78" t="s">
        <v>2100</v>
      </c>
      <c r="B78">
        <v>3</v>
      </c>
      <c r="C78">
        <v>0.13043478260869501</v>
      </c>
    </row>
    <row r="79" spans="1:3" x14ac:dyDescent="0.2">
      <c r="A79" t="s">
        <v>2101</v>
      </c>
      <c r="B79">
        <v>3</v>
      </c>
      <c r="C79">
        <v>0.13043478260869501</v>
      </c>
    </row>
    <row r="80" spans="1:3" x14ac:dyDescent="0.2">
      <c r="A80" t="s">
        <v>2102</v>
      </c>
      <c r="B80">
        <v>3</v>
      </c>
      <c r="C80">
        <v>0.13043478260869501</v>
      </c>
    </row>
    <row r="81" spans="1:3" x14ac:dyDescent="0.2">
      <c r="A81" t="s">
        <v>2103</v>
      </c>
      <c r="B81">
        <v>3</v>
      </c>
      <c r="C81">
        <v>0.13043478260869501</v>
      </c>
    </row>
    <row r="82" spans="1:3" x14ac:dyDescent="0.2">
      <c r="A82" t="s">
        <v>2104</v>
      </c>
      <c r="B82">
        <v>3</v>
      </c>
      <c r="C82">
        <v>0.13043478260869501</v>
      </c>
    </row>
    <row r="83" spans="1:3" x14ac:dyDescent="0.2">
      <c r="A83" t="s">
        <v>2105</v>
      </c>
      <c r="B83">
        <v>3</v>
      </c>
      <c r="C83">
        <v>0.13043478260869501</v>
      </c>
    </row>
    <row r="84" spans="1:3" x14ac:dyDescent="0.2">
      <c r="A84" t="s">
        <v>2106</v>
      </c>
      <c r="B84">
        <v>3</v>
      </c>
      <c r="C84">
        <v>0.13043478260869501</v>
      </c>
    </row>
    <row r="85" spans="1:3" x14ac:dyDescent="0.2">
      <c r="A85" t="s">
        <v>2107</v>
      </c>
      <c r="B85">
        <v>3</v>
      </c>
      <c r="C85">
        <v>0.13043478260869501</v>
      </c>
    </row>
    <row r="86" spans="1:3" x14ac:dyDescent="0.2">
      <c r="A86" t="s">
        <v>2108</v>
      </c>
      <c r="B86">
        <v>3</v>
      </c>
      <c r="C86">
        <v>0.13043478260869501</v>
      </c>
    </row>
    <row r="87" spans="1:3" x14ac:dyDescent="0.2">
      <c r="A87" t="s">
        <v>2109</v>
      </c>
      <c r="B87">
        <v>3</v>
      </c>
      <c r="C87">
        <v>0.13043478260869501</v>
      </c>
    </row>
    <row r="88" spans="1:3" x14ac:dyDescent="0.2">
      <c r="A88" t="s">
        <v>2110</v>
      </c>
      <c r="B88">
        <v>3</v>
      </c>
      <c r="C88">
        <v>0.13043478260869501</v>
      </c>
    </row>
    <row r="89" spans="1:3" x14ac:dyDescent="0.2">
      <c r="A89" t="s">
        <v>2111</v>
      </c>
      <c r="B89">
        <v>3</v>
      </c>
      <c r="C89">
        <v>0.13043478260869501</v>
      </c>
    </row>
    <row r="90" spans="1:3" x14ac:dyDescent="0.2">
      <c r="A90" t="s">
        <v>2112</v>
      </c>
      <c r="B90">
        <v>3</v>
      </c>
      <c r="C90">
        <v>0.13043478260869501</v>
      </c>
    </row>
    <row r="91" spans="1:3" x14ac:dyDescent="0.2">
      <c r="A91" t="s">
        <v>2113</v>
      </c>
      <c r="B91">
        <v>3</v>
      </c>
      <c r="C91">
        <v>0.13043478260869501</v>
      </c>
    </row>
    <row r="92" spans="1:3" x14ac:dyDescent="0.2">
      <c r="A92" t="s">
        <v>2114</v>
      </c>
      <c r="B92">
        <v>3</v>
      </c>
      <c r="C92">
        <v>0.13043478260869501</v>
      </c>
    </row>
    <row r="93" spans="1:3" x14ac:dyDescent="0.2">
      <c r="A93" t="s">
        <v>2115</v>
      </c>
      <c r="B93">
        <v>3</v>
      </c>
      <c r="C93">
        <v>0.13043478260869501</v>
      </c>
    </row>
    <row r="94" spans="1:3" x14ac:dyDescent="0.2">
      <c r="A94" t="s">
        <v>2116</v>
      </c>
      <c r="B94">
        <v>3</v>
      </c>
      <c r="C94">
        <v>0.13043478260869501</v>
      </c>
    </row>
    <row r="95" spans="1:3" x14ac:dyDescent="0.2">
      <c r="A95" t="s">
        <v>2117</v>
      </c>
      <c r="B95">
        <v>3</v>
      </c>
      <c r="C95">
        <v>0.13043478260869501</v>
      </c>
    </row>
    <row r="96" spans="1:3" x14ac:dyDescent="0.2">
      <c r="A96" t="s">
        <v>2118</v>
      </c>
      <c r="B96">
        <v>3</v>
      </c>
      <c r="C96">
        <v>0.13043478260869501</v>
      </c>
    </row>
    <row r="97" spans="1:3" x14ac:dyDescent="0.2">
      <c r="A97" t="s">
        <v>2119</v>
      </c>
      <c r="B97">
        <v>3</v>
      </c>
      <c r="C97">
        <v>0.13043478260869501</v>
      </c>
    </row>
    <row r="98" spans="1:3" x14ac:dyDescent="0.2">
      <c r="A98" t="s">
        <v>2120</v>
      </c>
      <c r="B98">
        <v>3</v>
      </c>
      <c r="C98">
        <v>0.13043478260869501</v>
      </c>
    </row>
    <row r="99" spans="1:3" x14ac:dyDescent="0.2">
      <c r="A99" t="s">
        <v>2121</v>
      </c>
      <c r="B99">
        <v>3</v>
      </c>
      <c r="C99">
        <v>0.13043478260869501</v>
      </c>
    </row>
    <row r="100" spans="1:3" x14ac:dyDescent="0.2">
      <c r="A100" t="s">
        <v>2122</v>
      </c>
      <c r="B100">
        <v>3</v>
      </c>
      <c r="C100">
        <v>0.13043478260869501</v>
      </c>
    </row>
    <row r="101" spans="1:3" x14ac:dyDescent="0.2">
      <c r="A101" t="s">
        <v>2123</v>
      </c>
      <c r="B101">
        <v>3</v>
      </c>
      <c r="C101">
        <v>0.13043478260869501</v>
      </c>
    </row>
    <row r="102" spans="1:3" x14ac:dyDescent="0.2">
      <c r="A102" t="s">
        <v>2124</v>
      </c>
      <c r="B102">
        <v>3</v>
      </c>
      <c r="C102">
        <v>0.13043478260869501</v>
      </c>
    </row>
    <row r="103" spans="1:3" x14ac:dyDescent="0.2">
      <c r="A103" t="s">
        <v>2125</v>
      </c>
      <c r="B103">
        <v>3</v>
      </c>
      <c r="C103">
        <v>0.13043478260869501</v>
      </c>
    </row>
    <row r="104" spans="1:3" x14ac:dyDescent="0.2">
      <c r="A104" t="s">
        <v>2126</v>
      </c>
      <c r="B104">
        <v>3</v>
      </c>
      <c r="C104">
        <v>0.13043478260869501</v>
      </c>
    </row>
    <row r="105" spans="1:3" x14ac:dyDescent="0.2">
      <c r="A105" t="s">
        <v>2127</v>
      </c>
      <c r="B105">
        <v>3</v>
      </c>
      <c r="C105">
        <v>0.13043478260869501</v>
      </c>
    </row>
    <row r="106" spans="1:3" x14ac:dyDescent="0.2">
      <c r="A106" t="s">
        <v>2128</v>
      </c>
      <c r="B106">
        <v>3</v>
      </c>
      <c r="C106">
        <v>0.13043478260869501</v>
      </c>
    </row>
    <row r="107" spans="1:3" x14ac:dyDescent="0.2">
      <c r="A107" t="s">
        <v>2129</v>
      </c>
      <c r="B107">
        <v>3</v>
      </c>
      <c r="C107">
        <v>0.13043478260869501</v>
      </c>
    </row>
    <row r="108" spans="1:3" x14ac:dyDescent="0.2">
      <c r="A108" t="s">
        <v>2130</v>
      </c>
      <c r="B108">
        <v>3</v>
      </c>
      <c r="C108">
        <v>0.13043478260869501</v>
      </c>
    </row>
    <row r="109" spans="1:3" x14ac:dyDescent="0.2">
      <c r="A109" t="s">
        <v>2131</v>
      </c>
      <c r="B109">
        <v>3</v>
      </c>
      <c r="C109">
        <v>0.13043478260869501</v>
      </c>
    </row>
    <row r="110" spans="1:3" x14ac:dyDescent="0.2">
      <c r="A110" t="s">
        <v>2132</v>
      </c>
      <c r="B110">
        <v>3</v>
      </c>
      <c r="C110">
        <v>0.13043478260869501</v>
      </c>
    </row>
    <row r="111" spans="1:3" x14ac:dyDescent="0.2">
      <c r="A111" t="s">
        <v>2133</v>
      </c>
      <c r="B111">
        <v>3</v>
      </c>
      <c r="C111">
        <v>0.13043478260869501</v>
      </c>
    </row>
    <row r="112" spans="1:3" x14ac:dyDescent="0.2">
      <c r="A112" t="s">
        <v>2134</v>
      </c>
      <c r="B112">
        <v>3</v>
      </c>
      <c r="C112">
        <v>0.13043478260869501</v>
      </c>
    </row>
    <row r="113" spans="1:3" x14ac:dyDescent="0.2">
      <c r="A113" t="s">
        <v>2135</v>
      </c>
      <c r="B113">
        <v>3</v>
      </c>
      <c r="C113">
        <v>0.13043478260869501</v>
      </c>
    </row>
    <row r="114" spans="1:3" x14ac:dyDescent="0.2">
      <c r="A114" t="s">
        <v>2136</v>
      </c>
      <c r="B114">
        <v>3</v>
      </c>
      <c r="C114">
        <v>0.13043478260869501</v>
      </c>
    </row>
    <row r="115" spans="1:3" x14ac:dyDescent="0.2">
      <c r="A115" t="s">
        <v>2137</v>
      </c>
      <c r="B115">
        <v>3</v>
      </c>
      <c r="C115">
        <v>0.13043478260869501</v>
      </c>
    </row>
    <row r="116" spans="1:3" x14ac:dyDescent="0.2">
      <c r="A116" t="s">
        <v>2138</v>
      </c>
      <c r="B116">
        <v>3</v>
      </c>
      <c r="C116">
        <v>0.13043478260869501</v>
      </c>
    </row>
    <row r="117" spans="1:3" x14ac:dyDescent="0.2">
      <c r="A117" t="s">
        <v>2139</v>
      </c>
      <c r="B117">
        <v>3</v>
      </c>
      <c r="C117">
        <v>0.13043478260869501</v>
      </c>
    </row>
    <row r="118" spans="1:3" x14ac:dyDescent="0.2">
      <c r="A118" t="s">
        <v>2140</v>
      </c>
      <c r="B118">
        <v>3</v>
      </c>
      <c r="C118">
        <v>0.13043478260869501</v>
      </c>
    </row>
    <row r="119" spans="1:3" x14ac:dyDescent="0.2">
      <c r="A119" t="s">
        <v>2141</v>
      </c>
      <c r="B119">
        <v>3</v>
      </c>
      <c r="C119">
        <v>0.13043478260869501</v>
      </c>
    </row>
    <row r="120" spans="1:3" x14ac:dyDescent="0.2">
      <c r="A120" t="s">
        <v>2142</v>
      </c>
      <c r="B120">
        <v>3</v>
      </c>
      <c r="C120">
        <v>0.13043478260869501</v>
      </c>
    </row>
    <row r="121" spans="1:3" x14ac:dyDescent="0.2">
      <c r="A121" t="s">
        <v>2143</v>
      </c>
      <c r="B121">
        <v>3</v>
      </c>
      <c r="C121">
        <v>0.13043478260869501</v>
      </c>
    </row>
    <row r="122" spans="1:3" x14ac:dyDescent="0.2">
      <c r="A122" t="s">
        <v>2144</v>
      </c>
      <c r="B122">
        <v>3</v>
      </c>
      <c r="C122">
        <v>0.13043478260869501</v>
      </c>
    </row>
    <row r="123" spans="1:3" x14ac:dyDescent="0.2">
      <c r="A123" t="s">
        <v>2145</v>
      </c>
      <c r="B123">
        <v>3</v>
      </c>
      <c r="C123">
        <v>0.13043478260869501</v>
      </c>
    </row>
    <row r="124" spans="1:3" x14ac:dyDescent="0.2">
      <c r="A124" t="s">
        <v>2146</v>
      </c>
      <c r="B124">
        <v>3</v>
      </c>
      <c r="C124">
        <v>0.13043478260869501</v>
      </c>
    </row>
    <row r="125" spans="1:3" x14ac:dyDescent="0.2">
      <c r="A125" t="s">
        <v>2147</v>
      </c>
      <c r="B125">
        <v>3</v>
      </c>
      <c r="C125">
        <v>0.13043478260869501</v>
      </c>
    </row>
    <row r="126" spans="1:3" x14ac:dyDescent="0.2">
      <c r="A126" t="s">
        <v>2148</v>
      </c>
      <c r="B126">
        <v>3</v>
      </c>
      <c r="C126">
        <v>0.13043478260869501</v>
      </c>
    </row>
    <row r="127" spans="1:3" x14ac:dyDescent="0.2">
      <c r="A127" t="s">
        <v>2149</v>
      </c>
      <c r="B127">
        <v>3</v>
      </c>
      <c r="C127">
        <v>0.13043478260869501</v>
      </c>
    </row>
    <row r="128" spans="1:3" x14ac:dyDescent="0.2">
      <c r="A128" t="s">
        <v>2150</v>
      </c>
      <c r="B128">
        <v>3</v>
      </c>
      <c r="C128">
        <v>0.13043478260869501</v>
      </c>
    </row>
    <row r="129" spans="1:3" x14ac:dyDescent="0.2">
      <c r="A129" t="s">
        <v>2151</v>
      </c>
      <c r="B129">
        <v>3</v>
      </c>
      <c r="C129">
        <v>0.13043478260869501</v>
      </c>
    </row>
    <row r="130" spans="1:3" x14ac:dyDescent="0.2">
      <c r="A130" t="s">
        <v>2152</v>
      </c>
      <c r="B130">
        <v>3</v>
      </c>
      <c r="C130">
        <v>0.13043478260869501</v>
      </c>
    </row>
    <row r="131" spans="1:3" x14ac:dyDescent="0.2">
      <c r="A131" t="s">
        <v>2153</v>
      </c>
      <c r="B131">
        <v>3</v>
      </c>
      <c r="C131">
        <v>0.13043478260869501</v>
      </c>
    </row>
    <row r="132" spans="1:3" x14ac:dyDescent="0.2">
      <c r="A132" t="s">
        <v>2154</v>
      </c>
      <c r="B132">
        <v>3</v>
      </c>
      <c r="C132">
        <v>0.13043478260869501</v>
      </c>
    </row>
    <row r="133" spans="1:3" x14ac:dyDescent="0.2">
      <c r="A133" t="s">
        <v>2155</v>
      </c>
      <c r="B133">
        <v>3</v>
      </c>
      <c r="C133">
        <v>0.13043478260869501</v>
      </c>
    </row>
    <row r="134" spans="1:3" x14ac:dyDescent="0.2">
      <c r="A134" t="s">
        <v>2156</v>
      </c>
      <c r="B134">
        <v>3</v>
      </c>
      <c r="C134">
        <v>0.13043478260869501</v>
      </c>
    </row>
    <row r="135" spans="1:3" x14ac:dyDescent="0.2">
      <c r="A135" t="s">
        <v>2157</v>
      </c>
      <c r="B135">
        <v>3</v>
      </c>
      <c r="C135">
        <v>0.13043478260869501</v>
      </c>
    </row>
    <row r="136" spans="1:3" x14ac:dyDescent="0.2">
      <c r="A136" t="s">
        <v>2158</v>
      </c>
      <c r="B136">
        <v>3</v>
      </c>
      <c r="C136">
        <v>0.13043478260869501</v>
      </c>
    </row>
    <row r="137" spans="1:3" x14ac:dyDescent="0.2">
      <c r="A137" t="s">
        <v>2159</v>
      </c>
      <c r="B137">
        <v>3</v>
      </c>
      <c r="C137">
        <v>0.13043478260869501</v>
      </c>
    </row>
    <row r="138" spans="1:3" x14ac:dyDescent="0.2">
      <c r="A138" t="s">
        <v>2160</v>
      </c>
      <c r="B138">
        <v>3</v>
      </c>
      <c r="C138">
        <v>0.13043478260869501</v>
      </c>
    </row>
    <row r="139" spans="1:3" x14ac:dyDescent="0.2">
      <c r="A139" t="s">
        <v>2161</v>
      </c>
      <c r="B139">
        <v>3</v>
      </c>
      <c r="C139">
        <v>0.13043478260869501</v>
      </c>
    </row>
    <row r="140" spans="1:3" x14ac:dyDescent="0.2">
      <c r="A140" t="s">
        <v>2162</v>
      </c>
      <c r="B140">
        <v>3</v>
      </c>
      <c r="C140">
        <v>0.13043478260869501</v>
      </c>
    </row>
    <row r="141" spans="1:3" x14ac:dyDescent="0.2">
      <c r="A141" t="s">
        <v>2163</v>
      </c>
      <c r="B141">
        <v>3</v>
      </c>
      <c r="C141">
        <v>0.13043478260869501</v>
      </c>
    </row>
    <row r="142" spans="1:3" x14ac:dyDescent="0.2">
      <c r="A142" t="s">
        <v>2164</v>
      </c>
      <c r="B142">
        <v>3</v>
      </c>
      <c r="C142">
        <v>0.13043478260869501</v>
      </c>
    </row>
    <row r="143" spans="1:3" x14ac:dyDescent="0.2">
      <c r="A143" t="s">
        <v>2165</v>
      </c>
      <c r="B143">
        <v>3</v>
      </c>
      <c r="C143">
        <v>0.13043478260869501</v>
      </c>
    </row>
    <row r="144" spans="1:3" x14ac:dyDescent="0.2">
      <c r="A144" t="s">
        <v>2166</v>
      </c>
      <c r="B144">
        <v>3</v>
      </c>
      <c r="C144">
        <v>0.13043478260869501</v>
      </c>
    </row>
    <row r="145" spans="1:3" x14ac:dyDescent="0.2">
      <c r="A145" t="s">
        <v>2167</v>
      </c>
      <c r="B145">
        <v>3</v>
      </c>
      <c r="C145">
        <v>0.13043478260869501</v>
      </c>
    </row>
    <row r="146" spans="1:3" x14ac:dyDescent="0.2">
      <c r="A146" t="s">
        <v>2168</v>
      </c>
      <c r="B146">
        <v>3</v>
      </c>
      <c r="C146">
        <v>0.13043478260869501</v>
      </c>
    </row>
    <row r="147" spans="1:3" x14ac:dyDescent="0.2">
      <c r="A147" t="s">
        <v>2169</v>
      </c>
      <c r="B147">
        <v>3</v>
      </c>
      <c r="C147">
        <v>0.13043478260869501</v>
      </c>
    </row>
    <row r="148" spans="1:3" x14ac:dyDescent="0.2">
      <c r="A148" t="s">
        <v>2170</v>
      </c>
      <c r="B148">
        <v>3</v>
      </c>
      <c r="C148">
        <v>0.13043478260869501</v>
      </c>
    </row>
    <row r="149" spans="1:3" x14ac:dyDescent="0.2">
      <c r="A149" t="s">
        <v>2171</v>
      </c>
      <c r="B149">
        <v>3</v>
      </c>
      <c r="C149">
        <v>0.13043478260869501</v>
      </c>
    </row>
    <row r="150" spans="1:3" x14ac:dyDescent="0.2">
      <c r="A150" t="s">
        <v>2172</v>
      </c>
      <c r="B150">
        <v>3</v>
      </c>
      <c r="C150">
        <v>0.13043478260869501</v>
      </c>
    </row>
    <row r="151" spans="1:3" x14ac:dyDescent="0.2">
      <c r="A151" t="s">
        <v>2173</v>
      </c>
      <c r="B151">
        <v>3</v>
      </c>
      <c r="C151">
        <v>0.13043478260869501</v>
      </c>
    </row>
    <row r="152" spans="1:3" x14ac:dyDescent="0.2">
      <c r="A152" t="s">
        <v>2174</v>
      </c>
      <c r="B152">
        <v>3</v>
      </c>
      <c r="C152">
        <v>0.13043478260869501</v>
      </c>
    </row>
    <row r="153" spans="1:3" x14ac:dyDescent="0.2">
      <c r="A153" t="s">
        <v>2175</v>
      </c>
      <c r="B153">
        <v>3</v>
      </c>
      <c r="C153">
        <v>0.13043478260869501</v>
      </c>
    </row>
    <row r="154" spans="1:3" x14ac:dyDescent="0.2">
      <c r="A154" t="s">
        <v>2176</v>
      </c>
      <c r="B154">
        <v>3</v>
      </c>
      <c r="C154">
        <v>0.13043478260869501</v>
      </c>
    </row>
    <row r="155" spans="1:3" x14ac:dyDescent="0.2">
      <c r="A155" t="s">
        <v>2177</v>
      </c>
      <c r="B155">
        <v>3</v>
      </c>
      <c r="C155">
        <v>0.13043478260869501</v>
      </c>
    </row>
    <row r="156" spans="1:3" x14ac:dyDescent="0.2">
      <c r="A156" t="s">
        <v>2178</v>
      </c>
      <c r="B156">
        <v>3</v>
      </c>
      <c r="C156">
        <v>0.13043478260869501</v>
      </c>
    </row>
    <row r="157" spans="1:3" x14ac:dyDescent="0.2">
      <c r="A157" t="s">
        <v>2179</v>
      </c>
      <c r="B157">
        <v>3</v>
      </c>
      <c r="C157">
        <v>0.13043478260869501</v>
      </c>
    </row>
    <row r="158" spans="1:3" x14ac:dyDescent="0.2">
      <c r="A158" t="s">
        <v>2180</v>
      </c>
      <c r="B158">
        <v>3</v>
      </c>
      <c r="C158">
        <v>0.13043478260869501</v>
      </c>
    </row>
    <row r="159" spans="1:3" x14ac:dyDescent="0.2">
      <c r="A159" t="s">
        <v>2181</v>
      </c>
      <c r="B159">
        <v>3</v>
      </c>
      <c r="C159">
        <v>0.13043478260869501</v>
      </c>
    </row>
    <row r="160" spans="1:3" x14ac:dyDescent="0.2">
      <c r="A160" t="s">
        <v>2182</v>
      </c>
      <c r="B160">
        <v>3</v>
      </c>
      <c r="C160">
        <v>0.13043478260869501</v>
      </c>
    </row>
    <row r="161" spans="1:3" x14ac:dyDescent="0.2">
      <c r="A161" t="s">
        <v>2183</v>
      </c>
      <c r="B161">
        <v>3</v>
      </c>
      <c r="C161">
        <v>0.13043478260869501</v>
      </c>
    </row>
    <row r="162" spans="1:3" x14ac:dyDescent="0.2">
      <c r="A162" t="s">
        <v>2184</v>
      </c>
      <c r="B162">
        <v>3</v>
      </c>
      <c r="C162">
        <v>0.13043478260869501</v>
      </c>
    </row>
    <row r="163" spans="1:3" x14ac:dyDescent="0.2">
      <c r="A163" t="s">
        <v>2185</v>
      </c>
      <c r="B163">
        <v>3</v>
      </c>
      <c r="C163">
        <v>0.13043478260869501</v>
      </c>
    </row>
    <row r="164" spans="1:3" x14ac:dyDescent="0.2">
      <c r="A164" t="s">
        <v>2186</v>
      </c>
      <c r="B164">
        <v>3</v>
      </c>
      <c r="C164">
        <v>0.13043478260869501</v>
      </c>
    </row>
    <row r="165" spans="1:3" x14ac:dyDescent="0.2">
      <c r="A165" t="s">
        <v>2187</v>
      </c>
      <c r="B165">
        <v>3</v>
      </c>
      <c r="C165">
        <v>0.13043478260869501</v>
      </c>
    </row>
    <row r="166" spans="1:3" x14ac:dyDescent="0.2">
      <c r="A166" t="s">
        <v>2188</v>
      </c>
      <c r="B166">
        <v>3</v>
      </c>
      <c r="C166">
        <v>0.13043478260869501</v>
      </c>
    </row>
    <row r="167" spans="1:3" x14ac:dyDescent="0.2">
      <c r="A167" t="s">
        <v>2189</v>
      </c>
      <c r="B167">
        <v>3</v>
      </c>
      <c r="C167">
        <v>0.13043478260869501</v>
      </c>
    </row>
    <row r="168" spans="1:3" x14ac:dyDescent="0.2">
      <c r="A168" t="s">
        <v>2190</v>
      </c>
      <c r="B168">
        <v>3</v>
      </c>
      <c r="C168">
        <v>0.13043478260869501</v>
      </c>
    </row>
    <row r="169" spans="1:3" x14ac:dyDescent="0.2">
      <c r="A169" t="s">
        <v>2191</v>
      </c>
      <c r="B169">
        <v>3</v>
      </c>
      <c r="C169">
        <v>0.13043478260869501</v>
      </c>
    </row>
    <row r="170" spans="1:3" x14ac:dyDescent="0.2">
      <c r="A170" t="s">
        <v>2192</v>
      </c>
      <c r="B170">
        <v>3</v>
      </c>
      <c r="C170">
        <v>0.13043478260869501</v>
      </c>
    </row>
    <row r="171" spans="1:3" x14ac:dyDescent="0.2">
      <c r="A171" t="s">
        <v>2193</v>
      </c>
      <c r="B171">
        <v>3</v>
      </c>
      <c r="C171">
        <v>0.13043478260869501</v>
      </c>
    </row>
    <row r="172" spans="1:3" x14ac:dyDescent="0.2">
      <c r="A172" t="s">
        <v>2194</v>
      </c>
      <c r="B172">
        <v>3</v>
      </c>
      <c r="C172">
        <v>0.13043478260869501</v>
      </c>
    </row>
    <row r="173" spans="1:3" x14ac:dyDescent="0.2">
      <c r="A173" t="s">
        <v>2195</v>
      </c>
      <c r="B173">
        <v>3</v>
      </c>
      <c r="C173">
        <v>0.13043478260869501</v>
      </c>
    </row>
    <row r="174" spans="1:3" x14ac:dyDescent="0.2">
      <c r="A174" t="s">
        <v>2196</v>
      </c>
      <c r="B174">
        <v>3</v>
      </c>
      <c r="C174">
        <v>0.13043478260869501</v>
      </c>
    </row>
    <row r="175" spans="1:3" x14ac:dyDescent="0.2">
      <c r="A175" t="s">
        <v>2197</v>
      </c>
      <c r="B175">
        <v>3</v>
      </c>
      <c r="C175">
        <v>0.13043478260869501</v>
      </c>
    </row>
    <row r="176" spans="1:3" x14ac:dyDescent="0.2">
      <c r="A176" t="s">
        <v>2198</v>
      </c>
      <c r="B176">
        <v>3</v>
      </c>
      <c r="C176">
        <v>0.13043478260869501</v>
      </c>
    </row>
    <row r="177" spans="1:3" x14ac:dyDescent="0.2">
      <c r="A177" t="s">
        <v>2199</v>
      </c>
      <c r="B177">
        <v>3</v>
      </c>
      <c r="C177">
        <v>0.13043478260869501</v>
      </c>
    </row>
    <row r="178" spans="1:3" x14ac:dyDescent="0.2">
      <c r="A178" t="s">
        <v>2200</v>
      </c>
      <c r="B178">
        <v>3</v>
      </c>
      <c r="C178">
        <v>0.13043478260869501</v>
      </c>
    </row>
    <row r="179" spans="1:3" x14ac:dyDescent="0.2">
      <c r="A179" t="s">
        <v>2201</v>
      </c>
      <c r="B179">
        <v>3</v>
      </c>
      <c r="C179">
        <v>0.13043478260869501</v>
      </c>
    </row>
  </sheetData>
  <hyperlinks>
    <hyperlink ref="A3" r:id="rId1" xr:uid="{77A44526-8405-B249-8056-2054915B76EC}"/>
  </hyperlinks>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235CA-4A4C-9643-ADC5-406112CA432E}">
  <dimension ref="A1:E32"/>
  <sheetViews>
    <sheetView zoomScale="109" workbookViewId="0">
      <selection activeCell="D32" sqref="D32"/>
    </sheetView>
  </sheetViews>
  <sheetFormatPr baseColWidth="10" defaultRowHeight="15" x14ac:dyDescent="0.2"/>
  <cols>
    <col min="1" max="1" width="82.5" bestFit="1" customWidth="1"/>
    <col min="2" max="2" width="14.83203125" customWidth="1"/>
    <col min="4" max="4" width="58.83203125" bestFit="1" customWidth="1"/>
  </cols>
  <sheetData>
    <row r="1" spans="1:5" ht="19" x14ac:dyDescent="0.2">
      <c r="A1" s="1" t="s">
        <v>2223</v>
      </c>
    </row>
    <row r="2" spans="1:5" x14ac:dyDescent="0.2">
      <c r="A2" s="2" t="s">
        <v>2265</v>
      </c>
    </row>
    <row r="3" spans="1:5" x14ac:dyDescent="0.2">
      <c r="A3" s="81" t="s">
        <v>2224</v>
      </c>
    </row>
    <row r="5" spans="1:5" x14ac:dyDescent="0.2">
      <c r="A5" s="80" t="s">
        <v>1430</v>
      </c>
      <c r="B5" s="80" t="s">
        <v>2202</v>
      </c>
      <c r="C5" s="80" t="s">
        <v>2205</v>
      </c>
      <c r="D5" s="80" t="s">
        <v>2206</v>
      </c>
      <c r="E5" s="80" t="s">
        <v>38</v>
      </c>
    </row>
    <row r="6" spans="1:5" x14ac:dyDescent="0.2">
      <c r="A6" t="s">
        <v>182</v>
      </c>
      <c r="B6" t="s">
        <v>2236</v>
      </c>
      <c r="C6" t="s">
        <v>2255</v>
      </c>
      <c r="D6" t="s">
        <v>2209</v>
      </c>
      <c r="E6" cm="1">
        <f t="array" ref="E6">IFERROR(
    _xlfn.XLOOKUP(TRUE,
        EXACT(Table4[[#This Row],[Institution]], 'Top Centers - NCR'!B:B),
        'Top Centers - NCR'!E:E
    ),
    _xlfn.XLOOKUP(TRUE,
        EXACT(Table4[[#This Row],[Institution]], 'Top Centers - 4A'!B:B),
        'Top Centers - 4A'!E:E
    )
)</f>
        <v>2491</v>
      </c>
    </row>
    <row r="7" spans="1:5" x14ac:dyDescent="0.2">
      <c r="A7" t="s">
        <v>66</v>
      </c>
      <c r="B7" t="s">
        <v>2226</v>
      </c>
      <c r="C7" t="s">
        <v>2248</v>
      </c>
      <c r="D7" t="s">
        <v>2207</v>
      </c>
      <c r="E7" cm="1">
        <f t="array" ref="E7">IFERROR(
    _xlfn.XLOOKUP(TRUE,
        EXACT(Table4[[#This Row],[Institution]], 'Top Centers - NCR'!B:B),
        'Top Centers - NCR'!E:E
    ),
    _xlfn.XLOOKUP(TRUE,
        EXACT(Table4[[#This Row],[Institution]], 'Top Centers - 4A'!B:B),
        'Top Centers - 4A'!E:E
    )
)</f>
        <v>1917</v>
      </c>
    </row>
    <row r="8" spans="1:5" x14ac:dyDescent="0.2">
      <c r="A8" t="s">
        <v>84</v>
      </c>
      <c r="B8" t="s">
        <v>2227</v>
      </c>
      <c r="C8" t="s">
        <v>2249</v>
      </c>
      <c r="D8" t="s">
        <v>2209</v>
      </c>
      <c r="E8" cm="1">
        <f t="array" ref="E8">IFERROR(
    _xlfn.XLOOKUP(TRUE,
        EXACT(Table4[[#This Row],[Institution]], 'Top Centers - NCR'!B:B),
        'Top Centers - NCR'!E:E
    ),
    _xlfn.XLOOKUP(TRUE,
        EXACT(Table4[[#This Row],[Institution]], 'Top Centers - 4A'!B:B),
        'Top Centers - 4A'!E:E
    )
)</f>
        <v>1703</v>
      </c>
    </row>
    <row r="9" spans="1:5" x14ac:dyDescent="0.2">
      <c r="A9" t="s">
        <v>154</v>
      </c>
      <c r="B9" t="s">
        <v>2231</v>
      </c>
      <c r="C9" t="s">
        <v>2251</v>
      </c>
      <c r="D9" t="s">
        <v>2213</v>
      </c>
      <c r="E9" cm="1">
        <f t="array" ref="E9">IFERROR(
    _xlfn.XLOOKUP(TRUE,
        EXACT(Table4[[#This Row],[Institution]], 'Top Centers - NCR'!B:B),
        'Top Centers - NCR'!E:E
    ),
    _xlfn.XLOOKUP(TRUE,
        EXACT(Table4[[#This Row],[Institution]], 'Top Centers - 4A'!B:B),
        'Top Centers - 4A'!E:E
    )
)</f>
        <v>1438</v>
      </c>
    </row>
    <row r="10" spans="1:5" x14ac:dyDescent="0.2">
      <c r="A10" t="s">
        <v>108</v>
      </c>
      <c r="B10" t="s">
        <v>2228</v>
      </c>
      <c r="C10" t="s">
        <v>2210</v>
      </c>
      <c r="D10" t="s">
        <v>2209</v>
      </c>
      <c r="E10" cm="1">
        <f t="array" ref="E10">IFERROR(
    _xlfn.XLOOKUP(TRUE,
        EXACT(Table4[[#This Row],[Institution]], 'Top Centers - NCR'!B:B),
        'Top Centers - NCR'!E:E
    ),
    _xlfn.XLOOKUP(TRUE,
        EXACT(Table4[[#This Row],[Institution]], 'Top Centers - 4A'!B:B),
        'Top Centers - 4A'!E:E
    )
)</f>
        <v>1187</v>
      </c>
    </row>
    <row r="11" spans="1:5" x14ac:dyDescent="0.2">
      <c r="A11" t="s">
        <v>150</v>
      </c>
      <c r="B11" t="s">
        <v>2230</v>
      </c>
      <c r="C11" t="s">
        <v>2250</v>
      </c>
      <c r="D11" t="s">
        <v>2209</v>
      </c>
      <c r="E11" cm="1">
        <f t="array" ref="E11">IFERROR(
    _xlfn.XLOOKUP(TRUE,
        EXACT(Table4[[#This Row],[Institution]], 'Top Centers - NCR'!B:B),
        'Top Centers - NCR'!E:E
    ),
    _xlfn.XLOOKUP(TRUE,
        EXACT(Table4[[#This Row],[Institution]], 'Top Centers - 4A'!B:B),
        'Top Centers - 4A'!E:E
    )
)</f>
        <v>1169</v>
      </c>
    </row>
    <row r="12" spans="1:5" x14ac:dyDescent="0.2">
      <c r="A12" t="s">
        <v>221</v>
      </c>
      <c r="B12" t="s">
        <v>2237</v>
      </c>
      <c r="C12" t="s">
        <v>2256</v>
      </c>
      <c r="D12" t="s">
        <v>2209</v>
      </c>
      <c r="E12" cm="1">
        <f t="array" ref="E12">IFERROR(
    _xlfn.XLOOKUP(TRUE,
        EXACT(Table4[[#This Row],[Institution]], 'Top Centers - NCR'!B:B),
        'Top Centers - NCR'!E:E
    ),
    _xlfn.XLOOKUP(TRUE,
        EXACT(Table4[[#This Row],[Institution]], 'Top Centers - 4A'!B:B),
        'Top Centers - 4A'!E:E
    )
)</f>
        <v>970</v>
      </c>
    </row>
    <row r="13" spans="1:5" x14ac:dyDescent="0.2">
      <c r="A13" t="s">
        <v>131</v>
      </c>
      <c r="B13" t="s">
        <v>2229</v>
      </c>
      <c r="C13" t="s">
        <v>2211</v>
      </c>
      <c r="D13" t="s">
        <v>2212</v>
      </c>
      <c r="E13" cm="1">
        <f t="array" ref="E13">IFERROR(
    _xlfn.XLOOKUP(TRUE,
        EXACT(Table4[[#This Row],[Institution]], 'Top Centers - NCR'!B:B),
        'Top Centers - NCR'!E:E
    ),
    _xlfn.XLOOKUP(TRUE,
        EXACT(Table4[[#This Row],[Institution]], 'Top Centers - 4A'!B:B),
        'Top Centers - 4A'!E:E
    )
)</f>
        <v>957</v>
      </c>
    </row>
    <row r="14" spans="1:5" x14ac:dyDescent="0.2">
      <c r="A14" t="s">
        <v>250</v>
      </c>
      <c r="B14" t="s">
        <v>2239</v>
      </c>
      <c r="C14" t="s">
        <v>2257</v>
      </c>
      <c r="D14" t="s">
        <v>2207</v>
      </c>
      <c r="E14" cm="1">
        <f t="array" ref="E14">IFERROR(
    _xlfn.XLOOKUP(TRUE,
        EXACT(Table4[[#This Row],[Institution]], 'Top Centers - NCR'!B:B),
        'Top Centers - NCR'!E:E
    ),
    _xlfn.XLOOKUP(TRUE,
        EXACT(Table4[[#This Row],[Institution]], 'Top Centers - 4A'!B:B),
        'Top Centers - 4A'!E:E
    )
)</f>
        <v>871</v>
      </c>
    </row>
    <row r="15" spans="1:5" x14ac:dyDescent="0.2">
      <c r="A15" t="s">
        <v>161</v>
      </c>
      <c r="B15" t="s">
        <v>2233</v>
      </c>
      <c r="C15" t="s">
        <v>2214</v>
      </c>
      <c r="D15" t="s">
        <v>2208</v>
      </c>
      <c r="E15" cm="1">
        <f t="array" ref="E15">IFERROR(
    _xlfn.XLOOKUP(TRUE,
        EXACT(Table4[[#This Row],[Institution]], 'Top Centers - NCR'!B:B),
        'Top Centers - NCR'!E:E
    ),
    _xlfn.XLOOKUP(TRUE,
        EXACT(Table4[[#This Row],[Institution]], 'Top Centers - 4A'!B:B),
        'Top Centers - 4A'!E:E
    )
)</f>
        <v>841</v>
      </c>
    </row>
    <row r="16" spans="1:5" x14ac:dyDescent="0.2">
      <c r="A16" t="s">
        <v>179</v>
      </c>
      <c r="B16" t="s">
        <v>2235</v>
      </c>
      <c r="C16" t="s">
        <v>2253</v>
      </c>
      <c r="D16" t="s">
        <v>2254</v>
      </c>
      <c r="E16" cm="1">
        <f t="array" ref="E16">IFERROR(
    _xlfn.XLOOKUP(TRUE,
        EXACT(Table4[[#This Row],[Institution]], 'Top Centers - NCR'!B:B),
        'Top Centers - NCR'!E:E
    ),
    _xlfn.XLOOKUP(TRUE,
        EXACT(Table4[[#This Row],[Institution]], 'Top Centers - 4A'!B:B),
        'Top Centers - 4A'!E:E
    )
)</f>
        <v>838</v>
      </c>
    </row>
    <row r="17" spans="1:5" x14ac:dyDescent="0.2">
      <c r="A17" t="s">
        <v>156</v>
      </c>
      <c r="B17" t="s">
        <v>2232</v>
      </c>
      <c r="C17" t="s">
        <v>2252</v>
      </c>
      <c r="D17" t="s">
        <v>2213</v>
      </c>
      <c r="E17" cm="1">
        <f t="array" ref="E17">IFERROR(
    _xlfn.XLOOKUP(TRUE,
        EXACT(Table4[[#This Row],[Institution]], 'Top Centers - NCR'!B:B),
        'Top Centers - NCR'!E:E
    ),
    _xlfn.XLOOKUP(TRUE,
        EXACT(Table4[[#This Row],[Institution]], 'Top Centers - 4A'!B:B),
        'Top Centers - 4A'!E:E
    )
)</f>
        <v>764</v>
      </c>
    </row>
    <row r="18" spans="1:5" x14ac:dyDescent="0.2">
      <c r="A18" t="s">
        <v>239</v>
      </c>
      <c r="B18" t="s">
        <v>2238</v>
      </c>
      <c r="C18" t="s">
        <v>2215</v>
      </c>
      <c r="D18" t="s">
        <v>2209</v>
      </c>
      <c r="E18" cm="1">
        <f t="array" ref="E18">IFERROR(
    _xlfn.XLOOKUP(TRUE,
        EXACT(Table4[[#This Row],[Institution]], 'Top Centers - NCR'!B:B),
        'Top Centers - NCR'!E:E
    ),
    _xlfn.XLOOKUP(TRUE,
        EXACT(Table4[[#This Row],[Institution]], 'Top Centers - 4A'!B:B),
        'Top Centers - 4A'!E:E
    )
)</f>
        <v>749</v>
      </c>
    </row>
    <row r="19" spans="1:5" x14ac:dyDescent="0.2">
      <c r="A19" t="s">
        <v>174</v>
      </c>
      <c r="B19" t="s">
        <v>2234</v>
      </c>
      <c r="C19" t="s">
        <v>2215</v>
      </c>
      <c r="D19" t="s">
        <v>2209</v>
      </c>
      <c r="E19" cm="1">
        <f t="array" ref="E19">IFERROR(
    _xlfn.XLOOKUP(TRUE,
        EXACT(Table4[[#This Row],[Institution]], 'Top Centers - NCR'!B:B),
        'Top Centers - NCR'!E:E
    ),
    _xlfn.XLOOKUP(TRUE,
        EXACT(Table4[[#This Row],[Institution]], 'Top Centers - 4A'!B:B),
        'Top Centers - 4A'!E:E
    )
)</f>
        <v>663</v>
      </c>
    </row>
    <row r="20" spans="1:5" x14ac:dyDescent="0.2">
      <c r="A20" t="s">
        <v>292</v>
      </c>
      <c r="B20" t="s">
        <v>2241</v>
      </c>
      <c r="C20" t="s">
        <v>2259</v>
      </c>
      <c r="D20" t="s">
        <v>2209</v>
      </c>
      <c r="E20" cm="1">
        <f t="array" ref="E20">IFERROR(
    _xlfn.XLOOKUP(TRUE,
        EXACT(Table4[[#This Row],[Institution]], 'Top Centers - NCR'!B:B),
        'Top Centers - NCR'!E:E
    ),
    _xlfn.XLOOKUP(TRUE,
        EXACT(Table4[[#This Row],[Institution]], 'Top Centers - 4A'!B:B),
        'Top Centers - 4A'!E:E
    )
)</f>
        <v>644</v>
      </c>
    </row>
    <row r="21" spans="1:5" x14ac:dyDescent="0.2">
      <c r="A21" t="s">
        <v>278</v>
      </c>
      <c r="B21" t="s">
        <v>2240</v>
      </c>
      <c r="C21" t="s">
        <v>2258</v>
      </c>
      <c r="D21" t="s">
        <v>2208</v>
      </c>
      <c r="E21" cm="1">
        <f t="array" ref="E21">IFERROR(
    _xlfn.XLOOKUP(TRUE,
        EXACT(Table4[[#This Row],[Institution]], 'Top Centers - NCR'!B:B),
        'Top Centers - NCR'!E:E
    ),
    _xlfn.XLOOKUP(TRUE,
        EXACT(Table4[[#This Row],[Institution]], 'Top Centers - 4A'!B:B),
        'Top Centers - 4A'!E:E
    )
)</f>
        <v>620</v>
      </c>
    </row>
    <row r="22" spans="1:5" x14ac:dyDescent="0.2">
      <c r="A22" t="s">
        <v>376</v>
      </c>
      <c r="B22" t="s">
        <v>2242</v>
      </c>
      <c r="C22" t="s">
        <v>2260</v>
      </c>
      <c r="D22" t="s">
        <v>2209</v>
      </c>
      <c r="E22" cm="1">
        <f t="array" ref="E22">IFERROR(
    _xlfn.XLOOKUP(TRUE,
        EXACT(Table4[[#This Row],[Institution]], 'Top Centers - NCR'!B:B),
        'Top Centers - NCR'!E:E
    ),
    _xlfn.XLOOKUP(TRUE,
        EXACT(Table4[[#This Row],[Institution]], 'Top Centers - 4A'!B:B),
        'Top Centers - 4A'!E:E
    )
)</f>
        <v>551</v>
      </c>
    </row>
    <row r="23" spans="1:5" x14ac:dyDescent="0.2">
      <c r="A23" t="s">
        <v>502</v>
      </c>
      <c r="B23" t="s">
        <v>2243</v>
      </c>
      <c r="C23" t="s">
        <v>2261</v>
      </c>
      <c r="D23" t="s">
        <v>2209</v>
      </c>
      <c r="E23" cm="1">
        <f t="array" ref="E23">IFERROR(
    _xlfn.XLOOKUP(TRUE,
        EXACT(Table4[[#This Row],[Institution]], 'Top Centers - NCR'!B:B),
        'Top Centers - NCR'!E:E
    ),
    _xlfn.XLOOKUP(TRUE,
        EXACT(Table4[[#This Row],[Institution]], 'Top Centers - 4A'!B:B),
        'Top Centers - 4A'!E:E
    )
)</f>
        <v>362</v>
      </c>
    </row>
    <row r="24" spans="1:5" x14ac:dyDescent="0.2">
      <c r="A24" t="s">
        <v>353</v>
      </c>
      <c r="B24" t="s">
        <v>2203</v>
      </c>
      <c r="C24" t="s">
        <v>2216</v>
      </c>
      <c r="D24" t="s">
        <v>2209</v>
      </c>
      <c r="E24" cm="1">
        <f t="array" ref="E24">IFERROR(
    _xlfn.XLOOKUP(TRUE,
        EXACT(Table4[[#This Row],[Institution]], 'Top Centers - NCR'!B:B),
        'Top Centers - NCR'!E:E
    ),
    _xlfn.XLOOKUP(TRUE,
        EXACT(Table4[[#This Row],[Institution]], 'Top Centers - 4A'!B:B),
        'Top Centers - 4A'!E:E
    )
)</f>
        <v>341</v>
      </c>
    </row>
    <row r="25" spans="1:5" x14ac:dyDescent="0.2">
      <c r="A25" t="s">
        <v>529</v>
      </c>
      <c r="B25" t="s">
        <v>2245</v>
      </c>
      <c r="C25" t="s">
        <v>2262</v>
      </c>
      <c r="D25" t="s">
        <v>2209</v>
      </c>
      <c r="E25" cm="1">
        <f t="array" ref="E25">IFERROR(
    _xlfn.XLOOKUP(TRUE,
        EXACT(Table4[[#This Row],[Institution]], 'Top Centers - NCR'!B:B),
        'Top Centers - NCR'!E:E
    ),
    _xlfn.XLOOKUP(TRUE,
        EXACT(Table4[[#This Row],[Institution]], 'Top Centers - 4A'!B:B),
        'Top Centers - 4A'!E:E
    )
)</f>
        <v>325</v>
      </c>
    </row>
    <row r="26" spans="1:5" x14ac:dyDescent="0.2">
      <c r="A26" t="s">
        <v>510</v>
      </c>
      <c r="B26" t="s">
        <v>2244</v>
      </c>
      <c r="C26" t="s">
        <v>2218</v>
      </c>
      <c r="D26" t="s">
        <v>2209</v>
      </c>
      <c r="E26" cm="1">
        <f t="array" ref="E26">IFERROR(
    _xlfn.XLOOKUP(TRUE,
        EXACT(Table4[[#This Row],[Institution]], 'Top Centers - NCR'!B:B),
        'Top Centers - NCR'!E:E
    ),
    _xlfn.XLOOKUP(TRUE,
        EXACT(Table4[[#This Row],[Institution]], 'Top Centers - 4A'!B:B),
        'Top Centers - 4A'!E:E
    )
)</f>
        <v>310</v>
      </c>
    </row>
    <row r="27" spans="1:5" x14ac:dyDescent="0.2">
      <c r="A27" t="s">
        <v>489</v>
      </c>
      <c r="B27" t="s">
        <v>2204</v>
      </c>
      <c r="C27" t="s">
        <v>2217</v>
      </c>
      <c r="D27" t="s">
        <v>2209</v>
      </c>
      <c r="E27" cm="1">
        <f t="array" ref="E27">IFERROR(
    _xlfn.XLOOKUP(TRUE,
        EXACT(Table4[[#This Row],[Institution]], 'Top Centers - NCR'!B:B),
        'Top Centers - NCR'!E:E
    ),
    _xlfn.XLOOKUP(TRUE,
        EXACT(Table4[[#This Row],[Institution]], 'Top Centers - 4A'!B:B),
        'Top Centers - 4A'!E:E
    )
)</f>
        <v>291</v>
      </c>
    </row>
    <row r="28" spans="1:5" x14ac:dyDescent="0.2">
      <c r="A28" s="13" t="s">
        <v>560</v>
      </c>
      <c r="B28" t="s">
        <v>2246</v>
      </c>
      <c r="C28" t="s">
        <v>2263</v>
      </c>
      <c r="D28" t="s">
        <v>2212</v>
      </c>
      <c r="E28" cm="1">
        <f t="array" ref="E28">IFERROR(
    _xlfn.XLOOKUP(TRUE,
        EXACT(Table4[[#This Row],[Institution]], 'Top Centers - NCR'!B:B),
        'Top Centers - NCR'!E:E
    ),
    _xlfn.XLOOKUP(TRUE,
        EXACT(Table4[[#This Row],[Institution]], 'Top Centers - 4A'!B:B),
        'Top Centers - 4A'!E:E
    )
)</f>
        <v>533</v>
      </c>
    </row>
    <row r="29" spans="1:5" x14ac:dyDescent="0.2">
      <c r="A29" t="s">
        <v>584</v>
      </c>
      <c r="B29" t="s">
        <v>2247</v>
      </c>
      <c r="C29" t="s">
        <v>2264</v>
      </c>
      <c r="D29" t="s">
        <v>2212</v>
      </c>
      <c r="E29" cm="1">
        <f t="array" ref="E29">IFERROR(
    _xlfn.XLOOKUP(TRUE,
        EXACT(Table4[[#This Row],[Institution]], 'Top Centers - NCR'!B:B),
        'Top Centers - NCR'!E:E
    ),
    _xlfn.XLOOKUP(TRUE,
        EXACT(Table4[[#This Row],[Institution]], 'Top Centers - 4A'!B:B),
        'Top Centers - 4A'!E:E
    )
)</f>
        <v>293</v>
      </c>
    </row>
    <row r="32" spans="1:5" x14ac:dyDescent="0.2">
      <c r="D32">
        <f>COUNTIF(Table4[Specialized Sector], "TOURISM SECTOR")</f>
        <v>14</v>
      </c>
    </row>
  </sheetData>
  <hyperlinks>
    <hyperlink ref="A3" r:id="rId1" xr:uid="{EF769466-0836-9243-9B6E-68D6FAA0F847}"/>
  </hyperlinks>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3"/>
  <sheetViews>
    <sheetView showGridLines="0" zoomScaleNormal="100" workbookViewId="0">
      <pane ySplit="4" topLeftCell="A29" activePane="bottomLeft" state="frozen"/>
      <selection pane="bottomLeft" activeCell="A5" sqref="A5:F28"/>
    </sheetView>
  </sheetViews>
  <sheetFormatPr baseColWidth="10" defaultColWidth="8.6640625" defaultRowHeight="15" x14ac:dyDescent="0.2"/>
  <cols>
    <col min="1" max="1" width="46" customWidth="1"/>
    <col min="2" max="2" width="10" customWidth="1"/>
    <col min="3" max="6" width="11" customWidth="1"/>
  </cols>
  <sheetData>
    <row r="1" spans="1:6" ht="19" x14ac:dyDescent="0.2">
      <c r="A1" s="1" t="s">
        <v>1805</v>
      </c>
    </row>
    <row r="2" spans="1:6" x14ac:dyDescent="0.2">
      <c r="A2" s="2" t="s">
        <v>1806</v>
      </c>
    </row>
    <row r="4" spans="1:6" x14ac:dyDescent="0.2">
      <c r="A4" s="5" t="s">
        <v>32</v>
      </c>
      <c r="B4" s="5" t="s">
        <v>1807</v>
      </c>
      <c r="C4" s="5" t="s">
        <v>37</v>
      </c>
      <c r="D4" s="5" t="s">
        <v>38</v>
      </c>
      <c r="E4" s="5" t="s">
        <v>40</v>
      </c>
      <c r="F4" s="5" t="s">
        <v>41</v>
      </c>
    </row>
    <row r="5" spans="1:6" x14ac:dyDescent="0.2">
      <c r="A5" s="15" t="s">
        <v>190</v>
      </c>
      <c r="B5" s="36">
        <v>138</v>
      </c>
      <c r="C5" s="36">
        <v>8097</v>
      </c>
      <c r="D5" s="36">
        <v>8402</v>
      </c>
      <c r="E5" s="36">
        <v>9459</v>
      </c>
      <c r="F5" s="36">
        <v>9302</v>
      </c>
    </row>
    <row r="6" spans="1:6" x14ac:dyDescent="0.2">
      <c r="A6" s="13" t="s">
        <v>91</v>
      </c>
      <c r="B6" s="34">
        <v>138</v>
      </c>
      <c r="C6" s="34">
        <v>7313</v>
      </c>
      <c r="D6" s="34">
        <v>7453</v>
      </c>
      <c r="E6" s="34">
        <v>14948</v>
      </c>
      <c r="F6" s="34">
        <v>14734</v>
      </c>
    </row>
    <row r="7" spans="1:6" x14ac:dyDescent="0.2">
      <c r="A7" s="15" t="s">
        <v>113</v>
      </c>
      <c r="B7" s="36">
        <v>106</v>
      </c>
      <c r="C7" s="36">
        <v>4851</v>
      </c>
      <c r="D7" s="36">
        <v>5010</v>
      </c>
      <c r="E7" s="36">
        <v>17409</v>
      </c>
      <c r="F7" s="36">
        <v>16865</v>
      </c>
    </row>
    <row r="8" spans="1:6" x14ac:dyDescent="0.2">
      <c r="A8" s="13" t="s">
        <v>102</v>
      </c>
      <c r="B8" s="34">
        <v>31</v>
      </c>
      <c r="C8" s="34">
        <v>2142</v>
      </c>
      <c r="D8" s="34">
        <v>2007</v>
      </c>
      <c r="E8" s="34">
        <v>9271</v>
      </c>
      <c r="F8" s="34">
        <v>8833</v>
      </c>
    </row>
    <row r="9" spans="1:6" x14ac:dyDescent="0.2">
      <c r="A9" s="15" t="s">
        <v>83</v>
      </c>
      <c r="B9" s="36">
        <v>13</v>
      </c>
      <c r="C9" s="36">
        <v>1564</v>
      </c>
      <c r="D9" s="36">
        <v>1453</v>
      </c>
      <c r="E9" s="36">
        <v>1031</v>
      </c>
      <c r="F9" s="36">
        <v>1025</v>
      </c>
    </row>
    <row r="10" spans="1:6" x14ac:dyDescent="0.2">
      <c r="A10" s="13" t="s">
        <v>97</v>
      </c>
      <c r="B10" s="34">
        <v>20</v>
      </c>
      <c r="C10" s="34">
        <v>1494</v>
      </c>
      <c r="D10" s="34">
        <v>1347</v>
      </c>
      <c r="E10" s="34">
        <v>2457</v>
      </c>
      <c r="F10" s="34">
        <v>2360</v>
      </c>
    </row>
    <row r="11" spans="1:6" x14ac:dyDescent="0.2">
      <c r="A11" s="15" t="s">
        <v>155</v>
      </c>
      <c r="B11" s="36">
        <v>21</v>
      </c>
      <c r="C11" s="36">
        <v>1271</v>
      </c>
      <c r="D11" s="36">
        <v>1242</v>
      </c>
      <c r="E11" s="36">
        <v>1624</v>
      </c>
      <c r="F11" s="36">
        <v>1619</v>
      </c>
    </row>
    <row r="12" spans="1:6" x14ac:dyDescent="0.2">
      <c r="A12" s="13" t="s">
        <v>308</v>
      </c>
      <c r="B12" s="34">
        <v>14</v>
      </c>
      <c r="C12" s="34">
        <v>670</v>
      </c>
      <c r="D12" s="34">
        <v>753</v>
      </c>
      <c r="E12" s="34">
        <v>560</v>
      </c>
      <c r="F12" s="34">
        <v>554</v>
      </c>
    </row>
    <row r="13" spans="1:6" x14ac:dyDescent="0.2">
      <c r="A13" s="15" t="s">
        <v>403</v>
      </c>
      <c r="B13" s="36">
        <v>27</v>
      </c>
      <c r="C13" s="36">
        <v>596</v>
      </c>
      <c r="D13" s="36">
        <v>557</v>
      </c>
      <c r="E13" s="36">
        <v>5920</v>
      </c>
      <c r="F13" s="36">
        <v>5729</v>
      </c>
    </row>
    <row r="14" spans="1:6" x14ac:dyDescent="0.2">
      <c r="A14" s="13" t="s">
        <v>186</v>
      </c>
      <c r="B14" s="34">
        <v>17</v>
      </c>
      <c r="C14" s="34">
        <v>494</v>
      </c>
      <c r="D14" s="34">
        <v>504</v>
      </c>
      <c r="E14" s="34">
        <v>703</v>
      </c>
      <c r="F14" s="34">
        <v>683</v>
      </c>
    </row>
    <row r="15" spans="1:6" x14ac:dyDescent="0.2">
      <c r="A15" s="15" t="s">
        <v>535</v>
      </c>
      <c r="B15" s="36">
        <v>14</v>
      </c>
      <c r="C15" s="36">
        <v>365</v>
      </c>
      <c r="D15" s="36">
        <v>402</v>
      </c>
      <c r="E15" s="36">
        <v>815</v>
      </c>
      <c r="F15" s="36">
        <v>812</v>
      </c>
    </row>
    <row r="16" spans="1:6" x14ac:dyDescent="0.2">
      <c r="A16" s="13" t="s">
        <v>365</v>
      </c>
      <c r="B16" s="34">
        <v>16</v>
      </c>
      <c r="C16" s="34">
        <v>358</v>
      </c>
      <c r="D16" s="34">
        <v>302</v>
      </c>
      <c r="E16" s="34">
        <v>897</v>
      </c>
      <c r="F16" s="34">
        <v>883</v>
      </c>
    </row>
    <row r="17" spans="1:6" x14ac:dyDescent="0.2">
      <c r="A17" s="15" t="s">
        <v>444</v>
      </c>
      <c r="B17" s="36">
        <v>19</v>
      </c>
      <c r="C17" s="36">
        <v>252</v>
      </c>
      <c r="D17" s="36">
        <v>245</v>
      </c>
      <c r="E17" s="36">
        <v>827</v>
      </c>
      <c r="F17" s="36">
        <v>795</v>
      </c>
    </row>
    <row r="18" spans="1:6" x14ac:dyDescent="0.2">
      <c r="A18" s="13" t="s">
        <v>530</v>
      </c>
      <c r="B18" s="34">
        <v>7</v>
      </c>
      <c r="C18" s="34">
        <v>241</v>
      </c>
      <c r="D18" s="34">
        <v>235</v>
      </c>
      <c r="E18" s="34">
        <v>202</v>
      </c>
      <c r="F18" s="34">
        <v>201</v>
      </c>
    </row>
    <row r="19" spans="1:6" x14ac:dyDescent="0.2">
      <c r="A19" s="15" t="s">
        <v>558</v>
      </c>
      <c r="B19" s="36">
        <v>12</v>
      </c>
      <c r="C19" s="36">
        <v>200</v>
      </c>
      <c r="D19" s="36">
        <v>175</v>
      </c>
      <c r="E19" s="36">
        <v>1035</v>
      </c>
      <c r="F19" s="36">
        <v>1019</v>
      </c>
    </row>
    <row r="20" spans="1:6" x14ac:dyDescent="0.2">
      <c r="A20" s="13" t="s">
        <v>588</v>
      </c>
      <c r="B20" s="34">
        <v>8</v>
      </c>
      <c r="C20" s="34">
        <v>159</v>
      </c>
      <c r="D20" s="34">
        <v>158</v>
      </c>
      <c r="E20" s="34">
        <v>303</v>
      </c>
      <c r="F20" s="34">
        <v>301</v>
      </c>
    </row>
    <row r="21" spans="1:6" x14ac:dyDescent="0.2">
      <c r="A21" s="15" t="s">
        <v>494</v>
      </c>
      <c r="B21" s="36">
        <v>4</v>
      </c>
      <c r="C21" s="36">
        <v>139</v>
      </c>
      <c r="D21" s="36">
        <v>137</v>
      </c>
      <c r="E21" s="36">
        <v>1170</v>
      </c>
      <c r="F21" s="36">
        <v>1170</v>
      </c>
    </row>
    <row r="22" spans="1:6" x14ac:dyDescent="0.2">
      <c r="A22" s="13" t="s">
        <v>506</v>
      </c>
      <c r="B22" s="34">
        <v>7</v>
      </c>
      <c r="C22" s="34">
        <v>119</v>
      </c>
      <c r="D22" s="34">
        <v>101</v>
      </c>
      <c r="E22" s="34">
        <v>423</v>
      </c>
      <c r="F22" s="34">
        <v>406</v>
      </c>
    </row>
    <row r="23" spans="1:6" x14ac:dyDescent="0.2">
      <c r="A23" s="15" t="s">
        <v>646</v>
      </c>
      <c r="B23" s="36">
        <v>2</v>
      </c>
      <c r="C23" s="36">
        <v>81</v>
      </c>
      <c r="D23" s="36">
        <v>67</v>
      </c>
      <c r="E23" s="36">
        <v>60</v>
      </c>
      <c r="F23" s="36">
        <v>60</v>
      </c>
    </row>
    <row r="24" spans="1:6" x14ac:dyDescent="0.2">
      <c r="A24" s="13" t="s">
        <v>749</v>
      </c>
      <c r="B24" s="34">
        <v>8</v>
      </c>
      <c r="C24" s="34">
        <v>75</v>
      </c>
      <c r="D24" s="34">
        <v>50</v>
      </c>
      <c r="E24" s="34">
        <v>469</v>
      </c>
      <c r="F24" s="34">
        <v>466</v>
      </c>
    </row>
    <row r="25" spans="1:6" x14ac:dyDescent="0.2">
      <c r="A25" s="15" t="s">
        <v>714</v>
      </c>
      <c r="B25" s="36">
        <v>1</v>
      </c>
      <c r="C25" s="36">
        <v>56</v>
      </c>
      <c r="D25" s="36">
        <v>52</v>
      </c>
      <c r="E25" s="36">
        <v>23</v>
      </c>
      <c r="F25" s="36">
        <v>23</v>
      </c>
    </row>
    <row r="26" spans="1:6" x14ac:dyDescent="0.2">
      <c r="A26" s="13" t="s">
        <v>1336</v>
      </c>
      <c r="B26" s="34">
        <v>4</v>
      </c>
      <c r="C26" s="34">
        <v>49</v>
      </c>
      <c r="D26" s="34">
        <v>0</v>
      </c>
      <c r="E26" s="34">
        <v>108</v>
      </c>
      <c r="F26" s="34">
        <v>106</v>
      </c>
    </row>
    <row r="27" spans="1:6" x14ac:dyDescent="0.2">
      <c r="A27" s="15" t="s">
        <v>1354</v>
      </c>
      <c r="B27" s="36">
        <v>1</v>
      </c>
      <c r="C27" s="36">
        <v>0</v>
      </c>
      <c r="D27" s="36">
        <v>0</v>
      </c>
      <c r="E27" s="36">
        <v>29</v>
      </c>
      <c r="F27" s="36">
        <v>29</v>
      </c>
    </row>
    <row r="28" spans="1:6" x14ac:dyDescent="0.2">
      <c r="A28" s="13" t="s">
        <v>1207</v>
      </c>
      <c r="B28" s="34">
        <v>1</v>
      </c>
      <c r="C28" s="34">
        <v>0</v>
      </c>
      <c r="D28" s="34">
        <v>0</v>
      </c>
      <c r="E28" s="34">
        <v>211</v>
      </c>
      <c r="F28" s="34">
        <v>206</v>
      </c>
    </row>
    <row r="29" spans="1:6" x14ac:dyDescent="0.2">
      <c r="A29" s="15" t="s">
        <v>1366</v>
      </c>
      <c r="B29" s="36">
        <v>3</v>
      </c>
      <c r="C29" s="36">
        <v>0</v>
      </c>
      <c r="D29" s="36">
        <v>0</v>
      </c>
      <c r="E29" s="36">
        <v>60</v>
      </c>
      <c r="F29" s="36">
        <v>55</v>
      </c>
    </row>
    <row r="30" spans="1:6" x14ac:dyDescent="0.2">
      <c r="A30" s="13" t="s">
        <v>1346</v>
      </c>
      <c r="B30" s="34">
        <v>2</v>
      </c>
      <c r="C30" s="34">
        <v>0</v>
      </c>
      <c r="D30" s="34">
        <v>0</v>
      </c>
      <c r="E30" s="34">
        <v>73</v>
      </c>
      <c r="F30" s="34">
        <v>51</v>
      </c>
    </row>
    <row r="31" spans="1:6" x14ac:dyDescent="0.2">
      <c r="A31" s="15" t="s">
        <v>1348</v>
      </c>
      <c r="B31" s="36">
        <v>1</v>
      </c>
      <c r="C31" s="36">
        <v>0</v>
      </c>
      <c r="D31" s="36">
        <v>0</v>
      </c>
      <c r="E31" s="36">
        <v>39</v>
      </c>
      <c r="F31" s="36">
        <v>30</v>
      </c>
    </row>
    <row r="32" spans="1:6" x14ac:dyDescent="0.2">
      <c r="A32" s="13" t="s">
        <v>1211</v>
      </c>
      <c r="B32" s="34">
        <v>3</v>
      </c>
      <c r="C32" s="34">
        <v>0</v>
      </c>
      <c r="D32" s="34">
        <v>0</v>
      </c>
      <c r="E32" s="34">
        <v>250</v>
      </c>
      <c r="F32" s="34">
        <v>234</v>
      </c>
    </row>
    <row r="33" spans="1:6" x14ac:dyDescent="0.2">
      <c r="A33" s="15" t="s">
        <v>1089</v>
      </c>
      <c r="B33" s="36">
        <v>1</v>
      </c>
      <c r="C33" s="36">
        <v>0</v>
      </c>
      <c r="D33" s="36">
        <v>0</v>
      </c>
      <c r="E33" s="36">
        <v>554</v>
      </c>
      <c r="F33" s="36">
        <v>545</v>
      </c>
    </row>
    <row r="34" spans="1:6" x14ac:dyDescent="0.2">
      <c r="A34" s="13" t="s">
        <v>1257</v>
      </c>
      <c r="B34" s="34">
        <v>4</v>
      </c>
      <c r="C34" s="34">
        <v>0</v>
      </c>
      <c r="D34" s="34">
        <v>0</v>
      </c>
      <c r="E34" s="34">
        <v>240</v>
      </c>
      <c r="F34" s="34">
        <v>227</v>
      </c>
    </row>
    <row r="35" spans="1:6" x14ac:dyDescent="0.2">
      <c r="A35" s="15" t="s">
        <v>1272</v>
      </c>
      <c r="B35" s="36">
        <v>1</v>
      </c>
      <c r="C35" s="36">
        <v>0</v>
      </c>
      <c r="D35" s="36">
        <v>0</v>
      </c>
      <c r="E35" s="36">
        <v>108</v>
      </c>
      <c r="F35" s="36">
        <v>108</v>
      </c>
    </row>
    <row r="36" spans="1:6" x14ac:dyDescent="0.2">
      <c r="A36" s="13" t="s">
        <v>1317</v>
      </c>
      <c r="B36" s="34">
        <v>1</v>
      </c>
      <c r="C36" s="34">
        <v>0</v>
      </c>
      <c r="D36" s="34">
        <v>0</v>
      </c>
      <c r="E36" s="34">
        <v>63</v>
      </c>
      <c r="F36" s="34">
        <v>63</v>
      </c>
    </row>
    <row r="37" spans="1:6" x14ac:dyDescent="0.2">
      <c r="A37" s="15" t="s">
        <v>1216</v>
      </c>
      <c r="B37" s="36">
        <v>2</v>
      </c>
      <c r="C37" s="36">
        <v>0</v>
      </c>
      <c r="D37" s="36">
        <v>0</v>
      </c>
      <c r="E37" s="36">
        <v>209</v>
      </c>
      <c r="F37" s="36">
        <v>204</v>
      </c>
    </row>
    <row r="38" spans="1:6" x14ac:dyDescent="0.2">
      <c r="A38" s="13" t="s">
        <v>1337</v>
      </c>
      <c r="B38" s="34">
        <v>6</v>
      </c>
      <c r="C38" s="34">
        <v>0</v>
      </c>
      <c r="D38" s="34">
        <v>0</v>
      </c>
      <c r="E38" s="34">
        <v>170</v>
      </c>
      <c r="F38" s="34">
        <v>141</v>
      </c>
    </row>
    <row r="39" spans="1:6" x14ac:dyDescent="0.2">
      <c r="A39" s="15" t="s">
        <v>1249</v>
      </c>
      <c r="B39" s="36">
        <v>7</v>
      </c>
      <c r="C39" s="36">
        <v>0</v>
      </c>
      <c r="D39" s="36">
        <v>0</v>
      </c>
      <c r="E39" s="36">
        <v>452</v>
      </c>
      <c r="F39" s="36">
        <v>439</v>
      </c>
    </row>
    <row r="40" spans="1:6" x14ac:dyDescent="0.2">
      <c r="A40" s="13" t="s">
        <v>1197</v>
      </c>
      <c r="B40" s="34">
        <v>1</v>
      </c>
      <c r="C40" s="34">
        <v>0</v>
      </c>
      <c r="D40" s="34">
        <v>0</v>
      </c>
      <c r="E40" s="34">
        <v>217</v>
      </c>
      <c r="F40" s="34">
        <v>216</v>
      </c>
    </row>
    <row r="41" spans="1:6" x14ac:dyDescent="0.2">
      <c r="A41" s="15" t="s">
        <v>1251</v>
      </c>
      <c r="B41" s="36">
        <v>1</v>
      </c>
      <c r="C41" s="36">
        <v>0</v>
      </c>
      <c r="D41" s="36">
        <v>0</v>
      </c>
      <c r="E41" s="36">
        <v>140</v>
      </c>
      <c r="F41" s="36">
        <v>140</v>
      </c>
    </row>
    <row r="42" spans="1:6" x14ac:dyDescent="0.2">
      <c r="A42" s="13" t="s">
        <v>1311</v>
      </c>
      <c r="B42" s="34">
        <v>2</v>
      </c>
      <c r="C42" s="34">
        <v>0</v>
      </c>
      <c r="D42" s="34">
        <v>0</v>
      </c>
      <c r="E42" s="34">
        <v>115</v>
      </c>
      <c r="F42" s="34">
        <v>84</v>
      </c>
    </row>
    <row r="43" spans="1:6" x14ac:dyDescent="0.2">
      <c r="A43" s="15" t="s">
        <v>1384</v>
      </c>
      <c r="B43" s="36">
        <v>3</v>
      </c>
      <c r="C43" s="36">
        <v>0</v>
      </c>
      <c r="D43" s="36">
        <v>0</v>
      </c>
      <c r="E43" s="36">
        <v>26</v>
      </c>
      <c r="F43" s="36">
        <v>26</v>
      </c>
    </row>
    <row r="44" spans="1:6" x14ac:dyDescent="0.2">
      <c r="A44" s="13" t="s">
        <v>1212</v>
      </c>
      <c r="B44" s="34">
        <v>2</v>
      </c>
      <c r="C44" s="34">
        <v>0</v>
      </c>
      <c r="D44" s="34">
        <v>0</v>
      </c>
      <c r="E44" s="34">
        <v>229</v>
      </c>
      <c r="F44" s="34">
        <v>229</v>
      </c>
    </row>
    <row r="45" spans="1:6" x14ac:dyDescent="0.2">
      <c r="A45" s="15" t="s">
        <v>861</v>
      </c>
      <c r="B45" s="36">
        <v>6</v>
      </c>
      <c r="C45" s="36">
        <v>0</v>
      </c>
      <c r="D45" s="36">
        <v>28</v>
      </c>
      <c r="E45" s="36">
        <v>1178</v>
      </c>
      <c r="F45" s="36">
        <v>1143</v>
      </c>
    </row>
    <row r="46" spans="1:6" x14ac:dyDescent="0.2">
      <c r="A46" s="13" t="s">
        <v>1400</v>
      </c>
      <c r="B46" s="34">
        <v>2</v>
      </c>
      <c r="C46" s="34">
        <v>0</v>
      </c>
      <c r="D46" s="34">
        <v>0</v>
      </c>
      <c r="E46" s="34">
        <v>4</v>
      </c>
      <c r="F46" s="34">
        <v>4</v>
      </c>
    </row>
    <row r="47" spans="1:6" x14ac:dyDescent="0.2">
      <c r="A47" s="15" t="s">
        <v>1133</v>
      </c>
      <c r="B47" s="36">
        <v>1</v>
      </c>
      <c r="C47" s="36">
        <v>0</v>
      </c>
      <c r="D47" s="36">
        <v>0</v>
      </c>
      <c r="E47" s="36">
        <v>370</v>
      </c>
      <c r="F47" s="36">
        <v>370</v>
      </c>
    </row>
    <row r="48" spans="1:6" x14ac:dyDescent="0.2">
      <c r="A48" s="6" t="s">
        <v>1808</v>
      </c>
      <c r="B48" s="7">
        <f>SUM(B5:B47)</f>
        <v>678</v>
      </c>
      <c r="C48" s="7">
        <f>SUM(C5:C47)</f>
        <v>30586</v>
      </c>
      <c r="D48" s="7">
        <f>SUM(D5:D47)</f>
        <v>30680</v>
      </c>
      <c r="E48" s="7">
        <f>SUM(E5:E47)</f>
        <v>74451</v>
      </c>
      <c r="F48" s="7">
        <f>SUM(F5:F47)</f>
        <v>72490</v>
      </c>
    </row>
    <row r="50" spans="1:4" x14ac:dyDescent="0.2">
      <c r="A50" s="8" t="s">
        <v>1809</v>
      </c>
    </row>
    <row r="51" spans="1:4" x14ac:dyDescent="0.2">
      <c r="A51" s="9" t="s">
        <v>30</v>
      </c>
      <c r="B51" s="9" t="s">
        <v>1807</v>
      </c>
      <c r="C51" s="9" t="s">
        <v>37</v>
      </c>
      <c r="D51" s="9" t="s">
        <v>41</v>
      </c>
    </row>
    <row r="52" spans="1:4" x14ac:dyDescent="0.2">
      <c r="A52" s="15" t="s">
        <v>52</v>
      </c>
      <c r="B52" s="36">
        <v>163</v>
      </c>
      <c r="C52" s="36">
        <v>18427</v>
      </c>
      <c r="D52" s="36">
        <v>34838</v>
      </c>
    </row>
    <row r="53" spans="1:4" x14ac:dyDescent="0.2">
      <c r="A53" s="13" t="s">
        <v>46</v>
      </c>
      <c r="B53" s="34">
        <v>110</v>
      </c>
      <c r="C53" s="34">
        <v>12159</v>
      </c>
      <c r="D53" s="34">
        <v>37652</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4"/>
  <sheetViews>
    <sheetView showGridLines="0" zoomScaleNormal="100" workbookViewId="0">
      <pane ySplit="4" topLeftCell="A5" activePane="bottomLeft" state="frozen"/>
      <selection pane="bottomLeft" activeCell="C7" sqref="C7"/>
    </sheetView>
  </sheetViews>
  <sheetFormatPr baseColWidth="10" defaultColWidth="8.6640625" defaultRowHeight="15" x14ac:dyDescent="0.2"/>
  <cols>
    <col min="1" max="1" width="6" customWidth="1"/>
    <col min="2" max="2" width="70.33203125" style="11" customWidth="1"/>
    <col min="3" max="3" width="9" customWidth="1"/>
    <col min="4" max="4" width="7" customWidth="1"/>
    <col min="5" max="8" width="11" customWidth="1"/>
  </cols>
  <sheetData>
    <row r="1" spans="1:8" ht="19" x14ac:dyDescent="0.2">
      <c r="A1" s="1" t="s">
        <v>1810</v>
      </c>
    </row>
    <row r="2" spans="1:8" x14ac:dyDescent="0.2">
      <c r="A2" s="2" t="s">
        <v>1811</v>
      </c>
    </row>
    <row r="4" spans="1:8" x14ac:dyDescent="0.2">
      <c r="A4" s="5" t="s">
        <v>1429</v>
      </c>
      <c r="B4" s="12" t="s">
        <v>1430</v>
      </c>
      <c r="C4" s="5" t="s">
        <v>30</v>
      </c>
      <c r="D4" s="5" t="s">
        <v>1431</v>
      </c>
      <c r="E4" s="5" t="s">
        <v>37</v>
      </c>
      <c r="F4" s="5" t="s">
        <v>38</v>
      </c>
      <c r="G4" s="5" t="s">
        <v>40</v>
      </c>
      <c r="H4" s="5" t="s">
        <v>41</v>
      </c>
    </row>
    <row r="5" spans="1:8" x14ac:dyDescent="0.2">
      <c r="A5" s="15">
        <v>1</v>
      </c>
      <c r="B5" s="15" t="s">
        <v>95</v>
      </c>
      <c r="C5" s="14" t="s">
        <v>52</v>
      </c>
      <c r="D5" s="14">
        <v>2</v>
      </c>
      <c r="E5" s="36">
        <v>1135</v>
      </c>
      <c r="F5" s="36">
        <v>1110</v>
      </c>
      <c r="G5" s="36">
        <v>0</v>
      </c>
      <c r="H5" s="36">
        <v>0</v>
      </c>
    </row>
    <row r="6" spans="1:8" x14ac:dyDescent="0.2">
      <c r="A6" s="13">
        <v>2</v>
      </c>
      <c r="B6" s="13" t="s">
        <v>80</v>
      </c>
      <c r="C6" s="33" t="s">
        <v>52</v>
      </c>
      <c r="D6" s="33">
        <v>2</v>
      </c>
      <c r="E6" s="34">
        <v>909</v>
      </c>
      <c r="F6" s="34">
        <v>853</v>
      </c>
      <c r="G6" s="34">
        <v>766</v>
      </c>
      <c r="H6" s="34">
        <v>753</v>
      </c>
    </row>
    <row r="7" spans="1:8" x14ac:dyDescent="0.2">
      <c r="A7" s="15">
        <v>3</v>
      </c>
      <c r="B7" s="15" t="s">
        <v>88</v>
      </c>
      <c r="C7" s="14" t="s">
        <v>52</v>
      </c>
      <c r="D7" s="14">
        <v>3</v>
      </c>
      <c r="E7" s="36">
        <v>848</v>
      </c>
      <c r="F7" s="36">
        <v>1102</v>
      </c>
      <c r="G7" s="36">
        <v>805</v>
      </c>
      <c r="H7" s="36">
        <v>788</v>
      </c>
    </row>
    <row r="8" spans="1:8" x14ac:dyDescent="0.2">
      <c r="A8" s="13">
        <v>4</v>
      </c>
      <c r="B8" s="13" t="s">
        <v>237</v>
      </c>
      <c r="C8" s="33" t="s">
        <v>52</v>
      </c>
      <c r="D8" s="33">
        <v>4</v>
      </c>
      <c r="E8" s="34">
        <v>825</v>
      </c>
      <c r="F8" s="34">
        <v>773</v>
      </c>
      <c r="G8" s="34">
        <v>0</v>
      </c>
      <c r="H8" s="34">
        <v>0</v>
      </c>
    </row>
    <row r="9" spans="1:8" x14ac:dyDescent="0.2">
      <c r="A9" s="15">
        <v>5</v>
      </c>
      <c r="B9" s="15" t="s">
        <v>66</v>
      </c>
      <c r="C9" s="14" t="s">
        <v>46</v>
      </c>
      <c r="D9" s="14">
        <v>2</v>
      </c>
      <c r="E9" s="36">
        <v>804</v>
      </c>
      <c r="F9" s="36">
        <v>617</v>
      </c>
      <c r="G9" s="36">
        <v>540</v>
      </c>
      <c r="H9" s="36">
        <v>535</v>
      </c>
    </row>
    <row r="10" spans="1:8" x14ac:dyDescent="0.2">
      <c r="A10" s="13">
        <v>6</v>
      </c>
      <c r="B10" s="13" t="s">
        <v>198</v>
      </c>
      <c r="C10" s="33" t="s">
        <v>46</v>
      </c>
      <c r="D10" s="33">
        <v>4</v>
      </c>
      <c r="E10" s="34">
        <v>723</v>
      </c>
      <c r="F10" s="34">
        <v>644</v>
      </c>
      <c r="G10" s="34">
        <v>492</v>
      </c>
      <c r="H10" s="34">
        <v>487</v>
      </c>
    </row>
    <row r="11" spans="1:8" x14ac:dyDescent="0.2">
      <c r="A11" s="15">
        <v>7</v>
      </c>
      <c r="B11" s="15" t="s">
        <v>135</v>
      </c>
      <c r="C11" s="14" t="s">
        <v>46</v>
      </c>
      <c r="D11" s="14">
        <v>4</v>
      </c>
      <c r="E11" s="36">
        <v>683</v>
      </c>
      <c r="F11" s="36">
        <v>636</v>
      </c>
      <c r="G11" s="36">
        <v>530</v>
      </c>
      <c r="H11" s="36">
        <v>529</v>
      </c>
    </row>
    <row r="12" spans="1:8" x14ac:dyDescent="0.2">
      <c r="A12" s="13">
        <v>8</v>
      </c>
      <c r="B12" s="13" t="s">
        <v>168</v>
      </c>
      <c r="C12" s="33" t="s">
        <v>52</v>
      </c>
      <c r="D12" s="33">
        <v>3</v>
      </c>
      <c r="E12" s="34">
        <v>637</v>
      </c>
      <c r="F12" s="34">
        <v>681</v>
      </c>
      <c r="G12" s="34">
        <v>0</v>
      </c>
      <c r="H12" s="34">
        <v>0</v>
      </c>
    </row>
    <row r="13" spans="1:8" x14ac:dyDescent="0.2">
      <c r="A13" s="15">
        <v>9</v>
      </c>
      <c r="B13" s="15" t="s">
        <v>182</v>
      </c>
      <c r="C13" s="14" t="s">
        <v>46</v>
      </c>
      <c r="D13" s="14">
        <v>6</v>
      </c>
      <c r="E13" s="36">
        <v>619</v>
      </c>
      <c r="F13" s="36">
        <v>622</v>
      </c>
      <c r="G13" s="36">
        <v>0</v>
      </c>
      <c r="H13" s="36">
        <v>0</v>
      </c>
    </row>
    <row r="14" spans="1:8" x14ac:dyDescent="0.2">
      <c r="A14" s="13">
        <v>10</v>
      </c>
      <c r="B14" s="13" t="s">
        <v>191</v>
      </c>
      <c r="C14" s="33" t="s">
        <v>52</v>
      </c>
      <c r="D14" s="33">
        <v>3</v>
      </c>
      <c r="E14" s="34">
        <v>618</v>
      </c>
      <c r="F14" s="34">
        <v>548</v>
      </c>
      <c r="G14" s="34">
        <v>0</v>
      </c>
      <c r="H14" s="34">
        <v>0</v>
      </c>
    </row>
    <row r="15" spans="1:8" x14ac:dyDescent="0.2">
      <c r="A15" s="15">
        <v>11</v>
      </c>
      <c r="B15" s="15" t="s">
        <v>192</v>
      </c>
      <c r="C15" s="14" t="s">
        <v>52</v>
      </c>
      <c r="D15" s="14">
        <v>4</v>
      </c>
      <c r="E15" s="36">
        <v>595</v>
      </c>
      <c r="F15" s="36">
        <v>737</v>
      </c>
      <c r="G15" s="36">
        <v>0</v>
      </c>
      <c r="H15" s="36">
        <v>0</v>
      </c>
    </row>
    <row r="16" spans="1:8" x14ac:dyDescent="0.2">
      <c r="A16" s="13">
        <v>12</v>
      </c>
      <c r="B16" s="13" t="s">
        <v>195</v>
      </c>
      <c r="C16" s="33" t="s">
        <v>52</v>
      </c>
      <c r="D16" s="33">
        <v>3</v>
      </c>
      <c r="E16" s="34">
        <v>594</v>
      </c>
      <c r="F16" s="34">
        <v>715</v>
      </c>
      <c r="G16" s="34">
        <v>0</v>
      </c>
      <c r="H16" s="34">
        <v>0</v>
      </c>
    </row>
    <row r="17" spans="1:8" x14ac:dyDescent="0.2">
      <c r="A17" s="15">
        <v>13</v>
      </c>
      <c r="B17" s="15" t="s">
        <v>224</v>
      </c>
      <c r="C17" s="14" t="s">
        <v>52</v>
      </c>
      <c r="D17" s="14">
        <v>2</v>
      </c>
      <c r="E17" s="36">
        <v>525</v>
      </c>
      <c r="F17" s="36">
        <v>544</v>
      </c>
      <c r="G17" s="36">
        <v>0</v>
      </c>
      <c r="H17" s="36">
        <v>0</v>
      </c>
    </row>
    <row r="18" spans="1:8" x14ac:dyDescent="0.2">
      <c r="A18" s="13">
        <v>14</v>
      </c>
      <c r="B18" s="13" t="s">
        <v>241</v>
      </c>
      <c r="C18" s="33" t="s">
        <v>52</v>
      </c>
      <c r="D18" s="33">
        <v>2</v>
      </c>
      <c r="E18" s="34">
        <v>442</v>
      </c>
      <c r="F18" s="34">
        <v>464</v>
      </c>
      <c r="G18" s="34">
        <v>305</v>
      </c>
      <c r="H18" s="34">
        <v>304</v>
      </c>
    </row>
    <row r="19" spans="1:8" x14ac:dyDescent="0.2">
      <c r="A19" s="15">
        <v>15</v>
      </c>
      <c r="B19" s="15" t="s">
        <v>228</v>
      </c>
      <c r="C19" s="14" t="s">
        <v>46</v>
      </c>
      <c r="D19" s="14">
        <v>2</v>
      </c>
      <c r="E19" s="36">
        <v>420</v>
      </c>
      <c r="F19" s="36">
        <v>514</v>
      </c>
      <c r="G19" s="36">
        <v>0</v>
      </c>
      <c r="H19" s="36">
        <v>0</v>
      </c>
    </row>
    <row r="20" spans="1:8" x14ac:dyDescent="0.2">
      <c r="A20" s="13">
        <v>16</v>
      </c>
      <c r="B20" s="13" t="s">
        <v>103</v>
      </c>
      <c r="C20" s="33" t="s">
        <v>46</v>
      </c>
      <c r="D20" s="33">
        <v>4</v>
      </c>
      <c r="E20" s="34">
        <v>396</v>
      </c>
      <c r="F20" s="34">
        <v>426</v>
      </c>
      <c r="G20" s="34">
        <v>542</v>
      </c>
      <c r="H20" s="34">
        <v>525</v>
      </c>
    </row>
    <row r="21" spans="1:8" x14ac:dyDescent="0.2">
      <c r="A21" s="15">
        <v>17</v>
      </c>
      <c r="B21" s="15" t="s">
        <v>200</v>
      </c>
      <c r="C21" s="14" t="s">
        <v>46</v>
      </c>
      <c r="D21" s="14">
        <v>2</v>
      </c>
      <c r="E21" s="36">
        <v>372</v>
      </c>
      <c r="F21" s="36">
        <v>510</v>
      </c>
      <c r="G21" s="36">
        <v>0</v>
      </c>
      <c r="H21" s="36">
        <v>0</v>
      </c>
    </row>
    <row r="22" spans="1:8" x14ac:dyDescent="0.2">
      <c r="A22" s="13">
        <v>18</v>
      </c>
      <c r="B22" s="13" t="s">
        <v>250</v>
      </c>
      <c r="C22" s="33" t="s">
        <v>52</v>
      </c>
      <c r="D22" s="33">
        <v>8</v>
      </c>
      <c r="E22" s="34">
        <v>369</v>
      </c>
      <c r="F22" s="34">
        <v>450</v>
      </c>
      <c r="G22" s="34">
        <v>0</v>
      </c>
      <c r="H22" s="34">
        <v>0</v>
      </c>
    </row>
    <row r="23" spans="1:8" x14ac:dyDescent="0.2">
      <c r="A23" s="15">
        <v>19</v>
      </c>
      <c r="B23" s="15" t="s">
        <v>322</v>
      </c>
      <c r="C23" s="14" t="s">
        <v>46</v>
      </c>
      <c r="D23" s="14">
        <v>4</v>
      </c>
      <c r="E23" s="36">
        <v>369</v>
      </c>
      <c r="F23" s="36">
        <v>287</v>
      </c>
      <c r="G23" s="36">
        <v>0</v>
      </c>
      <c r="H23" s="36">
        <v>0</v>
      </c>
    </row>
    <row r="24" spans="1:8" x14ac:dyDescent="0.2">
      <c r="A24" s="13">
        <v>20</v>
      </c>
      <c r="B24" s="13" t="s">
        <v>184</v>
      </c>
      <c r="C24" s="33" t="s">
        <v>46</v>
      </c>
      <c r="D24" s="33">
        <v>3</v>
      </c>
      <c r="E24" s="34">
        <v>357</v>
      </c>
      <c r="F24" s="34">
        <v>449</v>
      </c>
      <c r="G24" s="34">
        <v>0</v>
      </c>
      <c r="H24" s="34">
        <v>0</v>
      </c>
    </row>
    <row r="25" spans="1:8" x14ac:dyDescent="0.2">
      <c r="A25" s="15">
        <v>21</v>
      </c>
      <c r="B25" s="15" t="s">
        <v>337</v>
      </c>
      <c r="C25" s="14" t="s">
        <v>46</v>
      </c>
      <c r="D25" s="14">
        <v>4</v>
      </c>
      <c r="E25" s="36">
        <v>344</v>
      </c>
      <c r="F25" s="36">
        <v>408</v>
      </c>
      <c r="G25" s="36">
        <v>0</v>
      </c>
      <c r="H25" s="36">
        <v>0</v>
      </c>
    </row>
    <row r="26" spans="1:8" x14ac:dyDescent="0.2">
      <c r="A26" s="13">
        <v>22</v>
      </c>
      <c r="B26" s="13" t="s">
        <v>479</v>
      </c>
      <c r="C26" s="33" t="s">
        <v>52</v>
      </c>
      <c r="D26" s="33">
        <v>4</v>
      </c>
      <c r="E26" s="34">
        <v>339</v>
      </c>
      <c r="F26" s="34">
        <v>273</v>
      </c>
      <c r="G26" s="34">
        <v>2611</v>
      </c>
      <c r="H26" s="34">
        <v>2506</v>
      </c>
    </row>
    <row r="27" spans="1:8" x14ac:dyDescent="0.2">
      <c r="A27" s="15">
        <v>23</v>
      </c>
      <c r="B27" s="15" t="s">
        <v>185</v>
      </c>
      <c r="C27" s="14" t="s">
        <v>46</v>
      </c>
      <c r="D27" s="14">
        <v>1</v>
      </c>
      <c r="E27" s="36">
        <v>329</v>
      </c>
      <c r="F27" s="36">
        <v>328</v>
      </c>
      <c r="G27" s="36">
        <v>0</v>
      </c>
      <c r="H27" s="36">
        <v>0</v>
      </c>
    </row>
    <row r="28" spans="1:8" x14ac:dyDescent="0.2">
      <c r="A28" s="13">
        <v>24</v>
      </c>
      <c r="B28" s="13" t="s">
        <v>299</v>
      </c>
      <c r="C28" s="33" t="s">
        <v>52</v>
      </c>
      <c r="D28" s="33">
        <v>3</v>
      </c>
      <c r="E28" s="34">
        <v>323</v>
      </c>
      <c r="F28" s="34">
        <v>318</v>
      </c>
      <c r="G28" s="34">
        <v>0</v>
      </c>
      <c r="H28" s="34">
        <v>0</v>
      </c>
    </row>
    <row r="29" spans="1:8" x14ac:dyDescent="0.2">
      <c r="A29" s="15">
        <v>25</v>
      </c>
      <c r="B29" s="15" t="s">
        <v>294</v>
      </c>
      <c r="C29" s="14" t="s">
        <v>52</v>
      </c>
      <c r="D29" s="14">
        <v>2</v>
      </c>
      <c r="E29" s="36">
        <v>318</v>
      </c>
      <c r="F29" s="36">
        <v>307</v>
      </c>
      <c r="G29" s="36">
        <v>0</v>
      </c>
      <c r="H29" s="36">
        <v>0</v>
      </c>
    </row>
    <row r="30" spans="1:8" x14ac:dyDescent="0.2">
      <c r="A30" s="13">
        <v>26</v>
      </c>
      <c r="B30" s="13" t="s">
        <v>422</v>
      </c>
      <c r="C30" s="33" t="s">
        <v>52</v>
      </c>
      <c r="D30" s="33">
        <v>3</v>
      </c>
      <c r="E30" s="34">
        <v>315</v>
      </c>
      <c r="F30" s="34">
        <v>321</v>
      </c>
      <c r="G30" s="34">
        <v>1092</v>
      </c>
      <c r="H30" s="34">
        <v>1000</v>
      </c>
    </row>
    <row r="31" spans="1:8" x14ac:dyDescent="0.2">
      <c r="A31" s="15">
        <v>27</v>
      </c>
      <c r="B31" s="15" t="s">
        <v>327</v>
      </c>
      <c r="C31" s="14" t="s">
        <v>52</v>
      </c>
      <c r="D31" s="14">
        <v>2</v>
      </c>
      <c r="E31" s="36">
        <v>312</v>
      </c>
      <c r="F31" s="36">
        <v>282</v>
      </c>
      <c r="G31" s="36">
        <v>0</v>
      </c>
      <c r="H31" s="36">
        <v>0</v>
      </c>
    </row>
    <row r="32" spans="1:8" x14ac:dyDescent="0.2">
      <c r="A32" s="13">
        <v>28</v>
      </c>
      <c r="B32" s="13" t="s">
        <v>257</v>
      </c>
      <c r="C32" s="33" t="s">
        <v>52</v>
      </c>
      <c r="D32" s="33">
        <v>3</v>
      </c>
      <c r="E32" s="34">
        <v>308</v>
      </c>
      <c r="F32" s="34">
        <v>305</v>
      </c>
      <c r="G32" s="34">
        <v>261</v>
      </c>
      <c r="H32" s="34">
        <v>258</v>
      </c>
    </row>
    <row r="33" spans="1:8" x14ac:dyDescent="0.2">
      <c r="A33" s="15">
        <v>29</v>
      </c>
      <c r="B33" s="15" t="s">
        <v>352</v>
      </c>
      <c r="C33" s="14" t="s">
        <v>46</v>
      </c>
      <c r="D33" s="14">
        <v>2</v>
      </c>
      <c r="E33" s="36">
        <v>300</v>
      </c>
      <c r="F33" s="36">
        <v>271</v>
      </c>
      <c r="G33" s="36">
        <v>0</v>
      </c>
      <c r="H33" s="36">
        <v>0</v>
      </c>
    </row>
    <row r="34" spans="1:8" x14ac:dyDescent="0.2">
      <c r="A34" s="13">
        <v>30</v>
      </c>
      <c r="B34" s="13" t="s">
        <v>332</v>
      </c>
      <c r="C34" s="33" t="s">
        <v>52</v>
      </c>
      <c r="D34" s="33">
        <v>2</v>
      </c>
      <c r="E34" s="34">
        <v>298</v>
      </c>
      <c r="F34" s="34">
        <v>310</v>
      </c>
      <c r="G34" s="34">
        <v>319</v>
      </c>
      <c r="H34" s="34">
        <v>318</v>
      </c>
    </row>
    <row r="35" spans="1:8" x14ac:dyDescent="0.2">
      <c r="A35" s="15">
        <v>31</v>
      </c>
      <c r="B35" s="15" t="s">
        <v>537</v>
      </c>
      <c r="C35" s="14" t="s">
        <v>52</v>
      </c>
      <c r="D35" s="14">
        <v>3</v>
      </c>
      <c r="E35" s="36">
        <v>293</v>
      </c>
      <c r="F35" s="36">
        <v>268</v>
      </c>
      <c r="G35" s="36">
        <v>794</v>
      </c>
      <c r="H35" s="36">
        <v>789</v>
      </c>
    </row>
    <row r="36" spans="1:8" x14ac:dyDescent="0.2">
      <c r="A36" s="13">
        <v>32</v>
      </c>
      <c r="B36" s="13" t="s">
        <v>324</v>
      </c>
      <c r="C36" s="33" t="s">
        <v>46</v>
      </c>
      <c r="D36" s="33">
        <v>3</v>
      </c>
      <c r="E36" s="34">
        <v>287</v>
      </c>
      <c r="F36" s="34">
        <v>287</v>
      </c>
      <c r="G36" s="34">
        <v>264</v>
      </c>
      <c r="H36" s="34">
        <v>264</v>
      </c>
    </row>
    <row r="37" spans="1:8" x14ac:dyDescent="0.2">
      <c r="A37" s="15">
        <v>33</v>
      </c>
      <c r="B37" s="15" t="s">
        <v>574</v>
      </c>
      <c r="C37" s="14" t="s">
        <v>52</v>
      </c>
      <c r="D37" s="14">
        <v>4</v>
      </c>
      <c r="E37" s="36">
        <v>283</v>
      </c>
      <c r="F37" s="36">
        <v>261</v>
      </c>
      <c r="G37" s="36">
        <v>0</v>
      </c>
      <c r="H37" s="36">
        <v>0</v>
      </c>
    </row>
    <row r="38" spans="1:8" x14ac:dyDescent="0.2">
      <c r="A38" s="13">
        <v>34</v>
      </c>
      <c r="B38" s="13" t="s">
        <v>546</v>
      </c>
      <c r="C38" s="33" t="s">
        <v>52</v>
      </c>
      <c r="D38" s="33">
        <v>3</v>
      </c>
      <c r="E38" s="34">
        <v>273</v>
      </c>
      <c r="F38" s="34">
        <v>251</v>
      </c>
      <c r="G38" s="34">
        <v>0</v>
      </c>
      <c r="H38" s="34">
        <v>0</v>
      </c>
    </row>
    <row r="39" spans="1:8" x14ac:dyDescent="0.2">
      <c r="A39" s="15">
        <v>35</v>
      </c>
      <c r="B39" s="15" t="s">
        <v>443</v>
      </c>
      <c r="C39" s="14" t="s">
        <v>52</v>
      </c>
      <c r="D39" s="14">
        <v>3</v>
      </c>
      <c r="E39" s="36">
        <v>271</v>
      </c>
      <c r="F39" s="36">
        <v>295</v>
      </c>
      <c r="G39" s="36">
        <v>0</v>
      </c>
      <c r="H39" s="36">
        <v>0</v>
      </c>
    </row>
    <row r="40" spans="1:8" x14ac:dyDescent="0.2">
      <c r="A40" s="13">
        <v>36</v>
      </c>
      <c r="B40" s="13" t="s">
        <v>366</v>
      </c>
      <c r="C40" s="33" t="s">
        <v>52</v>
      </c>
      <c r="D40" s="33">
        <v>3</v>
      </c>
      <c r="E40" s="34">
        <v>262</v>
      </c>
      <c r="F40" s="34">
        <v>261</v>
      </c>
      <c r="G40" s="34">
        <v>0</v>
      </c>
      <c r="H40" s="34">
        <v>0</v>
      </c>
    </row>
    <row r="41" spans="1:8" x14ac:dyDescent="0.2">
      <c r="A41" s="15">
        <v>37</v>
      </c>
      <c r="B41" s="15" t="s">
        <v>145</v>
      </c>
      <c r="C41" s="14" t="s">
        <v>46</v>
      </c>
      <c r="D41" s="14">
        <v>1</v>
      </c>
      <c r="E41" s="36">
        <v>258</v>
      </c>
      <c r="F41" s="36">
        <v>204</v>
      </c>
      <c r="G41" s="36">
        <v>0</v>
      </c>
      <c r="H41" s="36">
        <v>0</v>
      </c>
    </row>
    <row r="42" spans="1:8" x14ac:dyDescent="0.2">
      <c r="A42" s="13">
        <v>38</v>
      </c>
      <c r="B42" s="13" t="s">
        <v>131</v>
      </c>
      <c r="C42" s="33" t="s">
        <v>46</v>
      </c>
      <c r="D42" s="33">
        <v>3</v>
      </c>
      <c r="E42" s="34">
        <v>256</v>
      </c>
      <c r="F42" s="34">
        <v>262</v>
      </c>
      <c r="G42" s="34">
        <v>551</v>
      </c>
      <c r="H42" s="34">
        <v>527</v>
      </c>
    </row>
    <row r="43" spans="1:8" x14ac:dyDescent="0.2">
      <c r="A43" s="15">
        <v>39</v>
      </c>
      <c r="B43" s="15" t="s">
        <v>388</v>
      </c>
      <c r="C43" s="14" t="s">
        <v>46</v>
      </c>
      <c r="D43" s="14">
        <v>2</v>
      </c>
      <c r="E43" s="36">
        <v>249</v>
      </c>
      <c r="F43" s="36">
        <v>243</v>
      </c>
      <c r="G43" s="36">
        <v>0</v>
      </c>
      <c r="H43" s="36">
        <v>0</v>
      </c>
    </row>
    <row r="44" spans="1:8" x14ac:dyDescent="0.2">
      <c r="A44" s="13">
        <v>40</v>
      </c>
      <c r="B44" s="13" t="s">
        <v>557</v>
      </c>
      <c r="C44" s="33" t="s">
        <v>46</v>
      </c>
      <c r="D44" s="33">
        <v>3</v>
      </c>
      <c r="E44" s="34">
        <v>244</v>
      </c>
      <c r="F44" s="34">
        <v>217</v>
      </c>
      <c r="G44" s="34">
        <v>450</v>
      </c>
      <c r="H44" s="34">
        <v>442</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EA17D-3789-1748-AE71-CFC7033FB526}">
  <dimension ref="A1:I24"/>
  <sheetViews>
    <sheetView workbookViewId="0">
      <selection activeCell="D15" sqref="D15"/>
    </sheetView>
  </sheetViews>
  <sheetFormatPr baseColWidth="10" defaultRowHeight="15" x14ac:dyDescent="0.2"/>
  <cols>
    <col min="1" max="1" width="43.33203125" customWidth="1"/>
    <col min="3" max="3" width="43.33203125" customWidth="1"/>
  </cols>
  <sheetData>
    <row r="1" spans="1:9" ht="28" x14ac:dyDescent="0.2">
      <c r="A1" s="69" t="s">
        <v>1991</v>
      </c>
      <c r="B1" s="69" t="s">
        <v>1992</v>
      </c>
      <c r="C1" s="69" t="s">
        <v>1993</v>
      </c>
      <c r="D1" s="69" t="s">
        <v>1994</v>
      </c>
      <c r="E1" s="69" t="s">
        <v>37</v>
      </c>
      <c r="F1" s="69" t="s">
        <v>1995</v>
      </c>
      <c r="G1" s="69" t="s">
        <v>40</v>
      </c>
      <c r="H1" s="69" t="s">
        <v>41</v>
      </c>
      <c r="I1" s="69" t="s">
        <v>1432</v>
      </c>
    </row>
    <row r="2" spans="1:9" ht="34" x14ac:dyDescent="0.2">
      <c r="A2" s="74" t="s">
        <v>1996</v>
      </c>
      <c r="B2" s="69" t="s">
        <v>1997</v>
      </c>
      <c r="C2" s="70"/>
      <c r="D2" s="69" t="s">
        <v>1997</v>
      </c>
      <c r="E2" s="70"/>
      <c r="F2" s="70"/>
      <c r="G2" s="70"/>
      <c r="H2" s="70"/>
      <c r="I2" s="70"/>
    </row>
    <row r="3" spans="1:9" ht="34" x14ac:dyDescent="0.2">
      <c r="A3" s="76" t="s">
        <v>1998</v>
      </c>
      <c r="B3" s="77" t="s">
        <v>1999</v>
      </c>
      <c r="C3" s="78" t="s">
        <v>2000</v>
      </c>
      <c r="D3" s="77" t="s">
        <v>1997</v>
      </c>
      <c r="E3" s="79">
        <v>0</v>
      </c>
      <c r="F3" s="79">
        <v>57</v>
      </c>
      <c r="G3" s="79">
        <v>0</v>
      </c>
      <c r="H3" s="79">
        <v>0</v>
      </c>
      <c r="I3" s="79">
        <v>0</v>
      </c>
    </row>
    <row r="4" spans="1:9" ht="51" x14ac:dyDescent="0.2">
      <c r="A4" s="74" t="s">
        <v>2001</v>
      </c>
      <c r="B4" s="69" t="s">
        <v>1997</v>
      </c>
      <c r="C4" s="70"/>
      <c r="D4" s="69" t="s">
        <v>1997</v>
      </c>
      <c r="E4" s="70"/>
      <c r="F4" s="70"/>
      <c r="G4" s="70"/>
      <c r="H4" s="70"/>
      <c r="I4" s="70"/>
    </row>
    <row r="5" spans="1:9" ht="34" x14ac:dyDescent="0.2">
      <c r="A5" s="74" t="s">
        <v>2002</v>
      </c>
      <c r="B5" s="69" t="s">
        <v>1997</v>
      </c>
      <c r="C5" s="70"/>
      <c r="D5" s="69" t="s">
        <v>1999</v>
      </c>
      <c r="E5" s="70"/>
      <c r="F5" s="70"/>
      <c r="G5" s="70"/>
      <c r="H5" s="70"/>
      <c r="I5" s="70"/>
    </row>
    <row r="6" spans="1:9" ht="34" x14ac:dyDescent="0.2">
      <c r="A6" s="74" t="s">
        <v>2003</v>
      </c>
      <c r="B6" s="69" t="s">
        <v>1997</v>
      </c>
      <c r="C6" s="69" t="s">
        <v>2004</v>
      </c>
      <c r="D6" s="69" t="s">
        <v>1999</v>
      </c>
      <c r="E6" s="70"/>
      <c r="F6" s="70"/>
      <c r="G6" s="70"/>
      <c r="H6" s="70"/>
      <c r="I6" s="70"/>
    </row>
    <row r="7" spans="1:9" ht="64" x14ac:dyDescent="0.2">
      <c r="A7" s="76" t="s">
        <v>2005</v>
      </c>
      <c r="B7" s="77" t="s">
        <v>1999</v>
      </c>
      <c r="C7" s="78" t="s">
        <v>637</v>
      </c>
      <c r="D7" s="77" t="s">
        <v>1999</v>
      </c>
      <c r="E7" s="79">
        <v>123</v>
      </c>
      <c r="F7" s="79">
        <v>80</v>
      </c>
      <c r="G7" s="79">
        <v>0</v>
      </c>
      <c r="H7" s="79">
        <v>0</v>
      </c>
      <c r="I7" s="79">
        <v>4</v>
      </c>
    </row>
    <row r="8" spans="1:9" ht="51" x14ac:dyDescent="0.2">
      <c r="A8" s="76" t="s">
        <v>2006</v>
      </c>
      <c r="B8" s="77" t="s">
        <v>1999</v>
      </c>
      <c r="C8" s="77" t="s">
        <v>1415</v>
      </c>
      <c r="D8" s="77" t="s">
        <v>1999</v>
      </c>
      <c r="E8" s="79">
        <v>12</v>
      </c>
      <c r="F8" s="79">
        <v>0</v>
      </c>
      <c r="G8" s="79">
        <v>0</v>
      </c>
      <c r="H8" s="79">
        <v>0</v>
      </c>
      <c r="I8" s="79">
        <v>1</v>
      </c>
    </row>
    <row r="9" spans="1:9" ht="51" x14ac:dyDescent="0.2">
      <c r="A9" s="76" t="s">
        <v>2007</v>
      </c>
      <c r="B9" s="77" t="s">
        <v>1999</v>
      </c>
      <c r="C9" s="77" t="s">
        <v>2008</v>
      </c>
      <c r="D9" s="77" t="s">
        <v>1999</v>
      </c>
      <c r="E9" s="78">
        <v>273</v>
      </c>
      <c r="F9" s="78">
        <v>195</v>
      </c>
      <c r="G9" s="78">
        <v>128</v>
      </c>
      <c r="H9" s="78">
        <v>126</v>
      </c>
      <c r="I9" s="78">
        <v>8</v>
      </c>
    </row>
    <row r="10" spans="1:9" ht="51" x14ac:dyDescent="0.2">
      <c r="A10" s="74" t="s">
        <v>2009</v>
      </c>
      <c r="B10" s="69" t="s">
        <v>1997</v>
      </c>
      <c r="C10" s="70"/>
      <c r="D10" s="69" t="s">
        <v>1999</v>
      </c>
      <c r="E10" s="70"/>
      <c r="F10" s="70"/>
      <c r="G10" s="70"/>
      <c r="H10" s="70"/>
      <c r="I10" s="70"/>
    </row>
    <row r="11" spans="1:9" ht="34" x14ac:dyDescent="0.2">
      <c r="A11" s="74" t="s">
        <v>2010</v>
      </c>
      <c r="B11" s="69" t="s">
        <v>1997</v>
      </c>
      <c r="C11" s="70"/>
      <c r="D11" s="69" t="s">
        <v>1999</v>
      </c>
      <c r="E11" s="70"/>
      <c r="F11" s="70"/>
      <c r="G11" s="70"/>
      <c r="H11" s="70"/>
      <c r="I11" s="70"/>
    </row>
    <row r="12" spans="1:9" ht="34" x14ac:dyDescent="0.2">
      <c r="A12" s="74" t="s">
        <v>2011</v>
      </c>
      <c r="B12" s="69" t="s">
        <v>1997</v>
      </c>
      <c r="C12" s="70"/>
      <c r="D12" s="69" t="s">
        <v>1999</v>
      </c>
      <c r="E12" s="70"/>
      <c r="F12" s="70"/>
      <c r="G12" s="70"/>
      <c r="H12" s="70"/>
      <c r="I12" s="70"/>
    </row>
    <row r="13" spans="1:9" ht="34" x14ac:dyDescent="0.2">
      <c r="A13" s="76" t="s">
        <v>2012</v>
      </c>
      <c r="B13" s="77" t="s">
        <v>1999</v>
      </c>
      <c r="C13" s="78" t="s">
        <v>1073</v>
      </c>
      <c r="D13" s="77" t="s">
        <v>1999</v>
      </c>
      <c r="E13" s="79">
        <v>0</v>
      </c>
      <c r="F13" s="79">
        <v>0</v>
      </c>
      <c r="G13" s="79">
        <v>2650</v>
      </c>
      <c r="H13" s="79">
        <v>2626</v>
      </c>
      <c r="I13" s="79">
        <v>0</v>
      </c>
    </row>
    <row r="14" spans="1:9" ht="51" x14ac:dyDescent="0.2">
      <c r="A14" s="74" t="s">
        <v>2013</v>
      </c>
      <c r="B14" s="69" t="s">
        <v>1997</v>
      </c>
      <c r="C14" s="70"/>
      <c r="D14" s="69" t="s">
        <v>1999</v>
      </c>
      <c r="E14" s="70"/>
      <c r="F14" s="70"/>
      <c r="G14" s="70"/>
      <c r="H14" s="70"/>
      <c r="I14" s="70"/>
    </row>
    <row r="15" spans="1:9" ht="42" x14ac:dyDescent="0.2">
      <c r="A15" s="76" t="s">
        <v>2014</v>
      </c>
      <c r="B15" s="77" t="s">
        <v>1999</v>
      </c>
      <c r="C15" s="77" t="s">
        <v>804</v>
      </c>
      <c r="D15" s="77" t="s">
        <v>1999</v>
      </c>
      <c r="E15" s="79">
        <v>135</v>
      </c>
      <c r="F15" s="79">
        <v>109</v>
      </c>
      <c r="G15" s="79">
        <v>0</v>
      </c>
      <c r="H15" s="79">
        <v>0</v>
      </c>
      <c r="I15" s="79">
        <v>4</v>
      </c>
    </row>
    <row r="16" spans="1:9" ht="51" x14ac:dyDescent="0.2">
      <c r="A16" s="76" t="s">
        <v>2015</v>
      </c>
      <c r="B16" s="77" t="s">
        <v>1999</v>
      </c>
      <c r="C16" s="77" t="s">
        <v>694</v>
      </c>
      <c r="D16" s="77" t="s">
        <v>1999</v>
      </c>
      <c r="E16" s="79">
        <v>142</v>
      </c>
      <c r="F16" s="79">
        <v>112</v>
      </c>
      <c r="G16" s="79">
        <v>744</v>
      </c>
      <c r="H16" s="79">
        <v>682</v>
      </c>
      <c r="I16" s="79">
        <v>6</v>
      </c>
    </row>
    <row r="17" spans="1:9" ht="51" x14ac:dyDescent="0.2">
      <c r="A17" s="74" t="s">
        <v>2016</v>
      </c>
      <c r="B17" s="69" t="s">
        <v>1997</v>
      </c>
      <c r="C17" s="70"/>
      <c r="D17" s="69" t="s">
        <v>1999</v>
      </c>
      <c r="E17" s="70"/>
      <c r="F17" s="70"/>
      <c r="G17" s="70"/>
      <c r="H17" s="70"/>
      <c r="I17" s="70"/>
    </row>
    <row r="18" spans="1:9" ht="51" x14ac:dyDescent="0.2">
      <c r="A18" s="74" t="s">
        <v>2017</v>
      </c>
      <c r="B18" s="69" t="s">
        <v>1997</v>
      </c>
      <c r="C18" s="70"/>
      <c r="D18" s="69" t="s">
        <v>1997</v>
      </c>
      <c r="E18" s="70"/>
      <c r="F18" s="70"/>
      <c r="G18" s="70"/>
      <c r="H18" s="70"/>
      <c r="I18" s="70"/>
    </row>
    <row r="19" spans="1:9" ht="51" x14ac:dyDescent="0.2">
      <c r="A19" s="76" t="s">
        <v>2018</v>
      </c>
      <c r="B19" s="77" t="s">
        <v>1999</v>
      </c>
      <c r="C19" s="77" t="s">
        <v>250</v>
      </c>
      <c r="D19" s="77" t="s">
        <v>1999</v>
      </c>
      <c r="E19" s="79">
        <v>715</v>
      </c>
      <c r="F19" s="79">
        <v>871</v>
      </c>
      <c r="G19" s="79">
        <v>0</v>
      </c>
      <c r="H19" s="79">
        <v>0</v>
      </c>
      <c r="I19" s="79">
        <v>22</v>
      </c>
    </row>
    <row r="20" spans="1:9" ht="51" x14ac:dyDescent="0.2">
      <c r="A20" s="76" t="s">
        <v>2019</v>
      </c>
      <c r="B20" s="77" t="s">
        <v>1999</v>
      </c>
      <c r="C20" s="77" t="s">
        <v>2025</v>
      </c>
      <c r="D20" s="77" t="s">
        <v>1997</v>
      </c>
      <c r="E20" s="78">
        <f>SUM(E21:E24)</f>
        <v>3522</v>
      </c>
      <c r="F20" s="78">
        <f t="shared" ref="F20:I20" si="0">SUM(F21:F24)</f>
        <v>4673</v>
      </c>
      <c r="G20" s="78">
        <f t="shared" si="0"/>
        <v>6537</v>
      </c>
      <c r="H20" s="78">
        <f t="shared" si="0"/>
        <v>5937</v>
      </c>
      <c r="I20" s="78">
        <f t="shared" si="0"/>
        <v>62</v>
      </c>
    </row>
    <row r="21" spans="1:9" ht="16" x14ac:dyDescent="0.2">
      <c r="A21" s="70"/>
      <c r="B21" s="70" t="s">
        <v>2023</v>
      </c>
      <c r="C21" s="75" t="s">
        <v>2021</v>
      </c>
      <c r="D21" s="70"/>
      <c r="E21">
        <v>0</v>
      </c>
      <c r="F21">
        <v>0</v>
      </c>
      <c r="G21">
        <v>150</v>
      </c>
      <c r="H21">
        <v>150</v>
      </c>
      <c r="I21">
        <v>0</v>
      </c>
    </row>
    <row r="22" spans="1:9" ht="16" x14ac:dyDescent="0.2">
      <c r="A22" s="70"/>
      <c r="B22" s="70" t="s">
        <v>2023</v>
      </c>
      <c r="C22" s="75" t="s">
        <v>2022</v>
      </c>
      <c r="D22" s="70"/>
      <c r="E22">
        <v>96</v>
      </c>
      <c r="F22">
        <v>95</v>
      </c>
      <c r="G22">
        <v>0</v>
      </c>
      <c r="H22">
        <v>0</v>
      </c>
      <c r="I22">
        <v>4</v>
      </c>
    </row>
    <row r="23" spans="1:9" ht="16" x14ac:dyDescent="0.2">
      <c r="A23" s="70"/>
      <c r="B23" s="70" t="s">
        <v>2020</v>
      </c>
      <c r="C23" s="75" t="s">
        <v>2024</v>
      </c>
      <c r="D23" s="70"/>
      <c r="E23">
        <v>300</v>
      </c>
      <c r="F23">
        <v>300</v>
      </c>
      <c r="G23">
        <v>0</v>
      </c>
      <c r="H23">
        <v>0</v>
      </c>
      <c r="I23">
        <v>4</v>
      </c>
    </row>
    <row r="24" spans="1:9" ht="16" x14ac:dyDescent="0.2">
      <c r="A24" s="70"/>
      <c r="B24" s="70" t="s">
        <v>46</v>
      </c>
      <c r="C24" s="75" t="s">
        <v>179</v>
      </c>
      <c r="D24" s="70"/>
      <c r="E24">
        <v>3126</v>
      </c>
      <c r="F24">
        <v>4278</v>
      </c>
      <c r="G24">
        <v>6387</v>
      </c>
      <c r="H24">
        <v>5787</v>
      </c>
      <c r="I24">
        <v>54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3328"/>
  <sheetViews>
    <sheetView showGridLines="0" zoomScaleNormal="100" workbookViewId="0">
      <pane ySplit="1" topLeftCell="A80" activePane="bottomLeft" state="frozen"/>
      <selection pane="bottomLeft" activeCell="N80" sqref="N80"/>
    </sheetView>
  </sheetViews>
  <sheetFormatPr baseColWidth="10" defaultColWidth="8.6640625" defaultRowHeight="15" x14ac:dyDescent="0.2"/>
  <cols>
    <col min="1" max="1" width="42" customWidth="1"/>
    <col min="2" max="2" width="18" customWidth="1"/>
    <col min="3" max="3" width="16" customWidth="1"/>
    <col min="4" max="4" width="30" customWidth="1"/>
    <col min="5" max="5" width="6" customWidth="1"/>
    <col min="6" max="6" width="40" customWidth="1"/>
    <col min="7" max="7" width="14" customWidth="1"/>
    <col min="8" max="8" width="15" customWidth="1"/>
    <col min="9" max="9" width="14" customWidth="1"/>
    <col min="10" max="10" width="13" customWidth="1"/>
    <col min="11" max="11" width="10" customWidth="1"/>
    <col min="12" max="12" width="11" customWidth="1"/>
    <col min="13" max="13" width="26" customWidth="1"/>
    <col min="14" max="15" width="10" customWidth="1"/>
  </cols>
  <sheetData>
    <row r="1" spans="1:15" ht="28" x14ac:dyDescent="0.2">
      <c r="A1" s="4" t="s">
        <v>27</v>
      </c>
      <c r="B1" s="4" t="s">
        <v>28</v>
      </c>
      <c r="C1" s="4" t="s">
        <v>29</v>
      </c>
      <c r="D1" s="4" t="s">
        <v>30</v>
      </c>
      <c r="E1" s="4" t="s">
        <v>31</v>
      </c>
      <c r="F1" s="4" t="s">
        <v>32</v>
      </c>
      <c r="G1" s="4" t="s">
        <v>33</v>
      </c>
      <c r="H1" s="4" t="s">
        <v>34</v>
      </c>
      <c r="I1" s="4" t="s">
        <v>35</v>
      </c>
      <c r="J1" s="4" t="s">
        <v>36</v>
      </c>
      <c r="K1" s="4" t="s">
        <v>37</v>
      </c>
      <c r="L1" s="4" t="s">
        <v>38</v>
      </c>
      <c r="M1" s="4" t="s">
        <v>39</v>
      </c>
      <c r="N1" s="4" t="s">
        <v>40</v>
      </c>
      <c r="O1" s="4" t="s">
        <v>41</v>
      </c>
    </row>
    <row r="2" spans="1:15" x14ac:dyDescent="0.2">
      <c r="A2" s="10" t="s">
        <v>42</v>
      </c>
      <c r="B2" s="10" t="s">
        <v>43</v>
      </c>
      <c r="C2" s="10" t="s">
        <v>44</v>
      </c>
      <c r="D2" s="10" t="s">
        <v>45</v>
      </c>
      <c r="E2" s="10" t="s">
        <v>46</v>
      </c>
      <c r="F2" s="10" t="s">
        <v>47</v>
      </c>
      <c r="G2" s="10" t="b">
        <f>FALSE()</f>
        <v>0</v>
      </c>
      <c r="H2" s="10">
        <v>1</v>
      </c>
      <c r="I2" s="10">
        <v>0</v>
      </c>
      <c r="J2" s="10">
        <v>17</v>
      </c>
      <c r="K2" s="10">
        <v>2569</v>
      </c>
      <c r="L2" s="10">
        <v>2773</v>
      </c>
      <c r="M2" s="10">
        <v>0</v>
      </c>
      <c r="N2" s="10">
        <v>0</v>
      </c>
      <c r="O2" s="10">
        <v>0</v>
      </c>
    </row>
    <row r="3" spans="1:15" x14ac:dyDescent="0.2">
      <c r="A3" s="10" t="s">
        <v>48</v>
      </c>
      <c r="B3" s="10" t="s">
        <v>49</v>
      </c>
      <c r="C3" s="10" t="s">
        <v>50</v>
      </c>
      <c r="D3" s="10" t="s">
        <v>51</v>
      </c>
      <c r="E3" s="10" t="s">
        <v>52</v>
      </c>
      <c r="F3" s="10" t="s">
        <v>53</v>
      </c>
      <c r="G3" s="10" t="b">
        <f>FALSE()</f>
        <v>0</v>
      </c>
      <c r="H3" s="10">
        <v>1</v>
      </c>
      <c r="I3" s="10">
        <v>0</v>
      </c>
      <c r="J3" s="10">
        <v>8</v>
      </c>
      <c r="K3" s="10">
        <v>1792</v>
      </c>
      <c r="L3" s="10">
        <v>1615</v>
      </c>
      <c r="M3" s="10">
        <v>0</v>
      </c>
      <c r="N3" s="10">
        <v>0</v>
      </c>
      <c r="O3" s="10">
        <v>0</v>
      </c>
    </row>
    <row r="4" spans="1:15" x14ac:dyDescent="0.2">
      <c r="A4" s="10" t="s">
        <v>54</v>
      </c>
      <c r="B4" s="10" t="s">
        <v>55</v>
      </c>
      <c r="C4" s="10" t="s">
        <v>56</v>
      </c>
      <c r="D4" s="10" t="s">
        <v>45</v>
      </c>
      <c r="E4" s="10" t="s">
        <v>46</v>
      </c>
      <c r="F4" s="10" t="s">
        <v>47</v>
      </c>
      <c r="G4" s="10" t="b">
        <f>FALSE()</f>
        <v>0</v>
      </c>
      <c r="H4" s="10">
        <v>1</v>
      </c>
      <c r="I4" s="10">
        <v>1</v>
      </c>
      <c r="J4" s="10">
        <v>6</v>
      </c>
      <c r="K4" s="10">
        <v>1256</v>
      </c>
      <c r="L4" s="10">
        <v>1238</v>
      </c>
      <c r="M4" s="10">
        <v>1</v>
      </c>
      <c r="N4" s="10">
        <v>969</v>
      </c>
      <c r="O4" s="10">
        <v>908</v>
      </c>
    </row>
    <row r="5" spans="1:15" x14ac:dyDescent="0.2">
      <c r="A5" s="10" t="s">
        <v>57</v>
      </c>
      <c r="B5" s="10" t="s">
        <v>43</v>
      </c>
      <c r="C5" s="10" t="s">
        <v>44</v>
      </c>
      <c r="D5" s="10" t="s">
        <v>45</v>
      </c>
      <c r="E5" s="10" t="s">
        <v>46</v>
      </c>
      <c r="F5" s="10" t="s">
        <v>58</v>
      </c>
      <c r="G5" s="10" t="b">
        <f>FALSE()</f>
        <v>0</v>
      </c>
      <c r="H5" s="10">
        <v>1</v>
      </c>
      <c r="I5" s="10">
        <v>1</v>
      </c>
      <c r="J5" s="10">
        <v>8</v>
      </c>
      <c r="K5" s="10">
        <v>1115</v>
      </c>
      <c r="L5" s="10">
        <v>1180</v>
      </c>
      <c r="M5" s="10">
        <v>1</v>
      </c>
      <c r="N5" s="10">
        <v>567</v>
      </c>
      <c r="O5" s="10">
        <v>556</v>
      </c>
    </row>
    <row r="6" spans="1:15" x14ac:dyDescent="0.2">
      <c r="A6" s="10" t="s">
        <v>59</v>
      </c>
      <c r="B6" s="10" t="s">
        <v>60</v>
      </c>
      <c r="C6" s="10" t="s">
        <v>50</v>
      </c>
      <c r="D6" s="10" t="s">
        <v>51</v>
      </c>
      <c r="E6" s="10" t="s">
        <v>52</v>
      </c>
      <c r="F6" s="10" t="s">
        <v>61</v>
      </c>
      <c r="G6" s="10" t="b">
        <f>FALSE()</f>
        <v>0</v>
      </c>
      <c r="H6" s="10">
        <v>1</v>
      </c>
      <c r="I6" s="10">
        <v>1</v>
      </c>
      <c r="J6" s="10">
        <v>4</v>
      </c>
      <c r="K6" s="10">
        <v>1276</v>
      </c>
      <c r="L6" s="10">
        <v>1025</v>
      </c>
      <c r="M6" s="10">
        <v>1</v>
      </c>
      <c r="N6" s="10">
        <v>821</v>
      </c>
      <c r="O6" s="10">
        <v>821</v>
      </c>
    </row>
    <row r="7" spans="1:15" x14ac:dyDescent="0.2">
      <c r="A7" s="10" t="s">
        <v>62</v>
      </c>
      <c r="B7" s="10" t="s">
        <v>63</v>
      </c>
      <c r="C7" s="10" t="s">
        <v>64</v>
      </c>
      <c r="D7" s="10" t="s">
        <v>45</v>
      </c>
      <c r="E7" s="10" t="s">
        <v>46</v>
      </c>
      <c r="F7" s="10" t="s">
        <v>65</v>
      </c>
      <c r="G7" s="10" t="b">
        <f>FALSE()</f>
        <v>0</v>
      </c>
      <c r="H7" s="10">
        <v>1</v>
      </c>
      <c r="I7" s="10">
        <v>0</v>
      </c>
      <c r="J7" s="10">
        <v>5</v>
      </c>
      <c r="K7" s="10">
        <v>1019</v>
      </c>
      <c r="L7" s="10">
        <v>1010</v>
      </c>
      <c r="M7" s="10">
        <v>0</v>
      </c>
      <c r="N7" s="10">
        <v>0</v>
      </c>
      <c r="O7" s="10">
        <v>0</v>
      </c>
    </row>
    <row r="8" spans="1:15" x14ac:dyDescent="0.2">
      <c r="A8" s="10" t="s">
        <v>66</v>
      </c>
      <c r="B8" s="10" t="s">
        <v>67</v>
      </c>
      <c r="C8" s="10" t="s">
        <v>64</v>
      </c>
      <c r="D8" s="10" t="s">
        <v>45</v>
      </c>
      <c r="E8" s="10" t="s">
        <v>46</v>
      </c>
      <c r="F8" s="10" t="s">
        <v>53</v>
      </c>
      <c r="G8" s="10" t="b">
        <f>FALSE()</f>
        <v>0</v>
      </c>
      <c r="H8" s="10">
        <v>1</v>
      </c>
      <c r="I8" s="10">
        <v>0</v>
      </c>
      <c r="J8" s="10">
        <v>4</v>
      </c>
      <c r="K8" s="10">
        <v>858</v>
      </c>
      <c r="L8" s="10">
        <v>941</v>
      </c>
      <c r="M8" s="10">
        <v>0</v>
      </c>
      <c r="N8" s="10">
        <v>0</v>
      </c>
      <c r="O8" s="10">
        <v>0</v>
      </c>
    </row>
    <row r="9" spans="1:15" x14ac:dyDescent="0.2">
      <c r="A9" s="10" t="s">
        <v>68</v>
      </c>
      <c r="B9" s="10" t="s">
        <v>55</v>
      </c>
      <c r="C9" s="10" t="s">
        <v>56</v>
      </c>
      <c r="D9" s="10" t="s">
        <v>45</v>
      </c>
      <c r="E9" s="10" t="s">
        <v>46</v>
      </c>
      <c r="F9" s="10" t="s">
        <v>47</v>
      </c>
      <c r="G9" s="10" t="b">
        <f>FALSE()</f>
        <v>0</v>
      </c>
      <c r="H9" s="10">
        <v>1</v>
      </c>
      <c r="I9" s="10">
        <v>0</v>
      </c>
      <c r="J9" s="10">
        <v>2</v>
      </c>
      <c r="K9" s="10">
        <v>764</v>
      </c>
      <c r="L9" s="10">
        <v>930</v>
      </c>
      <c r="M9" s="10">
        <v>0</v>
      </c>
      <c r="N9" s="10">
        <v>0</v>
      </c>
      <c r="O9" s="10">
        <v>0</v>
      </c>
    </row>
    <row r="10" spans="1:15" x14ac:dyDescent="0.2">
      <c r="A10" s="10" t="s">
        <v>69</v>
      </c>
      <c r="B10" s="10" t="s">
        <v>70</v>
      </c>
      <c r="C10" s="10" t="s">
        <v>70</v>
      </c>
      <c r="D10" s="10" t="s">
        <v>45</v>
      </c>
      <c r="E10" s="10" t="s">
        <v>46</v>
      </c>
      <c r="F10" s="10" t="s">
        <v>58</v>
      </c>
      <c r="G10" s="10" t="b">
        <f>FALSE()</f>
        <v>0</v>
      </c>
      <c r="H10" s="10">
        <v>1</v>
      </c>
      <c r="I10" s="10">
        <v>0</v>
      </c>
      <c r="J10" s="10">
        <v>5</v>
      </c>
      <c r="K10" s="10">
        <v>770</v>
      </c>
      <c r="L10" s="10">
        <v>860</v>
      </c>
      <c r="M10" s="10">
        <v>0</v>
      </c>
      <c r="N10" s="10">
        <v>0</v>
      </c>
      <c r="O10" s="10">
        <v>0</v>
      </c>
    </row>
    <row r="11" spans="1:15" x14ac:dyDescent="0.2">
      <c r="A11" s="10" t="s">
        <v>71</v>
      </c>
      <c r="B11" s="10" t="s">
        <v>72</v>
      </c>
      <c r="C11" s="10" t="s">
        <v>73</v>
      </c>
      <c r="D11" s="10" t="s">
        <v>45</v>
      </c>
      <c r="E11" s="10" t="s">
        <v>46</v>
      </c>
      <c r="F11" s="10" t="s">
        <v>74</v>
      </c>
      <c r="G11" s="10" t="b">
        <f>FALSE()</f>
        <v>0</v>
      </c>
      <c r="H11" s="10">
        <v>1</v>
      </c>
      <c r="I11" s="10">
        <v>1</v>
      </c>
      <c r="J11" s="10">
        <v>3</v>
      </c>
      <c r="K11" s="10">
        <v>768</v>
      </c>
      <c r="L11" s="10">
        <v>811</v>
      </c>
      <c r="M11" s="10">
        <v>1</v>
      </c>
      <c r="N11" s="10">
        <v>673</v>
      </c>
      <c r="O11" s="10">
        <v>672</v>
      </c>
    </row>
    <row r="12" spans="1:15" x14ac:dyDescent="0.2">
      <c r="A12" s="10" t="s">
        <v>57</v>
      </c>
      <c r="B12" s="10" t="s">
        <v>43</v>
      </c>
      <c r="C12" s="10" t="s">
        <v>44</v>
      </c>
      <c r="D12" s="10" t="s">
        <v>45</v>
      </c>
      <c r="E12" s="10" t="s">
        <v>46</v>
      </c>
      <c r="F12" s="10" t="s">
        <v>75</v>
      </c>
      <c r="G12" s="10" t="b">
        <f>FALSE()</f>
        <v>0</v>
      </c>
      <c r="H12" s="10">
        <v>1</v>
      </c>
      <c r="I12" s="10">
        <v>1</v>
      </c>
      <c r="J12" s="10">
        <v>7</v>
      </c>
      <c r="K12" s="10">
        <v>742</v>
      </c>
      <c r="L12" s="10">
        <v>765</v>
      </c>
      <c r="M12" s="10">
        <v>1</v>
      </c>
      <c r="N12" s="10">
        <v>337</v>
      </c>
      <c r="O12" s="10">
        <v>337</v>
      </c>
    </row>
    <row r="13" spans="1:15" x14ac:dyDescent="0.2">
      <c r="A13" s="10" t="s">
        <v>76</v>
      </c>
      <c r="B13" s="10" t="s">
        <v>55</v>
      </c>
      <c r="C13" s="10" t="s">
        <v>56</v>
      </c>
      <c r="D13" s="10" t="s">
        <v>45</v>
      </c>
      <c r="E13" s="10" t="s">
        <v>46</v>
      </c>
      <c r="F13" s="10" t="s">
        <v>61</v>
      </c>
      <c r="G13" s="10" t="b">
        <f>FALSE()</f>
        <v>0</v>
      </c>
      <c r="H13" s="10">
        <v>1</v>
      </c>
      <c r="I13" s="10">
        <v>1</v>
      </c>
      <c r="J13" s="10">
        <v>3</v>
      </c>
      <c r="K13" s="10">
        <v>691</v>
      </c>
      <c r="L13" s="10">
        <v>727</v>
      </c>
      <c r="M13" s="10">
        <v>1</v>
      </c>
      <c r="N13" s="10">
        <v>496</v>
      </c>
      <c r="O13" s="10">
        <v>488</v>
      </c>
    </row>
    <row r="14" spans="1:15" x14ac:dyDescent="0.2">
      <c r="A14" s="10" t="s">
        <v>77</v>
      </c>
      <c r="B14" s="10" t="s">
        <v>78</v>
      </c>
      <c r="C14" s="10" t="s">
        <v>50</v>
      </c>
      <c r="D14" s="10" t="s">
        <v>51</v>
      </c>
      <c r="E14" s="10" t="s">
        <v>52</v>
      </c>
      <c r="F14" s="10" t="s">
        <v>79</v>
      </c>
      <c r="G14" s="10" t="b">
        <f>FALSE()</f>
        <v>0</v>
      </c>
      <c r="H14" s="10">
        <v>1</v>
      </c>
      <c r="I14" s="10">
        <v>0</v>
      </c>
      <c r="J14" s="10">
        <v>3</v>
      </c>
      <c r="K14" s="10">
        <v>706</v>
      </c>
      <c r="L14" s="10">
        <v>706</v>
      </c>
      <c r="M14" s="10">
        <v>0</v>
      </c>
      <c r="N14" s="10">
        <v>0</v>
      </c>
      <c r="O14" s="10">
        <v>0</v>
      </c>
    </row>
    <row r="15" spans="1:15" x14ac:dyDescent="0.2">
      <c r="A15" s="10" t="s">
        <v>80</v>
      </c>
      <c r="B15" s="10" t="s">
        <v>81</v>
      </c>
      <c r="C15" s="10" t="s">
        <v>50</v>
      </c>
      <c r="D15" s="10" t="s">
        <v>51</v>
      </c>
      <c r="E15" s="10" t="s">
        <v>52</v>
      </c>
      <c r="F15" s="10" t="s">
        <v>61</v>
      </c>
      <c r="G15" s="10" t="b">
        <f>FALSE()</f>
        <v>0</v>
      </c>
      <c r="H15" s="10">
        <v>1</v>
      </c>
      <c r="I15" s="10">
        <v>1</v>
      </c>
      <c r="J15" s="10">
        <v>6</v>
      </c>
      <c r="K15" s="10">
        <v>727</v>
      </c>
      <c r="L15" s="10">
        <v>704</v>
      </c>
      <c r="M15" s="10">
        <v>1</v>
      </c>
      <c r="N15" s="10">
        <v>438</v>
      </c>
      <c r="O15" s="10">
        <v>438</v>
      </c>
    </row>
    <row r="16" spans="1:15" x14ac:dyDescent="0.2">
      <c r="A16" s="10" t="s">
        <v>82</v>
      </c>
      <c r="B16" s="10" t="s">
        <v>70</v>
      </c>
      <c r="C16" s="10" t="s">
        <v>70</v>
      </c>
      <c r="D16" s="10" t="s">
        <v>45</v>
      </c>
      <c r="E16" s="10" t="s">
        <v>46</v>
      </c>
      <c r="F16" s="10" t="s">
        <v>74</v>
      </c>
      <c r="G16" s="10" t="b">
        <f>FALSE()</f>
        <v>0</v>
      </c>
      <c r="H16" s="10">
        <v>1</v>
      </c>
      <c r="I16" s="10">
        <v>0</v>
      </c>
      <c r="J16" s="10">
        <v>4</v>
      </c>
      <c r="K16" s="10">
        <v>608</v>
      </c>
      <c r="L16" s="10">
        <v>645</v>
      </c>
      <c r="M16" s="10">
        <v>0</v>
      </c>
      <c r="N16" s="10">
        <v>0</v>
      </c>
      <c r="O16" s="10">
        <v>0</v>
      </c>
    </row>
    <row r="17" spans="1:15" x14ac:dyDescent="0.2">
      <c r="A17" s="10" t="s">
        <v>68</v>
      </c>
      <c r="B17" s="10" t="s">
        <v>55</v>
      </c>
      <c r="C17" s="10" t="s">
        <v>56</v>
      </c>
      <c r="D17" s="10" t="s">
        <v>45</v>
      </c>
      <c r="E17" s="10" t="s">
        <v>46</v>
      </c>
      <c r="F17" s="10" t="s">
        <v>79</v>
      </c>
      <c r="G17" s="10" t="b">
        <f>FALSE()</f>
        <v>0</v>
      </c>
      <c r="H17" s="10">
        <v>1</v>
      </c>
      <c r="I17" s="10">
        <v>0</v>
      </c>
      <c r="J17" s="10">
        <v>2</v>
      </c>
      <c r="K17" s="10">
        <v>644</v>
      </c>
      <c r="L17" s="10">
        <v>642</v>
      </c>
      <c r="M17" s="10">
        <v>0</v>
      </c>
      <c r="N17" s="10">
        <v>0</v>
      </c>
      <c r="O17" s="10">
        <v>0</v>
      </c>
    </row>
    <row r="18" spans="1:15" x14ac:dyDescent="0.2">
      <c r="A18" s="10" t="s">
        <v>66</v>
      </c>
      <c r="B18" s="10" t="s">
        <v>67</v>
      </c>
      <c r="C18" s="10" t="s">
        <v>64</v>
      </c>
      <c r="D18" s="10" t="s">
        <v>45</v>
      </c>
      <c r="E18" s="10" t="s">
        <v>46</v>
      </c>
      <c r="F18" s="10" t="s">
        <v>83</v>
      </c>
      <c r="G18" s="10" t="b">
        <f>TRUE()</f>
        <v>1</v>
      </c>
      <c r="H18" s="10">
        <v>1</v>
      </c>
      <c r="I18" s="10">
        <v>0</v>
      </c>
      <c r="J18" s="10">
        <v>5</v>
      </c>
      <c r="K18" s="10">
        <v>804</v>
      </c>
      <c r="L18" s="10">
        <v>617</v>
      </c>
      <c r="M18" s="10">
        <v>0</v>
      </c>
      <c r="N18" s="10">
        <v>0</v>
      </c>
      <c r="O18" s="10">
        <v>0</v>
      </c>
    </row>
    <row r="19" spans="1:15" x14ac:dyDescent="0.2">
      <c r="A19" s="10" t="s">
        <v>84</v>
      </c>
      <c r="B19" s="10" t="s">
        <v>43</v>
      </c>
      <c r="C19" s="10" t="s">
        <v>44</v>
      </c>
      <c r="D19" s="10" t="s">
        <v>45</v>
      </c>
      <c r="E19" s="10" t="s">
        <v>46</v>
      </c>
      <c r="F19" s="10" t="s">
        <v>85</v>
      </c>
      <c r="G19" s="10" t="b">
        <f>FALSE()</f>
        <v>0</v>
      </c>
      <c r="H19" s="10">
        <v>1</v>
      </c>
      <c r="I19" s="10">
        <v>1</v>
      </c>
      <c r="J19" s="10">
        <v>5</v>
      </c>
      <c r="K19" s="10">
        <v>600</v>
      </c>
      <c r="L19" s="10">
        <v>615</v>
      </c>
      <c r="M19" s="10">
        <v>1</v>
      </c>
      <c r="N19" s="10">
        <v>558</v>
      </c>
      <c r="O19" s="10">
        <v>558</v>
      </c>
    </row>
    <row r="20" spans="1:15" x14ac:dyDescent="0.2">
      <c r="A20" s="10" t="s">
        <v>86</v>
      </c>
      <c r="B20" s="10" t="s">
        <v>63</v>
      </c>
      <c r="C20" s="10" t="s">
        <v>64</v>
      </c>
      <c r="D20" s="10" t="s">
        <v>45</v>
      </c>
      <c r="E20" s="10" t="s">
        <v>46</v>
      </c>
      <c r="F20" s="10" t="s">
        <v>65</v>
      </c>
      <c r="G20" s="10" t="b">
        <f>FALSE()</f>
        <v>0</v>
      </c>
      <c r="H20" s="10">
        <v>1</v>
      </c>
      <c r="I20" s="10">
        <v>0</v>
      </c>
      <c r="J20" s="10">
        <v>3</v>
      </c>
      <c r="K20" s="10">
        <v>616</v>
      </c>
      <c r="L20" s="10">
        <v>614</v>
      </c>
      <c r="M20" s="10">
        <v>0</v>
      </c>
      <c r="N20" s="10">
        <v>0</v>
      </c>
      <c r="O20" s="10">
        <v>0</v>
      </c>
    </row>
    <row r="21" spans="1:15" x14ac:dyDescent="0.2">
      <c r="A21" s="10" t="s">
        <v>87</v>
      </c>
      <c r="B21" s="10" t="s">
        <v>70</v>
      </c>
      <c r="C21" s="10" t="s">
        <v>70</v>
      </c>
      <c r="D21" s="10" t="s">
        <v>45</v>
      </c>
      <c r="E21" s="10" t="s">
        <v>46</v>
      </c>
      <c r="F21" s="10" t="s">
        <v>53</v>
      </c>
      <c r="G21" s="10" t="b">
        <f>FALSE()</f>
        <v>0</v>
      </c>
      <c r="H21" s="10">
        <v>1</v>
      </c>
      <c r="I21" s="10">
        <v>0</v>
      </c>
      <c r="J21" s="10">
        <v>4</v>
      </c>
      <c r="K21" s="10">
        <v>312</v>
      </c>
      <c r="L21" s="10">
        <v>599</v>
      </c>
      <c r="M21" s="10">
        <v>0</v>
      </c>
      <c r="N21" s="10">
        <v>0</v>
      </c>
      <c r="O21" s="10">
        <v>0</v>
      </c>
    </row>
    <row r="22" spans="1:15" x14ac:dyDescent="0.2">
      <c r="A22" s="10" t="s">
        <v>88</v>
      </c>
      <c r="B22" s="10" t="s">
        <v>89</v>
      </c>
      <c r="C22" s="10" t="s">
        <v>90</v>
      </c>
      <c r="D22" s="10" t="s">
        <v>51</v>
      </c>
      <c r="E22" s="10" t="s">
        <v>52</v>
      </c>
      <c r="F22" s="10" t="s">
        <v>91</v>
      </c>
      <c r="G22" s="10" t="b">
        <f>TRUE()</f>
        <v>1</v>
      </c>
      <c r="H22" s="10">
        <v>1</v>
      </c>
      <c r="I22" s="10">
        <v>1</v>
      </c>
      <c r="J22" s="10">
        <v>14</v>
      </c>
      <c r="K22" s="10">
        <v>434</v>
      </c>
      <c r="L22" s="10">
        <v>591</v>
      </c>
      <c r="M22" s="10">
        <v>1</v>
      </c>
      <c r="N22" s="10">
        <v>485</v>
      </c>
      <c r="O22" s="10">
        <v>470</v>
      </c>
    </row>
    <row r="23" spans="1:15" x14ac:dyDescent="0.2">
      <c r="A23" s="10" t="s">
        <v>77</v>
      </c>
      <c r="B23" s="10" t="s">
        <v>78</v>
      </c>
      <c r="C23" s="10" t="s">
        <v>50</v>
      </c>
      <c r="D23" s="10" t="s">
        <v>51</v>
      </c>
      <c r="E23" s="10" t="s">
        <v>52</v>
      </c>
      <c r="F23" s="10" t="s">
        <v>53</v>
      </c>
      <c r="G23" s="10" t="b">
        <f>FALSE()</f>
        <v>0</v>
      </c>
      <c r="H23" s="10">
        <v>1</v>
      </c>
      <c r="I23" s="10">
        <v>0</v>
      </c>
      <c r="J23" s="10">
        <v>5</v>
      </c>
      <c r="K23" s="10">
        <v>522</v>
      </c>
      <c r="L23" s="10">
        <v>582</v>
      </c>
      <c r="M23" s="10">
        <v>0</v>
      </c>
      <c r="N23" s="10">
        <v>0</v>
      </c>
      <c r="O23" s="10">
        <v>0</v>
      </c>
    </row>
    <row r="24" spans="1:15" x14ac:dyDescent="0.2">
      <c r="A24" s="10" t="s">
        <v>76</v>
      </c>
      <c r="B24" s="10" t="s">
        <v>55</v>
      </c>
      <c r="C24" s="10" t="s">
        <v>56</v>
      </c>
      <c r="D24" s="10" t="s">
        <v>45</v>
      </c>
      <c r="E24" s="10" t="s">
        <v>46</v>
      </c>
      <c r="F24" s="10" t="s">
        <v>92</v>
      </c>
      <c r="G24" s="10" t="b">
        <f>FALSE()</f>
        <v>0</v>
      </c>
      <c r="H24" s="10">
        <v>1</v>
      </c>
      <c r="I24" s="10">
        <v>1</v>
      </c>
      <c r="J24" s="10">
        <v>3</v>
      </c>
      <c r="K24" s="10">
        <v>458</v>
      </c>
      <c r="L24" s="10">
        <v>571</v>
      </c>
      <c r="M24" s="10">
        <v>1</v>
      </c>
      <c r="N24" s="10">
        <v>612</v>
      </c>
      <c r="O24" s="10">
        <v>612</v>
      </c>
    </row>
    <row r="25" spans="1:15" x14ac:dyDescent="0.2">
      <c r="A25" s="10" t="s">
        <v>93</v>
      </c>
      <c r="B25" s="10" t="s">
        <v>70</v>
      </c>
      <c r="C25" s="10" t="s">
        <v>70</v>
      </c>
      <c r="D25" s="10" t="s">
        <v>45</v>
      </c>
      <c r="E25" s="10" t="s">
        <v>46</v>
      </c>
      <c r="F25" s="10" t="s">
        <v>94</v>
      </c>
      <c r="G25" s="10" t="b">
        <f>FALSE()</f>
        <v>0</v>
      </c>
      <c r="H25" s="10">
        <v>1</v>
      </c>
      <c r="I25" s="10">
        <v>1</v>
      </c>
      <c r="J25" s="10">
        <v>3</v>
      </c>
      <c r="K25" s="10">
        <v>738</v>
      </c>
      <c r="L25" s="10">
        <v>556</v>
      </c>
      <c r="M25" s="10">
        <v>1</v>
      </c>
      <c r="N25" s="10">
        <v>196</v>
      </c>
      <c r="O25" s="10">
        <v>196</v>
      </c>
    </row>
    <row r="26" spans="1:15" x14ac:dyDescent="0.2">
      <c r="A26" s="10" t="s">
        <v>95</v>
      </c>
      <c r="B26" s="10" t="s">
        <v>96</v>
      </c>
      <c r="C26" s="10" t="s">
        <v>50</v>
      </c>
      <c r="D26" s="10" t="s">
        <v>51</v>
      </c>
      <c r="E26" s="10" t="s">
        <v>52</v>
      </c>
      <c r="F26" s="10" t="s">
        <v>97</v>
      </c>
      <c r="G26" s="10" t="b">
        <f>TRUE()</f>
        <v>1</v>
      </c>
      <c r="H26" s="10">
        <v>1</v>
      </c>
      <c r="I26" s="10">
        <v>0</v>
      </c>
      <c r="J26" s="10">
        <v>3</v>
      </c>
      <c r="K26" s="10">
        <v>531</v>
      </c>
      <c r="L26" s="10">
        <v>554</v>
      </c>
      <c r="M26" s="10">
        <v>0</v>
      </c>
      <c r="N26" s="10">
        <v>0</v>
      </c>
      <c r="O26" s="10">
        <v>0</v>
      </c>
    </row>
    <row r="27" spans="1:15" x14ac:dyDescent="0.2">
      <c r="A27" s="10" t="s">
        <v>98</v>
      </c>
      <c r="B27" s="10" t="s">
        <v>99</v>
      </c>
      <c r="C27" s="10" t="s">
        <v>50</v>
      </c>
      <c r="D27" s="10" t="s">
        <v>51</v>
      </c>
      <c r="E27" s="10" t="s">
        <v>52</v>
      </c>
      <c r="F27" s="10" t="s">
        <v>100</v>
      </c>
      <c r="G27" s="10" t="b">
        <f>FALSE()</f>
        <v>0</v>
      </c>
      <c r="H27" s="10">
        <v>1</v>
      </c>
      <c r="I27" s="10">
        <v>0</v>
      </c>
      <c r="J27" s="10">
        <v>6</v>
      </c>
      <c r="K27" s="10">
        <v>463</v>
      </c>
      <c r="L27" s="10">
        <v>551</v>
      </c>
      <c r="M27" s="10">
        <v>0</v>
      </c>
      <c r="N27" s="10">
        <v>0</v>
      </c>
      <c r="O27" s="10">
        <v>0</v>
      </c>
    </row>
    <row r="28" spans="1:15" x14ac:dyDescent="0.2">
      <c r="A28" s="10" t="s">
        <v>101</v>
      </c>
      <c r="B28" s="10" t="s">
        <v>55</v>
      </c>
      <c r="C28" s="10" t="s">
        <v>56</v>
      </c>
      <c r="D28" s="10" t="s">
        <v>45</v>
      </c>
      <c r="E28" s="10" t="s">
        <v>46</v>
      </c>
      <c r="F28" s="10" t="s">
        <v>61</v>
      </c>
      <c r="G28" s="10" t="b">
        <f>FALSE()</f>
        <v>0</v>
      </c>
      <c r="H28" s="10">
        <v>1</v>
      </c>
      <c r="I28" s="10">
        <v>1</v>
      </c>
      <c r="J28" s="10">
        <v>2</v>
      </c>
      <c r="K28" s="10">
        <v>521</v>
      </c>
      <c r="L28" s="10">
        <v>538</v>
      </c>
      <c r="M28" s="10">
        <v>1</v>
      </c>
      <c r="N28" s="10">
        <v>361</v>
      </c>
      <c r="O28" s="10">
        <v>360</v>
      </c>
    </row>
    <row r="29" spans="1:15" x14ac:dyDescent="0.2">
      <c r="A29" s="10" t="s">
        <v>95</v>
      </c>
      <c r="B29" s="10" t="s">
        <v>96</v>
      </c>
      <c r="C29" s="10" t="s">
        <v>50</v>
      </c>
      <c r="D29" s="10" t="s">
        <v>51</v>
      </c>
      <c r="E29" s="10" t="s">
        <v>52</v>
      </c>
      <c r="F29" s="10" t="s">
        <v>102</v>
      </c>
      <c r="G29" s="10" t="b">
        <f>TRUE()</f>
        <v>1</v>
      </c>
      <c r="H29" s="10">
        <v>1</v>
      </c>
      <c r="I29" s="10">
        <v>0</v>
      </c>
      <c r="J29" s="10">
        <v>4</v>
      </c>
      <c r="K29" s="10">
        <v>504</v>
      </c>
      <c r="L29" s="10">
        <v>531</v>
      </c>
      <c r="M29" s="10">
        <v>0</v>
      </c>
      <c r="N29" s="10">
        <v>0</v>
      </c>
      <c r="O29" s="10">
        <v>0</v>
      </c>
    </row>
    <row r="30" spans="1:15" x14ac:dyDescent="0.2">
      <c r="A30" s="10" t="s">
        <v>103</v>
      </c>
      <c r="B30" s="10" t="s">
        <v>104</v>
      </c>
      <c r="C30" s="10" t="s">
        <v>105</v>
      </c>
      <c r="D30" s="10" t="s">
        <v>45</v>
      </c>
      <c r="E30" s="10" t="s">
        <v>46</v>
      </c>
      <c r="F30" s="10" t="s">
        <v>74</v>
      </c>
      <c r="G30" s="10" t="b">
        <f>FALSE()</f>
        <v>0</v>
      </c>
      <c r="H30" s="10">
        <v>1</v>
      </c>
      <c r="I30" s="10">
        <v>1</v>
      </c>
      <c r="J30" s="10">
        <v>2</v>
      </c>
      <c r="K30" s="10">
        <v>292</v>
      </c>
      <c r="L30" s="10">
        <v>524</v>
      </c>
      <c r="M30" s="10">
        <v>1</v>
      </c>
      <c r="N30" s="10">
        <v>322</v>
      </c>
      <c r="O30" s="10">
        <v>300</v>
      </c>
    </row>
    <row r="31" spans="1:15" x14ac:dyDescent="0.2">
      <c r="A31" s="10" t="s">
        <v>71</v>
      </c>
      <c r="B31" s="10" t="s">
        <v>72</v>
      </c>
      <c r="C31" s="10" t="s">
        <v>73</v>
      </c>
      <c r="D31" s="10" t="s">
        <v>45</v>
      </c>
      <c r="E31" s="10" t="s">
        <v>46</v>
      </c>
      <c r="F31" s="10" t="s">
        <v>79</v>
      </c>
      <c r="G31" s="10" t="b">
        <f>FALSE()</f>
        <v>0</v>
      </c>
      <c r="H31" s="10">
        <v>1</v>
      </c>
      <c r="I31" s="10">
        <v>1</v>
      </c>
      <c r="J31" s="10">
        <v>3</v>
      </c>
      <c r="K31" s="10">
        <v>609</v>
      </c>
      <c r="L31" s="10">
        <v>507</v>
      </c>
      <c r="M31" s="10">
        <v>1</v>
      </c>
      <c r="N31" s="10">
        <v>113</v>
      </c>
      <c r="O31" s="10">
        <v>112</v>
      </c>
    </row>
    <row r="32" spans="1:15" x14ac:dyDescent="0.2">
      <c r="A32" s="10" t="s">
        <v>106</v>
      </c>
      <c r="B32" s="10" t="s">
        <v>70</v>
      </c>
      <c r="C32" s="10" t="s">
        <v>70</v>
      </c>
      <c r="D32" s="10" t="s">
        <v>45</v>
      </c>
      <c r="E32" s="10" t="s">
        <v>46</v>
      </c>
      <c r="F32" s="10" t="s">
        <v>61</v>
      </c>
      <c r="G32" s="10" t="b">
        <f>FALSE()</f>
        <v>0</v>
      </c>
      <c r="H32" s="10">
        <v>1</v>
      </c>
      <c r="I32" s="10">
        <v>0</v>
      </c>
      <c r="J32" s="10">
        <v>2</v>
      </c>
      <c r="K32" s="10">
        <v>453</v>
      </c>
      <c r="L32" s="10">
        <v>505</v>
      </c>
      <c r="M32" s="10">
        <v>0</v>
      </c>
      <c r="N32" s="10">
        <v>0</v>
      </c>
      <c r="O32" s="10">
        <v>0</v>
      </c>
    </row>
    <row r="33" spans="1:15" x14ac:dyDescent="0.2">
      <c r="A33" s="10" t="s">
        <v>101</v>
      </c>
      <c r="B33" s="10" t="s">
        <v>55</v>
      </c>
      <c r="C33" s="10" t="s">
        <v>56</v>
      </c>
      <c r="D33" s="10" t="s">
        <v>45</v>
      </c>
      <c r="E33" s="10" t="s">
        <v>46</v>
      </c>
      <c r="F33" s="10" t="s">
        <v>107</v>
      </c>
      <c r="G33" s="10" t="b">
        <f>FALSE()</f>
        <v>0</v>
      </c>
      <c r="H33" s="10">
        <v>1</v>
      </c>
      <c r="I33" s="10">
        <v>1</v>
      </c>
      <c r="J33" s="10">
        <v>1</v>
      </c>
      <c r="K33" s="10">
        <v>220</v>
      </c>
      <c r="L33" s="10">
        <v>499</v>
      </c>
      <c r="M33" s="10">
        <v>1</v>
      </c>
      <c r="N33" s="10">
        <v>323</v>
      </c>
      <c r="O33" s="10">
        <v>316</v>
      </c>
    </row>
    <row r="34" spans="1:15" x14ac:dyDescent="0.2">
      <c r="A34" s="10" t="s">
        <v>108</v>
      </c>
      <c r="B34" s="10" t="s">
        <v>109</v>
      </c>
      <c r="C34" s="10" t="s">
        <v>90</v>
      </c>
      <c r="D34" s="10" t="s">
        <v>51</v>
      </c>
      <c r="E34" s="10" t="s">
        <v>52</v>
      </c>
      <c r="F34" s="10" t="s">
        <v>61</v>
      </c>
      <c r="G34" s="10" t="b">
        <f>FALSE()</f>
        <v>0</v>
      </c>
      <c r="H34" s="10">
        <v>1</v>
      </c>
      <c r="I34" s="10">
        <v>0</v>
      </c>
      <c r="J34" s="10">
        <v>5</v>
      </c>
      <c r="K34" s="10">
        <v>514</v>
      </c>
      <c r="L34" s="10">
        <v>499</v>
      </c>
      <c r="M34" s="10">
        <v>0</v>
      </c>
      <c r="N34" s="10">
        <v>0</v>
      </c>
      <c r="O34" s="10">
        <v>0</v>
      </c>
    </row>
    <row r="35" spans="1:15" x14ac:dyDescent="0.2">
      <c r="A35" s="10" t="s">
        <v>110</v>
      </c>
      <c r="B35" s="10" t="s">
        <v>111</v>
      </c>
      <c r="C35" s="10" t="s">
        <v>112</v>
      </c>
      <c r="D35" s="10" t="s">
        <v>51</v>
      </c>
      <c r="E35" s="10" t="s">
        <v>52</v>
      </c>
      <c r="F35" s="10" t="s">
        <v>58</v>
      </c>
      <c r="G35" s="10" t="b">
        <f>FALSE()</f>
        <v>0</v>
      </c>
      <c r="H35" s="10">
        <v>1</v>
      </c>
      <c r="I35" s="10">
        <v>0</v>
      </c>
      <c r="J35" s="10">
        <v>4</v>
      </c>
      <c r="K35" s="10">
        <v>469</v>
      </c>
      <c r="L35" s="10">
        <v>497</v>
      </c>
      <c r="M35" s="10">
        <v>0</v>
      </c>
      <c r="N35" s="10">
        <v>0</v>
      </c>
      <c r="O35" s="10">
        <v>0</v>
      </c>
    </row>
    <row r="36" spans="1:15" x14ac:dyDescent="0.2">
      <c r="A36" s="10" t="s">
        <v>80</v>
      </c>
      <c r="B36" s="10" t="s">
        <v>81</v>
      </c>
      <c r="C36" s="10" t="s">
        <v>50</v>
      </c>
      <c r="D36" s="10" t="s">
        <v>51</v>
      </c>
      <c r="E36" s="10" t="s">
        <v>52</v>
      </c>
      <c r="F36" s="10" t="s">
        <v>113</v>
      </c>
      <c r="G36" s="10" t="b">
        <f>TRUE()</f>
        <v>1</v>
      </c>
      <c r="H36" s="10">
        <v>1</v>
      </c>
      <c r="I36" s="10">
        <v>1</v>
      </c>
      <c r="J36" s="10">
        <v>5</v>
      </c>
      <c r="K36" s="10">
        <v>508</v>
      </c>
      <c r="L36" s="10">
        <v>481</v>
      </c>
      <c r="M36" s="10">
        <v>1</v>
      </c>
      <c r="N36" s="10">
        <v>595</v>
      </c>
      <c r="O36" s="10">
        <v>585</v>
      </c>
    </row>
    <row r="37" spans="1:15" x14ac:dyDescent="0.2">
      <c r="A37" s="10" t="s">
        <v>114</v>
      </c>
      <c r="B37" s="10" t="s">
        <v>70</v>
      </c>
      <c r="C37" s="10" t="s">
        <v>70</v>
      </c>
      <c r="D37" s="10" t="s">
        <v>45</v>
      </c>
      <c r="E37" s="10" t="s">
        <v>46</v>
      </c>
      <c r="F37" s="10" t="s">
        <v>85</v>
      </c>
      <c r="G37" s="10" t="b">
        <f>FALSE()</f>
        <v>0</v>
      </c>
      <c r="H37" s="10">
        <v>1</v>
      </c>
      <c r="I37" s="10">
        <v>0</v>
      </c>
      <c r="J37" s="10">
        <v>4</v>
      </c>
      <c r="K37" s="10">
        <v>447</v>
      </c>
      <c r="L37" s="10">
        <v>480</v>
      </c>
      <c r="M37" s="10">
        <v>0</v>
      </c>
      <c r="N37" s="10">
        <v>0</v>
      </c>
      <c r="O37" s="10">
        <v>0</v>
      </c>
    </row>
    <row r="38" spans="1:15" x14ac:dyDescent="0.2">
      <c r="A38" s="10" t="s">
        <v>115</v>
      </c>
      <c r="B38" s="10" t="s">
        <v>116</v>
      </c>
      <c r="C38" s="10" t="s">
        <v>117</v>
      </c>
      <c r="D38" s="10" t="s">
        <v>51</v>
      </c>
      <c r="E38" s="10" t="s">
        <v>52</v>
      </c>
      <c r="F38" s="10" t="s">
        <v>79</v>
      </c>
      <c r="G38" s="10" t="b">
        <f>FALSE()</f>
        <v>0</v>
      </c>
      <c r="H38" s="10">
        <v>1</v>
      </c>
      <c r="I38" s="10">
        <v>1</v>
      </c>
      <c r="J38" s="10">
        <v>2</v>
      </c>
      <c r="K38" s="10">
        <v>401</v>
      </c>
      <c r="L38" s="10">
        <v>479</v>
      </c>
      <c r="M38" s="10">
        <v>1</v>
      </c>
      <c r="N38" s="10">
        <v>797</v>
      </c>
      <c r="O38" s="10">
        <v>773</v>
      </c>
    </row>
    <row r="39" spans="1:15" x14ac:dyDescent="0.2">
      <c r="A39" s="10" t="s">
        <v>118</v>
      </c>
      <c r="B39" s="10" t="s">
        <v>119</v>
      </c>
      <c r="C39" s="10" t="s">
        <v>56</v>
      </c>
      <c r="D39" s="10" t="s">
        <v>45</v>
      </c>
      <c r="E39" s="10" t="s">
        <v>46</v>
      </c>
      <c r="F39" s="10" t="s">
        <v>61</v>
      </c>
      <c r="G39" s="10" t="b">
        <f>FALSE()</f>
        <v>0</v>
      </c>
      <c r="H39" s="10">
        <v>1</v>
      </c>
      <c r="I39" s="10">
        <v>1</v>
      </c>
      <c r="J39" s="10">
        <v>3</v>
      </c>
      <c r="K39" s="10">
        <v>590</v>
      </c>
      <c r="L39" s="10">
        <v>478</v>
      </c>
      <c r="M39" s="10">
        <v>1</v>
      </c>
      <c r="N39" s="10">
        <v>316</v>
      </c>
      <c r="O39" s="10">
        <v>316</v>
      </c>
    </row>
    <row r="40" spans="1:15" x14ac:dyDescent="0.2">
      <c r="A40" s="10" t="s">
        <v>120</v>
      </c>
      <c r="B40" s="10" t="s">
        <v>72</v>
      </c>
      <c r="C40" s="10" t="s">
        <v>73</v>
      </c>
      <c r="D40" s="10" t="s">
        <v>45</v>
      </c>
      <c r="E40" s="10" t="s">
        <v>46</v>
      </c>
      <c r="F40" s="10" t="s">
        <v>61</v>
      </c>
      <c r="G40" s="10" t="b">
        <f>FALSE()</f>
        <v>0</v>
      </c>
      <c r="H40" s="10">
        <v>1</v>
      </c>
      <c r="I40" s="10">
        <v>1</v>
      </c>
      <c r="J40" s="10">
        <v>2</v>
      </c>
      <c r="K40" s="10">
        <v>406</v>
      </c>
      <c r="L40" s="10">
        <v>462</v>
      </c>
      <c r="M40" s="10">
        <v>1</v>
      </c>
      <c r="N40" s="10">
        <v>252</v>
      </c>
      <c r="O40" s="10">
        <v>252</v>
      </c>
    </row>
    <row r="41" spans="1:15" x14ac:dyDescent="0.2">
      <c r="A41" s="10" t="s">
        <v>121</v>
      </c>
      <c r="B41" s="10" t="s">
        <v>122</v>
      </c>
      <c r="C41" s="10" t="s">
        <v>112</v>
      </c>
      <c r="D41" s="10" t="s">
        <v>51</v>
      </c>
      <c r="E41" s="10" t="s">
        <v>52</v>
      </c>
      <c r="F41" s="10" t="s">
        <v>123</v>
      </c>
      <c r="G41" s="10" t="b">
        <f>FALSE()</f>
        <v>0</v>
      </c>
      <c r="H41" s="10">
        <v>1</v>
      </c>
      <c r="I41" s="10">
        <v>0</v>
      </c>
      <c r="J41" s="10">
        <v>3</v>
      </c>
      <c r="K41" s="10">
        <v>401</v>
      </c>
      <c r="L41" s="10">
        <v>462</v>
      </c>
      <c r="M41" s="10">
        <v>0</v>
      </c>
      <c r="N41" s="10">
        <v>0</v>
      </c>
      <c r="O41" s="10">
        <v>0</v>
      </c>
    </row>
    <row r="42" spans="1:15" x14ac:dyDescent="0.2">
      <c r="A42" s="10" t="s">
        <v>124</v>
      </c>
      <c r="B42" s="10" t="s">
        <v>70</v>
      </c>
      <c r="C42" s="10" t="s">
        <v>70</v>
      </c>
      <c r="D42" s="10" t="s">
        <v>45</v>
      </c>
      <c r="E42" s="10" t="s">
        <v>46</v>
      </c>
      <c r="F42" s="10" t="s">
        <v>47</v>
      </c>
      <c r="G42" s="10" t="b">
        <f>FALSE()</f>
        <v>0</v>
      </c>
      <c r="H42" s="10">
        <v>1</v>
      </c>
      <c r="I42" s="10">
        <v>0</v>
      </c>
      <c r="J42" s="10">
        <v>4</v>
      </c>
      <c r="K42" s="10">
        <v>471</v>
      </c>
      <c r="L42" s="10">
        <v>461</v>
      </c>
      <c r="M42" s="10">
        <v>0</v>
      </c>
      <c r="N42" s="10">
        <v>0</v>
      </c>
      <c r="O42" s="10">
        <v>0</v>
      </c>
    </row>
    <row r="43" spans="1:15" x14ac:dyDescent="0.2">
      <c r="A43" s="10" t="s">
        <v>125</v>
      </c>
      <c r="B43" s="10" t="s">
        <v>119</v>
      </c>
      <c r="C43" s="10" t="s">
        <v>56</v>
      </c>
      <c r="D43" s="10" t="s">
        <v>45</v>
      </c>
      <c r="E43" s="10" t="s">
        <v>46</v>
      </c>
      <c r="F43" s="10" t="s">
        <v>126</v>
      </c>
      <c r="G43" s="10" t="b">
        <f>FALSE()</f>
        <v>0</v>
      </c>
      <c r="H43" s="10">
        <v>1</v>
      </c>
      <c r="I43" s="10">
        <v>0</v>
      </c>
      <c r="J43" s="10">
        <v>3</v>
      </c>
      <c r="K43" s="10">
        <v>417</v>
      </c>
      <c r="L43" s="10">
        <v>458</v>
      </c>
      <c r="M43" s="10">
        <v>0</v>
      </c>
      <c r="N43" s="10">
        <v>0</v>
      </c>
      <c r="O43" s="10">
        <v>0</v>
      </c>
    </row>
    <row r="44" spans="1:15" x14ac:dyDescent="0.2">
      <c r="A44" s="10" t="s">
        <v>127</v>
      </c>
      <c r="B44" s="10" t="s">
        <v>128</v>
      </c>
      <c r="C44" s="10" t="s">
        <v>50</v>
      </c>
      <c r="D44" s="10" t="s">
        <v>51</v>
      </c>
      <c r="E44" s="10" t="s">
        <v>52</v>
      </c>
      <c r="F44" s="10" t="s">
        <v>53</v>
      </c>
      <c r="G44" s="10" t="b">
        <f>FALSE()</f>
        <v>0</v>
      </c>
      <c r="H44" s="10">
        <v>1</v>
      </c>
      <c r="I44" s="10">
        <v>0</v>
      </c>
      <c r="J44" s="10">
        <v>3</v>
      </c>
      <c r="K44" s="10">
        <v>557</v>
      </c>
      <c r="L44" s="10">
        <v>457</v>
      </c>
      <c r="M44" s="10">
        <v>0</v>
      </c>
      <c r="N44" s="10">
        <v>0</v>
      </c>
      <c r="O44" s="10">
        <v>0</v>
      </c>
    </row>
    <row r="45" spans="1:15" x14ac:dyDescent="0.2">
      <c r="A45" s="10" t="s">
        <v>124</v>
      </c>
      <c r="B45" s="10" t="s">
        <v>70</v>
      </c>
      <c r="C45" s="10" t="s">
        <v>70</v>
      </c>
      <c r="D45" s="10" t="s">
        <v>45</v>
      </c>
      <c r="E45" s="10" t="s">
        <v>46</v>
      </c>
      <c r="F45" s="10" t="s">
        <v>79</v>
      </c>
      <c r="G45" s="10" t="b">
        <f>FALSE()</f>
        <v>0</v>
      </c>
      <c r="H45" s="10">
        <v>1</v>
      </c>
      <c r="I45" s="10">
        <v>0</v>
      </c>
      <c r="J45" s="10">
        <v>2</v>
      </c>
      <c r="K45" s="10">
        <v>550</v>
      </c>
      <c r="L45" s="10">
        <v>452</v>
      </c>
      <c r="M45" s="10">
        <v>0</v>
      </c>
      <c r="N45" s="10">
        <v>0</v>
      </c>
      <c r="O45" s="10">
        <v>0</v>
      </c>
    </row>
    <row r="46" spans="1:15" x14ac:dyDescent="0.2">
      <c r="A46" s="10" t="s">
        <v>129</v>
      </c>
      <c r="B46" s="10" t="s">
        <v>130</v>
      </c>
      <c r="C46" s="10" t="s">
        <v>56</v>
      </c>
      <c r="D46" s="10" t="s">
        <v>45</v>
      </c>
      <c r="E46" s="10" t="s">
        <v>46</v>
      </c>
      <c r="F46" s="10" t="s">
        <v>92</v>
      </c>
      <c r="G46" s="10" t="b">
        <f>FALSE()</f>
        <v>0</v>
      </c>
      <c r="H46" s="10">
        <v>1</v>
      </c>
      <c r="I46" s="10">
        <v>0</v>
      </c>
      <c r="J46" s="10">
        <v>1</v>
      </c>
      <c r="K46" s="10">
        <v>329</v>
      </c>
      <c r="L46" s="10">
        <v>449</v>
      </c>
      <c r="M46" s="10">
        <v>0</v>
      </c>
      <c r="N46" s="10">
        <v>0</v>
      </c>
      <c r="O46" s="10">
        <v>0</v>
      </c>
    </row>
    <row r="47" spans="1:15" x14ac:dyDescent="0.2">
      <c r="A47" s="10" t="s">
        <v>108</v>
      </c>
      <c r="B47" s="10" t="s">
        <v>109</v>
      </c>
      <c r="C47" s="10" t="s">
        <v>90</v>
      </c>
      <c r="D47" s="10" t="s">
        <v>51</v>
      </c>
      <c r="E47" s="10" t="s">
        <v>52</v>
      </c>
      <c r="F47" s="10" t="s">
        <v>74</v>
      </c>
      <c r="G47" s="10" t="b">
        <f>FALSE()</f>
        <v>0</v>
      </c>
      <c r="H47" s="10">
        <v>1</v>
      </c>
      <c r="I47" s="10">
        <v>0</v>
      </c>
      <c r="J47" s="10">
        <v>3</v>
      </c>
      <c r="K47" s="10">
        <v>435</v>
      </c>
      <c r="L47" s="10">
        <v>448</v>
      </c>
      <c r="M47" s="10">
        <v>0</v>
      </c>
      <c r="N47" s="10">
        <v>0</v>
      </c>
      <c r="O47" s="10">
        <v>0</v>
      </c>
    </row>
    <row r="48" spans="1:15" x14ac:dyDescent="0.2">
      <c r="A48" s="10" t="s">
        <v>131</v>
      </c>
      <c r="B48" s="10" t="s">
        <v>70</v>
      </c>
      <c r="C48" s="10" t="s">
        <v>70</v>
      </c>
      <c r="D48" s="10" t="s">
        <v>45</v>
      </c>
      <c r="E48" s="10" t="s">
        <v>46</v>
      </c>
      <c r="F48" s="10" t="s">
        <v>132</v>
      </c>
      <c r="G48" s="10" t="b">
        <f>FALSE()</f>
        <v>0</v>
      </c>
      <c r="H48" s="10">
        <v>1</v>
      </c>
      <c r="I48" s="10">
        <v>1</v>
      </c>
      <c r="J48" s="10">
        <v>3</v>
      </c>
      <c r="K48" s="10">
        <v>525</v>
      </c>
      <c r="L48" s="10">
        <v>445</v>
      </c>
      <c r="M48" s="10">
        <v>1</v>
      </c>
      <c r="N48" s="10">
        <v>461</v>
      </c>
      <c r="O48" s="10">
        <v>449</v>
      </c>
    </row>
    <row r="49" spans="1:15" x14ac:dyDescent="0.2">
      <c r="A49" s="10" t="s">
        <v>133</v>
      </c>
      <c r="B49" s="10" t="s">
        <v>70</v>
      </c>
      <c r="C49" s="10" t="s">
        <v>70</v>
      </c>
      <c r="D49" s="10" t="s">
        <v>45</v>
      </c>
      <c r="E49" s="10" t="s">
        <v>46</v>
      </c>
      <c r="F49" s="10" t="s">
        <v>61</v>
      </c>
      <c r="G49" s="10" t="b">
        <f>FALSE()</f>
        <v>0</v>
      </c>
      <c r="H49" s="10">
        <v>1</v>
      </c>
      <c r="I49" s="10">
        <v>0</v>
      </c>
      <c r="J49" s="10">
        <v>2</v>
      </c>
      <c r="K49" s="10">
        <v>365</v>
      </c>
      <c r="L49" s="10">
        <v>442</v>
      </c>
      <c r="M49" s="10">
        <v>0</v>
      </c>
      <c r="N49" s="10">
        <v>0</v>
      </c>
      <c r="O49" s="10">
        <v>0</v>
      </c>
    </row>
    <row r="50" spans="1:15" x14ac:dyDescent="0.2">
      <c r="A50" s="10" t="s">
        <v>134</v>
      </c>
      <c r="B50" s="10" t="s">
        <v>63</v>
      </c>
      <c r="C50" s="10" t="s">
        <v>64</v>
      </c>
      <c r="D50" s="10" t="s">
        <v>45</v>
      </c>
      <c r="E50" s="10" t="s">
        <v>46</v>
      </c>
      <c r="F50" s="10" t="s">
        <v>65</v>
      </c>
      <c r="G50" s="10" t="b">
        <f>FALSE()</f>
        <v>0</v>
      </c>
      <c r="H50" s="10">
        <v>1</v>
      </c>
      <c r="I50" s="10">
        <v>0</v>
      </c>
      <c r="J50" s="10">
        <v>2</v>
      </c>
      <c r="K50" s="10">
        <v>460</v>
      </c>
      <c r="L50" s="10">
        <v>437</v>
      </c>
      <c r="M50" s="10">
        <v>0</v>
      </c>
      <c r="N50" s="10">
        <v>0</v>
      </c>
      <c r="O50" s="10">
        <v>0</v>
      </c>
    </row>
    <row r="51" spans="1:15" x14ac:dyDescent="0.2">
      <c r="A51" s="10" t="s">
        <v>135</v>
      </c>
      <c r="B51" s="10" t="s">
        <v>136</v>
      </c>
      <c r="C51" s="10" t="s">
        <v>73</v>
      </c>
      <c r="D51" s="10" t="s">
        <v>45</v>
      </c>
      <c r="E51" s="10" t="s">
        <v>46</v>
      </c>
      <c r="F51" s="10" t="s">
        <v>47</v>
      </c>
      <c r="G51" s="10" t="b">
        <f>FALSE()</f>
        <v>0</v>
      </c>
      <c r="H51" s="10">
        <v>1</v>
      </c>
      <c r="I51" s="10">
        <v>1</v>
      </c>
      <c r="J51" s="10">
        <v>2</v>
      </c>
      <c r="K51" s="10">
        <v>464</v>
      </c>
      <c r="L51" s="10">
        <v>435</v>
      </c>
      <c r="M51" s="10">
        <v>1</v>
      </c>
      <c r="N51" s="10">
        <v>497</v>
      </c>
      <c r="O51" s="10">
        <v>497</v>
      </c>
    </row>
    <row r="52" spans="1:15" x14ac:dyDescent="0.2">
      <c r="A52" s="10" t="s">
        <v>115</v>
      </c>
      <c r="B52" s="10" t="s">
        <v>116</v>
      </c>
      <c r="C52" s="10" t="s">
        <v>117</v>
      </c>
      <c r="D52" s="10" t="s">
        <v>51</v>
      </c>
      <c r="E52" s="10" t="s">
        <v>52</v>
      </c>
      <c r="F52" s="10" t="s">
        <v>53</v>
      </c>
      <c r="G52" s="10" t="b">
        <f>FALSE()</f>
        <v>0</v>
      </c>
      <c r="H52" s="10">
        <v>1</v>
      </c>
      <c r="I52" s="10">
        <v>0</v>
      </c>
      <c r="J52" s="10">
        <v>3</v>
      </c>
      <c r="K52" s="10">
        <v>348</v>
      </c>
      <c r="L52" s="10">
        <v>431</v>
      </c>
      <c r="M52" s="10">
        <v>0</v>
      </c>
      <c r="N52" s="10">
        <v>0</v>
      </c>
      <c r="O52" s="10">
        <v>0</v>
      </c>
    </row>
    <row r="53" spans="1:15" x14ac:dyDescent="0.2">
      <c r="A53" s="10" t="s">
        <v>137</v>
      </c>
      <c r="B53" s="10" t="s">
        <v>109</v>
      </c>
      <c r="C53" s="10" t="s">
        <v>90</v>
      </c>
      <c r="D53" s="10" t="s">
        <v>51</v>
      </c>
      <c r="E53" s="10" t="s">
        <v>52</v>
      </c>
      <c r="F53" s="10" t="s">
        <v>61</v>
      </c>
      <c r="G53" s="10" t="b">
        <f>FALSE()</f>
        <v>0</v>
      </c>
      <c r="H53" s="10">
        <v>1</v>
      </c>
      <c r="I53" s="10">
        <v>0</v>
      </c>
      <c r="J53" s="10">
        <v>3</v>
      </c>
      <c r="K53" s="10">
        <v>426</v>
      </c>
      <c r="L53" s="10">
        <v>424</v>
      </c>
      <c r="M53" s="10">
        <v>0</v>
      </c>
      <c r="N53" s="10">
        <v>0</v>
      </c>
      <c r="O53" s="10">
        <v>0</v>
      </c>
    </row>
    <row r="54" spans="1:15" x14ac:dyDescent="0.2">
      <c r="A54" s="10" t="s">
        <v>138</v>
      </c>
      <c r="B54" s="10" t="s">
        <v>139</v>
      </c>
      <c r="C54" s="10" t="s">
        <v>64</v>
      </c>
      <c r="D54" s="10" t="s">
        <v>45</v>
      </c>
      <c r="E54" s="10" t="s">
        <v>46</v>
      </c>
      <c r="F54" s="10" t="s">
        <v>85</v>
      </c>
      <c r="G54" s="10" t="b">
        <f>FALSE()</f>
        <v>0</v>
      </c>
      <c r="H54" s="10">
        <v>1</v>
      </c>
      <c r="I54" s="10">
        <v>1</v>
      </c>
      <c r="J54" s="10">
        <v>2</v>
      </c>
      <c r="K54" s="10">
        <v>397</v>
      </c>
      <c r="L54" s="10">
        <v>422</v>
      </c>
      <c r="M54" s="10">
        <v>1</v>
      </c>
      <c r="N54" s="10">
        <v>760</v>
      </c>
      <c r="O54" s="10">
        <v>745</v>
      </c>
    </row>
    <row r="55" spans="1:15" x14ac:dyDescent="0.2">
      <c r="A55" s="10" t="s">
        <v>140</v>
      </c>
      <c r="B55" s="10" t="s">
        <v>119</v>
      </c>
      <c r="C55" s="10" t="s">
        <v>56</v>
      </c>
      <c r="D55" s="10" t="s">
        <v>45</v>
      </c>
      <c r="E55" s="10" t="s">
        <v>46</v>
      </c>
      <c r="F55" s="10" t="s">
        <v>74</v>
      </c>
      <c r="G55" s="10" t="b">
        <f>FALSE()</f>
        <v>0</v>
      </c>
      <c r="H55" s="10">
        <v>1</v>
      </c>
      <c r="I55" s="10">
        <v>1</v>
      </c>
      <c r="J55" s="10">
        <v>2</v>
      </c>
      <c r="K55" s="10">
        <v>389</v>
      </c>
      <c r="L55" s="10">
        <v>420</v>
      </c>
      <c r="M55" s="10">
        <v>1</v>
      </c>
      <c r="N55" s="10">
        <v>323</v>
      </c>
      <c r="O55" s="10">
        <v>313</v>
      </c>
    </row>
    <row r="56" spans="1:15" x14ac:dyDescent="0.2">
      <c r="A56" s="10" t="s">
        <v>141</v>
      </c>
      <c r="B56" s="10" t="s">
        <v>70</v>
      </c>
      <c r="C56" s="10" t="s">
        <v>70</v>
      </c>
      <c r="D56" s="10" t="s">
        <v>45</v>
      </c>
      <c r="E56" s="10" t="s">
        <v>46</v>
      </c>
      <c r="F56" s="10" t="s">
        <v>53</v>
      </c>
      <c r="G56" s="10" t="b">
        <f>FALSE()</f>
        <v>0</v>
      </c>
      <c r="H56" s="10">
        <v>1</v>
      </c>
      <c r="I56" s="10">
        <v>0</v>
      </c>
      <c r="J56" s="10">
        <v>2</v>
      </c>
      <c r="K56" s="10">
        <v>382</v>
      </c>
      <c r="L56" s="10">
        <v>417</v>
      </c>
      <c r="M56" s="10">
        <v>0</v>
      </c>
      <c r="N56" s="10">
        <v>0</v>
      </c>
      <c r="O56" s="10">
        <v>0</v>
      </c>
    </row>
    <row r="57" spans="1:15" x14ac:dyDescent="0.2">
      <c r="A57" s="10" t="s">
        <v>142</v>
      </c>
      <c r="B57" s="10" t="s">
        <v>70</v>
      </c>
      <c r="C57" s="10" t="s">
        <v>70</v>
      </c>
      <c r="D57" s="10" t="s">
        <v>45</v>
      </c>
      <c r="E57" s="10" t="s">
        <v>46</v>
      </c>
      <c r="F57" s="10" t="s">
        <v>47</v>
      </c>
      <c r="G57" s="10" t="b">
        <f>FALSE()</f>
        <v>0</v>
      </c>
      <c r="H57" s="10">
        <v>1</v>
      </c>
      <c r="I57" s="10">
        <v>0</v>
      </c>
      <c r="J57" s="10">
        <v>5</v>
      </c>
      <c r="K57" s="10">
        <v>541</v>
      </c>
      <c r="L57" s="10">
        <v>414</v>
      </c>
      <c r="M57" s="10">
        <v>0</v>
      </c>
      <c r="N57" s="10">
        <v>0</v>
      </c>
      <c r="O57" s="10">
        <v>0</v>
      </c>
    </row>
    <row r="58" spans="1:15" x14ac:dyDescent="0.2">
      <c r="A58" s="10" t="s">
        <v>143</v>
      </c>
      <c r="B58" s="10" t="s">
        <v>55</v>
      </c>
      <c r="C58" s="10" t="s">
        <v>56</v>
      </c>
      <c r="D58" s="10" t="s">
        <v>45</v>
      </c>
      <c r="E58" s="10" t="s">
        <v>46</v>
      </c>
      <c r="F58" s="10" t="s">
        <v>61</v>
      </c>
      <c r="G58" s="10" t="b">
        <f>FALSE()</f>
        <v>0</v>
      </c>
      <c r="H58" s="10">
        <v>1</v>
      </c>
      <c r="I58" s="10">
        <v>0</v>
      </c>
      <c r="J58" s="10">
        <v>3</v>
      </c>
      <c r="K58" s="10">
        <v>327</v>
      </c>
      <c r="L58" s="10">
        <v>409</v>
      </c>
      <c r="M58" s="10">
        <v>0</v>
      </c>
      <c r="N58" s="10">
        <v>0</v>
      </c>
      <c r="O58" s="10">
        <v>0</v>
      </c>
    </row>
    <row r="59" spans="1:15" x14ac:dyDescent="0.2">
      <c r="A59" s="10" t="s">
        <v>144</v>
      </c>
      <c r="B59" s="10" t="s">
        <v>72</v>
      </c>
      <c r="C59" s="10" t="s">
        <v>73</v>
      </c>
      <c r="D59" s="10" t="s">
        <v>45</v>
      </c>
      <c r="E59" s="10" t="s">
        <v>46</v>
      </c>
      <c r="F59" s="10" t="s">
        <v>65</v>
      </c>
      <c r="G59" s="10" t="b">
        <f>FALSE()</f>
        <v>0</v>
      </c>
      <c r="H59" s="10">
        <v>1</v>
      </c>
      <c r="I59" s="10">
        <v>1</v>
      </c>
      <c r="J59" s="10">
        <v>3</v>
      </c>
      <c r="K59" s="10">
        <v>476</v>
      </c>
      <c r="L59" s="10">
        <v>402</v>
      </c>
      <c r="M59" s="10">
        <v>1</v>
      </c>
      <c r="N59" s="10">
        <v>1754</v>
      </c>
      <c r="O59" s="10">
        <v>1754</v>
      </c>
    </row>
    <row r="60" spans="1:15" x14ac:dyDescent="0.2">
      <c r="A60" s="10" t="s">
        <v>145</v>
      </c>
      <c r="B60" s="10" t="s">
        <v>146</v>
      </c>
      <c r="C60" s="10" t="s">
        <v>105</v>
      </c>
      <c r="D60" s="10" t="s">
        <v>45</v>
      </c>
      <c r="E60" s="10" t="s">
        <v>46</v>
      </c>
      <c r="F60" s="10" t="s">
        <v>74</v>
      </c>
      <c r="G60" s="10" t="b">
        <f>FALSE()</f>
        <v>0</v>
      </c>
      <c r="H60" s="10">
        <v>1</v>
      </c>
      <c r="I60" s="10">
        <v>0</v>
      </c>
      <c r="J60" s="10">
        <v>5</v>
      </c>
      <c r="K60" s="10">
        <v>470</v>
      </c>
      <c r="L60" s="10">
        <v>398</v>
      </c>
      <c r="M60" s="10">
        <v>0</v>
      </c>
      <c r="N60" s="10">
        <v>0</v>
      </c>
      <c r="O60" s="10">
        <v>0</v>
      </c>
    </row>
    <row r="61" spans="1:15" x14ac:dyDescent="0.2">
      <c r="A61" s="10" t="s">
        <v>147</v>
      </c>
      <c r="B61" s="10" t="s">
        <v>139</v>
      </c>
      <c r="C61" s="10" t="s">
        <v>64</v>
      </c>
      <c r="D61" s="10" t="s">
        <v>45</v>
      </c>
      <c r="E61" s="10" t="s">
        <v>46</v>
      </c>
      <c r="F61" s="10" t="s">
        <v>61</v>
      </c>
      <c r="G61" s="10" t="b">
        <f>FALSE()</f>
        <v>0</v>
      </c>
      <c r="H61" s="10">
        <v>1</v>
      </c>
      <c r="I61" s="10">
        <v>0</v>
      </c>
      <c r="J61" s="10">
        <v>5</v>
      </c>
      <c r="K61" s="10">
        <v>457</v>
      </c>
      <c r="L61" s="10">
        <v>397</v>
      </c>
      <c r="M61" s="10">
        <v>0</v>
      </c>
      <c r="N61" s="10">
        <v>0</v>
      </c>
      <c r="O61" s="10">
        <v>0</v>
      </c>
    </row>
    <row r="62" spans="1:15" x14ac:dyDescent="0.2">
      <c r="A62" s="10" t="s">
        <v>148</v>
      </c>
      <c r="B62" s="10" t="s">
        <v>139</v>
      </c>
      <c r="C62" s="10" t="s">
        <v>64</v>
      </c>
      <c r="D62" s="10" t="s">
        <v>45</v>
      </c>
      <c r="E62" s="10" t="s">
        <v>46</v>
      </c>
      <c r="F62" s="10" t="s">
        <v>58</v>
      </c>
      <c r="G62" s="10" t="b">
        <f>FALSE()</f>
        <v>0</v>
      </c>
      <c r="H62" s="10">
        <v>1</v>
      </c>
      <c r="I62" s="10">
        <v>0</v>
      </c>
      <c r="J62" s="10">
        <v>5</v>
      </c>
      <c r="K62" s="10">
        <v>482</v>
      </c>
      <c r="L62" s="10">
        <v>397</v>
      </c>
      <c r="M62" s="10">
        <v>0</v>
      </c>
      <c r="N62" s="10">
        <v>0</v>
      </c>
      <c r="O62" s="10">
        <v>0</v>
      </c>
    </row>
    <row r="63" spans="1:15" x14ac:dyDescent="0.2">
      <c r="A63" s="10" t="s">
        <v>149</v>
      </c>
      <c r="B63" s="10" t="s">
        <v>136</v>
      </c>
      <c r="C63" s="10" t="s">
        <v>73</v>
      </c>
      <c r="D63" s="10" t="s">
        <v>45</v>
      </c>
      <c r="E63" s="10" t="s">
        <v>46</v>
      </c>
      <c r="F63" s="10" t="s">
        <v>61</v>
      </c>
      <c r="G63" s="10" t="b">
        <f>FALSE()</f>
        <v>0</v>
      </c>
      <c r="H63" s="10">
        <v>1</v>
      </c>
      <c r="I63" s="10">
        <v>1</v>
      </c>
      <c r="J63" s="10">
        <v>2</v>
      </c>
      <c r="K63" s="10">
        <v>397</v>
      </c>
      <c r="L63" s="10">
        <v>394</v>
      </c>
      <c r="M63" s="10">
        <v>1</v>
      </c>
      <c r="N63" s="10">
        <v>154</v>
      </c>
      <c r="O63" s="10">
        <v>154</v>
      </c>
    </row>
    <row r="64" spans="1:15" x14ac:dyDescent="0.2">
      <c r="A64" s="10" t="s">
        <v>147</v>
      </c>
      <c r="B64" s="10" t="s">
        <v>139</v>
      </c>
      <c r="C64" s="10" t="s">
        <v>64</v>
      </c>
      <c r="D64" s="10" t="s">
        <v>45</v>
      </c>
      <c r="E64" s="10" t="s">
        <v>46</v>
      </c>
      <c r="F64" s="10" t="s">
        <v>58</v>
      </c>
      <c r="G64" s="10" t="b">
        <f>FALSE()</f>
        <v>0</v>
      </c>
      <c r="H64" s="10">
        <v>1</v>
      </c>
      <c r="I64" s="10">
        <v>0</v>
      </c>
      <c r="J64" s="10">
        <v>2</v>
      </c>
      <c r="K64" s="10">
        <v>401</v>
      </c>
      <c r="L64" s="10">
        <v>385</v>
      </c>
      <c r="M64" s="10">
        <v>0</v>
      </c>
      <c r="N64" s="10">
        <v>0</v>
      </c>
      <c r="O64" s="10">
        <v>0</v>
      </c>
    </row>
    <row r="65" spans="1:15" x14ac:dyDescent="0.2">
      <c r="A65" s="10" t="s">
        <v>150</v>
      </c>
      <c r="B65" s="10" t="s">
        <v>151</v>
      </c>
      <c r="C65" s="10" t="s">
        <v>64</v>
      </c>
      <c r="D65" s="10" t="s">
        <v>45</v>
      </c>
      <c r="E65" s="10" t="s">
        <v>46</v>
      </c>
      <c r="F65" s="10" t="s">
        <v>61</v>
      </c>
      <c r="G65" s="10" t="b">
        <f>FALSE()</f>
        <v>0</v>
      </c>
      <c r="H65" s="10">
        <v>1</v>
      </c>
      <c r="I65" s="10">
        <v>1</v>
      </c>
      <c r="J65" s="10">
        <v>4</v>
      </c>
      <c r="K65" s="10">
        <v>452</v>
      </c>
      <c r="L65" s="10">
        <v>384</v>
      </c>
      <c r="M65" s="10">
        <v>1</v>
      </c>
      <c r="N65" s="10">
        <v>785</v>
      </c>
      <c r="O65" s="10">
        <v>784</v>
      </c>
    </row>
    <row r="66" spans="1:15" x14ac:dyDescent="0.2">
      <c r="A66" s="10" t="s">
        <v>152</v>
      </c>
      <c r="B66" s="10" t="s">
        <v>119</v>
      </c>
      <c r="C66" s="10" t="s">
        <v>56</v>
      </c>
      <c r="D66" s="10" t="s">
        <v>45</v>
      </c>
      <c r="E66" s="10" t="s">
        <v>46</v>
      </c>
      <c r="F66" s="10" t="s">
        <v>92</v>
      </c>
      <c r="G66" s="10" t="b">
        <f>FALSE()</f>
        <v>0</v>
      </c>
      <c r="H66" s="10">
        <v>1</v>
      </c>
      <c r="I66" s="10">
        <v>0</v>
      </c>
      <c r="J66" s="10">
        <v>5</v>
      </c>
      <c r="K66" s="10">
        <v>409</v>
      </c>
      <c r="L66" s="10">
        <v>381</v>
      </c>
      <c r="M66" s="10">
        <v>0</v>
      </c>
      <c r="N66" s="10">
        <v>0</v>
      </c>
      <c r="O66" s="10">
        <v>0</v>
      </c>
    </row>
    <row r="67" spans="1:15" x14ac:dyDescent="0.2">
      <c r="A67" s="10" t="s">
        <v>129</v>
      </c>
      <c r="B67" s="10" t="s">
        <v>63</v>
      </c>
      <c r="C67" s="10" t="s">
        <v>64</v>
      </c>
      <c r="D67" s="10" t="s">
        <v>45</v>
      </c>
      <c r="E67" s="10" t="s">
        <v>46</v>
      </c>
      <c r="F67" s="10" t="s">
        <v>153</v>
      </c>
      <c r="G67" s="10" t="b">
        <f>FALSE()</f>
        <v>0</v>
      </c>
      <c r="H67" s="10">
        <v>1</v>
      </c>
      <c r="I67" s="10">
        <v>0</v>
      </c>
      <c r="J67" s="10">
        <v>3</v>
      </c>
      <c r="K67" s="10">
        <v>293</v>
      </c>
      <c r="L67" s="10">
        <v>381</v>
      </c>
      <c r="M67" s="10">
        <v>0</v>
      </c>
      <c r="N67" s="10">
        <v>0</v>
      </c>
      <c r="O67" s="10">
        <v>0</v>
      </c>
    </row>
    <row r="68" spans="1:15" x14ac:dyDescent="0.2">
      <c r="A68" s="10" t="s">
        <v>154</v>
      </c>
      <c r="B68" s="10" t="s">
        <v>104</v>
      </c>
      <c r="C68" s="10" t="s">
        <v>105</v>
      </c>
      <c r="D68" s="10" t="s">
        <v>45</v>
      </c>
      <c r="E68" s="10" t="s">
        <v>46</v>
      </c>
      <c r="F68" s="10" t="s">
        <v>65</v>
      </c>
      <c r="G68" s="10" t="b">
        <f>FALSE()</f>
        <v>0</v>
      </c>
      <c r="H68" s="10">
        <v>1</v>
      </c>
      <c r="I68" s="10">
        <v>1</v>
      </c>
      <c r="J68" s="10">
        <v>1</v>
      </c>
      <c r="K68" s="10">
        <v>299</v>
      </c>
      <c r="L68" s="10">
        <v>379</v>
      </c>
      <c r="M68" s="10">
        <v>1</v>
      </c>
      <c r="N68" s="10">
        <v>279</v>
      </c>
      <c r="O68" s="10">
        <v>276</v>
      </c>
    </row>
    <row r="69" spans="1:15" x14ac:dyDescent="0.2">
      <c r="A69" s="10" t="s">
        <v>110</v>
      </c>
      <c r="B69" s="10" t="s">
        <v>111</v>
      </c>
      <c r="C69" s="10" t="s">
        <v>112</v>
      </c>
      <c r="D69" s="10" t="s">
        <v>51</v>
      </c>
      <c r="E69" s="10" t="s">
        <v>52</v>
      </c>
      <c r="F69" s="10" t="s">
        <v>61</v>
      </c>
      <c r="G69" s="10" t="b">
        <f>FALSE()</f>
        <v>0</v>
      </c>
      <c r="H69" s="10">
        <v>1</v>
      </c>
      <c r="I69" s="10">
        <v>0</v>
      </c>
      <c r="J69" s="10">
        <v>9</v>
      </c>
      <c r="K69" s="10">
        <v>459</v>
      </c>
      <c r="L69" s="10">
        <v>379</v>
      </c>
      <c r="M69" s="10">
        <v>0</v>
      </c>
      <c r="N69" s="10">
        <v>0</v>
      </c>
      <c r="O69" s="10">
        <v>0</v>
      </c>
    </row>
    <row r="70" spans="1:15" x14ac:dyDescent="0.2">
      <c r="A70" s="10" t="s">
        <v>80</v>
      </c>
      <c r="B70" s="10" t="s">
        <v>81</v>
      </c>
      <c r="C70" s="10" t="s">
        <v>50</v>
      </c>
      <c r="D70" s="10" t="s">
        <v>51</v>
      </c>
      <c r="E70" s="10" t="s">
        <v>52</v>
      </c>
      <c r="F70" s="10" t="s">
        <v>155</v>
      </c>
      <c r="G70" s="10" t="b">
        <f>TRUE()</f>
        <v>1</v>
      </c>
      <c r="H70" s="10">
        <v>1</v>
      </c>
      <c r="I70" s="10">
        <v>1</v>
      </c>
      <c r="J70" s="10">
        <v>4</v>
      </c>
      <c r="K70" s="10">
        <v>401</v>
      </c>
      <c r="L70" s="10">
        <v>372</v>
      </c>
      <c r="M70" s="10">
        <v>1</v>
      </c>
      <c r="N70" s="10">
        <v>171</v>
      </c>
      <c r="O70" s="10">
        <v>168</v>
      </c>
    </row>
    <row r="71" spans="1:15" x14ac:dyDescent="0.2">
      <c r="A71" s="10" t="s">
        <v>156</v>
      </c>
      <c r="B71" s="10" t="s">
        <v>157</v>
      </c>
      <c r="C71" s="10" t="s">
        <v>64</v>
      </c>
      <c r="D71" s="10" t="s">
        <v>45</v>
      </c>
      <c r="E71" s="10" t="s">
        <v>46</v>
      </c>
      <c r="F71" s="10" t="s">
        <v>85</v>
      </c>
      <c r="G71" s="10" t="b">
        <f>FALSE()</f>
        <v>0</v>
      </c>
      <c r="H71" s="10">
        <v>1</v>
      </c>
      <c r="I71" s="10">
        <v>0</v>
      </c>
      <c r="J71" s="10">
        <v>1</v>
      </c>
      <c r="K71" s="10">
        <v>392</v>
      </c>
      <c r="L71" s="10">
        <v>370</v>
      </c>
      <c r="M71" s="10">
        <v>0</v>
      </c>
      <c r="N71" s="10">
        <v>0</v>
      </c>
      <c r="O71" s="10">
        <v>0</v>
      </c>
    </row>
    <row r="72" spans="1:15" x14ac:dyDescent="0.2">
      <c r="A72" s="10" t="s">
        <v>77</v>
      </c>
      <c r="B72" s="10" t="s">
        <v>55</v>
      </c>
      <c r="C72" s="10" t="s">
        <v>56</v>
      </c>
      <c r="D72" s="10" t="s">
        <v>45</v>
      </c>
      <c r="E72" s="10" t="s">
        <v>46</v>
      </c>
      <c r="F72" s="10" t="s">
        <v>47</v>
      </c>
      <c r="G72" s="10" t="b">
        <f>FALSE()</f>
        <v>0</v>
      </c>
      <c r="H72" s="10">
        <v>1</v>
      </c>
      <c r="I72" s="10">
        <v>0</v>
      </c>
      <c r="J72" s="10">
        <v>5</v>
      </c>
      <c r="K72" s="10">
        <v>427</v>
      </c>
      <c r="L72" s="10">
        <v>367</v>
      </c>
      <c r="M72" s="10">
        <v>0</v>
      </c>
      <c r="N72" s="10">
        <v>0</v>
      </c>
      <c r="O72" s="10">
        <v>0</v>
      </c>
    </row>
    <row r="73" spans="1:15" x14ac:dyDescent="0.2">
      <c r="A73" s="10" t="s">
        <v>158</v>
      </c>
      <c r="B73" s="10" t="s">
        <v>89</v>
      </c>
      <c r="C73" s="10" t="s">
        <v>90</v>
      </c>
      <c r="D73" s="10" t="s">
        <v>51</v>
      </c>
      <c r="E73" s="10" t="s">
        <v>52</v>
      </c>
      <c r="F73" s="10" t="s">
        <v>61</v>
      </c>
      <c r="G73" s="10" t="b">
        <f>FALSE()</f>
        <v>0</v>
      </c>
      <c r="H73" s="10">
        <v>1</v>
      </c>
      <c r="I73" s="10">
        <v>1</v>
      </c>
      <c r="J73" s="10">
        <v>4</v>
      </c>
      <c r="K73" s="10">
        <v>365</v>
      </c>
      <c r="L73" s="10">
        <v>364</v>
      </c>
      <c r="M73" s="10">
        <v>1</v>
      </c>
      <c r="N73" s="10">
        <v>313</v>
      </c>
      <c r="O73" s="10">
        <v>312</v>
      </c>
    </row>
    <row r="74" spans="1:15" x14ac:dyDescent="0.2">
      <c r="A74" s="10" t="s">
        <v>159</v>
      </c>
      <c r="B74" s="10" t="s">
        <v>160</v>
      </c>
      <c r="C74" s="10" t="s">
        <v>56</v>
      </c>
      <c r="D74" s="10" t="s">
        <v>45</v>
      </c>
      <c r="E74" s="10" t="s">
        <v>46</v>
      </c>
      <c r="F74" s="10" t="s">
        <v>53</v>
      </c>
      <c r="G74" s="10" t="b">
        <f>FALSE()</f>
        <v>0</v>
      </c>
      <c r="H74" s="10">
        <v>1</v>
      </c>
      <c r="I74" s="10">
        <v>0</v>
      </c>
      <c r="J74" s="10">
        <v>2</v>
      </c>
      <c r="K74" s="10">
        <v>365</v>
      </c>
      <c r="L74" s="10">
        <v>362</v>
      </c>
      <c r="M74" s="10">
        <v>0</v>
      </c>
      <c r="N74" s="10">
        <v>0</v>
      </c>
      <c r="O74" s="10">
        <v>0</v>
      </c>
    </row>
    <row r="75" spans="1:15" x14ac:dyDescent="0.2">
      <c r="A75" s="10" t="s">
        <v>161</v>
      </c>
      <c r="B75" s="10" t="s">
        <v>43</v>
      </c>
      <c r="C75" s="10" t="s">
        <v>44</v>
      </c>
      <c r="D75" s="10" t="s">
        <v>45</v>
      </c>
      <c r="E75" s="10" t="s">
        <v>46</v>
      </c>
      <c r="F75" s="10" t="s">
        <v>75</v>
      </c>
      <c r="G75" s="10" t="b">
        <f>FALSE()</f>
        <v>0</v>
      </c>
      <c r="H75" s="10">
        <v>1</v>
      </c>
      <c r="I75" s="10">
        <v>1</v>
      </c>
      <c r="J75" s="10">
        <v>4</v>
      </c>
      <c r="K75" s="10">
        <v>420</v>
      </c>
      <c r="L75" s="10">
        <v>360</v>
      </c>
      <c r="M75" s="10">
        <v>1</v>
      </c>
      <c r="N75" s="10">
        <v>223</v>
      </c>
      <c r="O75" s="10">
        <v>223</v>
      </c>
    </row>
    <row r="76" spans="1:15" x14ac:dyDescent="0.2">
      <c r="A76" s="10" t="s">
        <v>69</v>
      </c>
      <c r="B76" s="10" t="s">
        <v>70</v>
      </c>
      <c r="C76" s="10" t="s">
        <v>70</v>
      </c>
      <c r="D76" s="10" t="s">
        <v>45</v>
      </c>
      <c r="E76" s="10" t="s">
        <v>46</v>
      </c>
      <c r="F76" s="10" t="s">
        <v>53</v>
      </c>
      <c r="G76" s="10" t="b">
        <f>FALSE()</f>
        <v>0</v>
      </c>
      <c r="H76" s="10">
        <v>1</v>
      </c>
      <c r="I76" s="10">
        <v>0</v>
      </c>
      <c r="J76" s="10">
        <v>4</v>
      </c>
      <c r="K76" s="10">
        <v>387</v>
      </c>
      <c r="L76" s="10">
        <v>360</v>
      </c>
      <c r="M76" s="10">
        <v>0</v>
      </c>
      <c r="N76" s="10">
        <v>0</v>
      </c>
      <c r="O76" s="10">
        <v>0</v>
      </c>
    </row>
    <row r="77" spans="1:15" x14ac:dyDescent="0.2">
      <c r="A77" s="10" t="s">
        <v>66</v>
      </c>
      <c r="B77" s="10" t="s">
        <v>67</v>
      </c>
      <c r="C77" s="10" t="s">
        <v>64</v>
      </c>
      <c r="D77" s="10" t="s">
        <v>45</v>
      </c>
      <c r="E77" s="10" t="s">
        <v>46</v>
      </c>
      <c r="F77" s="10" t="s">
        <v>75</v>
      </c>
      <c r="G77" s="10" t="b">
        <f>FALSE()</f>
        <v>0</v>
      </c>
      <c r="H77" s="10">
        <v>1</v>
      </c>
      <c r="I77" s="10">
        <v>0</v>
      </c>
      <c r="J77" s="10">
        <v>3</v>
      </c>
      <c r="K77" s="10">
        <v>366</v>
      </c>
      <c r="L77" s="10">
        <v>359</v>
      </c>
      <c r="M77" s="10">
        <v>0</v>
      </c>
      <c r="N77" s="10">
        <v>0</v>
      </c>
      <c r="O77" s="10">
        <v>0</v>
      </c>
    </row>
    <row r="78" spans="1:15" x14ac:dyDescent="0.2">
      <c r="A78" s="10" t="s">
        <v>162</v>
      </c>
      <c r="B78" s="10" t="s">
        <v>163</v>
      </c>
      <c r="C78" s="10" t="s">
        <v>90</v>
      </c>
      <c r="D78" s="10" t="s">
        <v>51</v>
      </c>
      <c r="E78" s="10" t="s">
        <v>52</v>
      </c>
      <c r="F78" s="10" t="s">
        <v>61</v>
      </c>
      <c r="G78" s="10" t="b">
        <f>FALSE()</f>
        <v>0</v>
      </c>
      <c r="H78" s="10">
        <v>1</v>
      </c>
      <c r="I78" s="10">
        <v>1</v>
      </c>
      <c r="J78" s="10">
        <v>5</v>
      </c>
      <c r="K78" s="10">
        <v>465</v>
      </c>
      <c r="L78" s="10">
        <v>358</v>
      </c>
      <c r="M78" s="10">
        <v>1</v>
      </c>
      <c r="N78" s="10">
        <v>270</v>
      </c>
      <c r="O78" s="10">
        <v>263</v>
      </c>
    </row>
    <row r="79" spans="1:15" x14ac:dyDescent="0.2">
      <c r="A79" s="10" t="s">
        <v>164</v>
      </c>
      <c r="B79" s="10" t="s">
        <v>165</v>
      </c>
      <c r="C79" s="10" t="s">
        <v>112</v>
      </c>
      <c r="D79" s="10" t="s">
        <v>51</v>
      </c>
      <c r="E79" s="10" t="s">
        <v>52</v>
      </c>
      <c r="F79" s="10" t="s">
        <v>94</v>
      </c>
      <c r="G79" s="10" t="b">
        <f>FALSE()</f>
        <v>0</v>
      </c>
      <c r="H79" s="10">
        <v>1</v>
      </c>
      <c r="I79" s="10">
        <v>0</v>
      </c>
      <c r="J79" s="10">
        <v>5</v>
      </c>
      <c r="K79" s="10">
        <v>328</v>
      </c>
      <c r="L79" s="10">
        <v>357</v>
      </c>
      <c r="M79" s="10">
        <v>0</v>
      </c>
      <c r="N79" s="10">
        <v>0</v>
      </c>
      <c r="O79" s="10">
        <v>0</v>
      </c>
    </row>
    <row r="80" spans="1:15" x14ac:dyDescent="0.2">
      <c r="A80" s="10" t="s">
        <v>166</v>
      </c>
      <c r="B80" s="10" t="s">
        <v>167</v>
      </c>
      <c r="C80" s="10" t="s">
        <v>64</v>
      </c>
      <c r="D80" s="10" t="s">
        <v>45</v>
      </c>
      <c r="E80" s="10" t="s">
        <v>46</v>
      </c>
      <c r="F80" s="10" t="s">
        <v>85</v>
      </c>
      <c r="G80" s="10" t="b">
        <f>FALSE()</f>
        <v>0</v>
      </c>
      <c r="H80" s="10">
        <v>1</v>
      </c>
      <c r="I80" s="10">
        <v>0</v>
      </c>
      <c r="J80" s="10">
        <v>1</v>
      </c>
      <c r="K80" s="10">
        <v>354</v>
      </c>
      <c r="L80" s="10">
        <v>354</v>
      </c>
      <c r="M80" s="10">
        <v>0</v>
      </c>
      <c r="N80" s="10">
        <v>0</v>
      </c>
      <c r="O80" s="10">
        <v>0</v>
      </c>
    </row>
    <row r="81" spans="1:15" x14ac:dyDescent="0.2">
      <c r="A81" s="10" t="s">
        <v>168</v>
      </c>
      <c r="B81" s="10" t="s">
        <v>169</v>
      </c>
      <c r="C81" s="10" t="s">
        <v>117</v>
      </c>
      <c r="D81" s="10" t="s">
        <v>51</v>
      </c>
      <c r="E81" s="10" t="s">
        <v>52</v>
      </c>
      <c r="F81" s="10" t="s">
        <v>79</v>
      </c>
      <c r="G81" s="10" t="b">
        <f>FALSE()</f>
        <v>0</v>
      </c>
      <c r="H81" s="10">
        <v>1</v>
      </c>
      <c r="I81" s="10">
        <v>0</v>
      </c>
      <c r="J81" s="10">
        <v>2</v>
      </c>
      <c r="K81" s="10">
        <v>334</v>
      </c>
      <c r="L81" s="10">
        <v>353</v>
      </c>
      <c r="M81" s="10">
        <v>0</v>
      </c>
      <c r="N81" s="10">
        <v>0</v>
      </c>
      <c r="O81" s="10">
        <v>0</v>
      </c>
    </row>
    <row r="82" spans="1:15" x14ac:dyDescent="0.2">
      <c r="A82" s="10" t="s">
        <v>148</v>
      </c>
      <c r="B82" s="10" t="s">
        <v>139</v>
      </c>
      <c r="C82" s="10" t="s">
        <v>64</v>
      </c>
      <c r="D82" s="10" t="s">
        <v>45</v>
      </c>
      <c r="E82" s="10" t="s">
        <v>46</v>
      </c>
      <c r="F82" s="10" t="s">
        <v>92</v>
      </c>
      <c r="G82" s="10" t="b">
        <f>FALSE()</f>
        <v>0</v>
      </c>
      <c r="H82" s="10">
        <v>1</v>
      </c>
      <c r="I82" s="10">
        <v>0</v>
      </c>
      <c r="J82" s="10">
        <v>5</v>
      </c>
      <c r="K82" s="10">
        <v>455</v>
      </c>
      <c r="L82" s="10">
        <v>352</v>
      </c>
      <c r="M82" s="10">
        <v>0</v>
      </c>
      <c r="N82" s="10">
        <v>0</v>
      </c>
      <c r="O82" s="10">
        <v>0</v>
      </c>
    </row>
    <row r="83" spans="1:15" x14ac:dyDescent="0.2">
      <c r="A83" s="10" t="s">
        <v>170</v>
      </c>
      <c r="B83" s="10" t="s">
        <v>67</v>
      </c>
      <c r="C83" s="10" t="s">
        <v>64</v>
      </c>
      <c r="D83" s="10" t="s">
        <v>45</v>
      </c>
      <c r="E83" s="10" t="s">
        <v>46</v>
      </c>
      <c r="F83" s="10" t="s">
        <v>61</v>
      </c>
      <c r="G83" s="10" t="b">
        <f>FALSE()</f>
        <v>0</v>
      </c>
      <c r="H83" s="10">
        <v>1</v>
      </c>
      <c r="I83" s="10">
        <v>0</v>
      </c>
      <c r="J83" s="10">
        <v>2</v>
      </c>
      <c r="K83" s="10">
        <v>352</v>
      </c>
      <c r="L83" s="10">
        <v>352</v>
      </c>
      <c r="M83" s="10">
        <v>0</v>
      </c>
      <c r="N83" s="10">
        <v>0</v>
      </c>
      <c r="O83" s="10">
        <v>0</v>
      </c>
    </row>
    <row r="84" spans="1:15" x14ac:dyDescent="0.2">
      <c r="A84" s="10" t="s">
        <v>171</v>
      </c>
      <c r="B84" s="10" t="s">
        <v>172</v>
      </c>
      <c r="C84" s="10" t="s">
        <v>44</v>
      </c>
      <c r="D84" s="10" t="s">
        <v>45</v>
      </c>
      <c r="E84" s="10" t="s">
        <v>46</v>
      </c>
      <c r="F84" s="10" t="s">
        <v>173</v>
      </c>
      <c r="G84" s="10" t="b">
        <f>FALSE()</f>
        <v>0</v>
      </c>
      <c r="H84" s="10">
        <v>1</v>
      </c>
      <c r="I84" s="10">
        <v>0</v>
      </c>
      <c r="J84" s="10">
        <v>2</v>
      </c>
      <c r="K84" s="10">
        <v>295</v>
      </c>
      <c r="L84" s="10">
        <v>351</v>
      </c>
      <c r="M84" s="10">
        <v>0</v>
      </c>
      <c r="N84" s="10">
        <v>0</v>
      </c>
      <c r="O84" s="10">
        <v>0</v>
      </c>
    </row>
    <row r="85" spans="1:15" x14ac:dyDescent="0.2">
      <c r="A85" s="10" t="s">
        <v>166</v>
      </c>
      <c r="B85" s="10" t="s">
        <v>167</v>
      </c>
      <c r="C85" s="10" t="s">
        <v>64</v>
      </c>
      <c r="D85" s="10" t="s">
        <v>45</v>
      </c>
      <c r="E85" s="10" t="s">
        <v>46</v>
      </c>
      <c r="F85" s="10" t="s">
        <v>61</v>
      </c>
      <c r="G85" s="10" t="b">
        <f>FALSE()</f>
        <v>0</v>
      </c>
      <c r="H85" s="10">
        <v>1</v>
      </c>
      <c r="I85" s="10">
        <v>0</v>
      </c>
      <c r="J85" s="10">
        <v>3</v>
      </c>
      <c r="K85" s="10">
        <v>380</v>
      </c>
      <c r="L85" s="10">
        <v>351</v>
      </c>
      <c r="M85" s="10">
        <v>0</v>
      </c>
      <c r="N85" s="10">
        <v>0</v>
      </c>
      <c r="O85" s="10">
        <v>0</v>
      </c>
    </row>
    <row r="86" spans="1:15" x14ac:dyDescent="0.2">
      <c r="A86" s="10" t="s">
        <v>127</v>
      </c>
      <c r="B86" s="10" t="s">
        <v>128</v>
      </c>
      <c r="C86" s="10" t="s">
        <v>50</v>
      </c>
      <c r="D86" s="10" t="s">
        <v>51</v>
      </c>
      <c r="E86" s="10" t="s">
        <v>52</v>
      </c>
      <c r="F86" s="10" t="s">
        <v>47</v>
      </c>
      <c r="G86" s="10" t="b">
        <f>FALSE()</f>
        <v>0</v>
      </c>
      <c r="H86" s="10">
        <v>1</v>
      </c>
      <c r="I86" s="10">
        <v>0</v>
      </c>
      <c r="J86" s="10">
        <v>5</v>
      </c>
      <c r="K86" s="10">
        <v>399</v>
      </c>
      <c r="L86" s="10">
        <v>349</v>
      </c>
      <c r="M86" s="10">
        <v>0</v>
      </c>
      <c r="N86" s="10">
        <v>0</v>
      </c>
      <c r="O86" s="10">
        <v>0</v>
      </c>
    </row>
    <row r="87" spans="1:15" x14ac:dyDescent="0.2">
      <c r="A87" s="10" t="s">
        <v>174</v>
      </c>
      <c r="B87" s="10" t="s">
        <v>130</v>
      </c>
      <c r="C87" s="10" t="s">
        <v>56</v>
      </c>
      <c r="D87" s="10" t="s">
        <v>45</v>
      </c>
      <c r="E87" s="10" t="s">
        <v>46</v>
      </c>
      <c r="F87" s="10" t="s">
        <v>61</v>
      </c>
      <c r="G87" s="10" t="b">
        <f>FALSE()</f>
        <v>0</v>
      </c>
      <c r="H87" s="10">
        <v>1</v>
      </c>
      <c r="I87" s="10">
        <v>1</v>
      </c>
      <c r="J87" s="10">
        <v>3</v>
      </c>
      <c r="K87" s="10">
        <v>263</v>
      </c>
      <c r="L87" s="10">
        <v>344</v>
      </c>
      <c r="M87" s="10">
        <v>1</v>
      </c>
      <c r="N87" s="10">
        <v>531</v>
      </c>
      <c r="O87" s="10">
        <v>530</v>
      </c>
    </row>
    <row r="88" spans="1:15" x14ac:dyDescent="0.2">
      <c r="A88" s="10" t="s">
        <v>175</v>
      </c>
      <c r="B88" s="10" t="s">
        <v>122</v>
      </c>
      <c r="C88" s="10" t="s">
        <v>112</v>
      </c>
      <c r="D88" s="10" t="s">
        <v>51</v>
      </c>
      <c r="E88" s="10" t="s">
        <v>52</v>
      </c>
      <c r="F88" s="10" t="s">
        <v>94</v>
      </c>
      <c r="G88" s="10" t="b">
        <f>FALSE()</f>
        <v>0</v>
      </c>
      <c r="H88" s="10">
        <v>1</v>
      </c>
      <c r="I88" s="10">
        <v>0</v>
      </c>
      <c r="J88" s="10">
        <v>4</v>
      </c>
      <c r="K88" s="10">
        <v>303</v>
      </c>
      <c r="L88" s="10">
        <v>343</v>
      </c>
      <c r="M88" s="10">
        <v>0</v>
      </c>
      <c r="N88" s="10">
        <v>0</v>
      </c>
      <c r="O88" s="10">
        <v>0</v>
      </c>
    </row>
    <row r="89" spans="1:15" x14ac:dyDescent="0.2">
      <c r="A89" s="10" t="s">
        <v>176</v>
      </c>
      <c r="B89" s="10" t="s">
        <v>104</v>
      </c>
      <c r="C89" s="10" t="s">
        <v>105</v>
      </c>
      <c r="D89" s="10" t="s">
        <v>45</v>
      </c>
      <c r="E89" s="10" t="s">
        <v>46</v>
      </c>
      <c r="F89" s="10" t="s">
        <v>61</v>
      </c>
      <c r="G89" s="10" t="b">
        <f>FALSE()</f>
        <v>0</v>
      </c>
      <c r="H89" s="10">
        <v>1</v>
      </c>
      <c r="I89" s="10">
        <v>1</v>
      </c>
      <c r="J89" s="10">
        <v>4</v>
      </c>
      <c r="K89" s="10">
        <v>199</v>
      </c>
      <c r="L89" s="10">
        <v>342</v>
      </c>
      <c r="M89" s="10">
        <v>1</v>
      </c>
      <c r="N89" s="10">
        <v>242</v>
      </c>
      <c r="O89" s="10">
        <v>242</v>
      </c>
    </row>
    <row r="90" spans="1:15" x14ac:dyDescent="0.2">
      <c r="A90" s="10" t="s">
        <v>148</v>
      </c>
      <c r="B90" s="10" t="s">
        <v>139</v>
      </c>
      <c r="C90" s="10" t="s">
        <v>64</v>
      </c>
      <c r="D90" s="10" t="s">
        <v>45</v>
      </c>
      <c r="E90" s="10" t="s">
        <v>46</v>
      </c>
      <c r="F90" s="10" t="s">
        <v>61</v>
      </c>
      <c r="G90" s="10" t="b">
        <f>FALSE()</f>
        <v>0</v>
      </c>
      <c r="H90" s="10">
        <v>1</v>
      </c>
      <c r="I90" s="10">
        <v>0</v>
      </c>
      <c r="J90" s="10">
        <v>5</v>
      </c>
      <c r="K90" s="10">
        <v>401</v>
      </c>
      <c r="L90" s="10">
        <v>342</v>
      </c>
      <c r="M90" s="10">
        <v>0</v>
      </c>
      <c r="N90" s="10">
        <v>0</v>
      </c>
      <c r="O90" s="10">
        <v>0</v>
      </c>
    </row>
    <row r="91" spans="1:15" x14ac:dyDescent="0.2">
      <c r="A91" s="10" t="s">
        <v>177</v>
      </c>
      <c r="B91" s="10" t="s">
        <v>178</v>
      </c>
      <c r="C91" s="10" t="s">
        <v>73</v>
      </c>
      <c r="D91" s="10" t="s">
        <v>45</v>
      </c>
      <c r="E91" s="10" t="s">
        <v>46</v>
      </c>
      <c r="F91" s="10" t="s">
        <v>61</v>
      </c>
      <c r="G91" s="10" t="b">
        <f>FALSE()</f>
        <v>0</v>
      </c>
      <c r="H91" s="10">
        <v>1</v>
      </c>
      <c r="I91" s="10">
        <v>1</v>
      </c>
      <c r="J91" s="10">
        <v>2</v>
      </c>
      <c r="K91" s="10">
        <v>233</v>
      </c>
      <c r="L91" s="10">
        <v>341</v>
      </c>
      <c r="M91" s="10">
        <v>1</v>
      </c>
      <c r="N91" s="10">
        <v>219</v>
      </c>
      <c r="O91" s="10">
        <v>219</v>
      </c>
    </row>
    <row r="92" spans="1:15" x14ac:dyDescent="0.2">
      <c r="A92" s="10" t="s">
        <v>135</v>
      </c>
      <c r="B92" s="10" t="s">
        <v>136</v>
      </c>
      <c r="C92" s="10" t="s">
        <v>73</v>
      </c>
      <c r="D92" s="10" t="s">
        <v>45</v>
      </c>
      <c r="E92" s="10" t="s">
        <v>46</v>
      </c>
      <c r="F92" s="10" t="s">
        <v>61</v>
      </c>
      <c r="G92" s="10" t="b">
        <f>FALSE()</f>
        <v>0</v>
      </c>
      <c r="H92" s="10">
        <v>1</v>
      </c>
      <c r="I92" s="10">
        <v>1</v>
      </c>
      <c r="J92" s="10">
        <v>2</v>
      </c>
      <c r="K92" s="10">
        <v>188</v>
      </c>
      <c r="L92" s="10">
        <v>339</v>
      </c>
      <c r="M92" s="10">
        <v>1</v>
      </c>
      <c r="N92" s="10">
        <v>168</v>
      </c>
      <c r="O92" s="10">
        <v>168</v>
      </c>
    </row>
    <row r="93" spans="1:15" x14ac:dyDescent="0.2">
      <c r="A93" s="10" t="s">
        <v>179</v>
      </c>
      <c r="B93" s="10" t="s">
        <v>55</v>
      </c>
      <c r="C93" s="10" t="s">
        <v>56</v>
      </c>
      <c r="D93" s="10" t="s">
        <v>45</v>
      </c>
      <c r="E93" s="10" t="s">
        <v>46</v>
      </c>
      <c r="F93" s="10" t="s">
        <v>53</v>
      </c>
      <c r="G93" s="10" t="b">
        <f>FALSE()</f>
        <v>0</v>
      </c>
      <c r="H93" s="10">
        <v>1</v>
      </c>
      <c r="I93" s="10">
        <v>0</v>
      </c>
      <c r="J93" s="10">
        <v>3</v>
      </c>
      <c r="K93" s="10">
        <v>183</v>
      </c>
      <c r="L93" s="10">
        <v>337</v>
      </c>
      <c r="M93" s="10">
        <v>0</v>
      </c>
      <c r="N93" s="10">
        <v>0</v>
      </c>
      <c r="O93" s="10">
        <v>0</v>
      </c>
    </row>
    <row r="94" spans="1:15" x14ac:dyDescent="0.2">
      <c r="A94" s="10" t="s">
        <v>80</v>
      </c>
      <c r="B94" s="10" t="s">
        <v>81</v>
      </c>
      <c r="C94" s="10" t="s">
        <v>50</v>
      </c>
      <c r="D94" s="10" t="s">
        <v>51</v>
      </c>
      <c r="E94" s="10" t="s">
        <v>52</v>
      </c>
      <c r="F94" s="10" t="s">
        <v>180</v>
      </c>
      <c r="G94" s="10" t="b">
        <f>FALSE()</f>
        <v>0</v>
      </c>
      <c r="H94" s="10">
        <v>1</v>
      </c>
      <c r="I94" s="10">
        <v>1</v>
      </c>
      <c r="J94" s="10">
        <v>6</v>
      </c>
      <c r="K94" s="10">
        <v>433</v>
      </c>
      <c r="L94" s="10">
        <v>336</v>
      </c>
      <c r="M94" s="10">
        <v>1</v>
      </c>
      <c r="N94" s="10">
        <v>199</v>
      </c>
      <c r="O94" s="10">
        <v>172</v>
      </c>
    </row>
    <row r="95" spans="1:15" x14ac:dyDescent="0.2">
      <c r="A95" s="10" t="s">
        <v>181</v>
      </c>
      <c r="B95" s="10" t="s">
        <v>119</v>
      </c>
      <c r="C95" s="10" t="s">
        <v>56</v>
      </c>
      <c r="D95" s="10" t="s">
        <v>45</v>
      </c>
      <c r="E95" s="10" t="s">
        <v>46</v>
      </c>
      <c r="F95" s="10" t="s">
        <v>79</v>
      </c>
      <c r="G95" s="10" t="b">
        <f>FALSE()</f>
        <v>0</v>
      </c>
      <c r="H95" s="10">
        <v>1</v>
      </c>
      <c r="I95" s="10">
        <v>0</v>
      </c>
      <c r="J95" s="10">
        <v>4</v>
      </c>
      <c r="K95" s="10">
        <v>336</v>
      </c>
      <c r="L95" s="10">
        <v>334</v>
      </c>
      <c r="M95" s="10">
        <v>0</v>
      </c>
      <c r="N95" s="10">
        <v>0</v>
      </c>
      <c r="O95" s="10">
        <v>0</v>
      </c>
    </row>
    <row r="96" spans="1:15" x14ac:dyDescent="0.2">
      <c r="A96" s="10" t="s">
        <v>152</v>
      </c>
      <c r="B96" s="10" t="s">
        <v>119</v>
      </c>
      <c r="C96" s="10" t="s">
        <v>56</v>
      </c>
      <c r="D96" s="10" t="s">
        <v>45</v>
      </c>
      <c r="E96" s="10" t="s">
        <v>46</v>
      </c>
      <c r="F96" s="10" t="s">
        <v>47</v>
      </c>
      <c r="G96" s="10" t="b">
        <f>FALSE()</f>
        <v>0</v>
      </c>
      <c r="H96" s="10">
        <v>1</v>
      </c>
      <c r="I96" s="10">
        <v>0</v>
      </c>
      <c r="J96" s="10">
        <v>4</v>
      </c>
      <c r="K96" s="10">
        <v>387</v>
      </c>
      <c r="L96" s="10">
        <v>334</v>
      </c>
      <c r="M96" s="10">
        <v>0</v>
      </c>
      <c r="N96" s="10">
        <v>0</v>
      </c>
      <c r="O96" s="10">
        <v>0</v>
      </c>
    </row>
    <row r="97" spans="1:15" x14ac:dyDescent="0.2">
      <c r="A97" s="10" t="s">
        <v>182</v>
      </c>
      <c r="B97" s="10" t="s">
        <v>104</v>
      </c>
      <c r="C97" s="10" t="s">
        <v>105</v>
      </c>
      <c r="D97" s="10" t="s">
        <v>45</v>
      </c>
      <c r="E97" s="10" t="s">
        <v>46</v>
      </c>
      <c r="F97" s="10" t="s">
        <v>183</v>
      </c>
      <c r="G97" s="10" t="b">
        <f>FALSE()</f>
        <v>0</v>
      </c>
      <c r="H97" s="10">
        <v>1</v>
      </c>
      <c r="I97" s="10">
        <v>0</v>
      </c>
      <c r="J97" s="10">
        <v>2</v>
      </c>
      <c r="K97" s="10">
        <v>310</v>
      </c>
      <c r="L97" s="10">
        <v>333</v>
      </c>
      <c r="M97" s="10">
        <v>0</v>
      </c>
      <c r="N97" s="10">
        <v>0</v>
      </c>
      <c r="O97" s="10">
        <v>0</v>
      </c>
    </row>
    <row r="98" spans="1:15" x14ac:dyDescent="0.2">
      <c r="A98" s="10" t="s">
        <v>184</v>
      </c>
      <c r="B98" s="10" t="s">
        <v>70</v>
      </c>
      <c r="C98" s="10" t="s">
        <v>70</v>
      </c>
      <c r="D98" s="10" t="s">
        <v>45</v>
      </c>
      <c r="E98" s="10" t="s">
        <v>46</v>
      </c>
      <c r="F98" s="10" t="s">
        <v>91</v>
      </c>
      <c r="G98" s="10" t="b">
        <f>TRUE()</f>
        <v>1</v>
      </c>
      <c r="H98" s="10">
        <v>1</v>
      </c>
      <c r="I98" s="10">
        <v>0</v>
      </c>
      <c r="J98" s="10">
        <v>2</v>
      </c>
      <c r="K98" s="10">
        <v>224</v>
      </c>
      <c r="L98" s="10">
        <v>330</v>
      </c>
      <c r="M98" s="10">
        <v>0</v>
      </c>
      <c r="N98" s="10">
        <v>0</v>
      </c>
      <c r="O98" s="10">
        <v>0</v>
      </c>
    </row>
    <row r="99" spans="1:15" x14ac:dyDescent="0.2">
      <c r="A99" s="10" t="s">
        <v>185</v>
      </c>
      <c r="B99" s="10" t="s">
        <v>104</v>
      </c>
      <c r="C99" s="10" t="s">
        <v>105</v>
      </c>
      <c r="D99" s="10" t="s">
        <v>45</v>
      </c>
      <c r="E99" s="10" t="s">
        <v>46</v>
      </c>
      <c r="F99" s="10" t="s">
        <v>186</v>
      </c>
      <c r="G99" s="10" t="b">
        <f>TRUE()</f>
        <v>1</v>
      </c>
      <c r="H99" s="10">
        <v>1</v>
      </c>
      <c r="I99" s="10">
        <v>0</v>
      </c>
      <c r="J99" s="10">
        <v>2</v>
      </c>
      <c r="K99" s="10">
        <v>329</v>
      </c>
      <c r="L99" s="10">
        <v>328</v>
      </c>
      <c r="M99" s="10">
        <v>0</v>
      </c>
      <c r="N99" s="10">
        <v>0</v>
      </c>
      <c r="O99" s="10">
        <v>0</v>
      </c>
    </row>
    <row r="100" spans="1:15" x14ac:dyDescent="0.2">
      <c r="A100" s="10" t="s">
        <v>187</v>
      </c>
      <c r="B100" s="10" t="s">
        <v>188</v>
      </c>
      <c r="C100" s="10" t="s">
        <v>112</v>
      </c>
      <c r="D100" s="10" t="s">
        <v>51</v>
      </c>
      <c r="E100" s="10" t="s">
        <v>52</v>
      </c>
      <c r="F100" s="10" t="s">
        <v>53</v>
      </c>
      <c r="G100" s="10" t="b">
        <f>FALSE()</f>
        <v>0</v>
      </c>
      <c r="H100" s="10">
        <v>1</v>
      </c>
      <c r="I100" s="10">
        <v>0</v>
      </c>
      <c r="J100" s="10">
        <v>4</v>
      </c>
      <c r="K100" s="10">
        <v>384</v>
      </c>
      <c r="L100" s="10">
        <v>327</v>
      </c>
      <c r="M100" s="10">
        <v>0</v>
      </c>
      <c r="N100" s="10">
        <v>0</v>
      </c>
      <c r="O100" s="10">
        <v>0</v>
      </c>
    </row>
    <row r="101" spans="1:15" x14ac:dyDescent="0.2">
      <c r="A101" s="10" t="s">
        <v>189</v>
      </c>
      <c r="B101" s="10" t="s">
        <v>43</v>
      </c>
      <c r="C101" s="10" t="s">
        <v>44</v>
      </c>
      <c r="D101" s="10" t="s">
        <v>45</v>
      </c>
      <c r="E101" s="10" t="s">
        <v>46</v>
      </c>
      <c r="F101" s="10" t="s">
        <v>61</v>
      </c>
      <c r="G101" s="10" t="b">
        <f>FALSE()</f>
        <v>0</v>
      </c>
      <c r="H101" s="10">
        <v>1</v>
      </c>
      <c r="I101" s="10">
        <v>1</v>
      </c>
      <c r="J101" s="10">
        <v>4</v>
      </c>
      <c r="K101" s="10">
        <v>348</v>
      </c>
      <c r="L101" s="10">
        <v>326</v>
      </c>
      <c r="M101" s="10">
        <v>1</v>
      </c>
      <c r="N101" s="10">
        <v>171</v>
      </c>
      <c r="O101" s="10">
        <v>168</v>
      </c>
    </row>
    <row r="102" spans="1:15" x14ac:dyDescent="0.2">
      <c r="A102" s="10" t="s">
        <v>168</v>
      </c>
      <c r="B102" s="10" t="s">
        <v>169</v>
      </c>
      <c r="C102" s="10" t="s">
        <v>117</v>
      </c>
      <c r="D102" s="10" t="s">
        <v>51</v>
      </c>
      <c r="E102" s="10" t="s">
        <v>52</v>
      </c>
      <c r="F102" s="10" t="s">
        <v>190</v>
      </c>
      <c r="G102" s="10" t="b">
        <f>TRUE()</f>
        <v>1</v>
      </c>
      <c r="H102" s="10">
        <v>1</v>
      </c>
      <c r="I102" s="10">
        <v>0</v>
      </c>
      <c r="J102" s="10">
        <v>5</v>
      </c>
      <c r="K102" s="10">
        <v>264</v>
      </c>
      <c r="L102" s="10">
        <v>323</v>
      </c>
      <c r="M102" s="10">
        <v>0</v>
      </c>
      <c r="N102" s="10">
        <v>0</v>
      </c>
      <c r="O102" s="10">
        <v>0</v>
      </c>
    </row>
    <row r="103" spans="1:15" x14ac:dyDescent="0.2">
      <c r="A103" s="10" t="s">
        <v>135</v>
      </c>
      <c r="B103" s="10" t="s">
        <v>136</v>
      </c>
      <c r="C103" s="10" t="s">
        <v>73</v>
      </c>
      <c r="D103" s="10" t="s">
        <v>45</v>
      </c>
      <c r="E103" s="10" t="s">
        <v>46</v>
      </c>
      <c r="F103" s="10" t="s">
        <v>113</v>
      </c>
      <c r="G103" s="10" t="b">
        <f>TRUE()</f>
        <v>1</v>
      </c>
      <c r="H103" s="10">
        <v>1</v>
      </c>
      <c r="I103" s="10">
        <v>1</v>
      </c>
      <c r="J103" s="10">
        <v>1</v>
      </c>
      <c r="K103" s="10">
        <v>357</v>
      </c>
      <c r="L103" s="10">
        <v>322</v>
      </c>
      <c r="M103" s="10">
        <v>1</v>
      </c>
      <c r="N103" s="10">
        <v>73</v>
      </c>
      <c r="O103" s="10">
        <v>73</v>
      </c>
    </row>
    <row r="104" spans="1:15" x14ac:dyDescent="0.2">
      <c r="A104" s="10" t="s">
        <v>88</v>
      </c>
      <c r="B104" s="10" t="s">
        <v>89</v>
      </c>
      <c r="C104" s="10" t="s">
        <v>90</v>
      </c>
      <c r="D104" s="10" t="s">
        <v>51</v>
      </c>
      <c r="E104" s="10" t="s">
        <v>52</v>
      </c>
      <c r="F104" s="10" t="s">
        <v>190</v>
      </c>
      <c r="G104" s="10" t="b">
        <f>TRUE()</f>
        <v>1</v>
      </c>
      <c r="H104" s="10">
        <v>1</v>
      </c>
      <c r="I104" s="10">
        <v>1</v>
      </c>
      <c r="J104" s="10">
        <v>7</v>
      </c>
      <c r="K104" s="10">
        <v>221</v>
      </c>
      <c r="L104" s="10">
        <v>318</v>
      </c>
      <c r="M104" s="10">
        <v>1</v>
      </c>
      <c r="N104" s="10">
        <v>219</v>
      </c>
      <c r="O104" s="10">
        <v>219</v>
      </c>
    </row>
    <row r="105" spans="1:15" x14ac:dyDescent="0.2">
      <c r="A105" s="10" t="s">
        <v>191</v>
      </c>
      <c r="B105" s="10" t="s">
        <v>128</v>
      </c>
      <c r="C105" s="10" t="s">
        <v>50</v>
      </c>
      <c r="D105" s="10" t="s">
        <v>51</v>
      </c>
      <c r="E105" s="10" t="s">
        <v>52</v>
      </c>
      <c r="F105" s="10" t="s">
        <v>74</v>
      </c>
      <c r="G105" s="10" t="b">
        <f>FALSE()</f>
        <v>0</v>
      </c>
      <c r="H105" s="10">
        <v>1</v>
      </c>
      <c r="I105" s="10">
        <v>0</v>
      </c>
      <c r="J105" s="10">
        <v>3</v>
      </c>
      <c r="K105" s="10">
        <v>317</v>
      </c>
      <c r="L105" s="10">
        <v>317</v>
      </c>
      <c r="M105" s="10">
        <v>0</v>
      </c>
      <c r="N105" s="10">
        <v>0</v>
      </c>
      <c r="O105" s="10">
        <v>0</v>
      </c>
    </row>
    <row r="106" spans="1:15" x14ac:dyDescent="0.2">
      <c r="A106" s="10" t="s">
        <v>192</v>
      </c>
      <c r="B106" s="10" t="s">
        <v>193</v>
      </c>
      <c r="C106" s="10" t="s">
        <v>117</v>
      </c>
      <c r="D106" s="10" t="s">
        <v>51</v>
      </c>
      <c r="E106" s="10" t="s">
        <v>52</v>
      </c>
      <c r="F106" s="10" t="s">
        <v>91</v>
      </c>
      <c r="G106" s="10" t="b">
        <f>TRUE()</f>
        <v>1</v>
      </c>
      <c r="H106" s="10">
        <v>1</v>
      </c>
      <c r="I106" s="10">
        <v>0</v>
      </c>
      <c r="J106" s="10">
        <v>4</v>
      </c>
      <c r="K106" s="10">
        <v>207</v>
      </c>
      <c r="L106" s="10">
        <v>317</v>
      </c>
      <c r="M106" s="10">
        <v>0</v>
      </c>
      <c r="N106" s="10">
        <v>0</v>
      </c>
      <c r="O106" s="10">
        <v>0</v>
      </c>
    </row>
    <row r="107" spans="1:15" x14ac:dyDescent="0.2">
      <c r="A107" s="10" t="s">
        <v>194</v>
      </c>
      <c r="B107" s="10" t="s">
        <v>70</v>
      </c>
      <c r="C107" s="10" t="s">
        <v>70</v>
      </c>
      <c r="D107" s="10" t="s">
        <v>45</v>
      </c>
      <c r="E107" s="10" t="s">
        <v>46</v>
      </c>
      <c r="F107" s="10" t="s">
        <v>61</v>
      </c>
      <c r="G107" s="10" t="b">
        <f>FALSE()</f>
        <v>0</v>
      </c>
      <c r="H107" s="10">
        <v>1</v>
      </c>
      <c r="I107" s="10">
        <v>1</v>
      </c>
      <c r="J107" s="10">
        <v>3</v>
      </c>
      <c r="K107" s="10">
        <v>144</v>
      </c>
      <c r="L107" s="10">
        <v>316</v>
      </c>
      <c r="M107" s="10">
        <v>1</v>
      </c>
      <c r="N107" s="10">
        <v>265</v>
      </c>
      <c r="O107" s="10">
        <v>265</v>
      </c>
    </row>
    <row r="108" spans="1:15" x14ac:dyDescent="0.2">
      <c r="A108" s="10" t="s">
        <v>135</v>
      </c>
      <c r="B108" s="10" t="s">
        <v>136</v>
      </c>
      <c r="C108" s="10" t="s">
        <v>73</v>
      </c>
      <c r="D108" s="10" t="s">
        <v>45</v>
      </c>
      <c r="E108" s="10" t="s">
        <v>46</v>
      </c>
      <c r="F108" s="10" t="s">
        <v>91</v>
      </c>
      <c r="G108" s="10" t="b">
        <f>TRUE()</f>
        <v>1</v>
      </c>
      <c r="H108" s="10">
        <v>1</v>
      </c>
      <c r="I108" s="10">
        <v>1</v>
      </c>
      <c r="J108" s="10">
        <v>1</v>
      </c>
      <c r="K108" s="10">
        <v>326</v>
      </c>
      <c r="L108" s="10">
        <v>314</v>
      </c>
      <c r="M108" s="10">
        <v>1</v>
      </c>
      <c r="N108" s="10">
        <v>149</v>
      </c>
      <c r="O108" s="10">
        <v>149</v>
      </c>
    </row>
    <row r="109" spans="1:15" x14ac:dyDescent="0.2">
      <c r="A109" s="10" t="s">
        <v>195</v>
      </c>
      <c r="B109" s="10" t="s">
        <v>196</v>
      </c>
      <c r="C109" s="10" t="s">
        <v>117</v>
      </c>
      <c r="D109" s="10" t="s">
        <v>51</v>
      </c>
      <c r="E109" s="10" t="s">
        <v>52</v>
      </c>
      <c r="F109" s="10" t="s">
        <v>190</v>
      </c>
      <c r="G109" s="10" t="b">
        <f>TRUE()</f>
        <v>1</v>
      </c>
      <c r="H109" s="10">
        <v>1</v>
      </c>
      <c r="I109" s="10">
        <v>0</v>
      </c>
      <c r="J109" s="10">
        <v>2</v>
      </c>
      <c r="K109" s="10">
        <v>243</v>
      </c>
      <c r="L109" s="10">
        <v>314</v>
      </c>
      <c r="M109" s="10">
        <v>0</v>
      </c>
      <c r="N109" s="10">
        <v>0</v>
      </c>
      <c r="O109" s="10">
        <v>0</v>
      </c>
    </row>
    <row r="110" spans="1:15" x14ac:dyDescent="0.2">
      <c r="A110" s="10" t="s">
        <v>197</v>
      </c>
      <c r="B110" s="10" t="s">
        <v>116</v>
      </c>
      <c r="C110" s="10" t="s">
        <v>117</v>
      </c>
      <c r="D110" s="10" t="s">
        <v>51</v>
      </c>
      <c r="E110" s="10" t="s">
        <v>52</v>
      </c>
      <c r="F110" s="10" t="s">
        <v>61</v>
      </c>
      <c r="G110" s="10" t="b">
        <f>FALSE()</f>
        <v>0</v>
      </c>
      <c r="H110" s="10">
        <v>1</v>
      </c>
      <c r="I110" s="10">
        <v>1</v>
      </c>
      <c r="J110" s="10">
        <v>4</v>
      </c>
      <c r="K110" s="10">
        <v>291</v>
      </c>
      <c r="L110" s="10">
        <v>313</v>
      </c>
      <c r="M110" s="10">
        <v>1</v>
      </c>
      <c r="N110" s="10">
        <v>424</v>
      </c>
      <c r="O110" s="10">
        <v>428</v>
      </c>
    </row>
    <row r="111" spans="1:15" x14ac:dyDescent="0.2">
      <c r="A111" s="10" t="s">
        <v>198</v>
      </c>
      <c r="B111" s="10" t="s">
        <v>130</v>
      </c>
      <c r="C111" s="10" t="s">
        <v>56</v>
      </c>
      <c r="D111" s="10" t="s">
        <v>45</v>
      </c>
      <c r="E111" s="10" t="s">
        <v>46</v>
      </c>
      <c r="F111" s="10" t="s">
        <v>155</v>
      </c>
      <c r="G111" s="10" t="b">
        <f>TRUE()</f>
        <v>1</v>
      </c>
      <c r="H111" s="10">
        <v>1</v>
      </c>
      <c r="I111" s="10">
        <v>0</v>
      </c>
      <c r="J111" s="10">
        <v>3</v>
      </c>
      <c r="K111" s="10">
        <v>373</v>
      </c>
      <c r="L111" s="10">
        <v>312</v>
      </c>
      <c r="M111" s="10">
        <v>0</v>
      </c>
      <c r="N111" s="10">
        <v>0</v>
      </c>
      <c r="O111" s="10">
        <v>0</v>
      </c>
    </row>
    <row r="112" spans="1:15" x14ac:dyDescent="0.2">
      <c r="A112" s="10" t="s">
        <v>59</v>
      </c>
      <c r="B112" s="10" t="s">
        <v>60</v>
      </c>
      <c r="C112" s="10" t="s">
        <v>50</v>
      </c>
      <c r="D112" s="10" t="s">
        <v>51</v>
      </c>
      <c r="E112" s="10" t="s">
        <v>52</v>
      </c>
      <c r="F112" s="10" t="s">
        <v>47</v>
      </c>
      <c r="G112" s="10" t="b">
        <f>FALSE()</f>
        <v>0</v>
      </c>
      <c r="H112" s="10">
        <v>1</v>
      </c>
      <c r="I112" s="10">
        <v>1</v>
      </c>
      <c r="J112" s="10">
        <v>6</v>
      </c>
      <c r="K112" s="10">
        <v>485</v>
      </c>
      <c r="L112" s="10">
        <v>311</v>
      </c>
      <c r="M112" s="10">
        <v>1</v>
      </c>
      <c r="N112" s="10">
        <v>365</v>
      </c>
      <c r="O112" s="10">
        <v>547</v>
      </c>
    </row>
    <row r="113" spans="1:15" x14ac:dyDescent="0.2">
      <c r="A113" s="10" t="s">
        <v>199</v>
      </c>
      <c r="B113" s="10" t="s">
        <v>109</v>
      </c>
      <c r="C113" s="10" t="s">
        <v>90</v>
      </c>
      <c r="D113" s="10" t="s">
        <v>51</v>
      </c>
      <c r="E113" s="10" t="s">
        <v>52</v>
      </c>
      <c r="F113" s="10" t="s">
        <v>61</v>
      </c>
      <c r="G113" s="10" t="b">
        <f>FALSE()</f>
        <v>0</v>
      </c>
      <c r="H113" s="10">
        <v>1</v>
      </c>
      <c r="I113" s="10">
        <v>0</v>
      </c>
      <c r="J113" s="10">
        <v>3</v>
      </c>
      <c r="K113" s="10">
        <v>304</v>
      </c>
      <c r="L113" s="10">
        <v>309</v>
      </c>
      <c r="M113" s="10">
        <v>0</v>
      </c>
      <c r="N113" s="10">
        <v>0</v>
      </c>
      <c r="O113" s="10">
        <v>0</v>
      </c>
    </row>
    <row r="114" spans="1:15" x14ac:dyDescent="0.2">
      <c r="A114" s="10" t="s">
        <v>200</v>
      </c>
      <c r="B114" s="10" t="s">
        <v>146</v>
      </c>
      <c r="C114" s="10" t="s">
        <v>105</v>
      </c>
      <c r="D114" s="10" t="s">
        <v>45</v>
      </c>
      <c r="E114" s="10" t="s">
        <v>46</v>
      </c>
      <c r="F114" s="10" t="s">
        <v>190</v>
      </c>
      <c r="G114" s="10" t="b">
        <f>TRUE()</f>
        <v>1</v>
      </c>
      <c r="H114" s="10">
        <v>1</v>
      </c>
      <c r="I114" s="10">
        <v>0</v>
      </c>
      <c r="J114" s="10">
        <v>2</v>
      </c>
      <c r="K114" s="10">
        <v>163</v>
      </c>
      <c r="L114" s="10">
        <v>308</v>
      </c>
      <c r="M114" s="10">
        <v>0</v>
      </c>
      <c r="N114" s="10">
        <v>0</v>
      </c>
      <c r="O114" s="10">
        <v>0</v>
      </c>
    </row>
    <row r="115" spans="1:15" x14ac:dyDescent="0.2">
      <c r="A115" s="10" t="s">
        <v>201</v>
      </c>
      <c r="B115" s="10" t="s">
        <v>130</v>
      </c>
      <c r="C115" s="10" t="s">
        <v>56</v>
      </c>
      <c r="D115" s="10" t="s">
        <v>45</v>
      </c>
      <c r="E115" s="10" t="s">
        <v>46</v>
      </c>
      <c r="F115" s="10" t="s">
        <v>61</v>
      </c>
      <c r="G115" s="10" t="b">
        <f>FALSE()</f>
        <v>0</v>
      </c>
      <c r="H115" s="10">
        <v>1</v>
      </c>
      <c r="I115" s="10">
        <v>0</v>
      </c>
      <c r="J115" s="10">
        <v>2</v>
      </c>
      <c r="K115" s="10">
        <v>315</v>
      </c>
      <c r="L115" s="10">
        <v>307</v>
      </c>
      <c r="M115" s="10">
        <v>0</v>
      </c>
      <c r="N115" s="10">
        <v>0</v>
      </c>
      <c r="O115" s="10">
        <v>0</v>
      </c>
    </row>
    <row r="116" spans="1:15" x14ac:dyDescent="0.2">
      <c r="A116" s="10" t="s">
        <v>202</v>
      </c>
      <c r="B116" s="10" t="s">
        <v>136</v>
      </c>
      <c r="C116" s="10" t="s">
        <v>73</v>
      </c>
      <c r="D116" s="10" t="s">
        <v>45</v>
      </c>
      <c r="E116" s="10" t="s">
        <v>46</v>
      </c>
      <c r="F116" s="10" t="s">
        <v>79</v>
      </c>
      <c r="G116" s="10" t="b">
        <f>FALSE()</f>
        <v>0</v>
      </c>
      <c r="H116" s="10">
        <v>1</v>
      </c>
      <c r="I116" s="10">
        <v>0</v>
      </c>
      <c r="J116" s="10">
        <v>4</v>
      </c>
      <c r="K116" s="10">
        <v>310</v>
      </c>
      <c r="L116" s="10">
        <v>307</v>
      </c>
      <c r="M116" s="10">
        <v>0</v>
      </c>
      <c r="N116" s="10">
        <v>0</v>
      </c>
      <c r="O116" s="10">
        <v>0</v>
      </c>
    </row>
    <row r="117" spans="1:15" x14ac:dyDescent="0.2">
      <c r="A117" s="10" t="s">
        <v>203</v>
      </c>
      <c r="B117" s="10" t="s">
        <v>178</v>
      </c>
      <c r="C117" s="10" t="s">
        <v>73</v>
      </c>
      <c r="D117" s="10" t="s">
        <v>45</v>
      </c>
      <c r="E117" s="10" t="s">
        <v>46</v>
      </c>
      <c r="F117" s="10" t="s">
        <v>61</v>
      </c>
      <c r="G117" s="10" t="b">
        <f>FALSE()</f>
        <v>0</v>
      </c>
      <c r="H117" s="10">
        <v>1</v>
      </c>
      <c r="I117" s="10">
        <v>0</v>
      </c>
      <c r="J117" s="10">
        <v>1</v>
      </c>
      <c r="K117" s="10">
        <v>179</v>
      </c>
      <c r="L117" s="10">
        <v>306</v>
      </c>
      <c r="M117" s="10">
        <v>0</v>
      </c>
      <c r="N117" s="10">
        <v>0</v>
      </c>
      <c r="O117" s="10">
        <v>0</v>
      </c>
    </row>
    <row r="118" spans="1:15" x14ac:dyDescent="0.2">
      <c r="A118" s="10" t="s">
        <v>127</v>
      </c>
      <c r="B118" s="10" t="s">
        <v>128</v>
      </c>
      <c r="C118" s="10" t="s">
        <v>50</v>
      </c>
      <c r="D118" s="10" t="s">
        <v>51</v>
      </c>
      <c r="E118" s="10" t="s">
        <v>52</v>
      </c>
      <c r="F118" s="10" t="s">
        <v>204</v>
      </c>
      <c r="G118" s="10" t="b">
        <f>FALSE()</f>
        <v>0</v>
      </c>
      <c r="H118" s="10">
        <v>1</v>
      </c>
      <c r="I118" s="10">
        <v>0</v>
      </c>
      <c r="J118" s="10">
        <v>5</v>
      </c>
      <c r="K118" s="10">
        <v>365</v>
      </c>
      <c r="L118" s="10">
        <v>306</v>
      </c>
      <c r="M118" s="10">
        <v>0</v>
      </c>
      <c r="N118" s="10">
        <v>0</v>
      </c>
      <c r="O118" s="10">
        <v>0</v>
      </c>
    </row>
    <row r="119" spans="1:15" x14ac:dyDescent="0.2">
      <c r="A119" s="10" t="s">
        <v>205</v>
      </c>
      <c r="B119" s="10" t="s">
        <v>178</v>
      </c>
      <c r="C119" s="10" t="s">
        <v>73</v>
      </c>
      <c r="D119" s="10" t="s">
        <v>45</v>
      </c>
      <c r="E119" s="10" t="s">
        <v>46</v>
      </c>
      <c r="F119" s="10" t="s">
        <v>206</v>
      </c>
      <c r="G119" s="10" t="b">
        <f>FALSE()</f>
        <v>0</v>
      </c>
      <c r="H119" s="10">
        <v>1</v>
      </c>
      <c r="I119" s="10">
        <v>0</v>
      </c>
      <c r="J119" s="10">
        <v>3</v>
      </c>
      <c r="K119" s="10">
        <v>279</v>
      </c>
      <c r="L119" s="10">
        <v>304</v>
      </c>
      <c r="M119" s="10">
        <v>0</v>
      </c>
      <c r="N119" s="10">
        <v>0</v>
      </c>
      <c r="O119" s="10">
        <v>0</v>
      </c>
    </row>
    <row r="120" spans="1:15" x14ac:dyDescent="0.2">
      <c r="A120" s="10" t="s">
        <v>59</v>
      </c>
      <c r="B120" s="10" t="s">
        <v>60</v>
      </c>
      <c r="C120" s="10" t="s">
        <v>50</v>
      </c>
      <c r="D120" s="10" t="s">
        <v>51</v>
      </c>
      <c r="E120" s="10" t="s">
        <v>52</v>
      </c>
      <c r="F120" s="10" t="s">
        <v>207</v>
      </c>
      <c r="G120" s="10" t="b">
        <f>FALSE()</f>
        <v>0</v>
      </c>
      <c r="H120" s="10">
        <v>1</v>
      </c>
      <c r="I120" s="10">
        <v>1</v>
      </c>
      <c r="J120" s="10">
        <v>2</v>
      </c>
      <c r="K120" s="10">
        <v>352</v>
      </c>
      <c r="L120" s="10">
        <v>303</v>
      </c>
      <c r="M120" s="10">
        <v>1</v>
      </c>
      <c r="N120" s="10">
        <v>307</v>
      </c>
      <c r="O120" s="10">
        <v>310</v>
      </c>
    </row>
    <row r="121" spans="1:15" x14ac:dyDescent="0.2">
      <c r="A121" s="10" t="s">
        <v>208</v>
      </c>
      <c r="B121" s="10" t="s">
        <v>172</v>
      </c>
      <c r="C121" s="10" t="s">
        <v>44</v>
      </c>
      <c r="D121" s="10" t="s">
        <v>45</v>
      </c>
      <c r="E121" s="10" t="s">
        <v>46</v>
      </c>
      <c r="F121" s="10" t="s">
        <v>65</v>
      </c>
      <c r="G121" s="10" t="b">
        <f>FALSE()</f>
        <v>0</v>
      </c>
      <c r="H121" s="10">
        <v>1</v>
      </c>
      <c r="I121" s="10">
        <v>1</v>
      </c>
      <c r="J121" s="10">
        <v>4</v>
      </c>
      <c r="K121" s="10">
        <v>1131</v>
      </c>
      <c r="L121" s="10">
        <v>300</v>
      </c>
      <c r="M121" s="10">
        <v>1</v>
      </c>
      <c r="N121" s="10">
        <v>2304</v>
      </c>
      <c r="O121" s="10">
        <v>2301</v>
      </c>
    </row>
    <row r="122" spans="1:15" x14ac:dyDescent="0.2">
      <c r="A122" s="10" t="s">
        <v>209</v>
      </c>
      <c r="B122" s="10" t="s">
        <v>178</v>
      </c>
      <c r="C122" s="10" t="s">
        <v>73</v>
      </c>
      <c r="D122" s="10" t="s">
        <v>45</v>
      </c>
      <c r="E122" s="10" t="s">
        <v>46</v>
      </c>
      <c r="F122" s="10" t="s">
        <v>61</v>
      </c>
      <c r="G122" s="10" t="b">
        <f>FALSE()</f>
        <v>0</v>
      </c>
      <c r="H122" s="10">
        <v>1</v>
      </c>
      <c r="I122" s="10">
        <v>1</v>
      </c>
      <c r="J122" s="10">
        <v>2</v>
      </c>
      <c r="K122" s="10">
        <v>256</v>
      </c>
      <c r="L122" s="10">
        <v>299</v>
      </c>
      <c r="M122" s="10">
        <v>1</v>
      </c>
      <c r="N122" s="10">
        <v>122</v>
      </c>
      <c r="O122" s="10">
        <v>122</v>
      </c>
    </row>
    <row r="123" spans="1:15" x14ac:dyDescent="0.2">
      <c r="A123" s="10" t="s">
        <v>210</v>
      </c>
      <c r="B123" s="10" t="s">
        <v>72</v>
      </c>
      <c r="C123" s="10" t="s">
        <v>73</v>
      </c>
      <c r="D123" s="10" t="s">
        <v>45</v>
      </c>
      <c r="E123" s="10" t="s">
        <v>46</v>
      </c>
      <c r="F123" s="10" t="s">
        <v>61</v>
      </c>
      <c r="G123" s="10" t="b">
        <f>FALSE()</f>
        <v>0</v>
      </c>
      <c r="H123" s="10">
        <v>1</v>
      </c>
      <c r="I123" s="10">
        <v>0</v>
      </c>
      <c r="J123" s="10">
        <v>4</v>
      </c>
      <c r="K123" s="10">
        <v>383</v>
      </c>
      <c r="L123" s="10">
        <v>298</v>
      </c>
      <c r="M123" s="10">
        <v>0</v>
      </c>
      <c r="N123" s="10">
        <v>0</v>
      </c>
      <c r="O123" s="10">
        <v>0</v>
      </c>
    </row>
    <row r="124" spans="1:15" x14ac:dyDescent="0.2">
      <c r="A124" s="10" t="s">
        <v>211</v>
      </c>
      <c r="B124" s="10" t="s">
        <v>167</v>
      </c>
      <c r="C124" s="10" t="s">
        <v>64</v>
      </c>
      <c r="D124" s="10" t="s">
        <v>45</v>
      </c>
      <c r="E124" s="10" t="s">
        <v>46</v>
      </c>
      <c r="F124" s="10" t="s">
        <v>212</v>
      </c>
      <c r="G124" s="10" t="b">
        <f>FALSE()</f>
        <v>0</v>
      </c>
      <c r="H124" s="10">
        <v>1</v>
      </c>
      <c r="I124" s="10">
        <v>0</v>
      </c>
      <c r="J124" s="10">
        <v>2</v>
      </c>
      <c r="K124" s="10">
        <v>304</v>
      </c>
      <c r="L124" s="10">
        <v>297</v>
      </c>
      <c r="M124" s="10">
        <v>0</v>
      </c>
      <c r="N124" s="10">
        <v>0</v>
      </c>
      <c r="O124" s="10">
        <v>0</v>
      </c>
    </row>
    <row r="125" spans="1:15" x14ac:dyDescent="0.2">
      <c r="A125" s="10" t="s">
        <v>213</v>
      </c>
      <c r="B125" s="10" t="s">
        <v>55</v>
      </c>
      <c r="C125" s="10" t="s">
        <v>56</v>
      </c>
      <c r="D125" s="10" t="s">
        <v>45</v>
      </c>
      <c r="E125" s="10" t="s">
        <v>46</v>
      </c>
      <c r="F125" s="10" t="s">
        <v>47</v>
      </c>
      <c r="G125" s="10" t="b">
        <f>FALSE()</f>
        <v>0</v>
      </c>
      <c r="H125" s="10">
        <v>1</v>
      </c>
      <c r="I125" s="10">
        <v>0</v>
      </c>
      <c r="J125" s="10">
        <v>2</v>
      </c>
      <c r="K125" s="10">
        <v>197</v>
      </c>
      <c r="L125" s="10">
        <v>296</v>
      </c>
      <c r="M125" s="10">
        <v>0</v>
      </c>
      <c r="N125" s="10">
        <v>0</v>
      </c>
      <c r="O125" s="10">
        <v>0</v>
      </c>
    </row>
    <row r="126" spans="1:15" x14ac:dyDescent="0.2">
      <c r="A126" s="10" t="s">
        <v>145</v>
      </c>
      <c r="B126" s="10" t="s">
        <v>146</v>
      </c>
      <c r="C126" s="10" t="s">
        <v>105</v>
      </c>
      <c r="D126" s="10" t="s">
        <v>45</v>
      </c>
      <c r="E126" s="10" t="s">
        <v>46</v>
      </c>
      <c r="F126" s="10" t="s">
        <v>214</v>
      </c>
      <c r="G126" s="10" t="b">
        <f>FALSE()</f>
        <v>0</v>
      </c>
      <c r="H126" s="10">
        <v>1</v>
      </c>
      <c r="I126" s="10">
        <v>0</v>
      </c>
      <c r="J126" s="10">
        <v>3</v>
      </c>
      <c r="K126" s="10">
        <v>235</v>
      </c>
      <c r="L126" s="10">
        <v>295</v>
      </c>
      <c r="M126" s="10">
        <v>0</v>
      </c>
      <c r="N126" s="10">
        <v>0</v>
      </c>
      <c r="O126" s="10">
        <v>0</v>
      </c>
    </row>
    <row r="127" spans="1:15" x14ac:dyDescent="0.2">
      <c r="A127" s="10" t="s">
        <v>195</v>
      </c>
      <c r="B127" s="10" t="s">
        <v>196</v>
      </c>
      <c r="C127" s="10" t="s">
        <v>117</v>
      </c>
      <c r="D127" s="10" t="s">
        <v>51</v>
      </c>
      <c r="E127" s="10" t="s">
        <v>52</v>
      </c>
      <c r="F127" s="10" t="s">
        <v>91</v>
      </c>
      <c r="G127" s="10" t="b">
        <f>TRUE()</f>
        <v>1</v>
      </c>
      <c r="H127" s="10">
        <v>1</v>
      </c>
      <c r="I127" s="10">
        <v>0</v>
      </c>
      <c r="J127" s="10">
        <v>3</v>
      </c>
      <c r="K127" s="10">
        <v>267</v>
      </c>
      <c r="L127" s="10">
        <v>295</v>
      </c>
      <c r="M127" s="10">
        <v>0</v>
      </c>
      <c r="N127" s="10">
        <v>0</v>
      </c>
      <c r="O127" s="10">
        <v>0</v>
      </c>
    </row>
    <row r="128" spans="1:15" x14ac:dyDescent="0.2">
      <c r="A128" s="10" t="s">
        <v>210</v>
      </c>
      <c r="B128" s="10" t="s">
        <v>72</v>
      </c>
      <c r="C128" s="10" t="s">
        <v>73</v>
      </c>
      <c r="D128" s="10" t="s">
        <v>45</v>
      </c>
      <c r="E128" s="10" t="s">
        <v>46</v>
      </c>
      <c r="F128" s="10" t="s">
        <v>79</v>
      </c>
      <c r="G128" s="10" t="b">
        <f>FALSE()</f>
        <v>0</v>
      </c>
      <c r="H128" s="10">
        <v>1</v>
      </c>
      <c r="I128" s="10">
        <v>0</v>
      </c>
      <c r="J128" s="10">
        <v>1</v>
      </c>
      <c r="K128" s="10">
        <v>379</v>
      </c>
      <c r="L128" s="10">
        <v>294</v>
      </c>
      <c r="M128" s="10">
        <v>0</v>
      </c>
      <c r="N128" s="10">
        <v>0</v>
      </c>
      <c r="O128" s="10">
        <v>0</v>
      </c>
    </row>
    <row r="129" spans="1:15" x14ac:dyDescent="0.2">
      <c r="A129" s="10" t="s">
        <v>215</v>
      </c>
      <c r="B129" s="10" t="s">
        <v>160</v>
      </c>
      <c r="C129" s="10" t="s">
        <v>56</v>
      </c>
      <c r="D129" s="10" t="s">
        <v>45</v>
      </c>
      <c r="E129" s="10" t="s">
        <v>46</v>
      </c>
      <c r="F129" s="10" t="s">
        <v>212</v>
      </c>
      <c r="G129" s="10" t="b">
        <f>FALSE()</f>
        <v>0</v>
      </c>
      <c r="H129" s="10">
        <v>1</v>
      </c>
      <c r="I129" s="10">
        <v>0</v>
      </c>
      <c r="J129" s="10">
        <v>2</v>
      </c>
      <c r="K129" s="10">
        <v>405</v>
      </c>
      <c r="L129" s="10">
        <v>294</v>
      </c>
      <c r="M129" s="10">
        <v>0</v>
      </c>
      <c r="N129" s="10">
        <v>0</v>
      </c>
      <c r="O129" s="10">
        <v>0</v>
      </c>
    </row>
    <row r="130" spans="1:15" x14ac:dyDescent="0.2">
      <c r="A130" s="10" t="s">
        <v>150</v>
      </c>
      <c r="B130" s="10" t="s">
        <v>151</v>
      </c>
      <c r="C130" s="10" t="s">
        <v>64</v>
      </c>
      <c r="D130" s="10" t="s">
        <v>45</v>
      </c>
      <c r="E130" s="10" t="s">
        <v>46</v>
      </c>
      <c r="F130" s="10" t="s">
        <v>92</v>
      </c>
      <c r="G130" s="10" t="b">
        <f>FALSE()</f>
        <v>0</v>
      </c>
      <c r="H130" s="10">
        <v>1</v>
      </c>
      <c r="I130" s="10">
        <v>1</v>
      </c>
      <c r="J130" s="10">
        <v>5</v>
      </c>
      <c r="K130" s="10">
        <v>380</v>
      </c>
      <c r="L130" s="10">
        <v>293</v>
      </c>
      <c r="M130" s="10">
        <v>1</v>
      </c>
      <c r="N130" s="10">
        <v>404</v>
      </c>
      <c r="O130" s="10">
        <v>404</v>
      </c>
    </row>
    <row r="131" spans="1:15" x14ac:dyDescent="0.2">
      <c r="A131" s="10" t="s">
        <v>144</v>
      </c>
      <c r="B131" s="10" t="s">
        <v>72</v>
      </c>
      <c r="C131" s="10" t="s">
        <v>73</v>
      </c>
      <c r="D131" s="10" t="s">
        <v>45</v>
      </c>
      <c r="E131" s="10" t="s">
        <v>46</v>
      </c>
      <c r="F131" s="10" t="s">
        <v>79</v>
      </c>
      <c r="G131" s="10" t="b">
        <f>FALSE()</f>
        <v>0</v>
      </c>
      <c r="H131" s="10">
        <v>1</v>
      </c>
      <c r="I131" s="10">
        <v>1</v>
      </c>
      <c r="J131" s="10">
        <v>2</v>
      </c>
      <c r="K131" s="10">
        <v>312</v>
      </c>
      <c r="L131" s="10">
        <v>293</v>
      </c>
      <c r="M131" s="10">
        <v>1</v>
      </c>
      <c r="N131" s="10">
        <v>111</v>
      </c>
      <c r="O131" s="10">
        <v>111</v>
      </c>
    </row>
    <row r="132" spans="1:15" x14ac:dyDescent="0.2">
      <c r="A132" s="10" t="s">
        <v>216</v>
      </c>
      <c r="B132" s="10" t="s">
        <v>160</v>
      </c>
      <c r="C132" s="10" t="s">
        <v>56</v>
      </c>
      <c r="D132" s="10" t="s">
        <v>45</v>
      </c>
      <c r="E132" s="10" t="s">
        <v>46</v>
      </c>
      <c r="F132" s="10" t="s">
        <v>92</v>
      </c>
      <c r="G132" s="10" t="b">
        <f>FALSE()</f>
        <v>0</v>
      </c>
      <c r="H132" s="10">
        <v>1</v>
      </c>
      <c r="I132" s="10">
        <v>0</v>
      </c>
      <c r="J132" s="10">
        <v>3</v>
      </c>
      <c r="K132" s="10">
        <v>252</v>
      </c>
      <c r="L132" s="10">
        <v>289</v>
      </c>
      <c r="M132" s="10">
        <v>0</v>
      </c>
      <c r="N132" s="10">
        <v>0</v>
      </c>
      <c r="O132" s="10">
        <v>0</v>
      </c>
    </row>
    <row r="133" spans="1:15" x14ac:dyDescent="0.2">
      <c r="A133" s="10" t="s">
        <v>217</v>
      </c>
      <c r="B133" s="10" t="s">
        <v>218</v>
      </c>
      <c r="C133" s="10" t="s">
        <v>73</v>
      </c>
      <c r="D133" s="10" t="s">
        <v>45</v>
      </c>
      <c r="E133" s="10" t="s">
        <v>46</v>
      </c>
      <c r="F133" s="10" t="s">
        <v>219</v>
      </c>
      <c r="G133" s="10" t="b">
        <f>FALSE()</f>
        <v>0</v>
      </c>
      <c r="H133" s="10">
        <v>1</v>
      </c>
      <c r="I133" s="10">
        <v>1</v>
      </c>
      <c r="J133" s="10">
        <v>3</v>
      </c>
      <c r="K133" s="10">
        <v>103</v>
      </c>
      <c r="L133" s="10">
        <v>288</v>
      </c>
      <c r="M133" s="10">
        <v>1</v>
      </c>
      <c r="N133" s="10">
        <v>202</v>
      </c>
      <c r="O133" s="10">
        <v>197</v>
      </c>
    </row>
    <row r="134" spans="1:15" x14ac:dyDescent="0.2">
      <c r="A134" s="10" t="s">
        <v>154</v>
      </c>
      <c r="B134" s="10" t="s">
        <v>104</v>
      </c>
      <c r="C134" s="10" t="s">
        <v>105</v>
      </c>
      <c r="D134" s="10" t="s">
        <v>45</v>
      </c>
      <c r="E134" s="10" t="s">
        <v>46</v>
      </c>
      <c r="F134" s="10" t="s">
        <v>220</v>
      </c>
      <c r="G134" s="10" t="b">
        <f>FALSE()</f>
        <v>0</v>
      </c>
      <c r="H134" s="10">
        <v>1</v>
      </c>
      <c r="I134" s="10">
        <v>1</v>
      </c>
      <c r="J134" s="10">
        <v>2</v>
      </c>
      <c r="K134" s="10">
        <v>199</v>
      </c>
      <c r="L134" s="10">
        <v>288</v>
      </c>
      <c r="M134" s="10">
        <v>1</v>
      </c>
      <c r="N134" s="10">
        <v>124</v>
      </c>
      <c r="O134" s="10">
        <v>105</v>
      </c>
    </row>
    <row r="135" spans="1:15" x14ac:dyDescent="0.2">
      <c r="A135" s="10" t="s">
        <v>221</v>
      </c>
      <c r="B135" s="10" t="s">
        <v>136</v>
      </c>
      <c r="C135" s="10" t="s">
        <v>73</v>
      </c>
      <c r="D135" s="10" t="s">
        <v>45</v>
      </c>
      <c r="E135" s="10" t="s">
        <v>46</v>
      </c>
      <c r="F135" s="10" t="s">
        <v>79</v>
      </c>
      <c r="G135" s="10" t="b">
        <f>FALSE()</f>
        <v>0</v>
      </c>
      <c r="H135" s="10">
        <v>1</v>
      </c>
      <c r="I135" s="10">
        <v>0</v>
      </c>
      <c r="J135" s="10">
        <v>3</v>
      </c>
      <c r="K135" s="10">
        <v>353</v>
      </c>
      <c r="L135" s="10">
        <v>287</v>
      </c>
      <c r="M135" s="10">
        <v>0</v>
      </c>
      <c r="N135" s="10">
        <v>0</v>
      </c>
      <c r="O135" s="10">
        <v>0</v>
      </c>
    </row>
    <row r="136" spans="1:15" x14ac:dyDescent="0.2">
      <c r="A136" s="10" t="s">
        <v>179</v>
      </c>
      <c r="B136" s="10" t="s">
        <v>55</v>
      </c>
      <c r="C136" s="10" t="s">
        <v>56</v>
      </c>
      <c r="D136" s="10" t="s">
        <v>45</v>
      </c>
      <c r="E136" s="10" t="s">
        <v>46</v>
      </c>
      <c r="F136" s="10" t="s">
        <v>206</v>
      </c>
      <c r="G136" s="10" t="b">
        <f>FALSE()</f>
        <v>0</v>
      </c>
      <c r="H136" s="10">
        <v>1</v>
      </c>
      <c r="I136" s="10">
        <v>0</v>
      </c>
      <c r="J136" s="10">
        <v>2</v>
      </c>
      <c r="K136" s="10">
        <v>133</v>
      </c>
      <c r="L136" s="10">
        <v>287</v>
      </c>
      <c r="M136" s="10">
        <v>0</v>
      </c>
      <c r="N136" s="10">
        <v>0</v>
      </c>
      <c r="O136" s="10">
        <v>0</v>
      </c>
    </row>
    <row r="137" spans="1:15" x14ac:dyDescent="0.2">
      <c r="A137" s="10" t="s">
        <v>222</v>
      </c>
      <c r="B137" s="10" t="s">
        <v>70</v>
      </c>
      <c r="C137" s="10" t="s">
        <v>70</v>
      </c>
      <c r="D137" s="10" t="s">
        <v>45</v>
      </c>
      <c r="E137" s="10" t="s">
        <v>46</v>
      </c>
      <c r="F137" s="10" t="s">
        <v>223</v>
      </c>
      <c r="G137" s="10" t="b">
        <f>FALSE()</f>
        <v>0</v>
      </c>
      <c r="H137" s="10">
        <v>1</v>
      </c>
      <c r="I137" s="10">
        <v>1</v>
      </c>
      <c r="J137" s="10">
        <v>2</v>
      </c>
      <c r="K137" s="10">
        <v>250</v>
      </c>
      <c r="L137" s="10">
        <v>286</v>
      </c>
      <c r="M137" s="10">
        <v>1</v>
      </c>
      <c r="N137" s="10">
        <v>109</v>
      </c>
      <c r="O137" s="10">
        <v>109</v>
      </c>
    </row>
    <row r="138" spans="1:15" x14ac:dyDescent="0.2">
      <c r="A138" s="10" t="s">
        <v>224</v>
      </c>
      <c r="B138" s="10" t="s">
        <v>169</v>
      </c>
      <c r="C138" s="10" t="s">
        <v>117</v>
      </c>
      <c r="D138" s="10" t="s">
        <v>51</v>
      </c>
      <c r="E138" s="10" t="s">
        <v>52</v>
      </c>
      <c r="F138" s="10" t="s">
        <v>91</v>
      </c>
      <c r="G138" s="10" t="b">
        <f>TRUE()</f>
        <v>1</v>
      </c>
      <c r="H138" s="10">
        <v>1</v>
      </c>
      <c r="I138" s="10">
        <v>0</v>
      </c>
      <c r="J138" s="10">
        <v>5</v>
      </c>
      <c r="K138" s="10">
        <v>264</v>
      </c>
      <c r="L138" s="10">
        <v>286</v>
      </c>
      <c r="M138" s="10">
        <v>0</v>
      </c>
      <c r="N138" s="10">
        <v>0</v>
      </c>
      <c r="O138" s="10">
        <v>0</v>
      </c>
    </row>
    <row r="139" spans="1:15" x14ac:dyDescent="0.2">
      <c r="A139" s="10" t="s">
        <v>225</v>
      </c>
      <c r="B139" s="10" t="s">
        <v>70</v>
      </c>
      <c r="C139" s="10" t="s">
        <v>70</v>
      </c>
      <c r="D139" s="10" t="s">
        <v>45</v>
      </c>
      <c r="E139" s="10" t="s">
        <v>46</v>
      </c>
      <c r="F139" s="10" t="s">
        <v>61</v>
      </c>
      <c r="G139" s="10" t="b">
        <f>FALSE()</f>
        <v>0</v>
      </c>
      <c r="H139" s="10">
        <v>1</v>
      </c>
      <c r="I139" s="10">
        <v>1</v>
      </c>
      <c r="J139" s="10">
        <v>3</v>
      </c>
      <c r="K139" s="10">
        <v>302</v>
      </c>
      <c r="L139" s="10">
        <v>285</v>
      </c>
      <c r="M139" s="10">
        <v>1</v>
      </c>
      <c r="N139" s="10">
        <v>169</v>
      </c>
      <c r="O139" s="10">
        <v>169</v>
      </c>
    </row>
    <row r="140" spans="1:15" x14ac:dyDescent="0.2">
      <c r="A140" s="10" t="s">
        <v>135</v>
      </c>
      <c r="B140" s="10" t="s">
        <v>136</v>
      </c>
      <c r="C140" s="10" t="s">
        <v>73</v>
      </c>
      <c r="D140" s="10" t="s">
        <v>45</v>
      </c>
      <c r="E140" s="10" t="s">
        <v>46</v>
      </c>
      <c r="F140" s="10" t="s">
        <v>79</v>
      </c>
      <c r="G140" s="10" t="b">
        <f>FALSE()</f>
        <v>0</v>
      </c>
      <c r="H140" s="10">
        <v>1</v>
      </c>
      <c r="I140" s="10">
        <v>1</v>
      </c>
      <c r="J140" s="10">
        <v>1</v>
      </c>
      <c r="K140" s="10">
        <v>202</v>
      </c>
      <c r="L140" s="10">
        <v>285</v>
      </c>
      <c r="M140" s="10">
        <v>1</v>
      </c>
      <c r="N140" s="10">
        <v>66</v>
      </c>
      <c r="O140" s="10">
        <v>66</v>
      </c>
    </row>
    <row r="141" spans="1:15" x14ac:dyDescent="0.2">
      <c r="A141" s="10" t="s">
        <v>226</v>
      </c>
      <c r="B141" s="10" t="s">
        <v>130</v>
      </c>
      <c r="C141" s="10" t="s">
        <v>56</v>
      </c>
      <c r="D141" s="10" t="s">
        <v>45</v>
      </c>
      <c r="E141" s="10" t="s">
        <v>46</v>
      </c>
      <c r="F141" s="10" t="s">
        <v>123</v>
      </c>
      <c r="G141" s="10" t="b">
        <f>FALSE()</f>
        <v>0</v>
      </c>
      <c r="H141" s="10">
        <v>1</v>
      </c>
      <c r="I141" s="10">
        <v>1</v>
      </c>
      <c r="J141" s="10">
        <v>3</v>
      </c>
      <c r="K141" s="10">
        <v>315</v>
      </c>
      <c r="L141" s="10">
        <v>283</v>
      </c>
      <c r="M141" s="10">
        <v>1</v>
      </c>
      <c r="N141" s="10">
        <v>311</v>
      </c>
      <c r="O141" s="10">
        <v>303</v>
      </c>
    </row>
    <row r="142" spans="1:15" x14ac:dyDescent="0.2">
      <c r="A142" s="10" t="s">
        <v>227</v>
      </c>
      <c r="B142" s="10" t="s">
        <v>70</v>
      </c>
      <c r="C142" s="10" t="s">
        <v>70</v>
      </c>
      <c r="D142" s="10" t="s">
        <v>45</v>
      </c>
      <c r="E142" s="10" t="s">
        <v>46</v>
      </c>
      <c r="F142" s="10" t="s">
        <v>91</v>
      </c>
      <c r="G142" s="10" t="b">
        <f>TRUE()</f>
        <v>1</v>
      </c>
      <c r="H142" s="10">
        <v>1</v>
      </c>
      <c r="I142" s="10">
        <v>0</v>
      </c>
      <c r="J142" s="10">
        <v>2</v>
      </c>
      <c r="K142" s="10">
        <v>192</v>
      </c>
      <c r="L142" s="10">
        <v>283</v>
      </c>
      <c r="M142" s="10">
        <v>0</v>
      </c>
      <c r="N142" s="10">
        <v>0</v>
      </c>
      <c r="O142" s="10">
        <v>0</v>
      </c>
    </row>
    <row r="143" spans="1:15" x14ac:dyDescent="0.2">
      <c r="A143" s="10" t="s">
        <v>228</v>
      </c>
      <c r="B143" s="10" t="s">
        <v>104</v>
      </c>
      <c r="C143" s="10" t="s">
        <v>105</v>
      </c>
      <c r="D143" s="10" t="s">
        <v>45</v>
      </c>
      <c r="E143" s="10" t="s">
        <v>46</v>
      </c>
      <c r="F143" s="10" t="s">
        <v>91</v>
      </c>
      <c r="G143" s="10" t="b">
        <f>TRUE()</f>
        <v>1</v>
      </c>
      <c r="H143" s="10">
        <v>1</v>
      </c>
      <c r="I143" s="10">
        <v>0</v>
      </c>
      <c r="J143" s="10">
        <v>4</v>
      </c>
      <c r="K143" s="10">
        <v>264</v>
      </c>
      <c r="L143" s="10">
        <v>280</v>
      </c>
      <c r="M143" s="10">
        <v>0</v>
      </c>
      <c r="N143" s="10">
        <v>0</v>
      </c>
      <c r="O143" s="10">
        <v>0</v>
      </c>
    </row>
    <row r="144" spans="1:15" x14ac:dyDescent="0.2">
      <c r="A144" s="10" t="s">
        <v>135</v>
      </c>
      <c r="B144" s="10" t="s">
        <v>136</v>
      </c>
      <c r="C144" s="10" t="s">
        <v>73</v>
      </c>
      <c r="D144" s="10" t="s">
        <v>45</v>
      </c>
      <c r="E144" s="10" t="s">
        <v>46</v>
      </c>
      <c r="F144" s="10" t="s">
        <v>53</v>
      </c>
      <c r="G144" s="10" t="b">
        <f>FALSE()</f>
        <v>0</v>
      </c>
      <c r="H144" s="10">
        <v>1</v>
      </c>
      <c r="I144" s="10">
        <v>0</v>
      </c>
      <c r="J144" s="10">
        <v>2</v>
      </c>
      <c r="K144" s="10">
        <v>294</v>
      </c>
      <c r="L144" s="10">
        <v>277</v>
      </c>
      <c r="M144" s="10">
        <v>0</v>
      </c>
      <c r="N144" s="10">
        <v>0</v>
      </c>
      <c r="O144" s="10">
        <v>0</v>
      </c>
    </row>
    <row r="145" spans="1:15" x14ac:dyDescent="0.2">
      <c r="A145" s="10" t="s">
        <v>191</v>
      </c>
      <c r="B145" s="10" t="s">
        <v>128</v>
      </c>
      <c r="C145" s="10" t="s">
        <v>50</v>
      </c>
      <c r="D145" s="10" t="s">
        <v>51</v>
      </c>
      <c r="E145" s="10" t="s">
        <v>52</v>
      </c>
      <c r="F145" s="10" t="s">
        <v>214</v>
      </c>
      <c r="G145" s="10" t="b">
        <f>FALSE()</f>
        <v>0</v>
      </c>
      <c r="H145" s="10">
        <v>1</v>
      </c>
      <c r="I145" s="10">
        <v>0</v>
      </c>
      <c r="J145" s="10">
        <v>1</v>
      </c>
      <c r="K145" s="10">
        <v>302</v>
      </c>
      <c r="L145" s="10">
        <v>276</v>
      </c>
      <c r="M145" s="10">
        <v>0</v>
      </c>
      <c r="N145" s="10">
        <v>0</v>
      </c>
      <c r="O145" s="10">
        <v>0</v>
      </c>
    </row>
    <row r="146" spans="1:15" x14ac:dyDescent="0.2">
      <c r="A146" s="10" t="s">
        <v>229</v>
      </c>
      <c r="B146" s="10" t="s">
        <v>139</v>
      </c>
      <c r="C146" s="10" t="s">
        <v>64</v>
      </c>
      <c r="D146" s="10" t="s">
        <v>45</v>
      </c>
      <c r="E146" s="10" t="s">
        <v>46</v>
      </c>
      <c r="F146" s="10" t="s">
        <v>206</v>
      </c>
      <c r="G146" s="10" t="b">
        <f>FALSE()</f>
        <v>0</v>
      </c>
      <c r="H146" s="10">
        <v>1</v>
      </c>
      <c r="I146" s="10">
        <v>0</v>
      </c>
      <c r="J146" s="10">
        <v>3</v>
      </c>
      <c r="K146" s="10">
        <v>296</v>
      </c>
      <c r="L146" s="10">
        <v>272</v>
      </c>
      <c r="M146" s="10">
        <v>0</v>
      </c>
      <c r="N146" s="10">
        <v>0</v>
      </c>
      <c r="O146" s="10">
        <v>0</v>
      </c>
    </row>
    <row r="147" spans="1:15" x14ac:dyDescent="0.2">
      <c r="A147" s="10" t="s">
        <v>142</v>
      </c>
      <c r="B147" s="10" t="s">
        <v>70</v>
      </c>
      <c r="C147" s="10" t="s">
        <v>70</v>
      </c>
      <c r="D147" s="10" t="s">
        <v>45</v>
      </c>
      <c r="E147" s="10" t="s">
        <v>46</v>
      </c>
      <c r="F147" s="10" t="s">
        <v>53</v>
      </c>
      <c r="G147" s="10" t="b">
        <f>FALSE()</f>
        <v>0</v>
      </c>
      <c r="H147" s="10">
        <v>1</v>
      </c>
      <c r="I147" s="10">
        <v>0</v>
      </c>
      <c r="J147" s="10">
        <v>1</v>
      </c>
      <c r="K147" s="10">
        <v>186</v>
      </c>
      <c r="L147" s="10">
        <v>271</v>
      </c>
      <c r="M147" s="10">
        <v>0</v>
      </c>
      <c r="N147" s="10">
        <v>0</v>
      </c>
      <c r="O147" s="10">
        <v>0</v>
      </c>
    </row>
    <row r="148" spans="1:15" x14ac:dyDescent="0.2">
      <c r="A148" s="10" t="s">
        <v>230</v>
      </c>
      <c r="B148" s="10" t="s">
        <v>128</v>
      </c>
      <c r="C148" s="10" t="s">
        <v>50</v>
      </c>
      <c r="D148" s="10" t="s">
        <v>51</v>
      </c>
      <c r="E148" s="10" t="s">
        <v>52</v>
      </c>
      <c r="F148" s="10" t="s">
        <v>53</v>
      </c>
      <c r="G148" s="10" t="b">
        <f>FALSE()</f>
        <v>0</v>
      </c>
      <c r="H148" s="10">
        <v>1</v>
      </c>
      <c r="I148" s="10">
        <v>0</v>
      </c>
      <c r="J148" s="10">
        <v>5</v>
      </c>
      <c r="K148" s="10">
        <v>298</v>
      </c>
      <c r="L148" s="10">
        <v>270</v>
      </c>
      <c r="M148" s="10">
        <v>0</v>
      </c>
      <c r="N148" s="10">
        <v>0</v>
      </c>
      <c r="O148" s="10">
        <v>0</v>
      </c>
    </row>
    <row r="149" spans="1:15" x14ac:dyDescent="0.2">
      <c r="A149" s="10" t="s">
        <v>231</v>
      </c>
      <c r="B149" s="10" t="s">
        <v>232</v>
      </c>
      <c r="C149" s="10" t="s">
        <v>90</v>
      </c>
      <c r="D149" s="10" t="s">
        <v>51</v>
      </c>
      <c r="E149" s="10" t="s">
        <v>52</v>
      </c>
      <c r="F149" s="10" t="s">
        <v>180</v>
      </c>
      <c r="G149" s="10" t="b">
        <f>FALSE()</f>
        <v>0</v>
      </c>
      <c r="H149" s="10">
        <v>1</v>
      </c>
      <c r="I149" s="10">
        <v>0</v>
      </c>
      <c r="J149" s="10">
        <v>2</v>
      </c>
      <c r="K149" s="10">
        <v>270</v>
      </c>
      <c r="L149" s="10">
        <v>270</v>
      </c>
      <c r="M149" s="10">
        <v>0</v>
      </c>
      <c r="N149" s="10">
        <v>0</v>
      </c>
      <c r="O149" s="10">
        <v>0</v>
      </c>
    </row>
    <row r="150" spans="1:15" x14ac:dyDescent="0.2">
      <c r="A150" s="10" t="s">
        <v>233</v>
      </c>
      <c r="B150" s="10" t="s">
        <v>234</v>
      </c>
      <c r="C150" s="10" t="s">
        <v>90</v>
      </c>
      <c r="D150" s="10" t="s">
        <v>51</v>
      </c>
      <c r="E150" s="10" t="s">
        <v>52</v>
      </c>
      <c r="F150" s="10" t="s">
        <v>74</v>
      </c>
      <c r="G150" s="10" t="b">
        <f>FALSE()</f>
        <v>0</v>
      </c>
      <c r="H150" s="10">
        <v>1</v>
      </c>
      <c r="I150" s="10">
        <v>1</v>
      </c>
      <c r="J150" s="10">
        <v>3</v>
      </c>
      <c r="K150" s="10">
        <v>313</v>
      </c>
      <c r="L150" s="10">
        <v>269</v>
      </c>
      <c r="M150" s="10">
        <v>1</v>
      </c>
      <c r="N150" s="10">
        <v>167</v>
      </c>
      <c r="O150" s="10">
        <v>166</v>
      </c>
    </row>
    <row r="151" spans="1:15" x14ac:dyDescent="0.2">
      <c r="A151" s="10" t="s">
        <v>235</v>
      </c>
      <c r="B151" s="10" t="s">
        <v>119</v>
      </c>
      <c r="C151" s="10" t="s">
        <v>56</v>
      </c>
      <c r="D151" s="10" t="s">
        <v>45</v>
      </c>
      <c r="E151" s="10" t="s">
        <v>46</v>
      </c>
      <c r="F151" s="10" t="s">
        <v>47</v>
      </c>
      <c r="G151" s="10" t="b">
        <f>FALSE()</f>
        <v>0</v>
      </c>
      <c r="H151" s="10">
        <v>1</v>
      </c>
      <c r="I151" s="10">
        <v>0</v>
      </c>
      <c r="J151" s="10">
        <v>2</v>
      </c>
      <c r="K151" s="10">
        <v>361</v>
      </c>
      <c r="L151" s="10">
        <v>268</v>
      </c>
      <c r="M151" s="10">
        <v>0</v>
      </c>
      <c r="N151" s="10">
        <v>0</v>
      </c>
      <c r="O151" s="10">
        <v>0</v>
      </c>
    </row>
    <row r="152" spans="1:15" x14ac:dyDescent="0.2">
      <c r="A152" s="10" t="s">
        <v>198</v>
      </c>
      <c r="B152" s="10" t="s">
        <v>130</v>
      </c>
      <c r="C152" s="10" t="s">
        <v>56</v>
      </c>
      <c r="D152" s="10" t="s">
        <v>45</v>
      </c>
      <c r="E152" s="10" t="s">
        <v>46</v>
      </c>
      <c r="F152" s="10" t="s">
        <v>236</v>
      </c>
      <c r="G152" s="10" t="b">
        <f>FALSE()</f>
        <v>0</v>
      </c>
      <c r="H152" s="10">
        <v>1</v>
      </c>
      <c r="I152" s="10">
        <v>0</v>
      </c>
      <c r="J152" s="10">
        <v>4</v>
      </c>
      <c r="K152" s="10">
        <v>325</v>
      </c>
      <c r="L152" s="10">
        <v>262</v>
      </c>
      <c r="M152" s="10">
        <v>0</v>
      </c>
      <c r="N152" s="10">
        <v>0</v>
      </c>
      <c r="O152" s="10">
        <v>0</v>
      </c>
    </row>
    <row r="153" spans="1:15" x14ac:dyDescent="0.2">
      <c r="A153" s="10" t="s">
        <v>237</v>
      </c>
      <c r="B153" s="10" t="s">
        <v>238</v>
      </c>
      <c r="C153" s="10" t="s">
        <v>90</v>
      </c>
      <c r="D153" s="10" t="s">
        <v>51</v>
      </c>
      <c r="E153" s="10" t="s">
        <v>52</v>
      </c>
      <c r="F153" s="10" t="s">
        <v>102</v>
      </c>
      <c r="G153" s="10" t="b">
        <f>TRUE()</f>
        <v>1</v>
      </c>
      <c r="H153" s="10">
        <v>1</v>
      </c>
      <c r="I153" s="10">
        <v>0</v>
      </c>
      <c r="J153" s="10">
        <v>2</v>
      </c>
      <c r="K153" s="10">
        <v>259</v>
      </c>
      <c r="L153" s="10">
        <v>260</v>
      </c>
      <c r="M153" s="10">
        <v>0</v>
      </c>
      <c r="N153" s="10">
        <v>0</v>
      </c>
      <c r="O153" s="10">
        <v>0</v>
      </c>
    </row>
    <row r="154" spans="1:15" x14ac:dyDescent="0.2">
      <c r="A154" s="10" t="s">
        <v>118</v>
      </c>
      <c r="B154" s="10" t="s">
        <v>119</v>
      </c>
      <c r="C154" s="10" t="s">
        <v>56</v>
      </c>
      <c r="D154" s="10" t="s">
        <v>45</v>
      </c>
      <c r="E154" s="10" t="s">
        <v>46</v>
      </c>
      <c r="F154" s="10" t="s">
        <v>58</v>
      </c>
      <c r="G154" s="10" t="b">
        <f>FALSE()</f>
        <v>0</v>
      </c>
      <c r="H154" s="10">
        <v>1</v>
      </c>
      <c r="I154" s="10">
        <v>1</v>
      </c>
      <c r="J154" s="10">
        <v>3</v>
      </c>
      <c r="K154" s="10">
        <v>348</v>
      </c>
      <c r="L154" s="10">
        <v>259</v>
      </c>
      <c r="M154" s="10">
        <v>1</v>
      </c>
      <c r="N154" s="10">
        <v>233</v>
      </c>
      <c r="O154" s="10">
        <v>232</v>
      </c>
    </row>
    <row r="155" spans="1:15" x14ac:dyDescent="0.2">
      <c r="A155" s="10" t="s">
        <v>239</v>
      </c>
      <c r="B155" s="10" t="s">
        <v>172</v>
      </c>
      <c r="C155" s="10" t="s">
        <v>44</v>
      </c>
      <c r="D155" s="10" t="s">
        <v>45</v>
      </c>
      <c r="E155" s="10" t="s">
        <v>46</v>
      </c>
      <c r="F155" s="10" t="s">
        <v>61</v>
      </c>
      <c r="G155" s="10" t="b">
        <f>FALSE()</f>
        <v>0</v>
      </c>
      <c r="H155" s="10">
        <v>1</v>
      </c>
      <c r="I155" s="10">
        <v>0</v>
      </c>
      <c r="J155" s="10">
        <v>4</v>
      </c>
      <c r="K155" s="10">
        <v>208</v>
      </c>
      <c r="L155" s="10">
        <v>259</v>
      </c>
      <c r="M155" s="10">
        <v>0</v>
      </c>
      <c r="N155" s="10">
        <v>0</v>
      </c>
      <c r="O155" s="10">
        <v>0</v>
      </c>
    </row>
    <row r="156" spans="1:15" x14ac:dyDescent="0.2">
      <c r="A156" s="10" t="s">
        <v>240</v>
      </c>
      <c r="B156" s="10" t="s">
        <v>146</v>
      </c>
      <c r="C156" s="10" t="s">
        <v>105</v>
      </c>
      <c r="D156" s="10" t="s">
        <v>45</v>
      </c>
      <c r="E156" s="10" t="s">
        <v>46</v>
      </c>
      <c r="F156" s="10" t="s">
        <v>61</v>
      </c>
      <c r="G156" s="10" t="b">
        <f>FALSE()</f>
        <v>0</v>
      </c>
      <c r="H156" s="10">
        <v>1</v>
      </c>
      <c r="I156" s="10">
        <v>0</v>
      </c>
      <c r="J156" s="10">
        <v>2</v>
      </c>
      <c r="K156" s="10">
        <v>89</v>
      </c>
      <c r="L156" s="10">
        <v>259</v>
      </c>
      <c r="M156" s="10">
        <v>0</v>
      </c>
      <c r="N156" s="10">
        <v>0</v>
      </c>
      <c r="O156" s="10">
        <v>0</v>
      </c>
    </row>
    <row r="157" spans="1:15" x14ac:dyDescent="0.2">
      <c r="A157" s="10" t="s">
        <v>224</v>
      </c>
      <c r="B157" s="10" t="s">
        <v>169</v>
      </c>
      <c r="C157" s="10" t="s">
        <v>117</v>
      </c>
      <c r="D157" s="10" t="s">
        <v>51</v>
      </c>
      <c r="E157" s="10" t="s">
        <v>52</v>
      </c>
      <c r="F157" s="10" t="s">
        <v>190</v>
      </c>
      <c r="G157" s="10" t="b">
        <f>TRUE()</f>
        <v>1</v>
      </c>
      <c r="H157" s="10">
        <v>1</v>
      </c>
      <c r="I157" s="10">
        <v>0</v>
      </c>
      <c r="J157" s="10">
        <v>5</v>
      </c>
      <c r="K157" s="10">
        <v>261</v>
      </c>
      <c r="L157" s="10">
        <v>258</v>
      </c>
      <c r="M157" s="10">
        <v>0</v>
      </c>
      <c r="N157" s="10">
        <v>0</v>
      </c>
      <c r="O157" s="10">
        <v>0</v>
      </c>
    </row>
    <row r="158" spans="1:15" x14ac:dyDescent="0.2">
      <c r="A158" s="10" t="s">
        <v>241</v>
      </c>
      <c r="B158" s="10" t="s">
        <v>60</v>
      </c>
      <c r="C158" s="10" t="s">
        <v>50</v>
      </c>
      <c r="D158" s="10" t="s">
        <v>51</v>
      </c>
      <c r="E158" s="10" t="s">
        <v>52</v>
      </c>
      <c r="F158" s="10" t="s">
        <v>190</v>
      </c>
      <c r="G158" s="10" t="b">
        <f>TRUE()</f>
        <v>1</v>
      </c>
      <c r="H158" s="10">
        <v>1</v>
      </c>
      <c r="I158" s="10">
        <v>1</v>
      </c>
      <c r="J158" s="10">
        <v>2</v>
      </c>
      <c r="K158" s="10">
        <v>209</v>
      </c>
      <c r="L158" s="10">
        <v>256</v>
      </c>
      <c r="M158" s="10">
        <v>1</v>
      </c>
      <c r="N158" s="10">
        <v>205</v>
      </c>
      <c r="O158" s="10">
        <v>205</v>
      </c>
    </row>
    <row r="159" spans="1:15" x14ac:dyDescent="0.2">
      <c r="A159" s="10" t="s">
        <v>101</v>
      </c>
      <c r="B159" s="10" t="s">
        <v>55</v>
      </c>
      <c r="C159" s="10" t="s">
        <v>56</v>
      </c>
      <c r="D159" s="10" t="s">
        <v>45</v>
      </c>
      <c r="E159" s="10" t="s">
        <v>46</v>
      </c>
      <c r="F159" s="10" t="s">
        <v>126</v>
      </c>
      <c r="G159" s="10" t="b">
        <f>FALSE()</f>
        <v>0</v>
      </c>
      <c r="H159" s="10">
        <v>1</v>
      </c>
      <c r="I159" s="10">
        <v>1</v>
      </c>
      <c r="J159" s="10">
        <v>2</v>
      </c>
      <c r="K159" s="10">
        <v>178</v>
      </c>
      <c r="L159" s="10">
        <v>256</v>
      </c>
      <c r="M159" s="10">
        <v>1</v>
      </c>
      <c r="N159" s="10">
        <v>181</v>
      </c>
      <c r="O159" s="10">
        <v>166</v>
      </c>
    </row>
    <row r="160" spans="1:15" x14ac:dyDescent="0.2">
      <c r="A160" s="10" t="s">
        <v>217</v>
      </c>
      <c r="B160" s="10" t="s">
        <v>218</v>
      </c>
      <c r="C160" s="10" t="s">
        <v>73</v>
      </c>
      <c r="D160" s="10" t="s">
        <v>45</v>
      </c>
      <c r="E160" s="10" t="s">
        <v>46</v>
      </c>
      <c r="F160" s="10" t="s">
        <v>74</v>
      </c>
      <c r="G160" s="10" t="b">
        <f>FALSE()</f>
        <v>0</v>
      </c>
      <c r="H160" s="10">
        <v>1</v>
      </c>
      <c r="I160" s="10">
        <v>1</v>
      </c>
      <c r="J160" s="10">
        <v>1</v>
      </c>
      <c r="K160" s="10">
        <v>191</v>
      </c>
      <c r="L160" s="10">
        <v>256</v>
      </c>
      <c r="M160" s="10">
        <v>1</v>
      </c>
      <c r="N160" s="10">
        <v>142</v>
      </c>
      <c r="O160" s="10">
        <v>143</v>
      </c>
    </row>
    <row r="161" spans="1:15" x14ac:dyDescent="0.2">
      <c r="A161" s="10" t="s">
        <v>242</v>
      </c>
      <c r="B161" s="10" t="s">
        <v>146</v>
      </c>
      <c r="C161" s="10" t="s">
        <v>105</v>
      </c>
      <c r="D161" s="10" t="s">
        <v>45</v>
      </c>
      <c r="E161" s="10" t="s">
        <v>46</v>
      </c>
      <c r="F161" s="10" t="s">
        <v>53</v>
      </c>
      <c r="G161" s="10" t="b">
        <f>FALSE()</f>
        <v>0</v>
      </c>
      <c r="H161" s="10">
        <v>1</v>
      </c>
      <c r="I161" s="10">
        <v>0</v>
      </c>
      <c r="J161" s="10">
        <v>1</v>
      </c>
      <c r="K161" s="10">
        <v>155</v>
      </c>
      <c r="L161" s="10">
        <v>256</v>
      </c>
      <c r="M161" s="10">
        <v>0</v>
      </c>
      <c r="N161" s="10">
        <v>0</v>
      </c>
      <c r="O161" s="10">
        <v>0</v>
      </c>
    </row>
    <row r="162" spans="1:15" x14ac:dyDescent="0.2">
      <c r="A162" s="10" t="s">
        <v>243</v>
      </c>
      <c r="B162" s="10" t="s">
        <v>244</v>
      </c>
      <c r="C162" s="10" t="s">
        <v>245</v>
      </c>
      <c r="D162" s="10" t="s">
        <v>51</v>
      </c>
      <c r="E162" s="10" t="s">
        <v>52</v>
      </c>
      <c r="F162" s="10" t="s">
        <v>61</v>
      </c>
      <c r="G162" s="10" t="b">
        <f>FALSE()</f>
        <v>0</v>
      </c>
      <c r="H162" s="10">
        <v>1</v>
      </c>
      <c r="I162" s="10">
        <v>0</v>
      </c>
      <c r="J162" s="10">
        <v>5</v>
      </c>
      <c r="K162" s="10">
        <v>288</v>
      </c>
      <c r="L162" s="10">
        <v>255</v>
      </c>
      <c r="M162" s="10">
        <v>0</v>
      </c>
      <c r="N162" s="10">
        <v>0</v>
      </c>
      <c r="O162" s="10">
        <v>0</v>
      </c>
    </row>
    <row r="163" spans="1:15" x14ac:dyDescent="0.2">
      <c r="A163" s="10" t="s">
        <v>246</v>
      </c>
      <c r="B163" s="10" t="s">
        <v>247</v>
      </c>
      <c r="C163" s="10" t="s">
        <v>245</v>
      </c>
      <c r="D163" s="10" t="s">
        <v>51</v>
      </c>
      <c r="E163" s="10" t="s">
        <v>52</v>
      </c>
      <c r="F163" s="10" t="s">
        <v>79</v>
      </c>
      <c r="G163" s="10" t="b">
        <f>FALSE()</f>
        <v>0</v>
      </c>
      <c r="H163" s="10">
        <v>1</v>
      </c>
      <c r="I163" s="10">
        <v>0</v>
      </c>
      <c r="J163" s="10">
        <v>2</v>
      </c>
      <c r="K163" s="10">
        <v>260</v>
      </c>
      <c r="L163" s="10">
        <v>254</v>
      </c>
      <c r="M163" s="10">
        <v>0</v>
      </c>
      <c r="N163" s="10">
        <v>0</v>
      </c>
      <c r="O163" s="10">
        <v>0</v>
      </c>
    </row>
    <row r="164" spans="1:15" x14ac:dyDescent="0.2">
      <c r="A164" s="10" t="s">
        <v>182</v>
      </c>
      <c r="B164" s="10" t="s">
        <v>104</v>
      </c>
      <c r="C164" s="10" t="s">
        <v>105</v>
      </c>
      <c r="D164" s="10" t="s">
        <v>45</v>
      </c>
      <c r="E164" s="10" t="s">
        <v>46</v>
      </c>
      <c r="F164" s="10" t="s">
        <v>58</v>
      </c>
      <c r="G164" s="10" t="b">
        <f>FALSE()</f>
        <v>0</v>
      </c>
      <c r="H164" s="10">
        <v>1</v>
      </c>
      <c r="I164" s="10">
        <v>0</v>
      </c>
      <c r="J164" s="10">
        <v>2</v>
      </c>
      <c r="K164" s="10">
        <v>289</v>
      </c>
      <c r="L164" s="10">
        <v>252</v>
      </c>
      <c r="M164" s="10">
        <v>0</v>
      </c>
      <c r="N164" s="10">
        <v>0</v>
      </c>
      <c r="O164" s="10">
        <v>0</v>
      </c>
    </row>
    <row r="165" spans="1:15" x14ac:dyDescent="0.2">
      <c r="A165" s="10" t="s">
        <v>248</v>
      </c>
      <c r="B165" s="10" t="s">
        <v>249</v>
      </c>
      <c r="C165" s="10" t="s">
        <v>90</v>
      </c>
      <c r="D165" s="10" t="s">
        <v>51</v>
      </c>
      <c r="E165" s="10" t="s">
        <v>52</v>
      </c>
      <c r="F165" s="10" t="s">
        <v>61</v>
      </c>
      <c r="G165" s="10" t="b">
        <f>FALSE()</f>
        <v>0</v>
      </c>
      <c r="H165" s="10">
        <v>1</v>
      </c>
      <c r="I165" s="10">
        <v>0</v>
      </c>
      <c r="J165" s="10">
        <v>4</v>
      </c>
      <c r="K165" s="10">
        <v>252</v>
      </c>
      <c r="L165" s="10">
        <v>252</v>
      </c>
      <c r="M165" s="10">
        <v>0</v>
      </c>
      <c r="N165" s="10">
        <v>0</v>
      </c>
      <c r="O165" s="10">
        <v>0</v>
      </c>
    </row>
    <row r="166" spans="1:15" x14ac:dyDescent="0.2">
      <c r="A166" s="10" t="s">
        <v>57</v>
      </c>
      <c r="B166" s="10" t="s">
        <v>43</v>
      </c>
      <c r="C166" s="10" t="s">
        <v>44</v>
      </c>
      <c r="D166" s="10" t="s">
        <v>45</v>
      </c>
      <c r="E166" s="10" t="s">
        <v>46</v>
      </c>
      <c r="F166" s="10" t="s">
        <v>94</v>
      </c>
      <c r="G166" s="10" t="b">
        <f>FALSE()</f>
        <v>0</v>
      </c>
      <c r="H166" s="10">
        <v>1</v>
      </c>
      <c r="I166" s="10">
        <v>1</v>
      </c>
      <c r="J166" s="10">
        <v>4</v>
      </c>
      <c r="K166" s="10">
        <v>257</v>
      </c>
      <c r="L166" s="10">
        <v>248</v>
      </c>
      <c r="M166" s="10">
        <v>1</v>
      </c>
      <c r="N166" s="10">
        <v>317</v>
      </c>
      <c r="O166" s="10">
        <v>312</v>
      </c>
    </row>
    <row r="167" spans="1:15" x14ac:dyDescent="0.2">
      <c r="A167" s="10" t="s">
        <v>250</v>
      </c>
      <c r="B167" s="10" t="s">
        <v>193</v>
      </c>
      <c r="C167" s="10" t="s">
        <v>117</v>
      </c>
      <c r="D167" s="10" t="s">
        <v>51</v>
      </c>
      <c r="E167" s="10" t="s">
        <v>52</v>
      </c>
      <c r="F167" s="10" t="s">
        <v>113</v>
      </c>
      <c r="G167" s="10" t="b">
        <f>TRUE()</f>
        <v>1</v>
      </c>
      <c r="H167" s="10">
        <v>1</v>
      </c>
      <c r="I167" s="10">
        <v>0</v>
      </c>
      <c r="J167" s="10">
        <v>3</v>
      </c>
      <c r="K167" s="10">
        <v>155</v>
      </c>
      <c r="L167" s="10">
        <v>248</v>
      </c>
      <c r="M167" s="10">
        <v>0</v>
      </c>
      <c r="N167" s="10">
        <v>0</v>
      </c>
      <c r="O167" s="10">
        <v>0</v>
      </c>
    </row>
    <row r="168" spans="1:15" x14ac:dyDescent="0.2">
      <c r="A168" s="10" t="s">
        <v>235</v>
      </c>
      <c r="B168" s="10" t="s">
        <v>119</v>
      </c>
      <c r="C168" s="10" t="s">
        <v>56</v>
      </c>
      <c r="D168" s="10" t="s">
        <v>45</v>
      </c>
      <c r="E168" s="10" t="s">
        <v>46</v>
      </c>
      <c r="F168" s="10" t="s">
        <v>251</v>
      </c>
      <c r="G168" s="10" t="b">
        <f>FALSE()</f>
        <v>0</v>
      </c>
      <c r="H168" s="10">
        <v>1</v>
      </c>
      <c r="I168" s="10">
        <v>0</v>
      </c>
      <c r="J168" s="10">
        <v>2</v>
      </c>
      <c r="K168" s="10">
        <v>324</v>
      </c>
      <c r="L168" s="10">
        <v>248</v>
      </c>
      <c r="M168" s="10">
        <v>0</v>
      </c>
      <c r="N168" s="10">
        <v>0</v>
      </c>
      <c r="O168" s="10">
        <v>0</v>
      </c>
    </row>
    <row r="169" spans="1:15" x14ac:dyDescent="0.2">
      <c r="A169" s="10" t="s">
        <v>42</v>
      </c>
      <c r="B169" s="10" t="s">
        <v>43</v>
      </c>
      <c r="C169" s="10" t="s">
        <v>44</v>
      </c>
      <c r="D169" s="10" t="s">
        <v>45</v>
      </c>
      <c r="E169" s="10" t="s">
        <v>46</v>
      </c>
      <c r="F169" s="10" t="s">
        <v>53</v>
      </c>
      <c r="G169" s="10" t="b">
        <f>FALSE()</f>
        <v>0</v>
      </c>
      <c r="H169" s="10">
        <v>1</v>
      </c>
      <c r="I169" s="10">
        <v>0</v>
      </c>
      <c r="J169" s="10">
        <v>0</v>
      </c>
      <c r="K169" s="10">
        <v>0</v>
      </c>
      <c r="L169" s="10">
        <v>247</v>
      </c>
      <c r="M169" s="10">
        <v>0</v>
      </c>
      <c r="N169" s="10">
        <v>0</v>
      </c>
      <c r="O169" s="10">
        <v>0</v>
      </c>
    </row>
    <row r="170" spans="1:15" x14ac:dyDescent="0.2">
      <c r="A170" s="10" t="s">
        <v>252</v>
      </c>
      <c r="B170" s="10" t="s">
        <v>43</v>
      </c>
      <c r="C170" s="10" t="s">
        <v>44</v>
      </c>
      <c r="D170" s="10" t="s">
        <v>45</v>
      </c>
      <c r="E170" s="10" t="s">
        <v>46</v>
      </c>
      <c r="F170" s="10" t="s">
        <v>74</v>
      </c>
      <c r="G170" s="10" t="b">
        <f>FALSE()</f>
        <v>0</v>
      </c>
      <c r="H170" s="10">
        <v>1</v>
      </c>
      <c r="I170" s="10">
        <v>0</v>
      </c>
      <c r="J170" s="10">
        <v>1</v>
      </c>
      <c r="K170" s="10">
        <v>205</v>
      </c>
      <c r="L170" s="10">
        <v>247</v>
      </c>
      <c r="M170" s="10">
        <v>0</v>
      </c>
      <c r="N170" s="10">
        <v>0</v>
      </c>
      <c r="O170" s="10">
        <v>0</v>
      </c>
    </row>
    <row r="171" spans="1:15" x14ac:dyDescent="0.2">
      <c r="A171" s="10" t="s">
        <v>233</v>
      </c>
      <c r="B171" s="10" t="s">
        <v>234</v>
      </c>
      <c r="C171" s="10" t="s">
        <v>90</v>
      </c>
      <c r="D171" s="10" t="s">
        <v>51</v>
      </c>
      <c r="E171" s="10" t="s">
        <v>52</v>
      </c>
      <c r="F171" s="10" t="s">
        <v>61</v>
      </c>
      <c r="G171" s="10" t="b">
        <f>FALSE()</f>
        <v>0</v>
      </c>
      <c r="H171" s="10">
        <v>1</v>
      </c>
      <c r="I171" s="10">
        <v>1</v>
      </c>
      <c r="J171" s="10">
        <v>3</v>
      </c>
      <c r="K171" s="10">
        <v>256</v>
      </c>
      <c r="L171" s="10">
        <v>246</v>
      </c>
      <c r="M171" s="10">
        <v>1</v>
      </c>
      <c r="N171" s="10">
        <v>238</v>
      </c>
      <c r="O171" s="10">
        <v>234</v>
      </c>
    </row>
    <row r="172" spans="1:15" x14ac:dyDescent="0.2">
      <c r="A172" s="10" t="s">
        <v>159</v>
      </c>
      <c r="B172" s="10" t="s">
        <v>160</v>
      </c>
      <c r="C172" s="10" t="s">
        <v>56</v>
      </c>
      <c r="D172" s="10" t="s">
        <v>45</v>
      </c>
      <c r="E172" s="10" t="s">
        <v>46</v>
      </c>
      <c r="F172" s="10" t="s">
        <v>47</v>
      </c>
      <c r="G172" s="10" t="b">
        <f>FALSE()</f>
        <v>0</v>
      </c>
      <c r="H172" s="10">
        <v>1</v>
      </c>
      <c r="I172" s="10">
        <v>0</v>
      </c>
      <c r="J172" s="10">
        <v>1</v>
      </c>
      <c r="K172" s="10">
        <v>236</v>
      </c>
      <c r="L172" s="10">
        <v>245</v>
      </c>
      <c r="M172" s="10">
        <v>0</v>
      </c>
      <c r="N172" s="10">
        <v>0</v>
      </c>
      <c r="O172" s="10">
        <v>0</v>
      </c>
    </row>
    <row r="173" spans="1:15" x14ac:dyDescent="0.2">
      <c r="A173" s="10" t="s">
        <v>221</v>
      </c>
      <c r="B173" s="10" t="s">
        <v>136</v>
      </c>
      <c r="C173" s="10" t="s">
        <v>73</v>
      </c>
      <c r="D173" s="10" t="s">
        <v>45</v>
      </c>
      <c r="E173" s="10" t="s">
        <v>46</v>
      </c>
      <c r="F173" s="10" t="s">
        <v>206</v>
      </c>
      <c r="G173" s="10" t="b">
        <f>FALSE()</f>
        <v>0</v>
      </c>
      <c r="H173" s="10">
        <v>1</v>
      </c>
      <c r="I173" s="10">
        <v>0</v>
      </c>
      <c r="J173" s="10">
        <v>2</v>
      </c>
      <c r="K173" s="10">
        <v>246</v>
      </c>
      <c r="L173" s="10">
        <v>243</v>
      </c>
      <c r="M173" s="10">
        <v>0</v>
      </c>
      <c r="N173" s="10">
        <v>0</v>
      </c>
      <c r="O173" s="10">
        <v>0</v>
      </c>
    </row>
    <row r="174" spans="1:15" x14ac:dyDescent="0.2">
      <c r="A174" s="10" t="s">
        <v>215</v>
      </c>
      <c r="B174" s="10" t="s">
        <v>160</v>
      </c>
      <c r="C174" s="10" t="s">
        <v>56</v>
      </c>
      <c r="D174" s="10" t="s">
        <v>45</v>
      </c>
      <c r="E174" s="10" t="s">
        <v>46</v>
      </c>
      <c r="F174" s="10" t="s">
        <v>75</v>
      </c>
      <c r="G174" s="10" t="b">
        <f>FALSE()</f>
        <v>0</v>
      </c>
      <c r="H174" s="10">
        <v>1</v>
      </c>
      <c r="I174" s="10">
        <v>0</v>
      </c>
      <c r="J174" s="10">
        <v>2</v>
      </c>
      <c r="K174" s="10">
        <v>311</v>
      </c>
      <c r="L174" s="10">
        <v>242</v>
      </c>
      <c r="M174" s="10">
        <v>0</v>
      </c>
      <c r="N174" s="10">
        <v>0</v>
      </c>
      <c r="O174" s="10">
        <v>0</v>
      </c>
    </row>
    <row r="175" spans="1:15" x14ac:dyDescent="0.2">
      <c r="A175" s="10" t="s">
        <v>253</v>
      </c>
      <c r="B175" s="10" t="s">
        <v>70</v>
      </c>
      <c r="C175" s="10" t="s">
        <v>70</v>
      </c>
      <c r="D175" s="10" t="s">
        <v>45</v>
      </c>
      <c r="E175" s="10" t="s">
        <v>46</v>
      </c>
      <c r="F175" s="10" t="s">
        <v>53</v>
      </c>
      <c r="G175" s="10" t="b">
        <f>FALSE()</f>
        <v>0</v>
      </c>
      <c r="H175" s="10">
        <v>1</v>
      </c>
      <c r="I175" s="10">
        <v>0</v>
      </c>
      <c r="J175" s="10">
        <v>2</v>
      </c>
      <c r="K175" s="10">
        <v>278</v>
      </c>
      <c r="L175" s="10">
        <v>242</v>
      </c>
      <c r="M175" s="10">
        <v>0</v>
      </c>
      <c r="N175" s="10">
        <v>0</v>
      </c>
      <c r="O175" s="10">
        <v>0</v>
      </c>
    </row>
    <row r="176" spans="1:15" x14ac:dyDescent="0.2">
      <c r="A176" s="10" t="s">
        <v>98</v>
      </c>
      <c r="B176" s="10" t="s">
        <v>99</v>
      </c>
      <c r="C176" s="10" t="s">
        <v>50</v>
      </c>
      <c r="D176" s="10" t="s">
        <v>51</v>
      </c>
      <c r="E176" s="10" t="s">
        <v>52</v>
      </c>
      <c r="F176" s="10" t="s">
        <v>180</v>
      </c>
      <c r="G176" s="10" t="b">
        <f>FALSE()</f>
        <v>0</v>
      </c>
      <c r="H176" s="10">
        <v>1</v>
      </c>
      <c r="I176" s="10">
        <v>0</v>
      </c>
      <c r="J176" s="10">
        <v>5</v>
      </c>
      <c r="K176" s="10">
        <v>242</v>
      </c>
      <c r="L176" s="10">
        <v>242</v>
      </c>
      <c r="M176" s="10">
        <v>0</v>
      </c>
      <c r="N176" s="10">
        <v>0</v>
      </c>
      <c r="O176" s="10">
        <v>0</v>
      </c>
    </row>
    <row r="177" spans="1:15" x14ac:dyDescent="0.2">
      <c r="A177" s="10" t="s">
        <v>182</v>
      </c>
      <c r="B177" s="10" t="s">
        <v>104</v>
      </c>
      <c r="C177" s="10" t="s">
        <v>105</v>
      </c>
      <c r="D177" s="10" t="s">
        <v>45</v>
      </c>
      <c r="E177" s="10" t="s">
        <v>46</v>
      </c>
      <c r="F177" s="10" t="s">
        <v>74</v>
      </c>
      <c r="G177" s="10" t="b">
        <f>FALSE()</f>
        <v>0</v>
      </c>
      <c r="H177" s="10">
        <v>1</v>
      </c>
      <c r="I177" s="10">
        <v>0</v>
      </c>
      <c r="J177" s="10">
        <v>1</v>
      </c>
      <c r="K177" s="10">
        <v>248</v>
      </c>
      <c r="L177" s="10">
        <v>241</v>
      </c>
      <c r="M177" s="10">
        <v>0</v>
      </c>
      <c r="N177" s="10">
        <v>0</v>
      </c>
      <c r="O177" s="10">
        <v>0</v>
      </c>
    </row>
    <row r="178" spans="1:15" x14ac:dyDescent="0.2">
      <c r="A178" s="10" t="s">
        <v>254</v>
      </c>
      <c r="B178" s="10" t="s">
        <v>130</v>
      </c>
      <c r="C178" s="10" t="s">
        <v>56</v>
      </c>
      <c r="D178" s="10" t="s">
        <v>45</v>
      </c>
      <c r="E178" s="10" t="s">
        <v>46</v>
      </c>
      <c r="F178" s="10" t="s">
        <v>79</v>
      </c>
      <c r="G178" s="10" t="b">
        <f>FALSE()</f>
        <v>0</v>
      </c>
      <c r="H178" s="10">
        <v>1</v>
      </c>
      <c r="I178" s="10">
        <v>0</v>
      </c>
      <c r="J178" s="10">
        <v>2</v>
      </c>
      <c r="K178" s="10">
        <v>255</v>
      </c>
      <c r="L178" s="10">
        <v>240</v>
      </c>
      <c r="M178" s="10">
        <v>0</v>
      </c>
      <c r="N178" s="10">
        <v>0</v>
      </c>
      <c r="O178" s="10">
        <v>0</v>
      </c>
    </row>
    <row r="179" spans="1:15" x14ac:dyDescent="0.2">
      <c r="A179" s="10" t="s">
        <v>131</v>
      </c>
      <c r="B179" s="10" t="s">
        <v>70</v>
      </c>
      <c r="C179" s="10" t="s">
        <v>70</v>
      </c>
      <c r="D179" s="10" t="s">
        <v>45</v>
      </c>
      <c r="E179" s="10" t="s">
        <v>46</v>
      </c>
      <c r="F179" s="10" t="s">
        <v>113</v>
      </c>
      <c r="G179" s="10" t="b">
        <f>TRUE()</f>
        <v>1</v>
      </c>
      <c r="H179" s="10">
        <v>1</v>
      </c>
      <c r="I179" s="10">
        <v>1</v>
      </c>
      <c r="J179" s="10">
        <v>2</v>
      </c>
      <c r="K179" s="10">
        <v>231</v>
      </c>
      <c r="L179" s="10">
        <v>237</v>
      </c>
      <c r="M179" s="10">
        <v>1</v>
      </c>
      <c r="N179" s="10">
        <v>513</v>
      </c>
      <c r="O179" s="10">
        <v>491</v>
      </c>
    </row>
    <row r="180" spans="1:15" x14ac:dyDescent="0.2">
      <c r="A180" s="10" t="s">
        <v>201</v>
      </c>
      <c r="B180" s="10" t="s">
        <v>130</v>
      </c>
      <c r="C180" s="10" t="s">
        <v>56</v>
      </c>
      <c r="D180" s="10" t="s">
        <v>45</v>
      </c>
      <c r="E180" s="10" t="s">
        <v>46</v>
      </c>
      <c r="F180" s="10" t="s">
        <v>92</v>
      </c>
      <c r="G180" s="10" t="b">
        <f>FALSE()</f>
        <v>0</v>
      </c>
      <c r="H180" s="10">
        <v>1</v>
      </c>
      <c r="I180" s="10">
        <v>0</v>
      </c>
      <c r="J180" s="10">
        <v>2</v>
      </c>
      <c r="K180" s="10">
        <v>196</v>
      </c>
      <c r="L180" s="10">
        <v>237</v>
      </c>
      <c r="M180" s="10">
        <v>0</v>
      </c>
      <c r="N180" s="10">
        <v>0</v>
      </c>
      <c r="O180" s="10">
        <v>0</v>
      </c>
    </row>
    <row r="181" spans="1:15" x14ac:dyDescent="0.2">
      <c r="A181" s="10" t="s">
        <v>255</v>
      </c>
      <c r="B181" s="10" t="s">
        <v>116</v>
      </c>
      <c r="C181" s="10" t="s">
        <v>117</v>
      </c>
      <c r="D181" s="10" t="s">
        <v>51</v>
      </c>
      <c r="E181" s="10" t="s">
        <v>52</v>
      </c>
      <c r="F181" s="10" t="s">
        <v>61</v>
      </c>
      <c r="G181" s="10" t="b">
        <f>FALSE()</f>
        <v>0</v>
      </c>
      <c r="H181" s="10">
        <v>1</v>
      </c>
      <c r="I181" s="10">
        <v>0</v>
      </c>
      <c r="J181" s="10">
        <v>4</v>
      </c>
      <c r="K181" s="10">
        <v>263</v>
      </c>
      <c r="L181" s="10">
        <v>236</v>
      </c>
      <c r="M181" s="10">
        <v>0</v>
      </c>
      <c r="N181" s="10">
        <v>0</v>
      </c>
      <c r="O181" s="10">
        <v>0</v>
      </c>
    </row>
    <row r="182" spans="1:15" x14ac:dyDescent="0.2">
      <c r="A182" s="10" t="s">
        <v>129</v>
      </c>
      <c r="B182" s="10" t="s">
        <v>63</v>
      </c>
      <c r="C182" s="10" t="s">
        <v>64</v>
      </c>
      <c r="D182" s="10" t="s">
        <v>45</v>
      </c>
      <c r="E182" s="10" t="s">
        <v>46</v>
      </c>
      <c r="F182" s="10" t="s">
        <v>251</v>
      </c>
      <c r="G182" s="10" t="b">
        <f>FALSE()</f>
        <v>0</v>
      </c>
      <c r="H182" s="10">
        <v>1</v>
      </c>
      <c r="I182" s="10">
        <v>0</v>
      </c>
      <c r="J182" s="10">
        <v>3</v>
      </c>
      <c r="K182" s="10">
        <v>174</v>
      </c>
      <c r="L182" s="10">
        <v>236</v>
      </c>
      <c r="M182" s="10">
        <v>0</v>
      </c>
      <c r="N182" s="10">
        <v>0</v>
      </c>
      <c r="O182" s="10">
        <v>0</v>
      </c>
    </row>
    <row r="183" spans="1:15" x14ac:dyDescent="0.2">
      <c r="A183" s="10" t="s">
        <v>256</v>
      </c>
      <c r="B183" s="10" t="s">
        <v>78</v>
      </c>
      <c r="C183" s="10" t="s">
        <v>50</v>
      </c>
      <c r="D183" s="10" t="s">
        <v>51</v>
      </c>
      <c r="E183" s="10" t="s">
        <v>52</v>
      </c>
      <c r="F183" s="10" t="s">
        <v>53</v>
      </c>
      <c r="G183" s="10" t="b">
        <f>FALSE()</f>
        <v>0</v>
      </c>
      <c r="H183" s="10">
        <v>1</v>
      </c>
      <c r="I183" s="10">
        <v>0</v>
      </c>
      <c r="J183" s="10">
        <v>3</v>
      </c>
      <c r="K183" s="10">
        <v>276</v>
      </c>
      <c r="L183" s="10">
        <v>236</v>
      </c>
      <c r="M183" s="10">
        <v>0</v>
      </c>
      <c r="N183" s="10">
        <v>0</v>
      </c>
      <c r="O183" s="10">
        <v>0</v>
      </c>
    </row>
    <row r="184" spans="1:15" x14ac:dyDescent="0.2">
      <c r="A184" s="10" t="s">
        <v>257</v>
      </c>
      <c r="B184" s="10" t="s">
        <v>258</v>
      </c>
      <c r="C184" s="10" t="s">
        <v>90</v>
      </c>
      <c r="D184" s="10" t="s">
        <v>51</v>
      </c>
      <c r="E184" s="10" t="s">
        <v>52</v>
      </c>
      <c r="F184" s="10" t="s">
        <v>61</v>
      </c>
      <c r="G184" s="10" t="b">
        <f>FALSE()</f>
        <v>0</v>
      </c>
      <c r="H184" s="10">
        <v>1</v>
      </c>
      <c r="I184" s="10">
        <v>1</v>
      </c>
      <c r="J184" s="10">
        <v>4</v>
      </c>
      <c r="K184" s="10">
        <v>368</v>
      </c>
      <c r="L184" s="10">
        <v>235</v>
      </c>
      <c r="M184" s="10">
        <v>1</v>
      </c>
      <c r="N184" s="10">
        <v>244</v>
      </c>
      <c r="O184" s="10">
        <v>244</v>
      </c>
    </row>
    <row r="185" spans="1:15" x14ac:dyDescent="0.2">
      <c r="A185" s="10" t="s">
        <v>259</v>
      </c>
      <c r="B185" s="10" t="s">
        <v>260</v>
      </c>
      <c r="C185" s="10" t="s">
        <v>64</v>
      </c>
      <c r="D185" s="10" t="s">
        <v>45</v>
      </c>
      <c r="E185" s="10" t="s">
        <v>46</v>
      </c>
      <c r="F185" s="10" t="s">
        <v>47</v>
      </c>
      <c r="G185" s="10" t="b">
        <f>FALSE()</f>
        <v>0</v>
      </c>
      <c r="H185" s="10">
        <v>1</v>
      </c>
      <c r="I185" s="10">
        <v>0</v>
      </c>
      <c r="J185" s="10">
        <v>4</v>
      </c>
      <c r="K185" s="10">
        <v>349</v>
      </c>
      <c r="L185" s="10">
        <v>235</v>
      </c>
      <c r="M185" s="10">
        <v>0</v>
      </c>
      <c r="N185" s="10">
        <v>0</v>
      </c>
      <c r="O185" s="10">
        <v>0</v>
      </c>
    </row>
    <row r="186" spans="1:15" x14ac:dyDescent="0.2">
      <c r="A186" s="10" t="s">
        <v>261</v>
      </c>
      <c r="B186" s="10" t="s">
        <v>262</v>
      </c>
      <c r="C186" s="10" t="s">
        <v>105</v>
      </c>
      <c r="D186" s="10" t="s">
        <v>45</v>
      </c>
      <c r="E186" s="10" t="s">
        <v>46</v>
      </c>
      <c r="F186" s="10" t="s">
        <v>126</v>
      </c>
      <c r="G186" s="10" t="b">
        <f>FALSE()</f>
        <v>0</v>
      </c>
      <c r="H186" s="10">
        <v>1</v>
      </c>
      <c r="I186" s="10">
        <v>0</v>
      </c>
      <c r="J186" s="10">
        <v>3</v>
      </c>
      <c r="K186" s="10">
        <v>289</v>
      </c>
      <c r="L186" s="10">
        <v>235</v>
      </c>
      <c r="M186" s="10">
        <v>0</v>
      </c>
      <c r="N186" s="10">
        <v>0</v>
      </c>
      <c r="O186" s="10">
        <v>0</v>
      </c>
    </row>
    <row r="187" spans="1:15" x14ac:dyDescent="0.2">
      <c r="A187" s="10" t="s">
        <v>228</v>
      </c>
      <c r="B187" s="10" t="s">
        <v>104</v>
      </c>
      <c r="C187" s="10" t="s">
        <v>105</v>
      </c>
      <c r="D187" s="10" t="s">
        <v>45</v>
      </c>
      <c r="E187" s="10" t="s">
        <v>46</v>
      </c>
      <c r="F187" s="10" t="s">
        <v>190</v>
      </c>
      <c r="G187" s="10" t="b">
        <f>TRUE()</f>
        <v>1</v>
      </c>
      <c r="H187" s="10">
        <v>1</v>
      </c>
      <c r="I187" s="10">
        <v>0</v>
      </c>
      <c r="J187" s="10">
        <v>2</v>
      </c>
      <c r="K187" s="10">
        <v>156</v>
      </c>
      <c r="L187" s="10">
        <v>234</v>
      </c>
      <c r="M187" s="10">
        <v>0</v>
      </c>
      <c r="N187" s="10">
        <v>0</v>
      </c>
      <c r="O187" s="10">
        <v>0</v>
      </c>
    </row>
    <row r="188" spans="1:15" x14ac:dyDescent="0.2">
      <c r="A188" s="10" t="s">
        <v>192</v>
      </c>
      <c r="B188" s="10" t="s">
        <v>193</v>
      </c>
      <c r="C188" s="10" t="s">
        <v>117</v>
      </c>
      <c r="D188" s="10" t="s">
        <v>51</v>
      </c>
      <c r="E188" s="10" t="s">
        <v>52</v>
      </c>
      <c r="F188" s="10" t="s">
        <v>190</v>
      </c>
      <c r="G188" s="10" t="b">
        <f>TRUE()</f>
        <v>1</v>
      </c>
      <c r="H188" s="10">
        <v>1</v>
      </c>
      <c r="I188" s="10">
        <v>0</v>
      </c>
      <c r="J188" s="10">
        <v>5</v>
      </c>
      <c r="K188" s="10">
        <v>202</v>
      </c>
      <c r="L188" s="10">
        <v>234</v>
      </c>
      <c r="M188" s="10">
        <v>0</v>
      </c>
      <c r="N188" s="10">
        <v>0</v>
      </c>
      <c r="O188" s="10">
        <v>0</v>
      </c>
    </row>
    <row r="189" spans="1:15" x14ac:dyDescent="0.2">
      <c r="A189" s="10" t="s">
        <v>263</v>
      </c>
      <c r="B189" s="10" t="s">
        <v>67</v>
      </c>
      <c r="C189" s="10" t="s">
        <v>64</v>
      </c>
      <c r="D189" s="10" t="s">
        <v>45</v>
      </c>
      <c r="E189" s="10" t="s">
        <v>46</v>
      </c>
      <c r="F189" s="10" t="s">
        <v>65</v>
      </c>
      <c r="G189" s="10" t="b">
        <f>FALSE()</f>
        <v>0</v>
      </c>
      <c r="H189" s="10">
        <v>1</v>
      </c>
      <c r="I189" s="10">
        <v>1</v>
      </c>
      <c r="J189" s="10">
        <v>1</v>
      </c>
      <c r="K189" s="10">
        <v>248</v>
      </c>
      <c r="L189" s="10">
        <v>233</v>
      </c>
      <c r="M189" s="10">
        <v>1</v>
      </c>
      <c r="N189" s="10">
        <v>250</v>
      </c>
      <c r="O189" s="10">
        <v>250</v>
      </c>
    </row>
    <row r="190" spans="1:15" x14ac:dyDescent="0.2">
      <c r="A190" s="10" t="s">
        <v>209</v>
      </c>
      <c r="B190" s="10" t="s">
        <v>178</v>
      </c>
      <c r="C190" s="10" t="s">
        <v>73</v>
      </c>
      <c r="D190" s="10" t="s">
        <v>45</v>
      </c>
      <c r="E190" s="10" t="s">
        <v>46</v>
      </c>
      <c r="F190" s="10" t="s">
        <v>79</v>
      </c>
      <c r="G190" s="10" t="b">
        <f>FALSE()</f>
        <v>0</v>
      </c>
      <c r="H190" s="10">
        <v>1</v>
      </c>
      <c r="I190" s="10">
        <v>1</v>
      </c>
      <c r="J190" s="10">
        <v>3</v>
      </c>
      <c r="K190" s="10">
        <v>188</v>
      </c>
      <c r="L190" s="10">
        <v>233</v>
      </c>
      <c r="M190" s="10">
        <v>1</v>
      </c>
      <c r="N190" s="10">
        <v>110</v>
      </c>
      <c r="O190" s="10">
        <v>108</v>
      </c>
    </row>
    <row r="191" spans="1:15" x14ac:dyDescent="0.2">
      <c r="A191" s="10" t="s">
        <v>264</v>
      </c>
      <c r="B191" s="10" t="s">
        <v>265</v>
      </c>
      <c r="C191" s="10" t="s">
        <v>245</v>
      </c>
      <c r="D191" s="10" t="s">
        <v>51</v>
      </c>
      <c r="E191" s="10" t="s">
        <v>52</v>
      </c>
      <c r="F191" s="10" t="s">
        <v>58</v>
      </c>
      <c r="G191" s="10" t="b">
        <f>FALSE()</f>
        <v>0</v>
      </c>
      <c r="H191" s="10">
        <v>1</v>
      </c>
      <c r="I191" s="10">
        <v>0</v>
      </c>
      <c r="J191" s="10">
        <v>2</v>
      </c>
      <c r="K191" s="10">
        <v>226</v>
      </c>
      <c r="L191" s="10">
        <v>232</v>
      </c>
      <c r="M191" s="10">
        <v>0</v>
      </c>
      <c r="N191" s="10">
        <v>0</v>
      </c>
      <c r="O191" s="10">
        <v>0</v>
      </c>
    </row>
    <row r="192" spans="1:15" x14ac:dyDescent="0.2">
      <c r="A192" s="10" t="s">
        <v>266</v>
      </c>
      <c r="B192" s="10" t="s">
        <v>267</v>
      </c>
      <c r="C192" s="10" t="s">
        <v>112</v>
      </c>
      <c r="D192" s="10" t="s">
        <v>51</v>
      </c>
      <c r="E192" s="10" t="s">
        <v>52</v>
      </c>
      <c r="F192" s="10" t="s">
        <v>47</v>
      </c>
      <c r="G192" s="10" t="b">
        <f>FALSE()</f>
        <v>0</v>
      </c>
      <c r="H192" s="10">
        <v>1</v>
      </c>
      <c r="I192" s="10">
        <v>0</v>
      </c>
      <c r="J192" s="10">
        <v>2</v>
      </c>
      <c r="K192" s="10">
        <v>298</v>
      </c>
      <c r="L192" s="10">
        <v>232</v>
      </c>
      <c r="M192" s="10">
        <v>0</v>
      </c>
      <c r="N192" s="10">
        <v>0</v>
      </c>
      <c r="O192" s="10">
        <v>0</v>
      </c>
    </row>
    <row r="193" spans="1:15" x14ac:dyDescent="0.2">
      <c r="A193" s="10" t="s">
        <v>268</v>
      </c>
      <c r="B193" s="10" t="s">
        <v>139</v>
      </c>
      <c r="C193" s="10" t="s">
        <v>64</v>
      </c>
      <c r="D193" s="10" t="s">
        <v>45</v>
      </c>
      <c r="E193" s="10" t="s">
        <v>46</v>
      </c>
      <c r="F193" s="10" t="s">
        <v>85</v>
      </c>
      <c r="G193" s="10" t="b">
        <f>FALSE()</f>
        <v>0</v>
      </c>
      <c r="H193" s="10">
        <v>1</v>
      </c>
      <c r="I193" s="10">
        <v>0</v>
      </c>
      <c r="J193" s="10">
        <v>2</v>
      </c>
      <c r="K193" s="10">
        <v>244</v>
      </c>
      <c r="L193" s="10">
        <v>232</v>
      </c>
      <c r="M193" s="10">
        <v>0</v>
      </c>
      <c r="N193" s="10">
        <v>0</v>
      </c>
      <c r="O193" s="10">
        <v>0</v>
      </c>
    </row>
    <row r="194" spans="1:15" x14ac:dyDescent="0.2">
      <c r="A194" s="10" t="s">
        <v>269</v>
      </c>
      <c r="B194" s="10" t="s">
        <v>172</v>
      </c>
      <c r="C194" s="10" t="s">
        <v>44</v>
      </c>
      <c r="D194" s="10" t="s">
        <v>45</v>
      </c>
      <c r="E194" s="10" t="s">
        <v>46</v>
      </c>
      <c r="F194" s="10" t="s">
        <v>61</v>
      </c>
      <c r="G194" s="10" t="b">
        <f>FALSE()</f>
        <v>0</v>
      </c>
      <c r="H194" s="10">
        <v>1</v>
      </c>
      <c r="I194" s="10">
        <v>0</v>
      </c>
      <c r="J194" s="10">
        <v>1</v>
      </c>
      <c r="K194" s="10">
        <v>208</v>
      </c>
      <c r="L194" s="10">
        <v>231</v>
      </c>
      <c r="M194" s="10">
        <v>0</v>
      </c>
      <c r="N194" s="10">
        <v>0</v>
      </c>
      <c r="O194" s="10">
        <v>0</v>
      </c>
    </row>
    <row r="195" spans="1:15" x14ac:dyDescent="0.2">
      <c r="A195" s="10" t="s">
        <v>270</v>
      </c>
      <c r="B195" s="10" t="s">
        <v>119</v>
      </c>
      <c r="C195" s="10" t="s">
        <v>56</v>
      </c>
      <c r="D195" s="10" t="s">
        <v>45</v>
      </c>
      <c r="E195" s="10" t="s">
        <v>46</v>
      </c>
      <c r="F195" s="10" t="s">
        <v>251</v>
      </c>
      <c r="G195" s="10" t="b">
        <f>FALSE()</f>
        <v>0</v>
      </c>
      <c r="H195" s="10">
        <v>1</v>
      </c>
      <c r="I195" s="10">
        <v>0</v>
      </c>
      <c r="J195" s="10">
        <v>1</v>
      </c>
      <c r="K195" s="10">
        <v>150</v>
      </c>
      <c r="L195" s="10">
        <v>229</v>
      </c>
      <c r="M195" s="10">
        <v>0</v>
      </c>
      <c r="N195" s="10">
        <v>0</v>
      </c>
      <c r="O195" s="10">
        <v>0</v>
      </c>
    </row>
    <row r="196" spans="1:15" x14ac:dyDescent="0.2">
      <c r="A196" s="10" t="s">
        <v>271</v>
      </c>
      <c r="B196" s="10" t="s">
        <v>119</v>
      </c>
      <c r="C196" s="10" t="s">
        <v>56</v>
      </c>
      <c r="D196" s="10" t="s">
        <v>45</v>
      </c>
      <c r="E196" s="10" t="s">
        <v>46</v>
      </c>
      <c r="F196" s="10" t="s">
        <v>94</v>
      </c>
      <c r="G196" s="10" t="b">
        <f>FALSE()</f>
        <v>0</v>
      </c>
      <c r="H196" s="10">
        <v>1</v>
      </c>
      <c r="I196" s="10">
        <v>1</v>
      </c>
      <c r="J196" s="10">
        <v>3</v>
      </c>
      <c r="K196" s="10">
        <v>231</v>
      </c>
      <c r="L196" s="10">
        <v>228</v>
      </c>
      <c r="M196" s="10">
        <v>1</v>
      </c>
      <c r="N196" s="10">
        <v>144</v>
      </c>
      <c r="O196" s="10">
        <v>137</v>
      </c>
    </row>
    <row r="197" spans="1:15" x14ac:dyDescent="0.2">
      <c r="A197" s="10" t="s">
        <v>272</v>
      </c>
      <c r="B197" s="10" t="s">
        <v>273</v>
      </c>
      <c r="C197" s="10" t="s">
        <v>50</v>
      </c>
      <c r="D197" s="10" t="s">
        <v>51</v>
      </c>
      <c r="E197" s="10" t="s">
        <v>52</v>
      </c>
      <c r="F197" s="10" t="s">
        <v>100</v>
      </c>
      <c r="G197" s="10" t="b">
        <f>FALSE()</f>
        <v>0</v>
      </c>
      <c r="H197" s="10">
        <v>1</v>
      </c>
      <c r="I197" s="10">
        <v>0</v>
      </c>
      <c r="J197" s="10">
        <v>4</v>
      </c>
      <c r="K197" s="10">
        <v>228</v>
      </c>
      <c r="L197" s="10">
        <v>228</v>
      </c>
      <c r="M197" s="10">
        <v>0</v>
      </c>
      <c r="N197" s="10">
        <v>0</v>
      </c>
      <c r="O197" s="10">
        <v>0</v>
      </c>
    </row>
    <row r="198" spans="1:15" x14ac:dyDescent="0.2">
      <c r="A198" s="10" t="s">
        <v>150</v>
      </c>
      <c r="B198" s="10" t="s">
        <v>151</v>
      </c>
      <c r="C198" s="10" t="s">
        <v>64</v>
      </c>
      <c r="D198" s="10" t="s">
        <v>45</v>
      </c>
      <c r="E198" s="10" t="s">
        <v>46</v>
      </c>
      <c r="F198" s="10" t="s">
        <v>153</v>
      </c>
      <c r="G198" s="10" t="b">
        <f>FALSE()</f>
        <v>0</v>
      </c>
      <c r="H198" s="10">
        <v>1</v>
      </c>
      <c r="I198" s="10">
        <v>1</v>
      </c>
      <c r="J198" s="10">
        <v>2</v>
      </c>
      <c r="K198" s="10">
        <v>274</v>
      </c>
      <c r="L198" s="10">
        <v>227</v>
      </c>
      <c r="M198" s="10">
        <v>1</v>
      </c>
      <c r="N198" s="10">
        <v>224</v>
      </c>
      <c r="O198" s="10">
        <v>224</v>
      </c>
    </row>
    <row r="199" spans="1:15" x14ac:dyDescent="0.2">
      <c r="A199" s="10" t="s">
        <v>168</v>
      </c>
      <c r="B199" s="10" t="s">
        <v>169</v>
      </c>
      <c r="C199" s="10" t="s">
        <v>117</v>
      </c>
      <c r="D199" s="10" t="s">
        <v>51</v>
      </c>
      <c r="E199" s="10" t="s">
        <v>52</v>
      </c>
      <c r="F199" s="10" t="s">
        <v>91</v>
      </c>
      <c r="G199" s="10" t="b">
        <f>TRUE()</f>
        <v>1</v>
      </c>
      <c r="H199" s="10">
        <v>1</v>
      </c>
      <c r="I199" s="10">
        <v>0</v>
      </c>
      <c r="J199" s="10">
        <v>6</v>
      </c>
      <c r="K199" s="10">
        <v>230</v>
      </c>
      <c r="L199" s="10">
        <v>226</v>
      </c>
      <c r="M199" s="10">
        <v>0</v>
      </c>
      <c r="N199" s="10">
        <v>0</v>
      </c>
      <c r="O199" s="10">
        <v>0</v>
      </c>
    </row>
    <row r="200" spans="1:15" x14ac:dyDescent="0.2">
      <c r="A200" s="10" t="s">
        <v>274</v>
      </c>
      <c r="B200" s="10" t="s">
        <v>70</v>
      </c>
      <c r="C200" s="10" t="s">
        <v>70</v>
      </c>
      <c r="D200" s="10" t="s">
        <v>45</v>
      </c>
      <c r="E200" s="10" t="s">
        <v>46</v>
      </c>
      <c r="F200" s="10" t="s">
        <v>53</v>
      </c>
      <c r="G200" s="10" t="b">
        <f>FALSE()</f>
        <v>0</v>
      </c>
      <c r="H200" s="10">
        <v>1</v>
      </c>
      <c r="I200" s="10">
        <v>0</v>
      </c>
      <c r="J200" s="10">
        <v>2</v>
      </c>
      <c r="K200" s="10">
        <v>229</v>
      </c>
      <c r="L200" s="10">
        <v>224</v>
      </c>
      <c r="M200" s="10">
        <v>0</v>
      </c>
      <c r="N200" s="10">
        <v>0</v>
      </c>
      <c r="O200" s="10">
        <v>0</v>
      </c>
    </row>
    <row r="201" spans="1:15" x14ac:dyDescent="0.2">
      <c r="A201" s="10" t="s">
        <v>275</v>
      </c>
      <c r="B201" s="10" t="s">
        <v>139</v>
      </c>
      <c r="C201" s="10" t="s">
        <v>64</v>
      </c>
      <c r="D201" s="10" t="s">
        <v>45</v>
      </c>
      <c r="E201" s="10" t="s">
        <v>46</v>
      </c>
      <c r="F201" s="10" t="s">
        <v>85</v>
      </c>
      <c r="G201" s="10" t="b">
        <f>FALSE()</f>
        <v>0</v>
      </c>
      <c r="H201" s="10">
        <v>1</v>
      </c>
      <c r="I201" s="10">
        <v>0</v>
      </c>
      <c r="J201" s="10">
        <v>2</v>
      </c>
      <c r="K201" s="10">
        <v>229</v>
      </c>
      <c r="L201" s="10">
        <v>222</v>
      </c>
      <c r="M201" s="10">
        <v>0</v>
      </c>
      <c r="N201" s="10">
        <v>0</v>
      </c>
      <c r="O201" s="10">
        <v>0</v>
      </c>
    </row>
    <row r="202" spans="1:15" x14ac:dyDescent="0.2">
      <c r="A202" s="10" t="s">
        <v>276</v>
      </c>
      <c r="B202" s="10" t="s">
        <v>130</v>
      </c>
      <c r="C202" s="10" t="s">
        <v>56</v>
      </c>
      <c r="D202" s="10" t="s">
        <v>45</v>
      </c>
      <c r="E202" s="10" t="s">
        <v>46</v>
      </c>
      <c r="F202" s="10" t="s">
        <v>153</v>
      </c>
      <c r="G202" s="10" t="b">
        <f>FALSE()</f>
        <v>0</v>
      </c>
      <c r="H202" s="10">
        <v>1</v>
      </c>
      <c r="I202" s="10">
        <v>0</v>
      </c>
      <c r="J202" s="10">
        <v>1</v>
      </c>
      <c r="K202" s="10">
        <v>141</v>
      </c>
      <c r="L202" s="10">
        <v>222</v>
      </c>
      <c r="M202" s="10">
        <v>0</v>
      </c>
      <c r="N202" s="10">
        <v>0</v>
      </c>
      <c r="O202" s="10">
        <v>0</v>
      </c>
    </row>
    <row r="203" spans="1:15" x14ac:dyDescent="0.2">
      <c r="A203" s="10" t="s">
        <v>224</v>
      </c>
      <c r="B203" s="10" t="s">
        <v>169</v>
      </c>
      <c r="C203" s="10" t="s">
        <v>117</v>
      </c>
      <c r="D203" s="10" t="s">
        <v>51</v>
      </c>
      <c r="E203" s="10" t="s">
        <v>52</v>
      </c>
      <c r="F203" s="10" t="s">
        <v>75</v>
      </c>
      <c r="G203" s="10" t="b">
        <f>FALSE()</f>
        <v>0</v>
      </c>
      <c r="H203" s="10">
        <v>1</v>
      </c>
      <c r="I203" s="10">
        <v>0</v>
      </c>
      <c r="J203" s="10">
        <v>3</v>
      </c>
      <c r="K203" s="10">
        <v>240</v>
      </c>
      <c r="L203" s="10">
        <v>222</v>
      </c>
      <c r="M203" s="10">
        <v>0</v>
      </c>
      <c r="N203" s="10">
        <v>0</v>
      </c>
      <c r="O203" s="10">
        <v>0</v>
      </c>
    </row>
    <row r="204" spans="1:15" x14ac:dyDescent="0.2">
      <c r="A204" s="10" t="s">
        <v>277</v>
      </c>
      <c r="B204" s="10" t="s">
        <v>273</v>
      </c>
      <c r="C204" s="10" t="s">
        <v>50</v>
      </c>
      <c r="D204" s="10" t="s">
        <v>51</v>
      </c>
      <c r="E204" s="10" t="s">
        <v>52</v>
      </c>
      <c r="F204" s="10" t="s">
        <v>180</v>
      </c>
      <c r="G204" s="10" t="b">
        <f>FALSE()</f>
        <v>0</v>
      </c>
      <c r="H204" s="10">
        <v>1</v>
      </c>
      <c r="I204" s="10">
        <v>0</v>
      </c>
      <c r="J204" s="10">
        <v>2</v>
      </c>
      <c r="K204" s="10">
        <v>244</v>
      </c>
      <c r="L204" s="10">
        <v>222</v>
      </c>
      <c r="M204" s="10">
        <v>0</v>
      </c>
      <c r="N204" s="10">
        <v>0</v>
      </c>
      <c r="O204" s="10">
        <v>0</v>
      </c>
    </row>
    <row r="205" spans="1:15" x14ac:dyDescent="0.2">
      <c r="A205" s="10" t="s">
        <v>182</v>
      </c>
      <c r="B205" s="10" t="s">
        <v>104</v>
      </c>
      <c r="C205" s="10" t="s">
        <v>105</v>
      </c>
      <c r="D205" s="10" t="s">
        <v>45</v>
      </c>
      <c r="E205" s="10" t="s">
        <v>46</v>
      </c>
      <c r="F205" s="10" t="s">
        <v>61</v>
      </c>
      <c r="G205" s="10" t="b">
        <f>FALSE()</f>
        <v>0</v>
      </c>
      <c r="H205" s="10">
        <v>1</v>
      </c>
      <c r="I205" s="10">
        <v>0</v>
      </c>
      <c r="J205" s="10">
        <v>2</v>
      </c>
      <c r="K205" s="10">
        <v>221</v>
      </c>
      <c r="L205" s="10">
        <v>221</v>
      </c>
      <c r="M205" s="10">
        <v>0</v>
      </c>
      <c r="N205" s="10">
        <v>0</v>
      </c>
      <c r="O205" s="10">
        <v>0</v>
      </c>
    </row>
    <row r="206" spans="1:15" x14ac:dyDescent="0.2">
      <c r="A206" s="10" t="s">
        <v>278</v>
      </c>
      <c r="B206" s="10" t="s">
        <v>43</v>
      </c>
      <c r="C206" s="10" t="s">
        <v>44</v>
      </c>
      <c r="D206" s="10" t="s">
        <v>45</v>
      </c>
      <c r="E206" s="10" t="s">
        <v>46</v>
      </c>
      <c r="F206" s="10" t="s">
        <v>123</v>
      </c>
      <c r="G206" s="10" t="b">
        <f>FALSE()</f>
        <v>0</v>
      </c>
      <c r="H206" s="10">
        <v>1</v>
      </c>
      <c r="I206" s="10">
        <v>1</v>
      </c>
      <c r="J206" s="10">
        <v>4</v>
      </c>
      <c r="K206" s="10">
        <v>214</v>
      </c>
      <c r="L206" s="10">
        <v>220</v>
      </c>
      <c r="M206" s="10">
        <v>1</v>
      </c>
      <c r="N206" s="10">
        <v>230</v>
      </c>
      <c r="O206" s="10">
        <v>224</v>
      </c>
    </row>
    <row r="207" spans="1:15" x14ac:dyDescent="0.2">
      <c r="A207" s="10" t="s">
        <v>279</v>
      </c>
      <c r="B207" s="10" t="s">
        <v>280</v>
      </c>
      <c r="C207" s="10" t="s">
        <v>64</v>
      </c>
      <c r="D207" s="10" t="s">
        <v>45</v>
      </c>
      <c r="E207" s="10" t="s">
        <v>46</v>
      </c>
      <c r="F207" s="10" t="s">
        <v>65</v>
      </c>
      <c r="G207" s="10" t="b">
        <f>FALSE()</f>
        <v>0</v>
      </c>
      <c r="H207" s="10">
        <v>1</v>
      </c>
      <c r="I207" s="10">
        <v>0</v>
      </c>
      <c r="J207" s="10">
        <v>1</v>
      </c>
      <c r="K207" s="10">
        <v>220</v>
      </c>
      <c r="L207" s="10">
        <v>218</v>
      </c>
      <c r="M207" s="10">
        <v>0</v>
      </c>
      <c r="N207" s="10">
        <v>0</v>
      </c>
      <c r="O207" s="10">
        <v>0</v>
      </c>
    </row>
    <row r="208" spans="1:15" x14ac:dyDescent="0.2">
      <c r="A208" s="10" t="s">
        <v>281</v>
      </c>
      <c r="B208" s="10" t="s">
        <v>282</v>
      </c>
      <c r="C208" s="10" t="s">
        <v>50</v>
      </c>
      <c r="D208" s="10" t="s">
        <v>51</v>
      </c>
      <c r="E208" s="10" t="s">
        <v>52</v>
      </c>
      <c r="F208" s="10" t="s">
        <v>61</v>
      </c>
      <c r="G208" s="10" t="b">
        <f>FALSE()</f>
        <v>0</v>
      </c>
      <c r="H208" s="10">
        <v>1</v>
      </c>
      <c r="I208" s="10">
        <v>1</v>
      </c>
      <c r="J208" s="10">
        <v>4</v>
      </c>
      <c r="K208" s="10">
        <v>216</v>
      </c>
      <c r="L208" s="10">
        <v>216</v>
      </c>
      <c r="M208" s="10">
        <v>1</v>
      </c>
      <c r="N208" s="10">
        <v>109</v>
      </c>
      <c r="O208" s="10">
        <v>109</v>
      </c>
    </row>
    <row r="209" spans="1:15" x14ac:dyDescent="0.2">
      <c r="A209" s="10" t="s">
        <v>235</v>
      </c>
      <c r="B209" s="10" t="s">
        <v>119</v>
      </c>
      <c r="C209" s="10" t="s">
        <v>56</v>
      </c>
      <c r="D209" s="10" t="s">
        <v>45</v>
      </c>
      <c r="E209" s="10" t="s">
        <v>46</v>
      </c>
      <c r="F209" s="10" t="s">
        <v>153</v>
      </c>
      <c r="G209" s="10" t="b">
        <f>FALSE()</f>
        <v>0</v>
      </c>
      <c r="H209" s="10">
        <v>1</v>
      </c>
      <c r="I209" s="10">
        <v>0</v>
      </c>
      <c r="J209" s="10">
        <v>2</v>
      </c>
      <c r="K209" s="10">
        <v>215</v>
      </c>
      <c r="L209" s="10">
        <v>215</v>
      </c>
      <c r="M209" s="10">
        <v>0</v>
      </c>
      <c r="N209" s="10">
        <v>0</v>
      </c>
      <c r="O209" s="10">
        <v>0</v>
      </c>
    </row>
    <row r="210" spans="1:15" x14ac:dyDescent="0.2">
      <c r="A210" s="10" t="s">
        <v>276</v>
      </c>
      <c r="B210" s="10" t="s">
        <v>130</v>
      </c>
      <c r="C210" s="10" t="s">
        <v>56</v>
      </c>
      <c r="D210" s="10" t="s">
        <v>45</v>
      </c>
      <c r="E210" s="10" t="s">
        <v>46</v>
      </c>
      <c r="F210" s="10" t="s">
        <v>251</v>
      </c>
      <c r="G210" s="10" t="b">
        <f>FALSE()</f>
        <v>0</v>
      </c>
      <c r="H210" s="10">
        <v>1</v>
      </c>
      <c r="I210" s="10">
        <v>0</v>
      </c>
      <c r="J210" s="10">
        <v>1</v>
      </c>
      <c r="K210" s="10">
        <v>178</v>
      </c>
      <c r="L210" s="10">
        <v>215</v>
      </c>
      <c r="M210" s="10">
        <v>0</v>
      </c>
      <c r="N210" s="10">
        <v>0</v>
      </c>
      <c r="O210" s="10">
        <v>0</v>
      </c>
    </row>
    <row r="211" spans="1:15" x14ac:dyDescent="0.2">
      <c r="A211" s="10" t="s">
        <v>283</v>
      </c>
      <c r="B211" s="10" t="s">
        <v>63</v>
      </c>
      <c r="C211" s="10" t="s">
        <v>64</v>
      </c>
      <c r="D211" s="10" t="s">
        <v>45</v>
      </c>
      <c r="E211" s="10" t="s">
        <v>46</v>
      </c>
      <c r="F211" s="10" t="s">
        <v>65</v>
      </c>
      <c r="G211" s="10" t="b">
        <f>FALSE()</f>
        <v>0</v>
      </c>
      <c r="H211" s="10">
        <v>1</v>
      </c>
      <c r="I211" s="10">
        <v>0</v>
      </c>
      <c r="J211" s="10">
        <v>2</v>
      </c>
      <c r="K211" s="10">
        <v>221</v>
      </c>
      <c r="L211" s="10">
        <v>215</v>
      </c>
      <c r="M211" s="10">
        <v>0</v>
      </c>
      <c r="N211" s="10">
        <v>0</v>
      </c>
      <c r="O211" s="10">
        <v>0</v>
      </c>
    </row>
    <row r="212" spans="1:15" x14ac:dyDescent="0.2">
      <c r="A212" s="10" t="s">
        <v>179</v>
      </c>
      <c r="B212" s="10" t="s">
        <v>55</v>
      </c>
      <c r="C212" s="10" t="s">
        <v>56</v>
      </c>
      <c r="D212" s="10" t="s">
        <v>45</v>
      </c>
      <c r="E212" s="10" t="s">
        <v>46</v>
      </c>
      <c r="F212" s="10" t="s">
        <v>75</v>
      </c>
      <c r="G212" s="10" t="b">
        <f>FALSE()</f>
        <v>0</v>
      </c>
      <c r="H212" s="10">
        <v>1</v>
      </c>
      <c r="I212" s="10">
        <v>1</v>
      </c>
      <c r="J212" s="10">
        <v>2</v>
      </c>
      <c r="K212" s="10">
        <v>135</v>
      </c>
      <c r="L212" s="10">
        <v>214</v>
      </c>
      <c r="M212" s="10">
        <v>1</v>
      </c>
      <c r="N212" s="10">
        <v>98</v>
      </c>
      <c r="O212" s="10">
        <v>97</v>
      </c>
    </row>
    <row r="213" spans="1:15" x14ac:dyDescent="0.2">
      <c r="A213" s="10" t="s">
        <v>181</v>
      </c>
      <c r="B213" s="10" t="s">
        <v>119</v>
      </c>
      <c r="C213" s="10" t="s">
        <v>56</v>
      </c>
      <c r="D213" s="10" t="s">
        <v>45</v>
      </c>
      <c r="E213" s="10" t="s">
        <v>46</v>
      </c>
      <c r="F213" s="10" t="s">
        <v>183</v>
      </c>
      <c r="G213" s="10" t="b">
        <f>FALSE()</f>
        <v>0</v>
      </c>
      <c r="H213" s="10">
        <v>1</v>
      </c>
      <c r="I213" s="10">
        <v>0</v>
      </c>
      <c r="J213" s="10">
        <v>2</v>
      </c>
      <c r="K213" s="10">
        <v>262</v>
      </c>
      <c r="L213" s="10">
        <v>214</v>
      </c>
      <c r="M213" s="10">
        <v>0</v>
      </c>
      <c r="N213" s="10">
        <v>0</v>
      </c>
      <c r="O213" s="10">
        <v>0</v>
      </c>
    </row>
    <row r="214" spans="1:15" x14ac:dyDescent="0.2">
      <c r="A214" s="10" t="s">
        <v>103</v>
      </c>
      <c r="B214" s="10" t="s">
        <v>104</v>
      </c>
      <c r="C214" s="10" t="s">
        <v>105</v>
      </c>
      <c r="D214" s="10" t="s">
        <v>45</v>
      </c>
      <c r="E214" s="10" t="s">
        <v>46</v>
      </c>
      <c r="F214" s="10" t="s">
        <v>113</v>
      </c>
      <c r="G214" s="10" t="b">
        <f>TRUE()</f>
        <v>1</v>
      </c>
      <c r="H214" s="10">
        <v>1</v>
      </c>
      <c r="I214" s="10">
        <v>1</v>
      </c>
      <c r="J214" s="10">
        <v>1</v>
      </c>
      <c r="K214" s="10">
        <v>146</v>
      </c>
      <c r="L214" s="10">
        <v>213</v>
      </c>
      <c r="M214" s="10">
        <v>1</v>
      </c>
      <c r="N214" s="10">
        <v>277</v>
      </c>
      <c r="O214" s="10">
        <v>275</v>
      </c>
    </row>
    <row r="215" spans="1:15" x14ac:dyDescent="0.2">
      <c r="A215" s="10" t="s">
        <v>284</v>
      </c>
      <c r="B215" s="10" t="s">
        <v>285</v>
      </c>
      <c r="C215" s="10" t="s">
        <v>105</v>
      </c>
      <c r="D215" s="10" t="s">
        <v>45</v>
      </c>
      <c r="E215" s="10" t="s">
        <v>46</v>
      </c>
      <c r="F215" s="10" t="s">
        <v>61</v>
      </c>
      <c r="G215" s="10" t="b">
        <f>FALSE()</f>
        <v>0</v>
      </c>
      <c r="H215" s="10">
        <v>1</v>
      </c>
      <c r="I215" s="10">
        <v>0</v>
      </c>
      <c r="J215" s="10">
        <v>2</v>
      </c>
      <c r="K215" s="10">
        <v>156</v>
      </c>
      <c r="L215" s="10">
        <v>213</v>
      </c>
      <c r="M215" s="10">
        <v>0</v>
      </c>
      <c r="N215" s="10">
        <v>0</v>
      </c>
      <c r="O215" s="10">
        <v>0</v>
      </c>
    </row>
    <row r="216" spans="1:15" x14ac:dyDescent="0.2">
      <c r="A216" s="10" t="s">
        <v>286</v>
      </c>
      <c r="B216" s="10" t="s">
        <v>287</v>
      </c>
      <c r="C216" s="10" t="s">
        <v>90</v>
      </c>
      <c r="D216" s="10" t="s">
        <v>51</v>
      </c>
      <c r="E216" s="10" t="s">
        <v>52</v>
      </c>
      <c r="F216" s="10" t="s">
        <v>180</v>
      </c>
      <c r="G216" s="10" t="b">
        <f>FALSE()</f>
        <v>0</v>
      </c>
      <c r="H216" s="10">
        <v>1</v>
      </c>
      <c r="I216" s="10">
        <v>0</v>
      </c>
      <c r="J216" s="10">
        <v>6</v>
      </c>
      <c r="K216" s="10">
        <v>187</v>
      </c>
      <c r="L216" s="10">
        <v>212</v>
      </c>
      <c r="M216" s="10">
        <v>0</v>
      </c>
      <c r="N216" s="10">
        <v>0</v>
      </c>
      <c r="O216" s="10">
        <v>0</v>
      </c>
    </row>
    <row r="217" spans="1:15" x14ac:dyDescent="0.2">
      <c r="A217" s="10" t="s">
        <v>288</v>
      </c>
      <c r="B217" s="10" t="s">
        <v>289</v>
      </c>
      <c r="C217" s="10" t="s">
        <v>50</v>
      </c>
      <c r="D217" s="10" t="s">
        <v>51</v>
      </c>
      <c r="E217" s="10" t="s">
        <v>52</v>
      </c>
      <c r="F217" s="10" t="s">
        <v>61</v>
      </c>
      <c r="G217" s="10" t="b">
        <f>FALSE()</f>
        <v>0</v>
      </c>
      <c r="H217" s="10">
        <v>1</v>
      </c>
      <c r="I217" s="10">
        <v>1</v>
      </c>
      <c r="J217" s="10">
        <v>1</v>
      </c>
      <c r="K217" s="10">
        <v>174</v>
      </c>
      <c r="L217" s="10">
        <v>210</v>
      </c>
      <c r="M217" s="10">
        <v>1</v>
      </c>
      <c r="N217" s="10">
        <v>65</v>
      </c>
      <c r="O217" s="10">
        <v>65</v>
      </c>
    </row>
    <row r="218" spans="1:15" x14ac:dyDescent="0.2">
      <c r="A218" s="10" t="s">
        <v>290</v>
      </c>
      <c r="B218" s="10" t="s">
        <v>260</v>
      </c>
      <c r="C218" s="10" t="s">
        <v>64</v>
      </c>
      <c r="D218" s="10" t="s">
        <v>45</v>
      </c>
      <c r="E218" s="10" t="s">
        <v>46</v>
      </c>
      <c r="F218" s="10" t="s">
        <v>251</v>
      </c>
      <c r="G218" s="10" t="b">
        <f>FALSE()</f>
        <v>0</v>
      </c>
      <c r="H218" s="10">
        <v>1</v>
      </c>
      <c r="I218" s="10">
        <v>0</v>
      </c>
      <c r="J218" s="10">
        <v>2</v>
      </c>
      <c r="K218" s="10">
        <v>137</v>
      </c>
      <c r="L218" s="10">
        <v>210</v>
      </c>
      <c r="M218" s="10">
        <v>0</v>
      </c>
      <c r="N218" s="10">
        <v>0</v>
      </c>
      <c r="O218" s="10">
        <v>0</v>
      </c>
    </row>
    <row r="219" spans="1:15" x14ac:dyDescent="0.2">
      <c r="A219" s="10" t="s">
        <v>241</v>
      </c>
      <c r="B219" s="10" t="s">
        <v>60</v>
      </c>
      <c r="C219" s="10" t="s">
        <v>50</v>
      </c>
      <c r="D219" s="10" t="s">
        <v>51</v>
      </c>
      <c r="E219" s="10" t="s">
        <v>52</v>
      </c>
      <c r="F219" s="10" t="s">
        <v>91</v>
      </c>
      <c r="G219" s="10" t="b">
        <f>TRUE()</f>
        <v>1</v>
      </c>
      <c r="H219" s="10">
        <v>1</v>
      </c>
      <c r="I219" s="10">
        <v>1</v>
      </c>
      <c r="J219" s="10">
        <v>3</v>
      </c>
      <c r="K219" s="10">
        <v>233</v>
      </c>
      <c r="L219" s="10">
        <v>208</v>
      </c>
      <c r="M219" s="10">
        <v>1</v>
      </c>
      <c r="N219" s="10">
        <v>100</v>
      </c>
      <c r="O219" s="10">
        <v>99</v>
      </c>
    </row>
    <row r="220" spans="1:15" x14ac:dyDescent="0.2">
      <c r="A220" s="10" t="s">
        <v>185</v>
      </c>
      <c r="B220" s="10" t="s">
        <v>104</v>
      </c>
      <c r="C220" s="10" t="s">
        <v>105</v>
      </c>
      <c r="D220" s="10" t="s">
        <v>45</v>
      </c>
      <c r="E220" s="10" t="s">
        <v>46</v>
      </c>
      <c r="F220" s="10" t="s">
        <v>291</v>
      </c>
      <c r="G220" s="10" t="b">
        <f>FALSE()</f>
        <v>0</v>
      </c>
      <c r="H220" s="10">
        <v>1</v>
      </c>
      <c r="I220" s="10">
        <v>0</v>
      </c>
      <c r="J220" s="10">
        <v>1</v>
      </c>
      <c r="K220" s="10">
        <v>211</v>
      </c>
      <c r="L220" s="10">
        <v>208</v>
      </c>
      <c r="M220" s="10">
        <v>0</v>
      </c>
      <c r="N220" s="10">
        <v>0</v>
      </c>
      <c r="O220" s="10">
        <v>0</v>
      </c>
    </row>
    <row r="221" spans="1:15" x14ac:dyDescent="0.2">
      <c r="A221" s="10" t="s">
        <v>292</v>
      </c>
      <c r="B221" s="10" t="s">
        <v>119</v>
      </c>
      <c r="C221" s="10" t="s">
        <v>56</v>
      </c>
      <c r="D221" s="10" t="s">
        <v>45</v>
      </c>
      <c r="E221" s="10" t="s">
        <v>46</v>
      </c>
      <c r="F221" s="10" t="s">
        <v>61</v>
      </c>
      <c r="G221" s="10" t="b">
        <f>FALSE()</f>
        <v>0</v>
      </c>
      <c r="H221" s="10">
        <v>1</v>
      </c>
      <c r="I221" s="10">
        <v>0</v>
      </c>
      <c r="J221" s="10">
        <v>2</v>
      </c>
      <c r="K221" s="10">
        <v>258</v>
      </c>
      <c r="L221" s="10">
        <v>208</v>
      </c>
      <c r="M221" s="10">
        <v>0</v>
      </c>
      <c r="N221" s="10">
        <v>0</v>
      </c>
      <c r="O221" s="10">
        <v>0</v>
      </c>
    </row>
    <row r="222" spans="1:15" x14ac:dyDescent="0.2">
      <c r="A222" s="10" t="s">
        <v>293</v>
      </c>
      <c r="B222" s="10" t="s">
        <v>116</v>
      </c>
      <c r="C222" s="10" t="s">
        <v>117</v>
      </c>
      <c r="D222" s="10" t="s">
        <v>51</v>
      </c>
      <c r="E222" s="10" t="s">
        <v>52</v>
      </c>
      <c r="F222" s="10" t="s">
        <v>212</v>
      </c>
      <c r="G222" s="10" t="b">
        <f>FALSE()</f>
        <v>0</v>
      </c>
      <c r="H222" s="10">
        <v>1</v>
      </c>
      <c r="I222" s="10">
        <v>0</v>
      </c>
      <c r="J222" s="10">
        <v>2</v>
      </c>
      <c r="K222" s="10">
        <v>162</v>
      </c>
      <c r="L222" s="10">
        <v>208</v>
      </c>
      <c r="M222" s="10">
        <v>0</v>
      </c>
      <c r="N222" s="10">
        <v>0</v>
      </c>
      <c r="O222" s="10">
        <v>0</v>
      </c>
    </row>
    <row r="223" spans="1:15" x14ac:dyDescent="0.2">
      <c r="A223" s="10" t="s">
        <v>255</v>
      </c>
      <c r="B223" s="10" t="s">
        <v>116</v>
      </c>
      <c r="C223" s="10" t="s">
        <v>117</v>
      </c>
      <c r="D223" s="10" t="s">
        <v>51</v>
      </c>
      <c r="E223" s="10" t="s">
        <v>52</v>
      </c>
      <c r="F223" s="10" t="s">
        <v>79</v>
      </c>
      <c r="G223" s="10" t="b">
        <f>FALSE()</f>
        <v>0</v>
      </c>
      <c r="H223" s="10">
        <v>1</v>
      </c>
      <c r="I223" s="10">
        <v>0</v>
      </c>
      <c r="J223" s="10">
        <v>3</v>
      </c>
      <c r="K223" s="10">
        <v>233</v>
      </c>
      <c r="L223" s="10">
        <v>205</v>
      </c>
      <c r="M223" s="10">
        <v>0</v>
      </c>
      <c r="N223" s="10">
        <v>0</v>
      </c>
      <c r="O223" s="10">
        <v>0</v>
      </c>
    </row>
    <row r="224" spans="1:15" x14ac:dyDescent="0.2">
      <c r="A224" s="10" t="s">
        <v>294</v>
      </c>
      <c r="B224" s="10" t="s">
        <v>258</v>
      </c>
      <c r="C224" s="10" t="s">
        <v>90</v>
      </c>
      <c r="D224" s="10" t="s">
        <v>51</v>
      </c>
      <c r="E224" s="10" t="s">
        <v>52</v>
      </c>
      <c r="F224" s="10" t="s">
        <v>190</v>
      </c>
      <c r="G224" s="10" t="b">
        <f>TRUE()</f>
        <v>1</v>
      </c>
      <c r="H224" s="10">
        <v>1</v>
      </c>
      <c r="I224" s="10">
        <v>0</v>
      </c>
      <c r="J224" s="10">
        <v>3</v>
      </c>
      <c r="K224" s="10">
        <v>212</v>
      </c>
      <c r="L224" s="10">
        <v>205</v>
      </c>
      <c r="M224" s="10">
        <v>0</v>
      </c>
      <c r="N224" s="10">
        <v>0</v>
      </c>
      <c r="O224" s="10">
        <v>0</v>
      </c>
    </row>
    <row r="225" spans="1:15" x14ac:dyDescent="0.2">
      <c r="A225" s="10" t="s">
        <v>145</v>
      </c>
      <c r="B225" s="10" t="s">
        <v>146</v>
      </c>
      <c r="C225" s="10" t="s">
        <v>105</v>
      </c>
      <c r="D225" s="10" t="s">
        <v>45</v>
      </c>
      <c r="E225" s="10" t="s">
        <v>46</v>
      </c>
      <c r="F225" s="10" t="s">
        <v>102</v>
      </c>
      <c r="G225" s="10" t="b">
        <f>TRUE()</f>
        <v>1</v>
      </c>
      <c r="H225" s="10">
        <v>1</v>
      </c>
      <c r="I225" s="10">
        <v>0</v>
      </c>
      <c r="J225" s="10">
        <v>2</v>
      </c>
      <c r="K225" s="10">
        <v>258</v>
      </c>
      <c r="L225" s="10">
        <v>204</v>
      </c>
      <c r="M225" s="10">
        <v>0</v>
      </c>
      <c r="N225" s="10">
        <v>0</v>
      </c>
      <c r="O225" s="10">
        <v>0</v>
      </c>
    </row>
    <row r="226" spans="1:15" x14ac:dyDescent="0.2">
      <c r="A226" s="10" t="s">
        <v>295</v>
      </c>
      <c r="B226" s="10" t="s">
        <v>119</v>
      </c>
      <c r="C226" s="10" t="s">
        <v>56</v>
      </c>
      <c r="D226" s="10" t="s">
        <v>45</v>
      </c>
      <c r="E226" s="10" t="s">
        <v>46</v>
      </c>
      <c r="F226" s="10" t="s">
        <v>75</v>
      </c>
      <c r="G226" s="10" t="b">
        <f>FALSE()</f>
        <v>0</v>
      </c>
      <c r="H226" s="10">
        <v>1</v>
      </c>
      <c r="I226" s="10">
        <v>0</v>
      </c>
      <c r="J226" s="10">
        <v>3</v>
      </c>
      <c r="K226" s="10">
        <v>239</v>
      </c>
      <c r="L226" s="10">
        <v>204</v>
      </c>
      <c r="M226" s="10">
        <v>0</v>
      </c>
      <c r="N226" s="10">
        <v>0</v>
      </c>
      <c r="O226" s="10">
        <v>0</v>
      </c>
    </row>
    <row r="227" spans="1:15" x14ac:dyDescent="0.2">
      <c r="A227" s="10" t="s">
        <v>296</v>
      </c>
      <c r="B227" s="10" t="s">
        <v>297</v>
      </c>
      <c r="C227" s="10" t="s">
        <v>117</v>
      </c>
      <c r="D227" s="10" t="s">
        <v>51</v>
      </c>
      <c r="E227" s="10" t="s">
        <v>52</v>
      </c>
      <c r="F227" s="10" t="s">
        <v>47</v>
      </c>
      <c r="G227" s="10" t="b">
        <f>FALSE()</f>
        <v>0</v>
      </c>
      <c r="H227" s="10">
        <v>1</v>
      </c>
      <c r="I227" s="10">
        <v>0</v>
      </c>
      <c r="J227" s="10">
        <v>2</v>
      </c>
      <c r="K227" s="10">
        <v>144</v>
      </c>
      <c r="L227" s="10">
        <v>203</v>
      </c>
      <c r="M227" s="10">
        <v>0</v>
      </c>
      <c r="N227" s="10">
        <v>0</v>
      </c>
      <c r="O227" s="10">
        <v>0</v>
      </c>
    </row>
    <row r="228" spans="1:15" x14ac:dyDescent="0.2">
      <c r="A228" s="10" t="s">
        <v>298</v>
      </c>
      <c r="B228" s="10" t="s">
        <v>273</v>
      </c>
      <c r="C228" s="10" t="s">
        <v>50</v>
      </c>
      <c r="D228" s="10" t="s">
        <v>51</v>
      </c>
      <c r="E228" s="10" t="s">
        <v>52</v>
      </c>
      <c r="F228" s="10" t="s">
        <v>153</v>
      </c>
      <c r="G228" s="10" t="b">
        <f>FALSE()</f>
        <v>0</v>
      </c>
      <c r="H228" s="10">
        <v>1</v>
      </c>
      <c r="I228" s="10">
        <v>0</v>
      </c>
      <c r="J228" s="10">
        <v>2</v>
      </c>
      <c r="K228" s="10">
        <v>203</v>
      </c>
      <c r="L228" s="10">
        <v>203</v>
      </c>
      <c r="M228" s="10">
        <v>0</v>
      </c>
      <c r="N228" s="10">
        <v>0</v>
      </c>
      <c r="O228" s="10">
        <v>0</v>
      </c>
    </row>
    <row r="229" spans="1:15" x14ac:dyDescent="0.2">
      <c r="A229" s="10" t="s">
        <v>299</v>
      </c>
      <c r="B229" s="10" t="s">
        <v>89</v>
      </c>
      <c r="C229" s="10" t="s">
        <v>90</v>
      </c>
      <c r="D229" s="10" t="s">
        <v>51</v>
      </c>
      <c r="E229" s="10" t="s">
        <v>52</v>
      </c>
      <c r="F229" s="10" t="s">
        <v>113</v>
      </c>
      <c r="G229" s="10" t="b">
        <f>TRUE()</f>
        <v>1</v>
      </c>
      <c r="H229" s="10">
        <v>1</v>
      </c>
      <c r="I229" s="10">
        <v>0</v>
      </c>
      <c r="J229" s="10">
        <v>3</v>
      </c>
      <c r="K229" s="10">
        <v>206</v>
      </c>
      <c r="L229" s="10">
        <v>202</v>
      </c>
      <c r="M229" s="10">
        <v>0</v>
      </c>
      <c r="N229" s="10">
        <v>0</v>
      </c>
      <c r="O229" s="10">
        <v>0</v>
      </c>
    </row>
    <row r="230" spans="1:15" x14ac:dyDescent="0.2">
      <c r="A230" s="10" t="s">
        <v>200</v>
      </c>
      <c r="B230" s="10" t="s">
        <v>146</v>
      </c>
      <c r="C230" s="10" t="s">
        <v>105</v>
      </c>
      <c r="D230" s="10" t="s">
        <v>45</v>
      </c>
      <c r="E230" s="10" t="s">
        <v>46</v>
      </c>
      <c r="F230" s="10" t="s">
        <v>91</v>
      </c>
      <c r="G230" s="10" t="b">
        <f>TRUE()</f>
        <v>1</v>
      </c>
      <c r="H230" s="10">
        <v>1</v>
      </c>
      <c r="I230" s="10">
        <v>0</v>
      </c>
      <c r="J230" s="10">
        <v>4</v>
      </c>
      <c r="K230" s="10">
        <v>209</v>
      </c>
      <c r="L230" s="10">
        <v>202</v>
      </c>
      <c r="M230" s="10">
        <v>0</v>
      </c>
      <c r="N230" s="10">
        <v>0</v>
      </c>
      <c r="O230" s="10">
        <v>0</v>
      </c>
    </row>
    <row r="231" spans="1:15" x14ac:dyDescent="0.2">
      <c r="A231" s="10" t="s">
        <v>149</v>
      </c>
      <c r="B231" s="10" t="s">
        <v>136</v>
      </c>
      <c r="C231" s="10" t="s">
        <v>73</v>
      </c>
      <c r="D231" s="10" t="s">
        <v>45</v>
      </c>
      <c r="E231" s="10" t="s">
        <v>46</v>
      </c>
      <c r="F231" s="10" t="s">
        <v>79</v>
      </c>
      <c r="G231" s="10" t="b">
        <f>FALSE()</f>
        <v>0</v>
      </c>
      <c r="H231" s="10">
        <v>1</v>
      </c>
      <c r="I231" s="10">
        <v>1</v>
      </c>
      <c r="J231" s="10">
        <v>1</v>
      </c>
      <c r="K231" s="10">
        <v>201</v>
      </c>
      <c r="L231" s="10">
        <v>201</v>
      </c>
      <c r="M231" s="10">
        <v>1</v>
      </c>
      <c r="N231" s="10">
        <v>50</v>
      </c>
      <c r="O231" s="10">
        <v>50</v>
      </c>
    </row>
    <row r="232" spans="1:15" x14ac:dyDescent="0.2">
      <c r="A232" s="10" t="s">
        <v>264</v>
      </c>
      <c r="B232" s="10" t="s">
        <v>265</v>
      </c>
      <c r="C232" s="10" t="s">
        <v>245</v>
      </c>
      <c r="D232" s="10" t="s">
        <v>51</v>
      </c>
      <c r="E232" s="10" t="s">
        <v>52</v>
      </c>
      <c r="F232" s="10" t="s">
        <v>61</v>
      </c>
      <c r="G232" s="10" t="b">
        <f>FALSE()</f>
        <v>0</v>
      </c>
      <c r="H232" s="10">
        <v>1</v>
      </c>
      <c r="I232" s="10">
        <v>0</v>
      </c>
      <c r="J232" s="10">
        <v>2</v>
      </c>
      <c r="K232" s="10">
        <v>97</v>
      </c>
      <c r="L232" s="10">
        <v>201</v>
      </c>
      <c r="M232" s="10">
        <v>0</v>
      </c>
      <c r="N232" s="10">
        <v>0</v>
      </c>
      <c r="O232" s="10">
        <v>0</v>
      </c>
    </row>
    <row r="233" spans="1:15" x14ac:dyDescent="0.2">
      <c r="A233" s="10" t="s">
        <v>300</v>
      </c>
      <c r="B233" s="10" t="s">
        <v>172</v>
      </c>
      <c r="C233" s="10" t="s">
        <v>44</v>
      </c>
      <c r="D233" s="10" t="s">
        <v>45</v>
      </c>
      <c r="E233" s="10" t="s">
        <v>46</v>
      </c>
      <c r="F233" s="10" t="s">
        <v>74</v>
      </c>
      <c r="G233" s="10" t="b">
        <f>FALSE()</f>
        <v>0</v>
      </c>
      <c r="H233" s="10">
        <v>1</v>
      </c>
      <c r="I233" s="10">
        <v>0</v>
      </c>
      <c r="J233" s="10">
        <v>2</v>
      </c>
      <c r="K233" s="10">
        <v>230</v>
      </c>
      <c r="L233" s="10">
        <v>201</v>
      </c>
      <c r="M233" s="10">
        <v>0</v>
      </c>
      <c r="N233" s="10">
        <v>0</v>
      </c>
      <c r="O233" s="10">
        <v>0</v>
      </c>
    </row>
    <row r="234" spans="1:15" x14ac:dyDescent="0.2">
      <c r="A234" s="10" t="s">
        <v>221</v>
      </c>
      <c r="B234" s="10" t="s">
        <v>136</v>
      </c>
      <c r="C234" s="10" t="s">
        <v>73</v>
      </c>
      <c r="D234" s="10" t="s">
        <v>45</v>
      </c>
      <c r="E234" s="10" t="s">
        <v>46</v>
      </c>
      <c r="F234" s="10" t="s">
        <v>61</v>
      </c>
      <c r="G234" s="10" t="b">
        <f>FALSE()</f>
        <v>0</v>
      </c>
      <c r="H234" s="10">
        <v>1</v>
      </c>
      <c r="I234" s="10">
        <v>0</v>
      </c>
      <c r="J234" s="10">
        <v>6</v>
      </c>
      <c r="K234" s="10">
        <v>225</v>
      </c>
      <c r="L234" s="10">
        <v>200</v>
      </c>
      <c r="M234" s="10">
        <v>0</v>
      </c>
      <c r="N234" s="10">
        <v>0</v>
      </c>
      <c r="O234" s="10">
        <v>0</v>
      </c>
    </row>
    <row r="235" spans="1:15" x14ac:dyDescent="0.2">
      <c r="A235" s="10" t="s">
        <v>301</v>
      </c>
      <c r="B235" s="10" t="s">
        <v>302</v>
      </c>
      <c r="C235" s="10" t="s">
        <v>117</v>
      </c>
      <c r="D235" s="10" t="s">
        <v>51</v>
      </c>
      <c r="E235" s="10" t="s">
        <v>52</v>
      </c>
      <c r="F235" s="10" t="s">
        <v>180</v>
      </c>
      <c r="G235" s="10" t="b">
        <f>FALSE()</f>
        <v>0</v>
      </c>
      <c r="H235" s="10">
        <v>1</v>
      </c>
      <c r="I235" s="10">
        <v>0</v>
      </c>
      <c r="J235" s="10">
        <v>3</v>
      </c>
      <c r="K235" s="10">
        <v>199</v>
      </c>
      <c r="L235" s="10">
        <v>200</v>
      </c>
      <c r="M235" s="10">
        <v>0</v>
      </c>
      <c r="N235" s="10">
        <v>0</v>
      </c>
      <c r="O235" s="10">
        <v>0</v>
      </c>
    </row>
    <row r="236" spans="1:15" x14ac:dyDescent="0.2">
      <c r="A236" s="10" t="s">
        <v>161</v>
      </c>
      <c r="B236" s="10" t="s">
        <v>43</v>
      </c>
      <c r="C236" s="10" t="s">
        <v>44</v>
      </c>
      <c r="D236" s="10" t="s">
        <v>45</v>
      </c>
      <c r="E236" s="10" t="s">
        <v>46</v>
      </c>
      <c r="F236" s="10" t="s">
        <v>85</v>
      </c>
      <c r="G236" s="10" t="b">
        <f>FALSE()</f>
        <v>0</v>
      </c>
      <c r="H236" s="10">
        <v>1</v>
      </c>
      <c r="I236" s="10">
        <v>1</v>
      </c>
      <c r="J236" s="10">
        <v>1</v>
      </c>
      <c r="K236" s="10">
        <v>219</v>
      </c>
      <c r="L236" s="10">
        <v>199</v>
      </c>
      <c r="M236" s="10">
        <v>1</v>
      </c>
      <c r="N236" s="10">
        <v>406</v>
      </c>
      <c r="O236" s="10">
        <v>405</v>
      </c>
    </row>
    <row r="237" spans="1:15" x14ac:dyDescent="0.2">
      <c r="A237" s="10" t="s">
        <v>303</v>
      </c>
      <c r="B237" s="10" t="s">
        <v>172</v>
      </c>
      <c r="C237" s="10" t="s">
        <v>44</v>
      </c>
      <c r="D237" s="10" t="s">
        <v>45</v>
      </c>
      <c r="E237" s="10" t="s">
        <v>46</v>
      </c>
      <c r="F237" s="10" t="s">
        <v>79</v>
      </c>
      <c r="G237" s="10" t="b">
        <f>FALSE()</f>
        <v>0</v>
      </c>
      <c r="H237" s="10">
        <v>1</v>
      </c>
      <c r="I237" s="10">
        <v>0</v>
      </c>
      <c r="J237" s="10">
        <v>3</v>
      </c>
      <c r="K237" s="10">
        <v>245</v>
      </c>
      <c r="L237" s="10">
        <v>198</v>
      </c>
      <c r="M237" s="10">
        <v>0</v>
      </c>
      <c r="N237" s="10">
        <v>0</v>
      </c>
      <c r="O237" s="10">
        <v>0</v>
      </c>
    </row>
    <row r="238" spans="1:15" x14ac:dyDescent="0.2">
      <c r="A238" s="10" t="s">
        <v>304</v>
      </c>
      <c r="B238" s="10" t="s">
        <v>43</v>
      </c>
      <c r="C238" s="10" t="s">
        <v>44</v>
      </c>
      <c r="D238" s="10" t="s">
        <v>45</v>
      </c>
      <c r="E238" s="10" t="s">
        <v>46</v>
      </c>
      <c r="F238" s="10" t="s">
        <v>74</v>
      </c>
      <c r="G238" s="10" t="b">
        <f>FALSE()</f>
        <v>0</v>
      </c>
      <c r="H238" s="10">
        <v>1</v>
      </c>
      <c r="I238" s="10">
        <v>1</v>
      </c>
      <c r="J238" s="10">
        <v>2</v>
      </c>
      <c r="K238" s="10">
        <v>161</v>
      </c>
      <c r="L238" s="10">
        <v>197</v>
      </c>
      <c r="M238" s="10">
        <v>1</v>
      </c>
      <c r="N238" s="10">
        <v>210</v>
      </c>
      <c r="O238" s="10">
        <v>202</v>
      </c>
    </row>
    <row r="239" spans="1:15" x14ac:dyDescent="0.2">
      <c r="A239" s="10" t="s">
        <v>305</v>
      </c>
      <c r="B239" s="10" t="s">
        <v>262</v>
      </c>
      <c r="C239" s="10" t="s">
        <v>105</v>
      </c>
      <c r="D239" s="10" t="s">
        <v>45</v>
      </c>
      <c r="E239" s="10" t="s">
        <v>46</v>
      </c>
      <c r="F239" s="10" t="s">
        <v>61</v>
      </c>
      <c r="G239" s="10" t="b">
        <f>FALSE()</f>
        <v>0</v>
      </c>
      <c r="H239" s="10">
        <v>1</v>
      </c>
      <c r="I239" s="10">
        <v>1</v>
      </c>
      <c r="J239" s="10">
        <v>2</v>
      </c>
      <c r="K239" s="10">
        <v>193</v>
      </c>
      <c r="L239" s="10">
        <v>197</v>
      </c>
      <c r="M239" s="10">
        <v>1</v>
      </c>
      <c r="N239" s="10">
        <v>37</v>
      </c>
      <c r="O239" s="10">
        <v>37</v>
      </c>
    </row>
    <row r="240" spans="1:15" x14ac:dyDescent="0.2">
      <c r="A240" s="10" t="s">
        <v>306</v>
      </c>
      <c r="B240" s="10" t="s">
        <v>55</v>
      </c>
      <c r="C240" s="10" t="s">
        <v>56</v>
      </c>
      <c r="D240" s="10" t="s">
        <v>45</v>
      </c>
      <c r="E240" s="10" t="s">
        <v>46</v>
      </c>
      <c r="F240" s="10" t="s">
        <v>91</v>
      </c>
      <c r="G240" s="10" t="b">
        <f>TRUE()</f>
        <v>1</v>
      </c>
      <c r="H240" s="10">
        <v>1</v>
      </c>
      <c r="I240" s="10">
        <v>0</v>
      </c>
      <c r="J240" s="10">
        <v>2</v>
      </c>
      <c r="K240" s="10">
        <v>193</v>
      </c>
      <c r="L240" s="10">
        <v>197</v>
      </c>
      <c r="M240" s="10">
        <v>0</v>
      </c>
      <c r="N240" s="10">
        <v>0</v>
      </c>
      <c r="O240" s="10">
        <v>0</v>
      </c>
    </row>
    <row r="241" spans="1:15" x14ac:dyDescent="0.2">
      <c r="A241" s="10" t="s">
        <v>307</v>
      </c>
      <c r="B241" s="10" t="s">
        <v>72</v>
      </c>
      <c r="C241" s="10" t="s">
        <v>73</v>
      </c>
      <c r="D241" s="10" t="s">
        <v>45</v>
      </c>
      <c r="E241" s="10" t="s">
        <v>46</v>
      </c>
      <c r="F241" s="10" t="s">
        <v>61</v>
      </c>
      <c r="G241" s="10" t="b">
        <f>FALSE()</f>
        <v>0</v>
      </c>
      <c r="H241" s="10">
        <v>1</v>
      </c>
      <c r="I241" s="10">
        <v>0</v>
      </c>
      <c r="J241" s="10">
        <v>2</v>
      </c>
      <c r="K241" s="10">
        <v>159</v>
      </c>
      <c r="L241" s="10">
        <v>197</v>
      </c>
      <c r="M241" s="10">
        <v>0</v>
      </c>
      <c r="N241" s="10">
        <v>0</v>
      </c>
      <c r="O241" s="10">
        <v>0</v>
      </c>
    </row>
    <row r="242" spans="1:15" x14ac:dyDescent="0.2">
      <c r="A242" s="10" t="s">
        <v>237</v>
      </c>
      <c r="B242" s="10" t="s">
        <v>238</v>
      </c>
      <c r="C242" s="10" t="s">
        <v>90</v>
      </c>
      <c r="D242" s="10" t="s">
        <v>51</v>
      </c>
      <c r="E242" s="10" t="s">
        <v>52</v>
      </c>
      <c r="F242" s="10" t="s">
        <v>97</v>
      </c>
      <c r="G242" s="10" t="b">
        <f>TRUE()</f>
        <v>1</v>
      </c>
      <c r="H242" s="10">
        <v>1</v>
      </c>
      <c r="I242" s="10">
        <v>0</v>
      </c>
      <c r="J242" s="10">
        <v>1</v>
      </c>
      <c r="K242" s="10">
        <v>197</v>
      </c>
      <c r="L242" s="10">
        <v>196</v>
      </c>
      <c r="M242" s="10">
        <v>0</v>
      </c>
      <c r="N242" s="10">
        <v>0</v>
      </c>
      <c r="O242" s="10">
        <v>0</v>
      </c>
    </row>
    <row r="243" spans="1:15" x14ac:dyDescent="0.2">
      <c r="A243" s="10" t="s">
        <v>176</v>
      </c>
      <c r="B243" s="10" t="s">
        <v>104</v>
      </c>
      <c r="C243" s="10" t="s">
        <v>105</v>
      </c>
      <c r="D243" s="10" t="s">
        <v>45</v>
      </c>
      <c r="E243" s="10" t="s">
        <v>46</v>
      </c>
      <c r="F243" s="10" t="s">
        <v>113</v>
      </c>
      <c r="G243" s="10" t="b">
        <f>TRUE()</f>
        <v>1</v>
      </c>
      <c r="H243" s="10">
        <v>1</v>
      </c>
      <c r="I243" s="10">
        <v>1</v>
      </c>
      <c r="J243" s="10">
        <v>2</v>
      </c>
      <c r="K243" s="10">
        <v>131</v>
      </c>
      <c r="L243" s="10">
        <v>194</v>
      </c>
      <c r="M243" s="10">
        <v>1</v>
      </c>
      <c r="N243" s="10">
        <v>152</v>
      </c>
      <c r="O243" s="10">
        <v>152</v>
      </c>
    </row>
    <row r="244" spans="1:15" x14ac:dyDescent="0.2">
      <c r="A244" s="10" t="s">
        <v>298</v>
      </c>
      <c r="B244" s="10" t="s">
        <v>273</v>
      </c>
      <c r="C244" s="10" t="s">
        <v>50</v>
      </c>
      <c r="D244" s="10" t="s">
        <v>51</v>
      </c>
      <c r="E244" s="10" t="s">
        <v>52</v>
      </c>
      <c r="F244" s="10" t="s">
        <v>61</v>
      </c>
      <c r="G244" s="10" t="b">
        <f>FALSE()</f>
        <v>0</v>
      </c>
      <c r="H244" s="10">
        <v>1</v>
      </c>
      <c r="I244" s="10">
        <v>0</v>
      </c>
      <c r="J244" s="10">
        <v>5</v>
      </c>
      <c r="K244" s="10">
        <v>239</v>
      </c>
      <c r="L244" s="10">
        <v>194</v>
      </c>
      <c r="M244" s="10">
        <v>0</v>
      </c>
      <c r="N244" s="10">
        <v>0</v>
      </c>
      <c r="O244" s="10">
        <v>0</v>
      </c>
    </row>
    <row r="245" spans="1:15" x14ac:dyDescent="0.2">
      <c r="A245" s="10" t="s">
        <v>270</v>
      </c>
      <c r="B245" s="10" t="s">
        <v>119</v>
      </c>
      <c r="C245" s="10" t="s">
        <v>56</v>
      </c>
      <c r="D245" s="10" t="s">
        <v>45</v>
      </c>
      <c r="E245" s="10" t="s">
        <v>46</v>
      </c>
      <c r="F245" s="10" t="s">
        <v>61</v>
      </c>
      <c r="G245" s="10" t="b">
        <f>FALSE()</f>
        <v>0</v>
      </c>
      <c r="H245" s="10">
        <v>1</v>
      </c>
      <c r="I245" s="10">
        <v>0</v>
      </c>
      <c r="J245" s="10">
        <v>7</v>
      </c>
      <c r="K245" s="10">
        <v>392</v>
      </c>
      <c r="L245" s="10">
        <v>194</v>
      </c>
      <c r="M245" s="10">
        <v>0</v>
      </c>
      <c r="N245" s="10">
        <v>0</v>
      </c>
      <c r="O245" s="10">
        <v>0</v>
      </c>
    </row>
    <row r="246" spans="1:15" x14ac:dyDescent="0.2">
      <c r="A246" s="10" t="s">
        <v>88</v>
      </c>
      <c r="B246" s="10" t="s">
        <v>89</v>
      </c>
      <c r="C246" s="10" t="s">
        <v>90</v>
      </c>
      <c r="D246" s="10" t="s">
        <v>51</v>
      </c>
      <c r="E246" s="10" t="s">
        <v>52</v>
      </c>
      <c r="F246" s="10" t="s">
        <v>308</v>
      </c>
      <c r="G246" s="10" t="b">
        <f>TRUE()</f>
        <v>1</v>
      </c>
      <c r="H246" s="10">
        <v>1</v>
      </c>
      <c r="I246" s="10">
        <v>1</v>
      </c>
      <c r="J246" s="10">
        <v>3</v>
      </c>
      <c r="K246" s="10">
        <v>193</v>
      </c>
      <c r="L246" s="10">
        <v>193</v>
      </c>
      <c r="M246" s="10">
        <v>1</v>
      </c>
      <c r="N246" s="10">
        <v>101</v>
      </c>
      <c r="O246" s="10">
        <v>99</v>
      </c>
    </row>
    <row r="247" spans="1:15" x14ac:dyDescent="0.2">
      <c r="A247" s="10" t="s">
        <v>225</v>
      </c>
      <c r="B247" s="10" t="s">
        <v>70</v>
      </c>
      <c r="C247" s="10" t="s">
        <v>70</v>
      </c>
      <c r="D247" s="10" t="s">
        <v>45</v>
      </c>
      <c r="E247" s="10" t="s">
        <v>46</v>
      </c>
      <c r="F247" s="10" t="s">
        <v>92</v>
      </c>
      <c r="G247" s="10" t="b">
        <f>FALSE()</f>
        <v>0</v>
      </c>
      <c r="H247" s="10">
        <v>1</v>
      </c>
      <c r="I247" s="10">
        <v>1</v>
      </c>
      <c r="J247" s="10">
        <v>3</v>
      </c>
      <c r="K247" s="10">
        <v>226</v>
      </c>
      <c r="L247" s="10">
        <v>192</v>
      </c>
      <c r="M247" s="10">
        <v>1</v>
      </c>
      <c r="N247" s="10">
        <v>287</v>
      </c>
      <c r="O247" s="10">
        <v>286</v>
      </c>
    </row>
    <row r="248" spans="1:15" x14ac:dyDescent="0.2">
      <c r="A248" s="10" t="s">
        <v>198</v>
      </c>
      <c r="B248" s="10" t="s">
        <v>43</v>
      </c>
      <c r="C248" s="10" t="s">
        <v>44</v>
      </c>
      <c r="D248" s="10" t="s">
        <v>45</v>
      </c>
      <c r="E248" s="10" t="s">
        <v>46</v>
      </c>
      <c r="F248" s="10" t="s">
        <v>83</v>
      </c>
      <c r="G248" s="10" t="b">
        <f>TRUE()</f>
        <v>1</v>
      </c>
      <c r="H248" s="10">
        <v>1</v>
      </c>
      <c r="I248" s="10">
        <v>1</v>
      </c>
      <c r="J248" s="10">
        <v>2</v>
      </c>
      <c r="K248" s="10">
        <v>195</v>
      </c>
      <c r="L248" s="10">
        <v>192</v>
      </c>
      <c r="M248" s="10">
        <v>1</v>
      </c>
      <c r="N248" s="10">
        <v>80</v>
      </c>
      <c r="O248" s="10">
        <v>80</v>
      </c>
    </row>
    <row r="249" spans="1:15" x14ac:dyDescent="0.2">
      <c r="A249" s="10" t="s">
        <v>309</v>
      </c>
      <c r="B249" s="10" t="s">
        <v>146</v>
      </c>
      <c r="C249" s="10" t="s">
        <v>105</v>
      </c>
      <c r="D249" s="10" t="s">
        <v>45</v>
      </c>
      <c r="E249" s="10" t="s">
        <v>46</v>
      </c>
      <c r="F249" s="10" t="s">
        <v>53</v>
      </c>
      <c r="G249" s="10" t="b">
        <f>FALSE()</f>
        <v>0</v>
      </c>
      <c r="H249" s="10">
        <v>1</v>
      </c>
      <c r="I249" s="10">
        <v>0</v>
      </c>
      <c r="J249" s="10">
        <v>1</v>
      </c>
      <c r="K249" s="10">
        <v>147</v>
      </c>
      <c r="L249" s="10">
        <v>192</v>
      </c>
      <c r="M249" s="10">
        <v>0</v>
      </c>
      <c r="N249" s="10">
        <v>0</v>
      </c>
      <c r="O249" s="10">
        <v>0</v>
      </c>
    </row>
    <row r="250" spans="1:15" x14ac:dyDescent="0.2">
      <c r="A250" s="10" t="s">
        <v>310</v>
      </c>
      <c r="B250" s="10" t="s">
        <v>116</v>
      </c>
      <c r="C250" s="10" t="s">
        <v>117</v>
      </c>
      <c r="D250" s="10" t="s">
        <v>51</v>
      </c>
      <c r="E250" s="10" t="s">
        <v>52</v>
      </c>
      <c r="F250" s="10" t="s">
        <v>74</v>
      </c>
      <c r="G250" s="10" t="b">
        <f>FALSE()</f>
        <v>0</v>
      </c>
      <c r="H250" s="10">
        <v>1</v>
      </c>
      <c r="I250" s="10">
        <v>0</v>
      </c>
      <c r="J250" s="10">
        <v>2</v>
      </c>
      <c r="K250" s="10">
        <v>179</v>
      </c>
      <c r="L250" s="10">
        <v>191</v>
      </c>
      <c r="M250" s="10">
        <v>0</v>
      </c>
      <c r="N250" s="10">
        <v>0</v>
      </c>
      <c r="O250" s="10">
        <v>0</v>
      </c>
    </row>
    <row r="251" spans="1:15" x14ac:dyDescent="0.2">
      <c r="A251" s="10" t="s">
        <v>311</v>
      </c>
      <c r="B251" s="10" t="s">
        <v>312</v>
      </c>
      <c r="C251" s="10" t="s">
        <v>50</v>
      </c>
      <c r="D251" s="10" t="s">
        <v>51</v>
      </c>
      <c r="E251" s="10" t="s">
        <v>52</v>
      </c>
      <c r="F251" s="10" t="s">
        <v>61</v>
      </c>
      <c r="G251" s="10" t="b">
        <f>FALSE()</f>
        <v>0</v>
      </c>
      <c r="H251" s="10">
        <v>1</v>
      </c>
      <c r="I251" s="10">
        <v>1</v>
      </c>
      <c r="J251" s="10">
        <v>3</v>
      </c>
      <c r="K251" s="10">
        <v>197</v>
      </c>
      <c r="L251" s="10">
        <v>190</v>
      </c>
      <c r="M251" s="10">
        <v>1</v>
      </c>
      <c r="N251" s="10">
        <v>180</v>
      </c>
      <c r="O251" s="10">
        <v>179</v>
      </c>
    </row>
    <row r="252" spans="1:15" x14ac:dyDescent="0.2">
      <c r="A252" s="10" t="s">
        <v>311</v>
      </c>
      <c r="B252" s="10" t="s">
        <v>312</v>
      </c>
      <c r="C252" s="10" t="s">
        <v>50</v>
      </c>
      <c r="D252" s="10" t="s">
        <v>51</v>
      </c>
      <c r="E252" s="10" t="s">
        <v>52</v>
      </c>
      <c r="F252" s="10" t="s">
        <v>58</v>
      </c>
      <c r="G252" s="10" t="b">
        <f>FALSE()</f>
        <v>0</v>
      </c>
      <c r="H252" s="10">
        <v>1</v>
      </c>
      <c r="I252" s="10">
        <v>1</v>
      </c>
      <c r="J252" s="10">
        <v>3</v>
      </c>
      <c r="K252" s="10">
        <v>238</v>
      </c>
      <c r="L252" s="10">
        <v>190</v>
      </c>
      <c r="M252" s="10">
        <v>1</v>
      </c>
      <c r="N252" s="10">
        <v>92</v>
      </c>
      <c r="O252" s="10">
        <v>92</v>
      </c>
    </row>
    <row r="253" spans="1:15" x14ac:dyDescent="0.2">
      <c r="A253" s="10" t="s">
        <v>264</v>
      </c>
      <c r="B253" s="10" t="s">
        <v>265</v>
      </c>
      <c r="C253" s="10" t="s">
        <v>245</v>
      </c>
      <c r="D253" s="10" t="s">
        <v>51</v>
      </c>
      <c r="E253" s="10" t="s">
        <v>52</v>
      </c>
      <c r="F253" s="10" t="s">
        <v>47</v>
      </c>
      <c r="G253" s="10" t="b">
        <f>FALSE()</f>
        <v>0</v>
      </c>
      <c r="H253" s="10">
        <v>1</v>
      </c>
      <c r="I253" s="10">
        <v>0</v>
      </c>
      <c r="J253" s="10">
        <v>3</v>
      </c>
      <c r="K253" s="10">
        <v>35</v>
      </c>
      <c r="L253" s="10">
        <v>189</v>
      </c>
      <c r="M253" s="10">
        <v>0</v>
      </c>
      <c r="N253" s="10">
        <v>0</v>
      </c>
      <c r="O253" s="10">
        <v>0</v>
      </c>
    </row>
    <row r="254" spans="1:15" x14ac:dyDescent="0.2">
      <c r="A254" s="10" t="s">
        <v>278</v>
      </c>
      <c r="B254" s="10" t="s">
        <v>43</v>
      </c>
      <c r="C254" s="10" t="s">
        <v>44</v>
      </c>
      <c r="D254" s="10" t="s">
        <v>45</v>
      </c>
      <c r="E254" s="10" t="s">
        <v>46</v>
      </c>
      <c r="F254" s="10" t="s">
        <v>75</v>
      </c>
      <c r="G254" s="10" t="b">
        <f>FALSE()</f>
        <v>0</v>
      </c>
      <c r="H254" s="10">
        <v>1</v>
      </c>
      <c r="I254" s="10">
        <v>1</v>
      </c>
      <c r="J254" s="10">
        <v>1</v>
      </c>
      <c r="K254" s="10">
        <v>220</v>
      </c>
      <c r="L254" s="10">
        <v>188</v>
      </c>
      <c r="M254" s="10">
        <v>1</v>
      </c>
      <c r="N254" s="10">
        <v>151</v>
      </c>
      <c r="O254" s="10">
        <v>151</v>
      </c>
    </row>
    <row r="255" spans="1:15" x14ac:dyDescent="0.2">
      <c r="A255" s="10" t="s">
        <v>131</v>
      </c>
      <c r="B255" s="10" t="s">
        <v>70</v>
      </c>
      <c r="C255" s="10" t="s">
        <v>70</v>
      </c>
      <c r="D255" s="10" t="s">
        <v>45</v>
      </c>
      <c r="E255" s="10" t="s">
        <v>46</v>
      </c>
      <c r="F255" s="10" t="s">
        <v>291</v>
      </c>
      <c r="G255" s="10" t="b">
        <f>FALSE()</f>
        <v>0</v>
      </c>
      <c r="H255" s="10">
        <v>1</v>
      </c>
      <c r="I255" s="10">
        <v>1</v>
      </c>
      <c r="J255" s="10">
        <v>2</v>
      </c>
      <c r="K255" s="10">
        <v>124</v>
      </c>
      <c r="L255" s="10">
        <v>188</v>
      </c>
      <c r="M255" s="10">
        <v>1</v>
      </c>
      <c r="N255" s="10">
        <v>66</v>
      </c>
      <c r="O255" s="10">
        <v>65</v>
      </c>
    </row>
    <row r="256" spans="1:15" x14ac:dyDescent="0.2">
      <c r="A256" s="10" t="s">
        <v>313</v>
      </c>
      <c r="B256" s="10" t="s">
        <v>96</v>
      </c>
      <c r="C256" s="10" t="s">
        <v>50</v>
      </c>
      <c r="D256" s="10" t="s">
        <v>51</v>
      </c>
      <c r="E256" s="10" t="s">
        <v>52</v>
      </c>
      <c r="F256" s="10" t="s">
        <v>94</v>
      </c>
      <c r="G256" s="10" t="b">
        <f>FALSE()</f>
        <v>0</v>
      </c>
      <c r="H256" s="10">
        <v>1</v>
      </c>
      <c r="I256" s="10">
        <v>0</v>
      </c>
      <c r="J256" s="10">
        <v>5</v>
      </c>
      <c r="K256" s="10">
        <v>205</v>
      </c>
      <c r="L256" s="10">
        <v>188</v>
      </c>
      <c r="M256" s="10">
        <v>0</v>
      </c>
      <c r="N256" s="10">
        <v>0</v>
      </c>
      <c r="O256" s="10">
        <v>0</v>
      </c>
    </row>
    <row r="257" spans="1:15" x14ac:dyDescent="0.2">
      <c r="A257" s="10" t="s">
        <v>314</v>
      </c>
      <c r="B257" s="10" t="s">
        <v>72</v>
      </c>
      <c r="C257" s="10" t="s">
        <v>73</v>
      </c>
      <c r="D257" s="10" t="s">
        <v>45</v>
      </c>
      <c r="E257" s="10" t="s">
        <v>46</v>
      </c>
      <c r="F257" s="10" t="s">
        <v>123</v>
      </c>
      <c r="G257" s="10" t="b">
        <f>FALSE()</f>
        <v>0</v>
      </c>
      <c r="H257" s="10">
        <v>1</v>
      </c>
      <c r="I257" s="10">
        <v>0</v>
      </c>
      <c r="J257" s="10">
        <v>3</v>
      </c>
      <c r="K257" s="10">
        <v>224</v>
      </c>
      <c r="L257" s="10">
        <v>188</v>
      </c>
      <c r="M257" s="10">
        <v>0</v>
      </c>
      <c r="N257" s="10">
        <v>0</v>
      </c>
      <c r="O257" s="10">
        <v>0</v>
      </c>
    </row>
    <row r="258" spans="1:15" x14ac:dyDescent="0.2">
      <c r="A258" s="10" t="s">
        <v>191</v>
      </c>
      <c r="B258" s="10" t="s">
        <v>128</v>
      </c>
      <c r="C258" s="10" t="s">
        <v>50</v>
      </c>
      <c r="D258" s="10" t="s">
        <v>51</v>
      </c>
      <c r="E258" s="10" t="s">
        <v>52</v>
      </c>
      <c r="F258" s="10" t="s">
        <v>91</v>
      </c>
      <c r="G258" s="10" t="b">
        <f>TRUE()</f>
        <v>1</v>
      </c>
      <c r="H258" s="10">
        <v>1</v>
      </c>
      <c r="I258" s="10">
        <v>0</v>
      </c>
      <c r="J258" s="10">
        <v>2</v>
      </c>
      <c r="K258" s="10">
        <v>187</v>
      </c>
      <c r="L258" s="10">
        <v>187</v>
      </c>
      <c r="M258" s="10">
        <v>0</v>
      </c>
      <c r="N258" s="10">
        <v>0</v>
      </c>
      <c r="O258" s="10">
        <v>0</v>
      </c>
    </row>
    <row r="259" spans="1:15" x14ac:dyDescent="0.2">
      <c r="A259" s="10" t="s">
        <v>315</v>
      </c>
      <c r="B259" s="10" t="s">
        <v>55</v>
      </c>
      <c r="C259" s="10" t="s">
        <v>56</v>
      </c>
      <c r="D259" s="10" t="s">
        <v>45</v>
      </c>
      <c r="E259" s="10" t="s">
        <v>46</v>
      </c>
      <c r="F259" s="10" t="s">
        <v>183</v>
      </c>
      <c r="G259" s="10" t="b">
        <f>FALSE()</f>
        <v>0</v>
      </c>
      <c r="H259" s="10">
        <v>1</v>
      </c>
      <c r="I259" s="10">
        <v>0</v>
      </c>
      <c r="J259" s="10">
        <v>1</v>
      </c>
      <c r="K259" s="10">
        <v>206</v>
      </c>
      <c r="L259" s="10">
        <v>186</v>
      </c>
      <c r="M259" s="10">
        <v>0</v>
      </c>
      <c r="N259" s="10">
        <v>0</v>
      </c>
      <c r="O259" s="10">
        <v>0</v>
      </c>
    </row>
    <row r="260" spans="1:15" x14ac:dyDescent="0.2">
      <c r="A260" s="10" t="s">
        <v>191</v>
      </c>
      <c r="B260" s="10" t="s">
        <v>128</v>
      </c>
      <c r="C260" s="10" t="s">
        <v>50</v>
      </c>
      <c r="D260" s="10" t="s">
        <v>51</v>
      </c>
      <c r="E260" s="10" t="s">
        <v>52</v>
      </c>
      <c r="F260" s="10" t="s">
        <v>113</v>
      </c>
      <c r="G260" s="10" t="b">
        <f>TRUE()</f>
        <v>1</v>
      </c>
      <c r="H260" s="10">
        <v>1</v>
      </c>
      <c r="I260" s="10">
        <v>0</v>
      </c>
      <c r="J260" s="10">
        <v>2</v>
      </c>
      <c r="K260" s="10">
        <v>228</v>
      </c>
      <c r="L260" s="10">
        <v>186</v>
      </c>
      <c r="M260" s="10">
        <v>0</v>
      </c>
      <c r="N260" s="10">
        <v>0</v>
      </c>
      <c r="O260" s="10">
        <v>0</v>
      </c>
    </row>
    <row r="261" spans="1:15" x14ac:dyDescent="0.2">
      <c r="A261" s="10" t="s">
        <v>316</v>
      </c>
      <c r="B261" s="10" t="s">
        <v>317</v>
      </c>
      <c r="C261" s="10" t="s">
        <v>90</v>
      </c>
      <c r="D261" s="10" t="s">
        <v>51</v>
      </c>
      <c r="E261" s="10" t="s">
        <v>52</v>
      </c>
      <c r="F261" s="10" t="s">
        <v>318</v>
      </c>
      <c r="G261" s="10" t="b">
        <f>FALSE()</f>
        <v>0</v>
      </c>
      <c r="H261" s="10">
        <v>1</v>
      </c>
      <c r="I261" s="10">
        <v>0</v>
      </c>
      <c r="J261" s="10">
        <v>6</v>
      </c>
      <c r="K261" s="10">
        <v>195</v>
      </c>
      <c r="L261" s="10">
        <v>185</v>
      </c>
      <c r="M261" s="10">
        <v>0</v>
      </c>
      <c r="N261" s="10">
        <v>0</v>
      </c>
      <c r="O261" s="10">
        <v>0</v>
      </c>
    </row>
    <row r="262" spans="1:15" x14ac:dyDescent="0.2">
      <c r="A262" s="10" t="s">
        <v>319</v>
      </c>
      <c r="B262" s="10" t="s">
        <v>43</v>
      </c>
      <c r="C262" s="10" t="s">
        <v>44</v>
      </c>
      <c r="D262" s="10" t="s">
        <v>45</v>
      </c>
      <c r="E262" s="10" t="s">
        <v>46</v>
      </c>
      <c r="F262" s="10" t="s">
        <v>79</v>
      </c>
      <c r="G262" s="10" t="b">
        <f>FALSE()</f>
        <v>0</v>
      </c>
      <c r="H262" s="10">
        <v>1</v>
      </c>
      <c r="I262" s="10">
        <v>0</v>
      </c>
      <c r="J262" s="10">
        <v>1</v>
      </c>
      <c r="K262" s="10">
        <v>154</v>
      </c>
      <c r="L262" s="10">
        <v>185</v>
      </c>
      <c r="M262" s="10">
        <v>0</v>
      </c>
      <c r="N262" s="10">
        <v>0</v>
      </c>
      <c r="O262" s="10">
        <v>0</v>
      </c>
    </row>
    <row r="263" spans="1:15" x14ac:dyDescent="0.2">
      <c r="A263" s="10" t="s">
        <v>253</v>
      </c>
      <c r="B263" s="10" t="s">
        <v>70</v>
      </c>
      <c r="C263" s="10" t="s">
        <v>70</v>
      </c>
      <c r="D263" s="10" t="s">
        <v>45</v>
      </c>
      <c r="E263" s="10" t="s">
        <v>46</v>
      </c>
      <c r="F263" s="10" t="s">
        <v>47</v>
      </c>
      <c r="G263" s="10" t="b">
        <f>FALSE()</f>
        <v>0</v>
      </c>
      <c r="H263" s="10">
        <v>1</v>
      </c>
      <c r="I263" s="10">
        <v>0</v>
      </c>
      <c r="J263" s="10">
        <v>1</v>
      </c>
      <c r="K263" s="10">
        <v>249</v>
      </c>
      <c r="L263" s="10">
        <v>184</v>
      </c>
      <c r="M263" s="10">
        <v>0</v>
      </c>
      <c r="N263" s="10">
        <v>0</v>
      </c>
      <c r="O263" s="10">
        <v>0</v>
      </c>
    </row>
    <row r="264" spans="1:15" x14ac:dyDescent="0.2">
      <c r="A264" s="10" t="s">
        <v>176</v>
      </c>
      <c r="B264" s="10" t="s">
        <v>104</v>
      </c>
      <c r="C264" s="10" t="s">
        <v>105</v>
      </c>
      <c r="D264" s="10" t="s">
        <v>45</v>
      </c>
      <c r="E264" s="10" t="s">
        <v>46</v>
      </c>
      <c r="F264" s="10" t="s">
        <v>58</v>
      </c>
      <c r="G264" s="10" t="b">
        <f>FALSE()</f>
        <v>0</v>
      </c>
      <c r="H264" s="10">
        <v>1</v>
      </c>
      <c r="I264" s="10">
        <v>1</v>
      </c>
      <c r="J264" s="10">
        <v>2</v>
      </c>
      <c r="K264" s="10">
        <v>201</v>
      </c>
      <c r="L264" s="10">
        <v>183</v>
      </c>
      <c r="M264" s="10">
        <v>1</v>
      </c>
      <c r="N264" s="10">
        <v>174</v>
      </c>
      <c r="O264" s="10">
        <v>172</v>
      </c>
    </row>
    <row r="265" spans="1:15" x14ac:dyDescent="0.2">
      <c r="A265" s="10" t="s">
        <v>320</v>
      </c>
      <c r="B265" s="10" t="s">
        <v>321</v>
      </c>
      <c r="C265" s="10" t="s">
        <v>245</v>
      </c>
      <c r="D265" s="10" t="s">
        <v>51</v>
      </c>
      <c r="E265" s="10" t="s">
        <v>52</v>
      </c>
      <c r="F265" s="10" t="s">
        <v>207</v>
      </c>
      <c r="G265" s="10" t="b">
        <f>FALSE()</f>
        <v>0</v>
      </c>
      <c r="H265" s="10">
        <v>1</v>
      </c>
      <c r="I265" s="10">
        <v>0</v>
      </c>
      <c r="J265" s="10">
        <v>2</v>
      </c>
      <c r="K265" s="10">
        <v>647</v>
      </c>
      <c r="L265" s="10">
        <v>183</v>
      </c>
      <c r="M265" s="10">
        <v>0</v>
      </c>
      <c r="N265" s="10">
        <v>0</v>
      </c>
      <c r="O265" s="10">
        <v>0</v>
      </c>
    </row>
    <row r="266" spans="1:15" x14ac:dyDescent="0.2">
      <c r="A266" s="10" t="s">
        <v>322</v>
      </c>
      <c r="B266" s="10" t="s">
        <v>146</v>
      </c>
      <c r="C266" s="10" t="s">
        <v>105</v>
      </c>
      <c r="D266" s="10" t="s">
        <v>45</v>
      </c>
      <c r="E266" s="10" t="s">
        <v>46</v>
      </c>
      <c r="F266" s="10" t="s">
        <v>91</v>
      </c>
      <c r="G266" s="10" t="b">
        <f>TRUE()</f>
        <v>1</v>
      </c>
      <c r="H266" s="10">
        <v>1</v>
      </c>
      <c r="I266" s="10">
        <v>0</v>
      </c>
      <c r="J266" s="10">
        <v>2</v>
      </c>
      <c r="K266" s="10">
        <v>219</v>
      </c>
      <c r="L266" s="10">
        <v>182</v>
      </c>
      <c r="M266" s="10">
        <v>0</v>
      </c>
      <c r="N266" s="10">
        <v>0</v>
      </c>
      <c r="O266" s="10">
        <v>0</v>
      </c>
    </row>
    <row r="267" spans="1:15" x14ac:dyDescent="0.2">
      <c r="A267" s="10" t="s">
        <v>323</v>
      </c>
      <c r="B267" s="10" t="s">
        <v>172</v>
      </c>
      <c r="C267" s="10" t="s">
        <v>44</v>
      </c>
      <c r="D267" s="10" t="s">
        <v>45</v>
      </c>
      <c r="E267" s="10" t="s">
        <v>46</v>
      </c>
      <c r="F267" s="10" t="s">
        <v>47</v>
      </c>
      <c r="G267" s="10" t="b">
        <f>FALSE()</f>
        <v>0</v>
      </c>
      <c r="H267" s="10">
        <v>1</v>
      </c>
      <c r="I267" s="10">
        <v>1</v>
      </c>
      <c r="J267" s="10">
        <v>3</v>
      </c>
      <c r="K267" s="10">
        <v>190</v>
      </c>
      <c r="L267" s="10">
        <v>181</v>
      </c>
      <c r="M267" s="10">
        <v>1</v>
      </c>
      <c r="N267" s="10">
        <v>134</v>
      </c>
      <c r="O267" s="10">
        <v>134</v>
      </c>
    </row>
    <row r="268" spans="1:15" x14ac:dyDescent="0.2">
      <c r="A268" s="10" t="s">
        <v>324</v>
      </c>
      <c r="B268" s="10" t="s">
        <v>70</v>
      </c>
      <c r="C268" s="10" t="s">
        <v>70</v>
      </c>
      <c r="D268" s="10" t="s">
        <v>45</v>
      </c>
      <c r="E268" s="10" t="s">
        <v>46</v>
      </c>
      <c r="F268" s="10" t="s">
        <v>91</v>
      </c>
      <c r="G268" s="10" t="b">
        <f>TRUE()</f>
        <v>1</v>
      </c>
      <c r="H268" s="10">
        <v>1</v>
      </c>
      <c r="I268" s="10">
        <v>1</v>
      </c>
      <c r="J268" s="10">
        <v>2</v>
      </c>
      <c r="K268" s="10">
        <v>181</v>
      </c>
      <c r="L268" s="10">
        <v>181</v>
      </c>
      <c r="M268" s="10">
        <v>1</v>
      </c>
      <c r="N268" s="10">
        <v>98</v>
      </c>
      <c r="O268" s="10">
        <v>98</v>
      </c>
    </row>
    <row r="269" spans="1:15" x14ac:dyDescent="0.2">
      <c r="A269" s="10" t="s">
        <v>325</v>
      </c>
      <c r="B269" s="10" t="s">
        <v>89</v>
      </c>
      <c r="C269" s="10" t="s">
        <v>90</v>
      </c>
      <c r="D269" s="10" t="s">
        <v>51</v>
      </c>
      <c r="E269" s="10" t="s">
        <v>52</v>
      </c>
      <c r="F269" s="10" t="s">
        <v>61</v>
      </c>
      <c r="G269" s="10" t="b">
        <f>FALSE()</f>
        <v>0</v>
      </c>
      <c r="H269" s="10">
        <v>1</v>
      </c>
      <c r="I269" s="10">
        <v>1</v>
      </c>
      <c r="J269" s="10">
        <v>2</v>
      </c>
      <c r="K269" s="10">
        <v>180</v>
      </c>
      <c r="L269" s="10">
        <v>180</v>
      </c>
      <c r="M269" s="10">
        <v>1</v>
      </c>
      <c r="N269" s="10">
        <v>489</v>
      </c>
      <c r="O269" s="10">
        <v>469</v>
      </c>
    </row>
    <row r="270" spans="1:15" x14ac:dyDescent="0.2">
      <c r="A270" s="10" t="s">
        <v>326</v>
      </c>
      <c r="B270" s="10" t="s">
        <v>55</v>
      </c>
      <c r="C270" s="10" t="s">
        <v>56</v>
      </c>
      <c r="D270" s="10" t="s">
        <v>45</v>
      </c>
      <c r="E270" s="10" t="s">
        <v>46</v>
      </c>
      <c r="F270" s="10" t="s">
        <v>61</v>
      </c>
      <c r="G270" s="10" t="b">
        <f>FALSE()</f>
        <v>0</v>
      </c>
      <c r="H270" s="10">
        <v>1</v>
      </c>
      <c r="I270" s="10">
        <v>0</v>
      </c>
      <c r="J270" s="10">
        <v>4</v>
      </c>
      <c r="K270" s="10">
        <v>234</v>
      </c>
      <c r="L270" s="10">
        <v>180</v>
      </c>
      <c r="M270" s="10">
        <v>0</v>
      </c>
      <c r="N270" s="10">
        <v>0</v>
      </c>
      <c r="O270" s="10">
        <v>0</v>
      </c>
    </row>
    <row r="271" spans="1:15" x14ac:dyDescent="0.2">
      <c r="A271" s="10" t="s">
        <v>327</v>
      </c>
      <c r="B271" s="10" t="s">
        <v>165</v>
      </c>
      <c r="C271" s="10" t="s">
        <v>112</v>
      </c>
      <c r="D271" s="10" t="s">
        <v>51</v>
      </c>
      <c r="E271" s="10" t="s">
        <v>52</v>
      </c>
      <c r="F271" s="10" t="s">
        <v>190</v>
      </c>
      <c r="G271" s="10" t="b">
        <f>TRUE()</f>
        <v>1</v>
      </c>
      <c r="H271" s="10">
        <v>1</v>
      </c>
      <c r="I271" s="10">
        <v>0</v>
      </c>
      <c r="J271" s="10">
        <v>2</v>
      </c>
      <c r="K271" s="10">
        <v>195</v>
      </c>
      <c r="L271" s="10">
        <v>179</v>
      </c>
      <c r="M271" s="10">
        <v>0</v>
      </c>
      <c r="N271" s="10">
        <v>0</v>
      </c>
      <c r="O271" s="10">
        <v>0</v>
      </c>
    </row>
    <row r="272" spans="1:15" x14ac:dyDescent="0.2">
      <c r="A272" s="10" t="s">
        <v>181</v>
      </c>
      <c r="B272" s="10" t="s">
        <v>119</v>
      </c>
      <c r="C272" s="10" t="s">
        <v>56</v>
      </c>
      <c r="D272" s="10" t="s">
        <v>45</v>
      </c>
      <c r="E272" s="10" t="s">
        <v>46</v>
      </c>
      <c r="F272" s="10" t="s">
        <v>107</v>
      </c>
      <c r="G272" s="10" t="b">
        <f>FALSE()</f>
        <v>0</v>
      </c>
      <c r="H272" s="10">
        <v>1</v>
      </c>
      <c r="I272" s="10">
        <v>0</v>
      </c>
      <c r="J272" s="10">
        <v>3</v>
      </c>
      <c r="K272" s="10">
        <v>179</v>
      </c>
      <c r="L272" s="10">
        <v>179</v>
      </c>
      <c r="M272" s="10">
        <v>0</v>
      </c>
      <c r="N272" s="10">
        <v>0</v>
      </c>
      <c r="O272" s="10">
        <v>0</v>
      </c>
    </row>
    <row r="273" spans="1:15" x14ac:dyDescent="0.2">
      <c r="A273" s="10" t="s">
        <v>309</v>
      </c>
      <c r="B273" s="10" t="s">
        <v>146</v>
      </c>
      <c r="C273" s="10" t="s">
        <v>105</v>
      </c>
      <c r="D273" s="10" t="s">
        <v>45</v>
      </c>
      <c r="E273" s="10" t="s">
        <v>46</v>
      </c>
      <c r="F273" s="10" t="s">
        <v>251</v>
      </c>
      <c r="G273" s="10" t="b">
        <f>FALSE()</f>
        <v>0</v>
      </c>
      <c r="H273" s="10">
        <v>1</v>
      </c>
      <c r="I273" s="10">
        <v>0</v>
      </c>
      <c r="J273" s="10">
        <v>1</v>
      </c>
      <c r="K273" s="10">
        <v>83</v>
      </c>
      <c r="L273" s="10">
        <v>179</v>
      </c>
      <c r="M273" s="10">
        <v>0</v>
      </c>
      <c r="N273" s="10">
        <v>0</v>
      </c>
      <c r="O273" s="10">
        <v>0</v>
      </c>
    </row>
    <row r="274" spans="1:15" x14ac:dyDescent="0.2">
      <c r="A274" s="10" t="s">
        <v>328</v>
      </c>
      <c r="B274" s="10" t="s">
        <v>119</v>
      </c>
      <c r="C274" s="10" t="s">
        <v>56</v>
      </c>
      <c r="D274" s="10" t="s">
        <v>45</v>
      </c>
      <c r="E274" s="10" t="s">
        <v>46</v>
      </c>
      <c r="F274" s="10" t="s">
        <v>94</v>
      </c>
      <c r="G274" s="10" t="b">
        <f>FALSE()</f>
        <v>0</v>
      </c>
      <c r="H274" s="10">
        <v>1</v>
      </c>
      <c r="I274" s="10">
        <v>0</v>
      </c>
      <c r="J274" s="10">
        <v>5</v>
      </c>
      <c r="K274" s="10">
        <v>241</v>
      </c>
      <c r="L274" s="10">
        <v>179</v>
      </c>
      <c r="M274" s="10">
        <v>0</v>
      </c>
      <c r="N274" s="10">
        <v>0</v>
      </c>
      <c r="O274" s="10">
        <v>0</v>
      </c>
    </row>
    <row r="275" spans="1:15" x14ac:dyDescent="0.2">
      <c r="A275" s="10" t="s">
        <v>329</v>
      </c>
      <c r="B275" s="10" t="s">
        <v>70</v>
      </c>
      <c r="C275" s="10" t="s">
        <v>70</v>
      </c>
      <c r="D275" s="10" t="s">
        <v>45</v>
      </c>
      <c r="E275" s="10" t="s">
        <v>46</v>
      </c>
      <c r="F275" s="10" t="s">
        <v>92</v>
      </c>
      <c r="G275" s="10" t="b">
        <f>FALSE()</f>
        <v>0</v>
      </c>
      <c r="H275" s="10">
        <v>1</v>
      </c>
      <c r="I275" s="10">
        <v>1</v>
      </c>
      <c r="J275" s="10">
        <v>2</v>
      </c>
      <c r="K275" s="10">
        <v>201</v>
      </c>
      <c r="L275" s="10">
        <v>178</v>
      </c>
      <c r="M275" s="10">
        <v>1</v>
      </c>
      <c r="N275" s="10">
        <v>52</v>
      </c>
      <c r="O275" s="10">
        <v>52</v>
      </c>
    </row>
    <row r="276" spans="1:15" x14ac:dyDescent="0.2">
      <c r="A276" s="10" t="s">
        <v>330</v>
      </c>
      <c r="B276" s="10" t="s">
        <v>70</v>
      </c>
      <c r="C276" s="10" t="s">
        <v>70</v>
      </c>
      <c r="D276" s="10" t="s">
        <v>45</v>
      </c>
      <c r="E276" s="10" t="s">
        <v>46</v>
      </c>
      <c r="F276" s="10" t="s">
        <v>85</v>
      </c>
      <c r="G276" s="10" t="b">
        <f>FALSE()</f>
        <v>0</v>
      </c>
      <c r="H276" s="10">
        <v>1</v>
      </c>
      <c r="I276" s="10">
        <v>0</v>
      </c>
      <c r="J276" s="10">
        <v>1</v>
      </c>
      <c r="K276" s="10">
        <v>199</v>
      </c>
      <c r="L276" s="10">
        <v>178</v>
      </c>
      <c r="M276" s="10">
        <v>0</v>
      </c>
      <c r="N276" s="10">
        <v>0</v>
      </c>
      <c r="O276" s="10">
        <v>0</v>
      </c>
    </row>
    <row r="277" spans="1:15" x14ac:dyDescent="0.2">
      <c r="A277" s="10" t="s">
        <v>182</v>
      </c>
      <c r="B277" s="10" t="s">
        <v>104</v>
      </c>
      <c r="C277" s="10" t="s">
        <v>105</v>
      </c>
      <c r="D277" s="10" t="s">
        <v>45</v>
      </c>
      <c r="E277" s="10" t="s">
        <v>46</v>
      </c>
      <c r="F277" s="10" t="s">
        <v>331</v>
      </c>
      <c r="G277" s="10" t="b">
        <f>FALSE()</f>
        <v>0</v>
      </c>
      <c r="H277" s="10">
        <v>1</v>
      </c>
      <c r="I277" s="10">
        <v>0</v>
      </c>
      <c r="J277" s="10">
        <v>1</v>
      </c>
      <c r="K277" s="10">
        <v>162</v>
      </c>
      <c r="L277" s="10">
        <v>177</v>
      </c>
      <c r="M277" s="10">
        <v>0</v>
      </c>
      <c r="N277" s="10">
        <v>0</v>
      </c>
      <c r="O277" s="10">
        <v>0</v>
      </c>
    </row>
    <row r="278" spans="1:15" x14ac:dyDescent="0.2">
      <c r="A278" s="10" t="s">
        <v>332</v>
      </c>
      <c r="B278" s="10" t="s">
        <v>333</v>
      </c>
      <c r="C278" s="10" t="s">
        <v>50</v>
      </c>
      <c r="D278" s="10" t="s">
        <v>51</v>
      </c>
      <c r="E278" s="10" t="s">
        <v>52</v>
      </c>
      <c r="F278" s="10" t="s">
        <v>113</v>
      </c>
      <c r="G278" s="10" t="b">
        <f>TRUE()</f>
        <v>1</v>
      </c>
      <c r="H278" s="10">
        <v>1</v>
      </c>
      <c r="I278" s="10">
        <v>1</v>
      </c>
      <c r="J278" s="10">
        <v>5</v>
      </c>
      <c r="K278" s="10">
        <v>181</v>
      </c>
      <c r="L278" s="10">
        <v>176</v>
      </c>
      <c r="M278" s="10">
        <v>1</v>
      </c>
      <c r="N278" s="10">
        <v>199</v>
      </c>
      <c r="O278" s="10">
        <v>198</v>
      </c>
    </row>
    <row r="279" spans="1:15" x14ac:dyDescent="0.2">
      <c r="A279" s="10" t="s">
        <v>334</v>
      </c>
      <c r="B279" s="10" t="s">
        <v>335</v>
      </c>
      <c r="C279" s="10" t="s">
        <v>50</v>
      </c>
      <c r="D279" s="10" t="s">
        <v>51</v>
      </c>
      <c r="E279" s="10" t="s">
        <v>52</v>
      </c>
      <c r="F279" s="10" t="s">
        <v>100</v>
      </c>
      <c r="G279" s="10" t="b">
        <f>FALSE()</f>
        <v>0</v>
      </c>
      <c r="H279" s="10">
        <v>1</v>
      </c>
      <c r="I279" s="10">
        <v>0</v>
      </c>
      <c r="J279" s="10">
        <v>3</v>
      </c>
      <c r="K279" s="10">
        <v>205</v>
      </c>
      <c r="L279" s="10">
        <v>176</v>
      </c>
      <c r="M279" s="10">
        <v>0</v>
      </c>
      <c r="N279" s="10">
        <v>0</v>
      </c>
      <c r="O279" s="10">
        <v>0</v>
      </c>
    </row>
    <row r="280" spans="1:15" x14ac:dyDescent="0.2">
      <c r="A280" s="10" t="s">
        <v>336</v>
      </c>
      <c r="B280" s="10" t="s">
        <v>218</v>
      </c>
      <c r="C280" s="10" t="s">
        <v>73</v>
      </c>
      <c r="D280" s="10" t="s">
        <v>45</v>
      </c>
      <c r="E280" s="10" t="s">
        <v>46</v>
      </c>
      <c r="F280" s="10" t="s">
        <v>190</v>
      </c>
      <c r="G280" s="10" t="b">
        <f>TRUE()</f>
        <v>1</v>
      </c>
      <c r="H280" s="10">
        <v>1</v>
      </c>
      <c r="I280" s="10">
        <v>0</v>
      </c>
      <c r="J280" s="10">
        <v>2</v>
      </c>
      <c r="K280" s="10">
        <v>136</v>
      </c>
      <c r="L280" s="10">
        <v>176</v>
      </c>
      <c r="M280" s="10">
        <v>0</v>
      </c>
      <c r="N280" s="10">
        <v>0</v>
      </c>
      <c r="O280" s="10">
        <v>0</v>
      </c>
    </row>
    <row r="281" spans="1:15" x14ac:dyDescent="0.2">
      <c r="A281" s="10" t="s">
        <v>191</v>
      </c>
      <c r="B281" s="10" t="s">
        <v>128</v>
      </c>
      <c r="C281" s="10" t="s">
        <v>50</v>
      </c>
      <c r="D281" s="10" t="s">
        <v>51</v>
      </c>
      <c r="E281" s="10" t="s">
        <v>52</v>
      </c>
      <c r="F281" s="10" t="s">
        <v>190</v>
      </c>
      <c r="G281" s="10" t="b">
        <f>TRUE()</f>
        <v>1</v>
      </c>
      <c r="H281" s="10">
        <v>1</v>
      </c>
      <c r="I281" s="10">
        <v>0</v>
      </c>
      <c r="J281" s="10">
        <v>2</v>
      </c>
      <c r="K281" s="10">
        <v>203</v>
      </c>
      <c r="L281" s="10">
        <v>175</v>
      </c>
      <c r="M281" s="10">
        <v>0</v>
      </c>
      <c r="N281" s="10">
        <v>0</v>
      </c>
      <c r="O281" s="10">
        <v>0</v>
      </c>
    </row>
    <row r="282" spans="1:15" x14ac:dyDescent="0.2">
      <c r="A282" s="10" t="s">
        <v>337</v>
      </c>
      <c r="B282" s="10" t="s">
        <v>70</v>
      </c>
      <c r="C282" s="10" t="s">
        <v>70</v>
      </c>
      <c r="D282" s="10" t="s">
        <v>45</v>
      </c>
      <c r="E282" s="10" t="s">
        <v>46</v>
      </c>
      <c r="F282" s="10" t="s">
        <v>190</v>
      </c>
      <c r="G282" s="10" t="b">
        <f>TRUE()</f>
        <v>1</v>
      </c>
      <c r="H282" s="10">
        <v>1</v>
      </c>
      <c r="I282" s="10">
        <v>0</v>
      </c>
      <c r="J282" s="10">
        <v>3</v>
      </c>
      <c r="K282" s="10">
        <v>103</v>
      </c>
      <c r="L282" s="10">
        <v>174</v>
      </c>
      <c r="M282" s="10">
        <v>0</v>
      </c>
      <c r="N282" s="10">
        <v>0</v>
      </c>
      <c r="O282" s="10">
        <v>0</v>
      </c>
    </row>
    <row r="283" spans="1:15" x14ac:dyDescent="0.2">
      <c r="A283" s="10" t="s">
        <v>338</v>
      </c>
      <c r="B283" s="10" t="s">
        <v>339</v>
      </c>
      <c r="C283" s="10" t="s">
        <v>117</v>
      </c>
      <c r="D283" s="10" t="s">
        <v>51</v>
      </c>
      <c r="E283" s="10" t="s">
        <v>52</v>
      </c>
      <c r="F283" s="10" t="s">
        <v>79</v>
      </c>
      <c r="G283" s="10" t="b">
        <f>FALSE()</f>
        <v>0</v>
      </c>
      <c r="H283" s="10">
        <v>1</v>
      </c>
      <c r="I283" s="10">
        <v>0</v>
      </c>
      <c r="J283" s="10">
        <v>1</v>
      </c>
      <c r="K283" s="10">
        <v>146</v>
      </c>
      <c r="L283" s="10">
        <v>174</v>
      </c>
      <c r="M283" s="10">
        <v>0</v>
      </c>
      <c r="N283" s="10">
        <v>0</v>
      </c>
      <c r="O283" s="10">
        <v>0</v>
      </c>
    </row>
    <row r="284" spans="1:15" x14ac:dyDescent="0.2">
      <c r="A284" s="10" t="s">
        <v>340</v>
      </c>
      <c r="B284" s="10" t="s">
        <v>196</v>
      </c>
      <c r="C284" s="10" t="s">
        <v>117</v>
      </c>
      <c r="D284" s="10" t="s">
        <v>51</v>
      </c>
      <c r="E284" s="10" t="s">
        <v>52</v>
      </c>
      <c r="F284" s="10" t="s">
        <v>251</v>
      </c>
      <c r="G284" s="10" t="b">
        <f>FALSE()</f>
        <v>0</v>
      </c>
      <c r="H284" s="10">
        <v>1</v>
      </c>
      <c r="I284" s="10">
        <v>0</v>
      </c>
      <c r="J284" s="10">
        <v>2</v>
      </c>
      <c r="K284" s="10">
        <v>209</v>
      </c>
      <c r="L284" s="10">
        <v>173</v>
      </c>
      <c r="M284" s="10">
        <v>0</v>
      </c>
      <c r="N284" s="10">
        <v>0</v>
      </c>
      <c r="O284" s="10">
        <v>0</v>
      </c>
    </row>
    <row r="285" spans="1:15" x14ac:dyDescent="0.2">
      <c r="A285" s="10" t="s">
        <v>341</v>
      </c>
      <c r="B285" s="10" t="s">
        <v>146</v>
      </c>
      <c r="C285" s="10" t="s">
        <v>105</v>
      </c>
      <c r="D285" s="10" t="s">
        <v>45</v>
      </c>
      <c r="E285" s="10" t="s">
        <v>46</v>
      </c>
      <c r="F285" s="10" t="s">
        <v>183</v>
      </c>
      <c r="G285" s="10" t="b">
        <f>FALSE()</f>
        <v>0</v>
      </c>
      <c r="H285" s="10">
        <v>1</v>
      </c>
      <c r="I285" s="10">
        <v>0</v>
      </c>
      <c r="J285" s="10">
        <v>2</v>
      </c>
      <c r="K285" s="10">
        <v>223</v>
      </c>
      <c r="L285" s="10">
        <v>173</v>
      </c>
      <c r="M285" s="10">
        <v>0</v>
      </c>
      <c r="N285" s="10">
        <v>0</v>
      </c>
      <c r="O285" s="10">
        <v>0</v>
      </c>
    </row>
    <row r="286" spans="1:15" x14ac:dyDescent="0.2">
      <c r="A286" s="10" t="s">
        <v>342</v>
      </c>
      <c r="B286" s="10" t="s">
        <v>70</v>
      </c>
      <c r="C286" s="10" t="s">
        <v>70</v>
      </c>
      <c r="D286" s="10" t="s">
        <v>45</v>
      </c>
      <c r="E286" s="10" t="s">
        <v>46</v>
      </c>
      <c r="F286" s="10" t="s">
        <v>61</v>
      </c>
      <c r="G286" s="10" t="b">
        <f>FALSE()</f>
        <v>0</v>
      </c>
      <c r="H286" s="10">
        <v>1</v>
      </c>
      <c r="I286" s="10">
        <v>0</v>
      </c>
      <c r="J286" s="10">
        <v>1</v>
      </c>
      <c r="K286" s="10">
        <v>188</v>
      </c>
      <c r="L286" s="10">
        <v>173</v>
      </c>
      <c r="M286" s="10">
        <v>0</v>
      </c>
      <c r="N286" s="10">
        <v>0</v>
      </c>
      <c r="O286" s="10">
        <v>0</v>
      </c>
    </row>
    <row r="287" spans="1:15" x14ac:dyDescent="0.2">
      <c r="A287" s="10" t="s">
        <v>269</v>
      </c>
      <c r="B287" s="10" t="s">
        <v>172</v>
      </c>
      <c r="C287" s="10" t="s">
        <v>44</v>
      </c>
      <c r="D287" s="10" t="s">
        <v>45</v>
      </c>
      <c r="E287" s="10" t="s">
        <v>46</v>
      </c>
      <c r="F287" s="10" t="s">
        <v>92</v>
      </c>
      <c r="G287" s="10" t="b">
        <f>FALSE()</f>
        <v>0</v>
      </c>
      <c r="H287" s="10">
        <v>1</v>
      </c>
      <c r="I287" s="10">
        <v>0</v>
      </c>
      <c r="J287" s="10">
        <v>2</v>
      </c>
      <c r="K287" s="10">
        <v>177</v>
      </c>
      <c r="L287" s="10">
        <v>173</v>
      </c>
      <c r="M287" s="10">
        <v>0</v>
      </c>
      <c r="N287" s="10">
        <v>0</v>
      </c>
      <c r="O287" s="10">
        <v>0</v>
      </c>
    </row>
    <row r="288" spans="1:15" x14ac:dyDescent="0.2">
      <c r="A288" s="10" t="s">
        <v>340</v>
      </c>
      <c r="B288" s="10" t="s">
        <v>196</v>
      </c>
      <c r="C288" s="10" t="s">
        <v>117</v>
      </c>
      <c r="D288" s="10" t="s">
        <v>51</v>
      </c>
      <c r="E288" s="10" t="s">
        <v>52</v>
      </c>
      <c r="F288" s="10" t="s">
        <v>153</v>
      </c>
      <c r="G288" s="10" t="b">
        <f>FALSE()</f>
        <v>0</v>
      </c>
      <c r="H288" s="10">
        <v>1</v>
      </c>
      <c r="I288" s="10">
        <v>0</v>
      </c>
      <c r="J288" s="10">
        <v>2</v>
      </c>
      <c r="K288" s="10">
        <v>209</v>
      </c>
      <c r="L288" s="10">
        <v>172</v>
      </c>
      <c r="M288" s="10">
        <v>0</v>
      </c>
      <c r="N288" s="10">
        <v>0</v>
      </c>
      <c r="O288" s="10">
        <v>0</v>
      </c>
    </row>
    <row r="289" spans="1:15" x14ac:dyDescent="0.2">
      <c r="A289" s="10" t="s">
        <v>343</v>
      </c>
      <c r="B289" s="10" t="s">
        <v>344</v>
      </c>
      <c r="C289" s="10" t="s">
        <v>50</v>
      </c>
      <c r="D289" s="10" t="s">
        <v>51</v>
      </c>
      <c r="E289" s="10" t="s">
        <v>52</v>
      </c>
      <c r="F289" s="10" t="s">
        <v>61</v>
      </c>
      <c r="G289" s="10" t="b">
        <f>FALSE()</f>
        <v>0</v>
      </c>
      <c r="H289" s="10">
        <v>1</v>
      </c>
      <c r="I289" s="10">
        <v>0</v>
      </c>
      <c r="J289" s="10">
        <v>4</v>
      </c>
      <c r="K289" s="10">
        <v>185</v>
      </c>
      <c r="L289" s="10">
        <v>172</v>
      </c>
      <c r="M289" s="10">
        <v>0</v>
      </c>
      <c r="N289" s="10">
        <v>0</v>
      </c>
      <c r="O289" s="10">
        <v>0</v>
      </c>
    </row>
    <row r="290" spans="1:15" x14ac:dyDescent="0.2">
      <c r="A290" s="10" t="s">
        <v>286</v>
      </c>
      <c r="B290" s="10" t="s">
        <v>287</v>
      </c>
      <c r="C290" s="10" t="s">
        <v>90</v>
      </c>
      <c r="D290" s="10" t="s">
        <v>51</v>
      </c>
      <c r="E290" s="10" t="s">
        <v>52</v>
      </c>
      <c r="F290" s="10" t="s">
        <v>345</v>
      </c>
      <c r="G290" s="10" t="b">
        <f>FALSE()</f>
        <v>0</v>
      </c>
      <c r="H290" s="10">
        <v>1</v>
      </c>
      <c r="I290" s="10">
        <v>0</v>
      </c>
      <c r="J290" s="10">
        <v>5</v>
      </c>
      <c r="K290" s="10">
        <v>171</v>
      </c>
      <c r="L290" s="10">
        <v>171</v>
      </c>
      <c r="M290" s="10">
        <v>0</v>
      </c>
      <c r="N290" s="10">
        <v>0</v>
      </c>
      <c r="O290" s="10">
        <v>0</v>
      </c>
    </row>
    <row r="291" spans="1:15" x14ac:dyDescent="0.2">
      <c r="A291" s="10" t="s">
        <v>42</v>
      </c>
      <c r="B291" s="10" t="s">
        <v>43</v>
      </c>
      <c r="C291" s="10" t="s">
        <v>44</v>
      </c>
      <c r="D291" s="10" t="s">
        <v>45</v>
      </c>
      <c r="E291" s="10" t="s">
        <v>46</v>
      </c>
      <c r="F291" s="10" t="s">
        <v>79</v>
      </c>
      <c r="G291" s="10" t="b">
        <f>FALSE()</f>
        <v>0</v>
      </c>
      <c r="H291" s="10">
        <v>1</v>
      </c>
      <c r="I291" s="10">
        <v>0</v>
      </c>
      <c r="J291" s="10">
        <v>3</v>
      </c>
      <c r="K291" s="10">
        <v>172</v>
      </c>
      <c r="L291" s="10">
        <v>171</v>
      </c>
      <c r="M291" s="10">
        <v>0</v>
      </c>
      <c r="N291" s="10">
        <v>0</v>
      </c>
      <c r="O291" s="10">
        <v>0</v>
      </c>
    </row>
    <row r="292" spans="1:15" x14ac:dyDescent="0.2">
      <c r="A292" s="10" t="s">
        <v>346</v>
      </c>
      <c r="B292" s="10" t="s">
        <v>70</v>
      </c>
      <c r="C292" s="10" t="s">
        <v>70</v>
      </c>
      <c r="D292" s="10" t="s">
        <v>45</v>
      </c>
      <c r="E292" s="10" t="s">
        <v>46</v>
      </c>
      <c r="F292" s="10" t="s">
        <v>92</v>
      </c>
      <c r="G292" s="10" t="b">
        <f>FALSE()</f>
        <v>0</v>
      </c>
      <c r="H292" s="10">
        <v>1</v>
      </c>
      <c r="I292" s="10">
        <v>1</v>
      </c>
      <c r="J292" s="10">
        <v>1</v>
      </c>
      <c r="K292" s="10">
        <v>14</v>
      </c>
      <c r="L292" s="10">
        <v>170</v>
      </c>
      <c r="M292" s="10">
        <v>1</v>
      </c>
      <c r="N292" s="10">
        <v>73</v>
      </c>
      <c r="O292" s="10">
        <v>72</v>
      </c>
    </row>
    <row r="293" spans="1:15" x14ac:dyDescent="0.2">
      <c r="A293" s="10" t="s">
        <v>306</v>
      </c>
      <c r="B293" s="10" t="s">
        <v>55</v>
      </c>
      <c r="C293" s="10" t="s">
        <v>56</v>
      </c>
      <c r="D293" s="10" t="s">
        <v>45</v>
      </c>
      <c r="E293" s="10" t="s">
        <v>46</v>
      </c>
      <c r="F293" s="10" t="s">
        <v>61</v>
      </c>
      <c r="G293" s="10" t="b">
        <f>FALSE()</f>
        <v>0</v>
      </c>
      <c r="H293" s="10">
        <v>1</v>
      </c>
      <c r="I293" s="10">
        <v>0</v>
      </c>
      <c r="J293" s="10">
        <v>2</v>
      </c>
      <c r="K293" s="10">
        <v>177</v>
      </c>
      <c r="L293" s="10">
        <v>170</v>
      </c>
      <c r="M293" s="10">
        <v>0</v>
      </c>
      <c r="N293" s="10">
        <v>0</v>
      </c>
      <c r="O293" s="10">
        <v>0</v>
      </c>
    </row>
    <row r="294" spans="1:15" x14ac:dyDescent="0.2">
      <c r="A294" s="10" t="s">
        <v>347</v>
      </c>
      <c r="B294" s="10" t="s">
        <v>238</v>
      </c>
      <c r="C294" s="10" t="s">
        <v>90</v>
      </c>
      <c r="D294" s="10" t="s">
        <v>51</v>
      </c>
      <c r="E294" s="10" t="s">
        <v>52</v>
      </c>
      <c r="F294" s="10" t="s">
        <v>180</v>
      </c>
      <c r="G294" s="10" t="b">
        <f>FALSE()</f>
        <v>0</v>
      </c>
      <c r="H294" s="10">
        <v>1</v>
      </c>
      <c r="I294" s="10">
        <v>0</v>
      </c>
      <c r="J294" s="10">
        <v>7</v>
      </c>
      <c r="K294" s="10">
        <v>170</v>
      </c>
      <c r="L294" s="10">
        <v>170</v>
      </c>
      <c r="M294" s="10">
        <v>0</v>
      </c>
      <c r="N294" s="10">
        <v>0</v>
      </c>
      <c r="O294" s="10">
        <v>0</v>
      </c>
    </row>
    <row r="295" spans="1:15" x14ac:dyDescent="0.2">
      <c r="A295" s="10" t="s">
        <v>348</v>
      </c>
      <c r="B295" s="10" t="s">
        <v>146</v>
      </c>
      <c r="C295" s="10" t="s">
        <v>105</v>
      </c>
      <c r="D295" s="10" t="s">
        <v>45</v>
      </c>
      <c r="E295" s="10" t="s">
        <v>46</v>
      </c>
      <c r="F295" s="10" t="s">
        <v>85</v>
      </c>
      <c r="G295" s="10" t="b">
        <f>FALSE()</f>
        <v>0</v>
      </c>
      <c r="H295" s="10">
        <v>1</v>
      </c>
      <c r="I295" s="10">
        <v>1</v>
      </c>
      <c r="J295" s="10">
        <v>1</v>
      </c>
      <c r="K295" s="10">
        <v>170</v>
      </c>
      <c r="L295" s="10">
        <v>168</v>
      </c>
      <c r="M295" s="10">
        <v>1</v>
      </c>
      <c r="N295" s="10">
        <v>720</v>
      </c>
      <c r="O295" s="10">
        <v>720</v>
      </c>
    </row>
    <row r="296" spans="1:15" x14ac:dyDescent="0.2">
      <c r="A296" s="10" t="s">
        <v>349</v>
      </c>
      <c r="B296" s="10" t="s">
        <v>172</v>
      </c>
      <c r="C296" s="10" t="s">
        <v>44</v>
      </c>
      <c r="D296" s="10" t="s">
        <v>45</v>
      </c>
      <c r="E296" s="10" t="s">
        <v>46</v>
      </c>
      <c r="F296" s="10" t="s">
        <v>85</v>
      </c>
      <c r="G296" s="10" t="b">
        <f>FALSE()</f>
        <v>0</v>
      </c>
      <c r="H296" s="10">
        <v>1</v>
      </c>
      <c r="I296" s="10">
        <v>1</v>
      </c>
      <c r="J296" s="10">
        <v>3</v>
      </c>
      <c r="K296" s="10">
        <v>226</v>
      </c>
      <c r="L296" s="10">
        <v>168</v>
      </c>
      <c r="M296" s="10">
        <v>1</v>
      </c>
      <c r="N296" s="10">
        <v>256</v>
      </c>
      <c r="O296" s="10">
        <v>251</v>
      </c>
    </row>
    <row r="297" spans="1:15" x14ac:dyDescent="0.2">
      <c r="A297" s="10" t="s">
        <v>327</v>
      </c>
      <c r="B297" s="10" t="s">
        <v>165</v>
      </c>
      <c r="C297" s="10" t="s">
        <v>112</v>
      </c>
      <c r="D297" s="10" t="s">
        <v>51</v>
      </c>
      <c r="E297" s="10" t="s">
        <v>52</v>
      </c>
      <c r="F297" s="10" t="s">
        <v>223</v>
      </c>
      <c r="G297" s="10" t="b">
        <f>FALSE()</f>
        <v>0</v>
      </c>
      <c r="H297" s="10">
        <v>1</v>
      </c>
      <c r="I297" s="10">
        <v>0</v>
      </c>
      <c r="J297" s="10">
        <v>1</v>
      </c>
      <c r="K297" s="10">
        <v>419</v>
      </c>
      <c r="L297" s="10">
        <v>167</v>
      </c>
      <c r="M297" s="10">
        <v>0</v>
      </c>
      <c r="N297" s="10">
        <v>0</v>
      </c>
      <c r="O297" s="10">
        <v>0</v>
      </c>
    </row>
    <row r="298" spans="1:15" x14ac:dyDescent="0.2">
      <c r="A298" s="10" t="s">
        <v>350</v>
      </c>
      <c r="B298" s="10" t="s">
        <v>188</v>
      </c>
      <c r="C298" s="10" t="s">
        <v>112</v>
      </c>
      <c r="D298" s="10" t="s">
        <v>51</v>
      </c>
      <c r="E298" s="10" t="s">
        <v>52</v>
      </c>
      <c r="F298" s="10" t="s">
        <v>351</v>
      </c>
      <c r="G298" s="10" t="b">
        <f>FALSE()</f>
        <v>0</v>
      </c>
      <c r="H298" s="10">
        <v>1</v>
      </c>
      <c r="I298" s="10">
        <v>0</v>
      </c>
      <c r="J298" s="10">
        <v>9</v>
      </c>
      <c r="K298" s="10">
        <v>2171</v>
      </c>
      <c r="L298" s="10">
        <v>167</v>
      </c>
      <c r="M298" s="10">
        <v>0</v>
      </c>
      <c r="N298" s="10">
        <v>0</v>
      </c>
      <c r="O298" s="10">
        <v>0</v>
      </c>
    </row>
    <row r="299" spans="1:15" x14ac:dyDescent="0.2">
      <c r="A299" s="10" t="s">
        <v>340</v>
      </c>
      <c r="B299" s="10" t="s">
        <v>196</v>
      </c>
      <c r="C299" s="10" t="s">
        <v>117</v>
      </c>
      <c r="D299" s="10" t="s">
        <v>51</v>
      </c>
      <c r="E299" s="10" t="s">
        <v>52</v>
      </c>
      <c r="F299" s="10" t="s">
        <v>65</v>
      </c>
      <c r="G299" s="10" t="b">
        <f>FALSE()</f>
        <v>0</v>
      </c>
      <c r="H299" s="10">
        <v>1</v>
      </c>
      <c r="I299" s="10">
        <v>0</v>
      </c>
      <c r="J299" s="10">
        <v>1</v>
      </c>
      <c r="K299" s="10">
        <v>176</v>
      </c>
      <c r="L299" s="10">
        <v>166</v>
      </c>
      <c r="M299" s="10">
        <v>0</v>
      </c>
      <c r="N299" s="10">
        <v>0</v>
      </c>
      <c r="O299" s="10">
        <v>0</v>
      </c>
    </row>
    <row r="300" spans="1:15" x14ac:dyDescent="0.2">
      <c r="A300" s="10" t="s">
        <v>338</v>
      </c>
      <c r="B300" s="10" t="s">
        <v>339</v>
      </c>
      <c r="C300" s="10" t="s">
        <v>117</v>
      </c>
      <c r="D300" s="10" t="s">
        <v>51</v>
      </c>
      <c r="E300" s="10" t="s">
        <v>52</v>
      </c>
      <c r="F300" s="10" t="s">
        <v>47</v>
      </c>
      <c r="G300" s="10" t="b">
        <f>FALSE()</f>
        <v>0</v>
      </c>
      <c r="H300" s="10">
        <v>1</v>
      </c>
      <c r="I300" s="10">
        <v>0</v>
      </c>
      <c r="J300" s="10">
        <v>1</v>
      </c>
      <c r="K300" s="10">
        <v>106</v>
      </c>
      <c r="L300" s="10">
        <v>166</v>
      </c>
      <c r="M300" s="10">
        <v>0</v>
      </c>
      <c r="N300" s="10">
        <v>0</v>
      </c>
      <c r="O300" s="10">
        <v>0</v>
      </c>
    </row>
    <row r="301" spans="1:15" x14ac:dyDescent="0.2">
      <c r="A301" s="10" t="s">
        <v>352</v>
      </c>
      <c r="B301" s="10" t="s">
        <v>55</v>
      </c>
      <c r="C301" s="10" t="s">
        <v>56</v>
      </c>
      <c r="D301" s="10" t="s">
        <v>45</v>
      </c>
      <c r="E301" s="10" t="s">
        <v>46</v>
      </c>
      <c r="F301" s="10" t="s">
        <v>102</v>
      </c>
      <c r="G301" s="10" t="b">
        <f>TRUE()</f>
        <v>1</v>
      </c>
      <c r="H301" s="10">
        <v>1</v>
      </c>
      <c r="I301" s="10">
        <v>0</v>
      </c>
      <c r="J301" s="10">
        <v>3</v>
      </c>
      <c r="K301" s="10">
        <v>191</v>
      </c>
      <c r="L301" s="10">
        <v>166</v>
      </c>
      <c r="M301" s="10">
        <v>0</v>
      </c>
      <c r="N301" s="10">
        <v>0</v>
      </c>
      <c r="O301" s="10">
        <v>0</v>
      </c>
    </row>
    <row r="302" spans="1:15" x14ac:dyDescent="0.2">
      <c r="A302" s="10" t="s">
        <v>353</v>
      </c>
      <c r="B302" s="10" t="s">
        <v>160</v>
      </c>
      <c r="C302" s="10" t="s">
        <v>56</v>
      </c>
      <c r="D302" s="10" t="s">
        <v>45</v>
      </c>
      <c r="E302" s="10" t="s">
        <v>46</v>
      </c>
      <c r="F302" s="10" t="s">
        <v>61</v>
      </c>
      <c r="G302" s="10" t="b">
        <f>FALSE()</f>
        <v>0</v>
      </c>
      <c r="H302" s="10">
        <v>1</v>
      </c>
      <c r="I302" s="10">
        <v>1</v>
      </c>
      <c r="J302" s="10">
        <v>5</v>
      </c>
      <c r="K302" s="10">
        <v>148</v>
      </c>
      <c r="L302" s="10">
        <v>165</v>
      </c>
      <c r="M302" s="10">
        <v>1</v>
      </c>
      <c r="N302" s="10">
        <v>91</v>
      </c>
      <c r="O302" s="10">
        <v>91</v>
      </c>
    </row>
    <row r="303" spans="1:15" x14ac:dyDescent="0.2">
      <c r="A303" s="10" t="s">
        <v>354</v>
      </c>
      <c r="B303" s="10" t="s">
        <v>218</v>
      </c>
      <c r="C303" s="10" t="s">
        <v>73</v>
      </c>
      <c r="D303" s="10" t="s">
        <v>45</v>
      </c>
      <c r="E303" s="10" t="s">
        <v>46</v>
      </c>
      <c r="F303" s="10" t="s">
        <v>61</v>
      </c>
      <c r="G303" s="10" t="b">
        <f>FALSE()</f>
        <v>0</v>
      </c>
      <c r="H303" s="10">
        <v>1</v>
      </c>
      <c r="I303" s="10">
        <v>1</v>
      </c>
      <c r="J303" s="10">
        <v>1</v>
      </c>
      <c r="K303" s="10">
        <v>209</v>
      </c>
      <c r="L303" s="10">
        <v>165</v>
      </c>
      <c r="M303" s="10">
        <v>1</v>
      </c>
      <c r="N303" s="10">
        <v>71</v>
      </c>
      <c r="O303" s="10">
        <v>71</v>
      </c>
    </row>
    <row r="304" spans="1:15" x14ac:dyDescent="0.2">
      <c r="A304" s="10" t="s">
        <v>217</v>
      </c>
      <c r="B304" s="10" t="s">
        <v>218</v>
      </c>
      <c r="C304" s="10" t="s">
        <v>73</v>
      </c>
      <c r="D304" s="10" t="s">
        <v>45</v>
      </c>
      <c r="E304" s="10" t="s">
        <v>46</v>
      </c>
      <c r="F304" s="10" t="s">
        <v>47</v>
      </c>
      <c r="G304" s="10" t="b">
        <f>FALSE()</f>
        <v>0</v>
      </c>
      <c r="H304" s="10">
        <v>1</v>
      </c>
      <c r="I304" s="10">
        <v>1</v>
      </c>
      <c r="J304" s="10">
        <v>2</v>
      </c>
      <c r="K304" s="10">
        <v>186</v>
      </c>
      <c r="L304" s="10">
        <v>165</v>
      </c>
      <c r="M304" s="10">
        <v>1</v>
      </c>
      <c r="N304" s="10">
        <v>65</v>
      </c>
      <c r="O304" s="10">
        <v>65</v>
      </c>
    </row>
    <row r="305" spans="1:15" x14ac:dyDescent="0.2">
      <c r="A305" s="10" t="s">
        <v>355</v>
      </c>
      <c r="B305" s="10" t="s">
        <v>119</v>
      </c>
      <c r="C305" s="10" t="s">
        <v>56</v>
      </c>
      <c r="D305" s="10" t="s">
        <v>45</v>
      </c>
      <c r="E305" s="10" t="s">
        <v>46</v>
      </c>
      <c r="F305" s="10" t="s">
        <v>61</v>
      </c>
      <c r="G305" s="10" t="b">
        <f>FALSE()</f>
        <v>0</v>
      </c>
      <c r="H305" s="10">
        <v>1</v>
      </c>
      <c r="I305" s="10">
        <v>0</v>
      </c>
      <c r="J305" s="10">
        <v>3</v>
      </c>
      <c r="K305" s="10">
        <v>124</v>
      </c>
      <c r="L305" s="10">
        <v>165</v>
      </c>
      <c r="M305" s="10">
        <v>0</v>
      </c>
      <c r="N305" s="10">
        <v>0</v>
      </c>
      <c r="O305" s="10">
        <v>0</v>
      </c>
    </row>
    <row r="306" spans="1:15" x14ac:dyDescent="0.2">
      <c r="A306" s="10" t="s">
        <v>356</v>
      </c>
      <c r="B306" s="10" t="s">
        <v>72</v>
      </c>
      <c r="C306" s="10" t="s">
        <v>73</v>
      </c>
      <c r="D306" s="10" t="s">
        <v>45</v>
      </c>
      <c r="E306" s="10" t="s">
        <v>46</v>
      </c>
      <c r="F306" s="10" t="s">
        <v>94</v>
      </c>
      <c r="G306" s="10" t="b">
        <f>FALSE()</f>
        <v>0</v>
      </c>
      <c r="H306" s="10">
        <v>1</v>
      </c>
      <c r="I306" s="10">
        <v>0</v>
      </c>
      <c r="J306" s="10">
        <v>1</v>
      </c>
      <c r="K306" s="10">
        <v>206</v>
      </c>
      <c r="L306" s="10">
        <v>165</v>
      </c>
      <c r="M306" s="10">
        <v>0</v>
      </c>
      <c r="N306" s="10">
        <v>0</v>
      </c>
      <c r="O306" s="10">
        <v>0</v>
      </c>
    </row>
    <row r="307" spans="1:15" x14ac:dyDescent="0.2">
      <c r="A307" s="10" t="s">
        <v>357</v>
      </c>
      <c r="B307" s="10" t="s">
        <v>193</v>
      </c>
      <c r="C307" s="10" t="s">
        <v>117</v>
      </c>
      <c r="D307" s="10" t="s">
        <v>51</v>
      </c>
      <c r="E307" s="10" t="s">
        <v>52</v>
      </c>
      <c r="F307" s="10" t="s">
        <v>53</v>
      </c>
      <c r="G307" s="10" t="b">
        <f>FALSE()</f>
        <v>0</v>
      </c>
      <c r="H307" s="10">
        <v>1</v>
      </c>
      <c r="I307" s="10">
        <v>0</v>
      </c>
      <c r="J307" s="10">
        <v>2</v>
      </c>
      <c r="K307" s="10">
        <v>158</v>
      </c>
      <c r="L307" s="10">
        <v>165</v>
      </c>
      <c r="M307" s="10">
        <v>0</v>
      </c>
      <c r="N307" s="10">
        <v>0</v>
      </c>
      <c r="O307" s="10">
        <v>0</v>
      </c>
    </row>
    <row r="308" spans="1:15" x14ac:dyDescent="0.2">
      <c r="A308" s="10" t="s">
        <v>358</v>
      </c>
      <c r="B308" s="10" t="s">
        <v>359</v>
      </c>
      <c r="C308" s="10" t="s">
        <v>117</v>
      </c>
      <c r="D308" s="10" t="s">
        <v>51</v>
      </c>
      <c r="E308" s="10" t="s">
        <v>52</v>
      </c>
      <c r="F308" s="10" t="s">
        <v>74</v>
      </c>
      <c r="G308" s="10" t="b">
        <f>FALSE()</f>
        <v>0</v>
      </c>
      <c r="H308" s="10">
        <v>1</v>
      </c>
      <c r="I308" s="10">
        <v>1</v>
      </c>
      <c r="J308" s="10">
        <v>2</v>
      </c>
      <c r="K308" s="10">
        <v>163</v>
      </c>
      <c r="L308" s="10">
        <v>164</v>
      </c>
      <c r="M308" s="10">
        <v>1</v>
      </c>
      <c r="N308" s="10">
        <v>360</v>
      </c>
      <c r="O308" s="10">
        <v>356</v>
      </c>
    </row>
    <row r="309" spans="1:15" x14ac:dyDescent="0.2">
      <c r="A309" s="10" t="s">
        <v>152</v>
      </c>
      <c r="B309" s="10" t="s">
        <v>119</v>
      </c>
      <c r="C309" s="10" t="s">
        <v>56</v>
      </c>
      <c r="D309" s="10" t="s">
        <v>45</v>
      </c>
      <c r="E309" s="10" t="s">
        <v>46</v>
      </c>
      <c r="F309" s="10" t="s">
        <v>183</v>
      </c>
      <c r="G309" s="10" t="b">
        <f>FALSE()</f>
        <v>0</v>
      </c>
      <c r="H309" s="10">
        <v>1</v>
      </c>
      <c r="I309" s="10">
        <v>0</v>
      </c>
      <c r="J309" s="10">
        <v>2</v>
      </c>
      <c r="K309" s="10">
        <v>213</v>
      </c>
      <c r="L309" s="10">
        <v>163</v>
      </c>
      <c r="M309" s="10">
        <v>0</v>
      </c>
      <c r="N309" s="10">
        <v>0</v>
      </c>
      <c r="O309" s="10">
        <v>0</v>
      </c>
    </row>
    <row r="310" spans="1:15" x14ac:dyDescent="0.2">
      <c r="A310" s="10" t="s">
        <v>360</v>
      </c>
      <c r="B310" s="10" t="s">
        <v>70</v>
      </c>
      <c r="C310" s="10" t="s">
        <v>70</v>
      </c>
      <c r="D310" s="10" t="s">
        <v>45</v>
      </c>
      <c r="E310" s="10" t="s">
        <v>46</v>
      </c>
      <c r="F310" s="10" t="s">
        <v>53</v>
      </c>
      <c r="G310" s="10" t="b">
        <f>FALSE()</f>
        <v>0</v>
      </c>
      <c r="H310" s="10">
        <v>1</v>
      </c>
      <c r="I310" s="10">
        <v>0</v>
      </c>
      <c r="J310" s="10">
        <v>1</v>
      </c>
      <c r="K310" s="10">
        <v>180</v>
      </c>
      <c r="L310" s="10">
        <v>163</v>
      </c>
      <c r="M310" s="10">
        <v>0</v>
      </c>
      <c r="N310" s="10">
        <v>0</v>
      </c>
      <c r="O310" s="10">
        <v>0</v>
      </c>
    </row>
    <row r="311" spans="1:15" x14ac:dyDescent="0.2">
      <c r="A311" s="10" t="s">
        <v>84</v>
      </c>
      <c r="B311" s="10" t="s">
        <v>43</v>
      </c>
      <c r="C311" s="10" t="s">
        <v>44</v>
      </c>
      <c r="D311" s="10" t="s">
        <v>45</v>
      </c>
      <c r="E311" s="10" t="s">
        <v>46</v>
      </c>
      <c r="F311" s="10" t="s">
        <v>123</v>
      </c>
      <c r="G311" s="10" t="b">
        <f>FALSE()</f>
        <v>0</v>
      </c>
      <c r="H311" s="10">
        <v>1</v>
      </c>
      <c r="I311" s="10">
        <v>1</v>
      </c>
      <c r="J311" s="10">
        <v>4</v>
      </c>
      <c r="K311" s="10">
        <v>235</v>
      </c>
      <c r="L311" s="10">
        <v>162</v>
      </c>
      <c r="M311" s="10">
        <v>1</v>
      </c>
      <c r="N311" s="10">
        <v>138</v>
      </c>
      <c r="O311" s="10">
        <v>136</v>
      </c>
    </row>
    <row r="312" spans="1:15" x14ac:dyDescent="0.2">
      <c r="A312" s="10" t="s">
        <v>361</v>
      </c>
      <c r="B312" s="10" t="s">
        <v>122</v>
      </c>
      <c r="C312" s="10" t="s">
        <v>112</v>
      </c>
      <c r="D312" s="10" t="s">
        <v>51</v>
      </c>
      <c r="E312" s="10" t="s">
        <v>52</v>
      </c>
      <c r="F312" s="10" t="s">
        <v>83</v>
      </c>
      <c r="G312" s="10" t="b">
        <f>TRUE()</f>
        <v>1</v>
      </c>
      <c r="H312" s="10">
        <v>1</v>
      </c>
      <c r="I312" s="10">
        <v>1</v>
      </c>
      <c r="J312" s="10">
        <v>2</v>
      </c>
      <c r="K312" s="10">
        <v>79</v>
      </c>
      <c r="L312" s="10">
        <v>162</v>
      </c>
      <c r="M312" s="10">
        <v>1</v>
      </c>
      <c r="N312" s="10">
        <v>66</v>
      </c>
      <c r="O312" s="10">
        <v>66</v>
      </c>
    </row>
    <row r="313" spans="1:15" x14ac:dyDescent="0.2">
      <c r="A313" s="10" t="s">
        <v>362</v>
      </c>
      <c r="B313" s="10" t="s">
        <v>146</v>
      </c>
      <c r="C313" s="10" t="s">
        <v>105</v>
      </c>
      <c r="D313" s="10" t="s">
        <v>45</v>
      </c>
      <c r="E313" s="10" t="s">
        <v>46</v>
      </c>
      <c r="F313" s="10" t="s">
        <v>190</v>
      </c>
      <c r="G313" s="10" t="b">
        <f>TRUE()</f>
        <v>1</v>
      </c>
      <c r="H313" s="10">
        <v>1</v>
      </c>
      <c r="I313" s="10">
        <v>1</v>
      </c>
      <c r="J313" s="10">
        <v>1</v>
      </c>
      <c r="K313" s="10">
        <v>98</v>
      </c>
      <c r="L313" s="10">
        <v>162</v>
      </c>
      <c r="M313" s="10">
        <v>1</v>
      </c>
      <c r="N313" s="10">
        <v>55</v>
      </c>
      <c r="O313" s="10">
        <v>55</v>
      </c>
    </row>
    <row r="314" spans="1:15" x14ac:dyDescent="0.2">
      <c r="A314" s="10" t="s">
        <v>340</v>
      </c>
      <c r="B314" s="10" t="s">
        <v>196</v>
      </c>
      <c r="C314" s="10" t="s">
        <v>117</v>
      </c>
      <c r="D314" s="10" t="s">
        <v>51</v>
      </c>
      <c r="E314" s="10" t="s">
        <v>52</v>
      </c>
      <c r="F314" s="10" t="s">
        <v>363</v>
      </c>
      <c r="G314" s="10" t="b">
        <f>FALSE()</f>
        <v>0</v>
      </c>
      <c r="H314" s="10">
        <v>1</v>
      </c>
      <c r="I314" s="10">
        <v>0</v>
      </c>
      <c r="J314" s="10">
        <v>2</v>
      </c>
      <c r="K314" s="10">
        <v>176</v>
      </c>
      <c r="L314" s="10">
        <v>162</v>
      </c>
      <c r="M314" s="10">
        <v>0</v>
      </c>
      <c r="N314" s="10">
        <v>0</v>
      </c>
      <c r="O314" s="10">
        <v>0</v>
      </c>
    </row>
    <row r="315" spans="1:15" x14ac:dyDescent="0.2">
      <c r="A315" s="10" t="s">
        <v>364</v>
      </c>
      <c r="B315" s="10" t="s">
        <v>119</v>
      </c>
      <c r="C315" s="10" t="s">
        <v>56</v>
      </c>
      <c r="D315" s="10" t="s">
        <v>45</v>
      </c>
      <c r="E315" s="10" t="s">
        <v>46</v>
      </c>
      <c r="F315" s="10" t="s">
        <v>190</v>
      </c>
      <c r="G315" s="10" t="b">
        <f>TRUE()</f>
        <v>1</v>
      </c>
      <c r="H315" s="10">
        <v>1</v>
      </c>
      <c r="I315" s="10">
        <v>0</v>
      </c>
      <c r="J315" s="10">
        <v>2</v>
      </c>
      <c r="K315" s="10">
        <v>179</v>
      </c>
      <c r="L315" s="10">
        <v>162</v>
      </c>
      <c r="M315" s="10">
        <v>0</v>
      </c>
      <c r="N315" s="10">
        <v>0</v>
      </c>
      <c r="O315" s="10">
        <v>0</v>
      </c>
    </row>
    <row r="316" spans="1:15" x14ac:dyDescent="0.2">
      <c r="A316" s="10" t="s">
        <v>182</v>
      </c>
      <c r="B316" s="10" t="s">
        <v>104</v>
      </c>
      <c r="C316" s="10" t="s">
        <v>105</v>
      </c>
      <c r="D316" s="10" t="s">
        <v>45</v>
      </c>
      <c r="E316" s="10" t="s">
        <v>46</v>
      </c>
      <c r="F316" s="10" t="s">
        <v>365</v>
      </c>
      <c r="G316" s="10" t="b">
        <f>TRUE()</f>
        <v>1</v>
      </c>
      <c r="H316" s="10">
        <v>1</v>
      </c>
      <c r="I316" s="10">
        <v>0</v>
      </c>
      <c r="J316" s="10">
        <v>1</v>
      </c>
      <c r="K316" s="10">
        <v>172</v>
      </c>
      <c r="L316" s="10">
        <v>161</v>
      </c>
      <c r="M316" s="10">
        <v>0</v>
      </c>
      <c r="N316" s="10">
        <v>0</v>
      </c>
      <c r="O316" s="10">
        <v>0</v>
      </c>
    </row>
    <row r="317" spans="1:15" x14ac:dyDescent="0.2">
      <c r="A317" s="10" t="s">
        <v>366</v>
      </c>
      <c r="B317" s="10" t="s">
        <v>78</v>
      </c>
      <c r="C317" s="10" t="s">
        <v>50</v>
      </c>
      <c r="D317" s="10" t="s">
        <v>51</v>
      </c>
      <c r="E317" s="10" t="s">
        <v>52</v>
      </c>
      <c r="F317" s="10" t="s">
        <v>190</v>
      </c>
      <c r="G317" s="10" t="b">
        <f>TRUE()</f>
        <v>1</v>
      </c>
      <c r="H317" s="10">
        <v>1</v>
      </c>
      <c r="I317" s="10">
        <v>0</v>
      </c>
      <c r="J317" s="10">
        <v>3</v>
      </c>
      <c r="K317" s="10">
        <v>162</v>
      </c>
      <c r="L317" s="10">
        <v>161</v>
      </c>
      <c r="M317" s="10">
        <v>0</v>
      </c>
      <c r="N317" s="10">
        <v>0</v>
      </c>
      <c r="O317" s="10">
        <v>0</v>
      </c>
    </row>
    <row r="318" spans="1:15" x14ac:dyDescent="0.2">
      <c r="A318" s="10" t="s">
        <v>338</v>
      </c>
      <c r="B318" s="10" t="s">
        <v>339</v>
      </c>
      <c r="C318" s="10" t="s">
        <v>117</v>
      </c>
      <c r="D318" s="10" t="s">
        <v>51</v>
      </c>
      <c r="E318" s="10" t="s">
        <v>52</v>
      </c>
      <c r="F318" s="10" t="s">
        <v>53</v>
      </c>
      <c r="G318" s="10" t="b">
        <f>FALSE()</f>
        <v>0</v>
      </c>
      <c r="H318" s="10">
        <v>1</v>
      </c>
      <c r="I318" s="10">
        <v>0</v>
      </c>
      <c r="J318" s="10">
        <v>1</v>
      </c>
      <c r="K318" s="10">
        <v>123</v>
      </c>
      <c r="L318" s="10">
        <v>161</v>
      </c>
      <c r="M318" s="10">
        <v>0</v>
      </c>
      <c r="N318" s="10">
        <v>0</v>
      </c>
      <c r="O318" s="10">
        <v>0</v>
      </c>
    </row>
    <row r="319" spans="1:15" x14ac:dyDescent="0.2">
      <c r="A319" s="10" t="s">
        <v>367</v>
      </c>
      <c r="B319" s="10" t="s">
        <v>368</v>
      </c>
      <c r="C319" s="10" t="s">
        <v>50</v>
      </c>
      <c r="D319" s="10" t="s">
        <v>51</v>
      </c>
      <c r="E319" s="10" t="s">
        <v>52</v>
      </c>
      <c r="F319" s="10" t="s">
        <v>251</v>
      </c>
      <c r="G319" s="10" t="b">
        <f>FALSE()</f>
        <v>0</v>
      </c>
      <c r="H319" s="10">
        <v>1</v>
      </c>
      <c r="I319" s="10">
        <v>0</v>
      </c>
      <c r="J319" s="10">
        <v>2</v>
      </c>
      <c r="K319" s="10">
        <v>161</v>
      </c>
      <c r="L319" s="10">
        <v>160</v>
      </c>
      <c r="M319" s="10">
        <v>0</v>
      </c>
      <c r="N319" s="10">
        <v>0</v>
      </c>
      <c r="O319" s="10">
        <v>0</v>
      </c>
    </row>
    <row r="320" spans="1:15" x14ac:dyDescent="0.2">
      <c r="A320" s="10" t="s">
        <v>369</v>
      </c>
      <c r="B320" s="10" t="s">
        <v>160</v>
      </c>
      <c r="C320" s="10" t="s">
        <v>56</v>
      </c>
      <c r="D320" s="10" t="s">
        <v>45</v>
      </c>
      <c r="E320" s="10" t="s">
        <v>46</v>
      </c>
      <c r="F320" s="10" t="s">
        <v>61</v>
      </c>
      <c r="G320" s="10" t="b">
        <f>FALSE()</f>
        <v>0</v>
      </c>
      <c r="H320" s="10">
        <v>1</v>
      </c>
      <c r="I320" s="10">
        <v>0</v>
      </c>
      <c r="J320" s="10">
        <v>1</v>
      </c>
      <c r="K320" s="10">
        <v>199</v>
      </c>
      <c r="L320" s="10">
        <v>160</v>
      </c>
      <c r="M320" s="10">
        <v>0</v>
      </c>
      <c r="N320" s="10">
        <v>0</v>
      </c>
      <c r="O320" s="10">
        <v>0</v>
      </c>
    </row>
    <row r="321" spans="1:15" x14ac:dyDescent="0.2">
      <c r="A321" s="10" t="s">
        <v>237</v>
      </c>
      <c r="B321" s="10" t="s">
        <v>238</v>
      </c>
      <c r="C321" s="10" t="s">
        <v>90</v>
      </c>
      <c r="D321" s="10" t="s">
        <v>51</v>
      </c>
      <c r="E321" s="10" t="s">
        <v>52</v>
      </c>
      <c r="F321" s="10" t="s">
        <v>190</v>
      </c>
      <c r="G321" s="10" t="b">
        <f>TRUE()</f>
        <v>1</v>
      </c>
      <c r="H321" s="10">
        <v>1</v>
      </c>
      <c r="I321" s="10">
        <v>0</v>
      </c>
      <c r="J321" s="10">
        <v>3</v>
      </c>
      <c r="K321" s="10">
        <v>182</v>
      </c>
      <c r="L321" s="10">
        <v>160</v>
      </c>
      <c r="M321" s="10">
        <v>0</v>
      </c>
      <c r="N321" s="10">
        <v>0</v>
      </c>
      <c r="O321" s="10">
        <v>0</v>
      </c>
    </row>
    <row r="322" spans="1:15" x14ac:dyDescent="0.2">
      <c r="A322" s="10" t="s">
        <v>370</v>
      </c>
      <c r="B322" s="10" t="s">
        <v>178</v>
      </c>
      <c r="C322" s="10" t="s">
        <v>73</v>
      </c>
      <c r="D322" s="10" t="s">
        <v>45</v>
      </c>
      <c r="E322" s="10" t="s">
        <v>46</v>
      </c>
      <c r="F322" s="10" t="s">
        <v>47</v>
      </c>
      <c r="G322" s="10" t="b">
        <f>FALSE()</f>
        <v>0</v>
      </c>
      <c r="H322" s="10">
        <v>1</v>
      </c>
      <c r="I322" s="10">
        <v>1</v>
      </c>
      <c r="J322" s="10">
        <v>4</v>
      </c>
      <c r="K322" s="10">
        <v>362</v>
      </c>
      <c r="L322" s="10">
        <v>159</v>
      </c>
      <c r="M322" s="10">
        <v>1</v>
      </c>
      <c r="N322" s="10">
        <v>169</v>
      </c>
      <c r="O322" s="10">
        <v>169</v>
      </c>
    </row>
    <row r="323" spans="1:15" x14ac:dyDescent="0.2">
      <c r="A323" s="10" t="s">
        <v>371</v>
      </c>
      <c r="B323" s="10" t="s">
        <v>55</v>
      </c>
      <c r="C323" s="10" t="s">
        <v>56</v>
      </c>
      <c r="D323" s="10" t="s">
        <v>45</v>
      </c>
      <c r="E323" s="10" t="s">
        <v>46</v>
      </c>
      <c r="F323" s="10" t="s">
        <v>58</v>
      </c>
      <c r="G323" s="10" t="b">
        <f>FALSE()</f>
        <v>0</v>
      </c>
      <c r="H323" s="10">
        <v>1</v>
      </c>
      <c r="I323" s="10">
        <v>0</v>
      </c>
      <c r="J323" s="10">
        <v>1</v>
      </c>
      <c r="K323" s="10">
        <v>141</v>
      </c>
      <c r="L323" s="10">
        <v>159</v>
      </c>
      <c r="M323" s="10">
        <v>0</v>
      </c>
      <c r="N323" s="10">
        <v>0</v>
      </c>
      <c r="O323" s="10">
        <v>0</v>
      </c>
    </row>
    <row r="324" spans="1:15" x14ac:dyDescent="0.2">
      <c r="A324" s="10" t="s">
        <v>372</v>
      </c>
      <c r="B324" s="10" t="s">
        <v>130</v>
      </c>
      <c r="C324" s="10" t="s">
        <v>56</v>
      </c>
      <c r="D324" s="10" t="s">
        <v>45</v>
      </c>
      <c r="E324" s="10" t="s">
        <v>46</v>
      </c>
      <c r="F324" s="10" t="s">
        <v>331</v>
      </c>
      <c r="G324" s="10" t="b">
        <f>FALSE()</f>
        <v>0</v>
      </c>
      <c r="H324" s="10">
        <v>1</v>
      </c>
      <c r="I324" s="10">
        <v>0</v>
      </c>
      <c r="J324" s="10">
        <v>2</v>
      </c>
      <c r="K324" s="10">
        <v>136</v>
      </c>
      <c r="L324" s="10">
        <v>159</v>
      </c>
      <c r="M324" s="10">
        <v>0</v>
      </c>
      <c r="N324" s="10">
        <v>0</v>
      </c>
      <c r="O324" s="10">
        <v>0</v>
      </c>
    </row>
    <row r="325" spans="1:15" x14ac:dyDescent="0.2">
      <c r="A325" s="10" t="s">
        <v>221</v>
      </c>
      <c r="B325" s="10" t="s">
        <v>136</v>
      </c>
      <c r="C325" s="10" t="s">
        <v>73</v>
      </c>
      <c r="D325" s="10" t="s">
        <v>45</v>
      </c>
      <c r="E325" s="10" t="s">
        <v>46</v>
      </c>
      <c r="F325" s="10" t="s">
        <v>132</v>
      </c>
      <c r="G325" s="10" t="b">
        <f>FALSE()</f>
        <v>0</v>
      </c>
      <c r="H325" s="10">
        <v>1</v>
      </c>
      <c r="I325" s="10">
        <v>0</v>
      </c>
      <c r="J325" s="10">
        <v>1</v>
      </c>
      <c r="K325" s="10">
        <v>159</v>
      </c>
      <c r="L325" s="10">
        <v>159</v>
      </c>
      <c r="M325" s="10">
        <v>0</v>
      </c>
      <c r="N325" s="10">
        <v>0</v>
      </c>
      <c r="O325" s="10">
        <v>0</v>
      </c>
    </row>
    <row r="326" spans="1:15" x14ac:dyDescent="0.2">
      <c r="A326" s="10" t="s">
        <v>62</v>
      </c>
      <c r="B326" s="10" t="s">
        <v>63</v>
      </c>
      <c r="C326" s="10" t="s">
        <v>64</v>
      </c>
      <c r="D326" s="10" t="s">
        <v>45</v>
      </c>
      <c r="E326" s="10" t="s">
        <v>46</v>
      </c>
      <c r="F326" s="10" t="s">
        <v>373</v>
      </c>
      <c r="G326" s="10" t="b">
        <f>FALSE()</f>
        <v>0</v>
      </c>
      <c r="H326" s="10">
        <v>1</v>
      </c>
      <c r="I326" s="10">
        <v>0</v>
      </c>
      <c r="J326" s="10">
        <v>3</v>
      </c>
      <c r="K326" s="10">
        <v>181</v>
      </c>
      <c r="L326" s="10">
        <v>159</v>
      </c>
      <c r="M326" s="10">
        <v>0</v>
      </c>
      <c r="N326" s="10">
        <v>0</v>
      </c>
      <c r="O326" s="10">
        <v>0</v>
      </c>
    </row>
    <row r="327" spans="1:15" x14ac:dyDescent="0.2">
      <c r="A327" s="10" t="s">
        <v>239</v>
      </c>
      <c r="B327" s="10" t="s">
        <v>172</v>
      </c>
      <c r="C327" s="10" t="s">
        <v>44</v>
      </c>
      <c r="D327" s="10" t="s">
        <v>45</v>
      </c>
      <c r="E327" s="10" t="s">
        <v>46</v>
      </c>
      <c r="F327" s="10" t="s">
        <v>58</v>
      </c>
      <c r="G327" s="10" t="b">
        <f>FALSE()</f>
        <v>0</v>
      </c>
      <c r="H327" s="10">
        <v>1</v>
      </c>
      <c r="I327" s="10">
        <v>0</v>
      </c>
      <c r="J327" s="10">
        <v>3</v>
      </c>
      <c r="K327" s="10">
        <v>158</v>
      </c>
      <c r="L327" s="10">
        <v>158</v>
      </c>
      <c r="M327" s="10">
        <v>0</v>
      </c>
      <c r="N327" s="10">
        <v>0</v>
      </c>
      <c r="O327" s="10">
        <v>0</v>
      </c>
    </row>
    <row r="328" spans="1:15" x14ac:dyDescent="0.2">
      <c r="A328" s="10" t="s">
        <v>292</v>
      </c>
      <c r="B328" s="10" t="s">
        <v>119</v>
      </c>
      <c r="C328" s="10" t="s">
        <v>56</v>
      </c>
      <c r="D328" s="10" t="s">
        <v>45</v>
      </c>
      <c r="E328" s="10" t="s">
        <v>46</v>
      </c>
      <c r="F328" s="10" t="s">
        <v>92</v>
      </c>
      <c r="G328" s="10" t="b">
        <f>FALSE()</f>
        <v>0</v>
      </c>
      <c r="H328" s="10">
        <v>1</v>
      </c>
      <c r="I328" s="10">
        <v>0</v>
      </c>
      <c r="J328" s="10">
        <v>2</v>
      </c>
      <c r="K328" s="10">
        <v>195</v>
      </c>
      <c r="L328" s="10">
        <v>158</v>
      </c>
      <c r="M328" s="10">
        <v>0</v>
      </c>
      <c r="N328" s="10">
        <v>0</v>
      </c>
      <c r="O328" s="10">
        <v>0</v>
      </c>
    </row>
    <row r="329" spans="1:15" x14ac:dyDescent="0.2">
      <c r="A329" s="10" t="s">
        <v>87</v>
      </c>
      <c r="B329" s="10" t="s">
        <v>70</v>
      </c>
      <c r="C329" s="10" t="s">
        <v>70</v>
      </c>
      <c r="D329" s="10" t="s">
        <v>45</v>
      </c>
      <c r="E329" s="10" t="s">
        <v>46</v>
      </c>
      <c r="F329" s="10" t="s">
        <v>206</v>
      </c>
      <c r="G329" s="10" t="b">
        <f>FALSE()</f>
        <v>0</v>
      </c>
      <c r="H329" s="10">
        <v>1</v>
      </c>
      <c r="I329" s="10">
        <v>0</v>
      </c>
      <c r="J329" s="10">
        <v>3</v>
      </c>
      <c r="K329" s="10">
        <v>195</v>
      </c>
      <c r="L329" s="10">
        <v>158</v>
      </c>
      <c r="M329" s="10">
        <v>0</v>
      </c>
      <c r="N329" s="10">
        <v>0</v>
      </c>
      <c r="O329" s="10">
        <v>0</v>
      </c>
    </row>
    <row r="330" spans="1:15" x14ac:dyDescent="0.2">
      <c r="A330" s="10" t="s">
        <v>374</v>
      </c>
      <c r="B330" s="10" t="s">
        <v>375</v>
      </c>
      <c r="C330" s="10" t="s">
        <v>117</v>
      </c>
      <c r="D330" s="10" t="s">
        <v>51</v>
      </c>
      <c r="E330" s="10" t="s">
        <v>52</v>
      </c>
      <c r="F330" s="10" t="s">
        <v>61</v>
      </c>
      <c r="G330" s="10" t="b">
        <f>FALSE()</f>
        <v>0</v>
      </c>
      <c r="H330" s="10">
        <v>1</v>
      </c>
      <c r="I330" s="10">
        <v>1</v>
      </c>
      <c r="J330" s="10">
        <v>2</v>
      </c>
      <c r="K330" s="10">
        <v>159</v>
      </c>
      <c r="L330" s="10">
        <v>157</v>
      </c>
      <c r="M330" s="10">
        <v>1</v>
      </c>
      <c r="N330" s="10">
        <v>175</v>
      </c>
      <c r="O330" s="10">
        <v>193</v>
      </c>
    </row>
    <row r="331" spans="1:15" x14ac:dyDescent="0.2">
      <c r="A331" s="10" t="s">
        <v>211</v>
      </c>
      <c r="B331" s="10" t="s">
        <v>167</v>
      </c>
      <c r="C331" s="10" t="s">
        <v>64</v>
      </c>
      <c r="D331" s="10" t="s">
        <v>45</v>
      </c>
      <c r="E331" s="10" t="s">
        <v>46</v>
      </c>
      <c r="F331" s="10" t="s">
        <v>183</v>
      </c>
      <c r="G331" s="10" t="b">
        <f>FALSE()</f>
        <v>0</v>
      </c>
      <c r="H331" s="10">
        <v>1</v>
      </c>
      <c r="I331" s="10">
        <v>0</v>
      </c>
      <c r="J331" s="10">
        <v>2</v>
      </c>
      <c r="K331" s="10">
        <v>192</v>
      </c>
      <c r="L331" s="10">
        <v>157</v>
      </c>
      <c r="M331" s="10">
        <v>0</v>
      </c>
      <c r="N331" s="10">
        <v>0</v>
      </c>
      <c r="O331" s="10">
        <v>0</v>
      </c>
    </row>
    <row r="332" spans="1:15" x14ac:dyDescent="0.2">
      <c r="A332" s="10" t="s">
        <v>237</v>
      </c>
      <c r="B332" s="10" t="s">
        <v>238</v>
      </c>
      <c r="C332" s="10" t="s">
        <v>90</v>
      </c>
      <c r="D332" s="10" t="s">
        <v>51</v>
      </c>
      <c r="E332" s="10" t="s">
        <v>52</v>
      </c>
      <c r="F332" s="10" t="s">
        <v>91</v>
      </c>
      <c r="G332" s="10" t="b">
        <f>TRUE()</f>
        <v>1</v>
      </c>
      <c r="H332" s="10">
        <v>1</v>
      </c>
      <c r="I332" s="10">
        <v>0</v>
      </c>
      <c r="J332" s="10">
        <v>3</v>
      </c>
      <c r="K332" s="10">
        <v>187</v>
      </c>
      <c r="L332" s="10">
        <v>157</v>
      </c>
      <c r="M332" s="10">
        <v>0</v>
      </c>
      <c r="N332" s="10">
        <v>0</v>
      </c>
      <c r="O332" s="10">
        <v>0</v>
      </c>
    </row>
    <row r="333" spans="1:15" x14ac:dyDescent="0.2">
      <c r="A333" s="10" t="s">
        <v>376</v>
      </c>
      <c r="B333" s="10" t="s">
        <v>377</v>
      </c>
      <c r="C333" s="10" t="s">
        <v>50</v>
      </c>
      <c r="D333" s="10" t="s">
        <v>51</v>
      </c>
      <c r="E333" s="10" t="s">
        <v>52</v>
      </c>
      <c r="F333" s="10" t="s">
        <v>153</v>
      </c>
      <c r="G333" s="10" t="b">
        <f>FALSE()</f>
        <v>0</v>
      </c>
      <c r="H333" s="10">
        <v>1</v>
      </c>
      <c r="I333" s="10">
        <v>1</v>
      </c>
      <c r="J333" s="10">
        <v>2</v>
      </c>
      <c r="K333" s="10">
        <v>156</v>
      </c>
      <c r="L333" s="10">
        <v>156</v>
      </c>
      <c r="M333" s="10">
        <v>1</v>
      </c>
      <c r="N333" s="10">
        <v>186</v>
      </c>
      <c r="O333" s="10">
        <v>185</v>
      </c>
    </row>
    <row r="334" spans="1:15" x14ac:dyDescent="0.2">
      <c r="A334" s="10" t="s">
        <v>120</v>
      </c>
      <c r="B334" s="10" t="s">
        <v>72</v>
      </c>
      <c r="C334" s="10" t="s">
        <v>73</v>
      </c>
      <c r="D334" s="10" t="s">
        <v>45</v>
      </c>
      <c r="E334" s="10" t="s">
        <v>46</v>
      </c>
      <c r="F334" s="10" t="s">
        <v>79</v>
      </c>
      <c r="G334" s="10" t="b">
        <f>FALSE()</f>
        <v>0</v>
      </c>
      <c r="H334" s="10">
        <v>1</v>
      </c>
      <c r="I334" s="10">
        <v>1</v>
      </c>
      <c r="J334" s="10">
        <v>1</v>
      </c>
      <c r="K334" s="10">
        <v>185</v>
      </c>
      <c r="L334" s="10">
        <v>156</v>
      </c>
      <c r="M334" s="10">
        <v>1</v>
      </c>
      <c r="N334" s="10">
        <v>70</v>
      </c>
      <c r="O334" s="10">
        <v>70</v>
      </c>
    </row>
    <row r="335" spans="1:15" x14ac:dyDescent="0.2">
      <c r="A335" s="10" t="s">
        <v>290</v>
      </c>
      <c r="B335" s="10" t="s">
        <v>260</v>
      </c>
      <c r="C335" s="10" t="s">
        <v>64</v>
      </c>
      <c r="D335" s="10" t="s">
        <v>45</v>
      </c>
      <c r="E335" s="10" t="s">
        <v>46</v>
      </c>
      <c r="F335" s="10" t="s">
        <v>153</v>
      </c>
      <c r="G335" s="10" t="b">
        <f>FALSE()</f>
        <v>0</v>
      </c>
      <c r="H335" s="10">
        <v>1</v>
      </c>
      <c r="I335" s="10">
        <v>0</v>
      </c>
      <c r="J335" s="10">
        <v>2</v>
      </c>
      <c r="K335" s="10">
        <v>122</v>
      </c>
      <c r="L335" s="10">
        <v>156</v>
      </c>
      <c r="M335" s="10">
        <v>0</v>
      </c>
      <c r="N335" s="10">
        <v>0</v>
      </c>
      <c r="O335" s="10">
        <v>0</v>
      </c>
    </row>
    <row r="336" spans="1:15" x14ac:dyDescent="0.2">
      <c r="A336" s="10" t="s">
        <v>376</v>
      </c>
      <c r="B336" s="10" t="s">
        <v>377</v>
      </c>
      <c r="C336" s="10" t="s">
        <v>50</v>
      </c>
      <c r="D336" s="10" t="s">
        <v>51</v>
      </c>
      <c r="E336" s="10" t="s">
        <v>52</v>
      </c>
      <c r="F336" s="10" t="s">
        <v>251</v>
      </c>
      <c r="G336" s="10" t="b">
        <f>FALSE()</f>
        <v>0</v>
      </c>
      <c r="H336" s="10">
        <v>1</v>
      </c>
      <c r="I336" s="10">
        <v>1</v>
      </c>
      <c r="J336" s="10">
        <v>2</v>
      </c>
      <c r="K336" s="10">
        <v>155</v>
      </c>
      <c r="L336" s="10">
        <v>155</v>
      </c>
      <c r="M336" s="10">
        <v>1</v>
      </c>
      <c r="N336" s="10">
        <v>375</v>
      </c>
      <c r="O336" s="10">
        <v>372</v>
      </c>
    </row>
    <row r="337" spans="1:15" x14ac:dyDescent="0.2">
      <c r="A337" s="10" t="s">
        <v>378</v>
      </c>
      <c r="B337" s="10" t="s">
        <v>130</v>
      </c>
      <c r="C337" s="10" t="s">
        <v>56</v>
      </c>
      <c r="D337" s="10" t="s">
        <v>45</v>
      </c>
      <c r="E337" s="10" t="s">
        <v>46</v>
      </c>
      <c r="F337" s="10" t="s">
        <v>190</v>
      </c>
      <c r="G337" s="10" t="b">
        <f>TRUE()</f>
        <v>1</v>
      </c>
      <c r="H337" s="10">
        <v>1</v>
      </c>
      <c r="I337" s="10">
        <v>1</v>
      </c>
      <c r="J337" s="10">
        <v>2</v>
      </c>
      <c r="K337" s="10">
        <v>136</v>
      </c>
      <c r="L337" s="10">
        <v>155</v>
      </c>
      <c r="M337" s="10">
        <v>1</v>
      </c>
      <c r="N337" s="10">
        <v>173</v>
      </c>
      <c r="O337" s="10">
        <v>173</v>
      </c>
    </row>
    <row r="338" spans="1:15" x14ac:dyDescent="0.2">
      <c r="A338" s="10" t="s">
        <v>227</v>
      </c>
      <c r="B338" s="10" t="s">
        <v>70</v>
      </c>
      <c r="C338" s="10" t="s">
        <v>70</v>
      </c>
      <c r="D338" s="10" t="s">
        <v>45</v>
      </c>
      <c r="E338" s="10" t="s">
        <v>46</v>
      </c>
      <c r="F338" s="10" t="s">
        <v>58</v>
      </c>
      <c r="G338" s="10" t="b">
        <f>FALSE()</f>
        <v>0</v>
      </c>
      <c r="H338" s="10">
        <v>1</v>
      </c>
      <c r="I338" s="10">
        <v>0</v>
      </c>
      <c r="J338" s="10">
        <v>4</v>
      </c>
      <c r="K338" s="10">
        <v>218</v>
      </c>
      <c r="L338" s="10">
        <v>155</v>
      </c>
      <c r="M338" s="10">
        <v>0</v>
      </c>
      <c r="N338" s="10">
        <v>0</v>
      </c>
      <c r="O338" s="10">
        <v>0</v>
      </c>
    </row>
    <row r="339" spans="1:15" x14ac:dyDescent="0.2">
      <c r="A339" s="10" t="s">
        <v>110</v>
      </c>
      <c r="B339" s="10" t="s">
        <v>111</v>
      </c>
      <c r="C339" s="10" t="s">
        <v>112</v>
      </c>
      <c r="D339" s="10" t="s">
        <v>51</v>
      </c>
      <c r="E339" s="10" t="s">
        <v>52</v>
      </c>
      <c r="F339" s="10" t="s">
        <v>47</v>
      </c>
      <c r="G339" s="10" t="b">
        <f>FALSE()</f>
        <v>0</v>
      </c>
      <c r="H339" s="10">
        <v>1</v>
      </c>
      <c r="I339" s="10">
        <v>0</v>
      </c>
      <c r="J339" s="10">
        <v>2</v>
      </c>
      <c r="K339" s="10">
        <v>170</v>
      </c>
      <c r="L339" s="10">
        <v>155</v>
      </c>
      <c r="M339" s="10">
        <v>0</v>
      </c>
      <c r="N339" s="10">
        <v>0</v>
      </c>
      <c r="O339" s="10">
        <v>0</v>
      </c>
    </row>
    <row r="340" spans="1:15" x14ac:dyDescent="0.2">
      <c r="A340" s="10" t="s">
        <v>379</v>
      </c>
      <c r="B340" s="10" t="s">
        <v>70</v>
      </c>
      <c r="C340" s="10" t="s">
        <v>70</v>
      </c>
      <c r="D340" s="10" t="s">
        <v>45</v>
      </c>
      <c r="E340" s="10" t="s">
        <v>46</v>
      </c>
      <c r="F340" s="10" t="s">
        <v>61</v>
      </c>
      <c r="G340" s="10" t="b">
        <f>FALSE()</f>
        <v>0</v>
      </c>
      <c r="H340" s="10">
        <v>1</v>
      </c>
      <c r="I340" s="10">
        <v>0</v>
      </c>
      <c r="J340" s="10">
        <v>1</v>
      </c>
      <c r="K340" s="10">
        <v>139</v>
      </c>
      <c r="L340" s="10">
        <v>155</v>
      </c>
      <c r="M340" s="10">
        <v>0</v>
      </c>
      <c r="N340" s="10">
        <v>0</v>
      </c>
      <c r="O340" s="10">
        <v>0</v>
      </c>
    </row>
    <row r="341" spans="1:15" x14ac:dyDescent="0.2">
      <c r="A341" s="10" t="s">
        <v>380</v>
      </c>
      <c r="B341" s="10" t="s">
        <v>43</v>
      </c>
      <c r="C341" s="10" t="s">
        <v>44</v>
      </c>
      <c r="D341" s="10" t="s">
        <v>45</v>
      </c>
      <c r="E341" s="10" t="s">
        <v>46</v>
      </c>
      <c r="F341" s="10" t="s">
        <v>79</v>
      </c>
      <c r="G341" s="10" t="b">
        <f>FALSE()</f>
        <v>0</v>
      </c>
      <c r="H341" s="10">
        <v>1</v>
      </c>
      <c r="I341" s="10">
        <v>0</v>
      </c>
      <c r="J341" s="10">
        <v>2</v>
      </c>
      <c r="K341" s="10">
        <v>155</v>
      </c>
      <c r="L341" s="10">
        <v>155</v>
      </c>
      <c r="M341" s="10">
        <v>0</v>
      </c>
      <c r="N341" s="10">
        <v>0</v>
      </c>
      <c r="O341" s="10">
        <v>0</v>
      </c>
    </row>
    <row r="342" spans="1:15" x14ac:dyDescent="0.2">
      <c r="A342" s="10" t="s">
        <v>154</v>
      </c>
      <c r="B342" s="10" t="s">
        <v>104</v>
      </c>
      <c r="C342" s="10" t="s">
        <v>105</v>
      </c>
      <c r="D342" s="10" t="s">
        <v>45</v>
      </c>
      <c r="E342" s="10" t="s">
        <v>46</v>
      </c>
      <c r="F342" s="10" t="s">
        <v>132</v>
      </c>
      <c r="G342" s="10" t="b">
        <f>FALSE()</f>
        <v>0</v>
      </c>
      <c r="H342" s="10">
        <v>1</v>
      </c>
      <c r="I342" s="10">
        <v>1</v>
      </c>
      <c r="J342" s="10">
        <v>1</v>
      </c>
      <c r="K342" s="10">
        <v>136</v>
      </c>
      <c r="L342" s="10">
        <v>154</v>
      </c>
      <c r="M342" s="10">
        <v>1</v>
      </c>
      <c r="N342" s="10">
        <v>152</v>
      </c>
      <c r="O342" s="10">
        <v>151</v>
      </c>
    </row>
    <row r="343" spans="1:15" x14ac:dyDescent="0.2">
      <c r="A343" s="10" t="s">
        <v>381</v>
      </c>
      <c r="B343" s="10" t="s">
        <v>63</v>
      </c>
      <c r="C343" s="10" t="s">
        <v>64</v>
      </c>
      <c r="D343" s="10" t="s">
        <v>45</v>
      </c>
      <c r="E343" s="10" t="s">
        <v>46</v>
      </c>
      <c r="F343" s="10" t="s">
        <v>65</v>
      </c>
      <c r="G343" s="10" t="b">
        <f>FALSE()</f>
        <v>0</v>
      </c>
      <c r="H343" s="10">
        <v>1</v>
      </c>
      <c r="I343" s="10">
        <v>1</v>
      </c>
      <c r="J343" s="10">
        <v>1</v>
      </c>
      <c r="K343" s="10">
        <v>156</v>
      </c>
      <c r="L343" s="10">
        <v>154</v>
      </c>
      <c r="M343" s="10">
        <v>1</v>
      </c>
      <c r="N343" s="10">
        <v>99</v>
      </c>
      <c r="O343" s="10">
        <v>99</v>
      </c>
    </row>
    <row r="344" spans="1:15" x14ac:dyDescent="0.2">
      <c r="A344" s="10" t="s">
        <v>69</v>
      </c>
      <c r="B344" s="10" t="s">
        <v>70</v>
      </c>
      <c r="C344" s="10" t="s">
        <v>70</v>
      </c>
      <c r="D344" s="10" t="s">
        <v>45</v>
      </c>
      <c r="E344" s="10" t="s">
        <v>46</v>
      </c>
      <c r="F344" s="10" t="s">
        <v>79</v>
      </c>
      <c r="G344" s="10" t="b">
        <f>FALSE()</f>
        <v>0</v>
      </c>
      <c r="H344" s="10">
        <v>1</v>
      </c>
      <c r="I344" s="10">
        <v>0</v>
      </c>
      <c r="J344" s="10">
        <v>2</v>
      </c>
      <c r="K344" s="10">
        <v>154</v>
      </c>
      <c r="L344" s="10">
        <v>154</v>
      </c>
      <c r="M344" s="10">
        <v>0</v>
      </c>
      <c r="N344" s="10">
        <v>0</v>
      </c>
      <c r="O344" s="10">
        <v>0</v>
      </c>
    </row>
    <row r="345" spans="1:15" x14ac:dyDescent="0.2">
      <c r="A345" s="10" t="s">
        <v>337</v>
      </c>
      <c r="B345" s="10" t="s">
        <v>70</v>
      </c>
      <c r="C345" s="10" t="s">
        <v>70</v>
      </c>
      <c r="D345" s="10" t="s">
        <v>45</v>
      </c>
      <c r="E345" s="10" t="s">
        <v>46</v>
      </c>
      <c r="F345" s="10" t="s">
        <v>91</v>
      </c>
      <c r="G345" s="10" t="b">
        <f>TRUE()</f>
        <v>1</v>
      </c>
      <c r="H345" s="10">
        <v>1</v>
      </c>
      <c r="I345" s="10">
        <v>0</v>
      </c>
      <c r="J345" s="10">
        <v>2</v>
      </c>
      <c r="K345" s="10">
        <v>161</v>
      </c>
      <c r="L345" s="10">
        <v>154</v>
      </c>
      <c r="M345" s="10">
        <v>0</v>
      </c>
      <c r="N345" s="10">
        <v>0</v>
      </c>
      <c r="O345" s="10">
        <v>0</v>
      </c>
    </row>
    <row r="346" spans="1:15" x14ac:dyDescent="0.2">
      <c r="A346" s="10" t="s">
        <v>382</v>
      </c>
      <c r="B346" s="10" t="s">
        <v>104</v>
      </c>
      <c r="C346" s="10" t="s">
        <v>105</v>
      </c>
      <c r="D346" s="10" t="s">
        <v>45</v>
      </c>
      <c r="E346" s="10" t="s">
        <v>46</v>
      </c>
      <c r="F346" s="10" t="s">
        <v>79</v>
      </c>
      <c r="G346" s="10" t="b">
        <f>FALSE()</f>
        <v>0</v>
      </c>
      <c r="H346" s="10">
        <v>1</v>
      </c>
      <c r="I346" s="10">
        <v>0</v>
      </c>
      <c r="J346" s="10">
        <v>2</v>
      </c>
      <c r="K346" s="10">
        <v>111</v>
      </c>
      <c r="L346" s="10">
        <v>154</v>
      </c>
      <c r="M346" s="10">
        <v>0</v>
      </c>
      <c r="N346" s="10">
        <v>0</v>
      </c>
      <c r="O346" s="10">
        <v>0</v>
      </c>
    </row>
    <row r="347" spans="1:15" x14ac:dyDescent="0.2">
      <c r="A347" s="10" t="s">
        <v>383</v>
      </c>
      <c r="B347" s="10" t="s">
        <v>384</v>
      </c>
      <c r="C347" s="10" t="s">
        <v>50</v>
      </c>
      <c r="D347" s="10" t="s">
        <v>51</v>
      </c>
      <c r="E347" s="10" t="s">
        <v>52</v>
      </c>
      <c r="F347" s="10" t="s">
        <v>74</v>
      </c>
      <c r="G347" s="10" t="b">
        <f>FALSE()</f>
        <v>0</v>
      </c>
      <c r="H347" s="10">
        <v>1</v>
      </c>
      <c r="I347" s="10">
        <v>1</v>
      </c>
      <c r="J347" s="10">
        <v>1</v>
      </c>
      <c r="K347" s="10">
        <v>91</v>
      </c>
      <c r="L347" s="10">
        <v>153</v>
      </c>
      <c r="M347" s="10">
        <v>1</v>
      </c>
      <c r="N347" s="10">
        <v>299</v>
      </c>
      <c r="O347" s="10">
        <v>296</v>
      </c>
    </row>
    <row r="348" spans="1:15" x14ac:dyDescent="0.2">
      <c r="A348" s="10" t="s">
        <v>84</v>
      </c>
      <c r="B348" s="10" t="s">
        <v>43</v>
      </c>
      <c r="C348" s="10" t="s">
        <v>44</v>
      </c>
      <c r="D348" s="10" t="s">
        <v>45</v>
      </c>
      <c r="E348" s="10" t="s">
        <v>46</v>
      </c>
      <c r="F348" s="10" t="s">
        <v>251</v>
      </c>
      <c r="G348" s="10" t="b">
        <f>FALSE()</f>
        <v>0</v>
      </c>
      <c r="H348" s="10">
        <v>1</v>
      </c>
      <c r="I348" s="10">
        <v>1</v>
      </c>
      <c r="J348" s="10">
        <v>4</v>
      </c>
      <c r="K348" s="10">
        <v>179</v>
      </c>
      <c r="L348" s="10">
        <v>153</v>
      </c>
      <c r="M348" s="10">
        <v>1</v>
      </c>
      <c r="N348" s="10">
        <v>77</v>
      </c>
      <c r="O348" s="10">
        <v>77</v>
      </c>
    </row>
    <row r="349" spans="1:15" x14ac:dyDescent="0.2">
      <c r="A349" s="10" t="s">
        <v>202</v>
      </c>
      <c r="B349" s="10" t="s">
        <v>136</v>
      </c>
      <c r="C349" s="10" t="s">
        <v>73</v>
      </c>
      <c r="D349" s="10" t="s">
        <v>45</v>
      </c>
      <c r="E349" s="10" t="s">
        <v>46</v>
      </c>
      <c r="F349" s="10" t="s">
        <v>183</v>
      </c>
      <c r="G349" s="10" t="b">
        <f>FALSE()</f>
        <v>0</v>
      </c>
      <c r="H349" s="10">
        <v>1</v>
      </c>
      <c r="I349" s="10">
        <v>0</v>
      </c>
      <c r="J349" s="10">
        <v>2</v>
      </c>
      <c r="K349" s="10">
        <v>193</v>
      </c>
      <c r="L349" s="10">
        <v>153</v>
      </c>
      <c r="M349" s="10">
        <v>0</v>
      </c>
      <c r="N349" s="10">
        <v>0</v>
      </c>
      <c r="O349" s="10">
        <v>0</v>
      </c>
    </row>
    <row r="350" spans="1:15" x14ac:dyDescent="0.2">
      <c r="A350" s="10" t="s">
        <v>343</v>
      </c>
      <c r="B350" s="10" t="s">
        <v>385</v>
      </c>
      <c r="C350" s="10" t="s">
        <v>90</v>
      </c>
      <c r="D350" s="10" t="s">
        <v>51</v>
      </c>
      <c r="E350" s="10" t="s">
        <v>52</v>
      </c>
      <c r="F350" s="10" t="s">
        <v>61</v>
      </c>
      <c r="G350" s="10" t="b">
        <f>FALSE()</f>
        <v>0</v>
      </c>
      <c r="H350" s="10">
        <v>1</v>
      </c>
      <c r="I350" s="10">
        <v>1</v>
      </c>
      <c r="J350" s="10">
        <v>3</v>
      </c>
      <c r="K350" s="10">
        <v>164</v>
      </c>
      <c r="L350" s="10">
        <v>152</v>
      </c>
      <c r="M350" s="10">
        <v>1</v>
      </c>
      <c r="N350" s="10">
        <v>242</v>
      </c>
      <c r="O350" s="10">
        <v>231</v>
      </c>
    </row>
    <row r="351" spans="1:15" x14ac:dyDescent="0.2">
      <c r="A351" s="10" t="s">
        <v>129</v>
      </c>
      <c r="B351" s="10" t="s">
        <v>130</v>
      </c>
      <c r="C351" s="10" t="s">
        <v>56</v>
      </c>
      <c r="D351" s="10" t="s">
        <v>45</v>
      </c>
      <c r="E351" s="10" t="s">
        <v>46</v>
      </c>
      <c r="F351" s="10" t="s">
        <v>61</v>
      </c>
      <c r="G351" s="10" t="b">
        <f>FALSE()</f>
        <v>0</v>
      </c>
      <c r="H351" s="10">
        <v>1</v>
      </c>
      <c r="I351" s="10">
        <v>0</v>
      </c>
      <c r="J351" s="10">
        <v>1</v>
      </c>
      <c r="K351" s="10">
        <v>172</v>
      </c>
      <c r="L351" s="10">
        <v>152</v>
      </c>
      <c r="M351" s="10">
        <v>0</v>
      </c>
      <c r="N351" s="10">
        <v>0</v>
      </c>
      <c r="O351" s="10">
        <v>0</v>
      </c>
    </row>
    <row r="352" spans="1:15" x14ac:dyDescent="0.2">
      <c r="A352" s="10" t="s">
        <v>386</v>
      </c>
      <c r="B352" s="10" t="s">
        <v>104</v>
      </c>
      <c r="C352" s="10" t="s">
        <v>105</v>
      </c>
      <c r="D352" s="10" t="s">
        <v>45</v>
      </c>
      <c r="E352" s="10" t="s">
        <v>46</v>
      </c>
      <c r="F352" s="10" t="s">
        <v>61</v>
      </c>
      <c r="G352" s="10" t="b">
        <f>FALSE()</f>
        <v>0</v>
      </c>
      <c r="H352" s="10">
        <v>1</v>
      </c>
      <c r="I352" s="10">
        <v>0</v>
      </c>
      <c r="J352" s="10">
        <v>2</v>
      </c>
      <c r="K352" s="10">
        <v>51</v>
      </c>
      <c r="L352" s="10">
        <v>152</v>
      </c>
      <c r="M352" s="10">
        <v>0</v>
      </c>
      <c r="N352" s="10">
        <v>0</v>
      </c>
      <c r="O352" s="10">
        <v>0</v>
      </c>
    </row>
    <row r="353" spans="1:15" x14ac:dyDescent="0.2">
      <c r="A353" s="10" t="s">
        <v>387</v>
      </c>
      <c r="B353" s="10" t="s">
        <v>55</v>
      </c>
      <c r="C353" s="10" t="s">
        <v>56</v>
      </c>
      <c r="D353" s="10" t="s">
        <v>45</v>
      </c>
      <c r="E353" s="10" t="s">
        <v>46</v>
      </c>
      <c r="F353" s="10" t="s">
        <v>212</v>
      </c>
      <c r="G353" s="10" t="b">
        <f>FALSE()</f>
        <v>0</v>
      </c>
      <c r="H353" s="10">
        <v>1</v>
      </c>
      <c r="I353" s="10">
        <v>0</v>
      </c>
      <c r="J353" s="10">
        <v>2</v>
      </c>
      <c r="K353" s="10">
        <v>153</v>
      </c>
      <c r="L353" s="10">
        <v>152</v>
      </c>
      <c r="M353" s="10">
        <v>0</v>
      </c>
      <c r="N353" s="10">
        <v>0</v>
      </c>
      <c r="O353" s="10">
        <v>0</v>
      </c>
    </row>
    <row r="354" spans="1:15" x14ac:dyDescent="0.2">
      <c r="A354" s="10" t="s">
        <v>388</v>
      </c>
      <c r="B354" s="10" t="s">
        <v>151</v>
      </c>
      <c r="C354" s="10" t="s">
        <v>64</v>
      </c>
      <c r="D354" s="10" t="s">
        <v>45</v>
      </c>
      <c r="E354" s="10" t="s">
        <v>46</v>
      </c>
      <c r="F354" s="10" t="s">
        <v>190</v>
      </c>
      <c r="G354" s="10" t="b">
        <f>TRUE()</f>
        <v>1</v>
      </c>
      <c r="H354" s="10">
        <v>1</v>
      </c>
      <c r="I354" s="10">
        <v>0</v>
      </c>
      <c r="J354" s="10">
        <v>2</v>
      </c>
      <c r="K354" s="10">
        <v>154</v>
      </c>
      <c r="L354" s="10">
        <v>152</v>
      </c>
      <c r="M354" s="10">
        <v>0</v>
      </c>
      <c r="N354" s="10">
        <v>0</v>
      </c>
      <c r="O354" s="10">
        <v>0</v>
      </c>
    </row>
    <row r="355" spans="1:15" x14ac:dyDescent="0.2">
      <c r="A355" s="10" t="s">
        <v>389</v>
      </c>
      <c r="B355" s="10" t="s">
        <v>63</v>
      </c>
      <c r="C355" s="10" t="s">
        <v>64</v>
      </c>
      <c r="D355" s="10" t="s">
        <v>45</v>
      </c>
      <c r="E355" s="10" t="s">
        <v>46</v>
      </c>
      <c r="F355" s="10" t="s">
        <v>65</v>
      </c>
      <c r="G355" s="10" t="b">
        <f>FALSE()</f>
        <v>0</v>
      </c>
      <c r="H355" s="10">
        <v>1</v>
      </c>
      <c r="I355" s="10">
        <v>1</v>
      </c>
      <c r="J355" s="10">
        <v>2</v>
      </c>
      <c r="K355" s="10">
        <v>155</v>
      </c>
      <c r="L355" s="10">
        <v>151</v>
      </c>
      <c r="M355" s="10">
        <v>1</v>
      </c>
      <c r="N355" s="10">
        <v>150</v>
      </c>
      <c r="O355" s="10">
        <v>150</v>
      </c>
    </row>
    <row r="356" spans="1:15" x14ac:dyDescent="0.2">
      <c r="A356" s="10" t="s">
        <v>156</v>
      </c>
      <c r="B356" s="10" t="s">
        <v>157</v>
      </c>
      <c r="C356" s="10" t="s">
        <v>64</v>
      </c>
      <c r="D356" s="10" t="s">
        <v>45</v>
      </c>
      <c r="E356" s="10" t="s">
        <v>46</v>
      </c>
      <c r="F356" s="10" t="s">
        <v>190</v>
      </c>
      <c r="G356" s="10" t="b">
        <f>TRUE()</f>
        <v>1</v>
      </c>
      <c r="H356" s="10">
        <v>1</v>
      </c>
      <c r="I356" s="10">
        <v>1</v>
      </c>
      <c r="J356" s="10">
        <v>2</v>
      </c>
      <c r="K356" s="10">
        <v>176</v>
      </c>
      <c r="L356" s="10">
        <v>151</v>
      </c>
      <c r="M356" s="10">
        <v>1</v>
      </c>
      <c r="N356" s="10">
        <v>148</v>
      </c>
      <c r="O356" s="10">
        <v>148</v>
      </c>
    </row>
    <row r="357" spans="1:15" x14ac:dyDescent="0.2">
      <c r="A357" s="10" t="s">
        <v>290</v>
      </c>
      <c r="B357" s="10" t="s">
        <v>260</v>
      </c>
      <c r="C357" s="10" t="s">
        <v>64</v>
      </c>
      <c r="D357" s="10" t="s">
        <v>45</v>
      </c>
      <c r="E357" s="10" t="s">
        <v>46</v>
      </c>
      <c r="F357" s="10" t="s">
        <v>183</v>
      </c>
      <c r="G357" s="10" t="b">
        <f>FALSE()</f>
        <v>0</v>
      </c>
      <c r="H357" s="10">
        <v>1</v>
      </c>
      <c r="I357" s="10">
        <v>0</v>
      </c>
      <c r="J357" s="10">
        <v>1</v>
      </c>
      <c r="K357" s="10">
        <v>172</v>
      </c>
      <c r="L357" s="10">
        <v>151</v>
      </c>
      <c r="M357" s="10">
        <v>0</v>
      </c>
      <c r="N357" s="10">
        <v>0</v>
      </c>
      <c r="O357" s="10">
        <v>0</v>
      </c>
    </row>
    <row r="358" spans="1:15" x14ac:dyDescent="0.2">
      <c r="A358" s="10" t="s">
        <v>182</v>
      </c>
      <c r="B358" s="10" t="s">
        <v>104</v>
      </c>
      <c r="C358" s="10" t="s">
        <v>105</v>
      </c>
      <c r="D358" s="10" t="s">
        <v>45</v>
      </c>
      <c r="E358" s="10" t="s">
        <v>46</v>
      </c>
      <c r="F358" s="10" t="s">
        <v>363</v>
      </c>
      <c r="G358" s="10" t="b">
        <f>FALSE()</f>
        <v>0</v>
      </c>
      <c r="H358" s="10">
        <v>1</v>
      </c>
      <c r="I358" s="10">
        <v>0</v>
      </c>
      <c r="J358" s="10">
        <v>1</v>
      </c>
      <c r="K358" s="10">
        <v>140</v>
      </c>
      <c r="L358" s="10">
        <v>151</v>
      </c>
      <c r="M358" s="10">
        <v>0</v>
      </c>
      <c r="N358" s="10">
        <v>0</v>
      </c>
      <c r="O358" s="10">
        <v>0</v>
      </c>
    </row>
    <row r="359" spans="1:15" x14ac:dyDescent="0.2">
      <c r="A359" s="10" t="s">
        <v>355</v>
      </c>
      <c r="B359" s="10" t="s">
        <v>119</v>
      </c>
      <c r="C359" s="10" t="s">
        <v>56</v>
      </c>
      <c r="D359" s="10" t="s">
        <v>45</v>
      </c>
      <c r="E359" s="10" t="s">
        <v>46</v>
      </c>
      <c r="F359" s="10" t="s">
        <v>92</v>
      </c>
      <c r="G359" s="10" t="b">
        <f>FALSE()</f>
        <v>0</v>
      </c>
      <c r="H359" s="10">
        <v>1</v>
      </c>
      <c r="I359" s="10">
        <v>0</v>
      </c>
      <c r="J359" s="10">
        <v>1</v>
      </c>
      <c r="K359" s="10">
        <v>92</v>
      </c>
      <c r="L359" s="10">
        <v>151</v>
      </c>
      <c r="M359" s="10">
        <v>0</v>
      </c>
      <c r="N359" s="10">
        <v>0</v>
      </c>
      <c r="O359" s="10">
        <v>0</v>
      </c>
    </row>
    <row r="360" spans="1:15" x14ac:dyDescent="0.2">
      <c r="A360" s="10" t="s">
        <v>390</v>
      </c>
      <c r="B360" s="10" t="s">
        <v>72</v>
      </c>
      <c r="C360" s="10" t="s">
        <v>73</v>
      </c>
      <c r="D360" s="10" t="s">
        <v>45</v>
      </c>
      <c r="E360" s="10" t="s">
        <v>46</v>
      </c>
      <c r="F360" s="10" t="s">
        <v>190</v>
      </c>
      <c r="G360" s="10" t="b">
        <f>TRUE()</f>
        <v>1</v>
      </c>
      <c r="H360" s="10">
        <v>1</v>
      </c>
      <c r="I360" s="10">
        <v>0</v>
      </c>
      <c r="J360" s="10">
        <v>0</v>
      </c>
      <c r="K360" s="10">
        <v>0</v>
      </c>
      <c r="L360" s="10">
        <v>151</v>
      </c>
      <c r="M360" s="10">
        <v>0</v>
      </c>
      <c r="N360" s="10">
        <v>0</v>
      </c>
      <c r="O360" s="10">
        <v>0</v>
      </c>
    </row>
    <row r="361" spans="1:15" x14ac:dyDescent="0.2">
      <c r="A361" s="10" t="s">
        <v>129</v>
      </c>
      <c r="B361" s="10" t="s">
        <v>63</v>
      </c>
      <c r="C361" s="10" t="s">
        <v>64</v>
      </c>
      <c r="D361" s="10" t="s">
        <v>45</v>
      </c>
      <c r="E361" s="10" t="s">
        <v>46</v>
      </c>
      <c r="F361" s="10" t="s">
        <v>92</v>
      </c>
      <c r="G361" s="10" t="b">
        <f>FALSE()</f>
        <v>0</v>
      </c>
      <c r="H361" s="10">
        <v>1</v>
      </c>
      <c r="I361" s="10">
        <v>0</v>
      </c>
      <c r="J361" s="10">
        <v>3</v>
      </c>
      <c r="K361" s="10">
        <v>163</v>
      </c>
      <c r="L361" s="10">
        <v>151</v>
      </c>
      <c r="M361" s="10">
        <v>0</v>
      </c>
      <c r="N361" s="10">
        <v>0</v>
      </c>
      <c r="O361" s="10">
        <v>0</v>
      </c>
    </row>
    <row r="362" spans="1:15" x14ac:dyDescent="0.2">
      <c r="A362" s="10" t="s">
        <v>391</v>
      </c>
      <c r="B362" s="10" t="s">
        <v>146</v>
      </c>
      <c r="C362" s="10" t="s">
        <v>105</v>
      </c>
      <c r="D362" s="10" t="s">
        <v>45</v>
      </c>
      <c r="E362" s="10" t="s">
        <v>46</v>
      </c>
      <c r="F362" s="10" t="s">
        <v>92</v>
      </c>
      <c r="G362" s="10" t="b">
        <f>FALSE()</f>
        <v>0</v>
      </c>
      <c r="H362" s="10">
        <v>1</v>
      </c>
      <c r="I362" s="10">
        <v>0</v>
      </c>
      <c r="J362" s="10">
        <v>1</v>
      </c>
      <c r="K362" s="10">
        <v>138</v>
      </c>
      <c r="L362" s="10">
        <v>151</v>
      </c>
      <c r="M362" s="10">
        <v>0</v>
      </c>
      <c r="N362" s="10">
        <v>0</v>
      </c>
      <c r="O362" s="10">
        <v>0</v>
      </c>
    </row>
    <row r="363" spans="1:15" x14ac:dyDescent="0.2">
      <c r="A363" s="10" t="s">
        <v>197</v>
      </c>
      <c r="B363" s="10" t="s">
        <v>258</v>
      </c>
      <c r="C363" s="10" t="s">
        <v>90</v>
      </c>
      <c r="D363" s="10" t="s">
        <v>51</v>
      </c>
      <c r="E363" s="10" t="s">
        <v>52</v>
      </c>
      <c r="F363" s="10" t="s">
        <v>61</v>
      </c>
      <c r="G363" s="10" t="b">
        <f>FALSE()</f>
        <v>0</v>
      </c>
      <c r="H363" s="10">
        <v>1</v>
      </c>
      <c r="I363" s="10">
        <v>0</v>
      </c>
      <c r="J363" s="10">
        <v>3</v>
      </c>
      <c r="K363" s="10">
        <v>154</v>
      </c>
      <c r="L363" s="10">
        <v>151</v>
      </c>
      <c r="M363" s="10">
        <v>0</v>
      </c>
      <c r="N363" s="10">
        <v>0</v>
      </c>
      <c r="O363" s="10">
        <v>0</v>
      </c>
    </row>
    <row r="364" spans="1:15" x14ac:dyDescent="0.2">
      <c r="A364" s="10" t="s">
        <v>392</v>
      </c>
      <c r="B364" s="10" t="s">
        <v>151</v>
      </c>
      <c r="C364" s="10" t="s">
        <v>64</v>
      </c>
      <c r="D364" s="10" t="s">
        <v>45</v>
      </c>
      <c r="E364" s="10" t="s">
        <v>46</v>
      </c>
      <c r="F364" s="10" t="s">
        <v>47</v>
      </c>
      <c r="G364" s="10" t="b">
        <f>FALSE()</f>
        <v>0</v>
      </c>
      <c r="H364" s="10">
        <v>1</v>
      </c>
      <c r="I364" s="10">
        <v>1</v>
      </c>
      <c r="J364" s="10">
        <v>2</v>
      </c>
      <c r="K364" s="10">
        <v>157</v>
      </c>
      <c r="L364" s="10">
        <v>150</v>
      </c>
      <c r="M364" s="10">
        <v>1</v>
      </c>
      <c r="N364" s="10">
        <v>702</v>
      </c>
      <c r="O364" s="10">
        <v>702</v>
      </c>
    </row>
    <row r="365" spans="1:15" x14ac:dyDescent="0.2">
      <c r="A365" s="10" t="s">
        <v>353</v>
      </c>
      <c r="B365" s="10" t="s">
        <v>160</v>
      </c>
      <c r="C365" s="10" t="s">
        <v>56</v>
      </c>
      <c r="D365" s="10" t="s">
        <v>45</v>
      </c>
      <c r="E365" s="10" t="s">
        <v>46</v>
      </c>
      <c r="F365" s="10" t="s">
        <v>92</v>
      </c>
      <c r="G365" s="10" t="b">
        <f>FALSE()</f>
        <v>0</v>
      </c>
      <c r="H365" s="10">
        <v>1</v>
      </c>
      <c r="I365" s="10">
        <v>1</v>
      </c>
      <c r="J365" s="10">
        <v>4</v>
      </c>
      <c r="K365" s="10">
        <v>137</v>
      </c>
      <c r="L365" s="10">
        <v>150</v>
      </c>
      <c r="M365" s="10">
        <v>1</v>
      </c>
      <c r="N365" s="10">
        <v>116</v>
      </c>
      <c r="O365" s="10">
        <v>116</v>
      </c>
    </row>
    <row r="366" spans="1:15" x14ac:dyDescent="0.2">
      <c r="A366" s="10" t="s">
        <v>296</v>
      </c>
      <c r="B366" s="10" t="s">
        <v>297</v>
      </c>
      <c r="C366" s="10" t="s">
        <v>117</v>
      </c>
      <c r="D366" s="10" t="s">
        <v>51</v>
      </c>
      <c r="E366" s="10" t="s">
        <v>52</v>
      </c>
      <c r="F366" s="10" t="s">
        <v>61</v>
      </c>
      <c r="G366" s="10" t="b">
        <f>FALSE()</f>
        <v>0</v>
      </c>
      <c r="H366" s="10">
        <v>1</v>
      </c>
      <c r="I366" s="10">
        <v>1</v>
      </c>
      <c r="J366" s="10">
        <v>2</v>
      </c>
      <c r="K366" s="10">
        <v>151</v>
      </c>
      <c r="L366" s="10">
        <v>150</v>
      </c>
      <c r="M366" s="10">
        <v>1</v>
      </c>
      <c r="N366" s="10">
        <v>113</v>
      </c>
      <c r="O366" s="10">
        <v>115</v>
      </c>
    </row>
    <row r="367" spans="1:15" x14ac:dyDescent="0.2">
      <c r="A367" s="10" t="s">
        <v>154</v>
      </c>
      <c r="B367" s="10" t="s">
        <v>104</v>
      </c>
      <c r="C367" s="10" t="s">
        <v>105</v>
      </c>
      <c r="D367" s="10" t="s">
        <v>45</v>
      </c>
      <c r="E367" s="10" t="s">
        <v>46</v>
      </c>
      <c r="F367" s="10" t="s">
        <v>393</v>
      </c>
      <c r="G367" s="10" t="b">
        <f>FALSE()</f>
        <v>0</v>
      </c>
      <c r="H367" s="10">
        <v>1</v>
      </c>
      <c r="I367" s="10">
        <v>1</v>
      </c>
      <c r="J367" s="10">
        <v>1</v>
      </c>
      <c r="K367" s="10">
        <v>72</v>
      </c>
      <c r="L367" s="10">
        <v>149</v>
      </c>
      <c r="M367" s="10">
        <v>1</v>
      </c>
      <c r="N367" s="10">
        <v>48</v>
      </c>
      <c r="O367" s="10">
        <v>46</v>
      </c>
    </row>
    <row r="368" spans="1:15" x14ac:dyDescent="0.2">
      <c r="A368" s="10" t="s">
        <v>394</v>
      </c>
      <c r="B368" s="10" t="s">
        <v>157</v>
      </c>
      <c r="C368" s="10" t="s">
        <v>64</v>
      </c>
      <c r="D368" s="10" t="s">
        <v>45</v>
      </c>
      <c r="E368" s="10" t="s">
        <v>46</v>
      </c>
      <c r="F368" s="10" t="s">
        <v>47</v>
      </c>
      <c r="G368" s="10" t="b">
        <f>FALSE()</f>
        <v>0</v>
      </c>
      <c r="H368" s="10">
        <v>1</v>
      </c>
      <c r="I368" s="10">
        <v>0</v>
      </c>
      <c r="J368" s="10">
        <v>2</v>
      </c>
      <c r="K368" s="10">
        <v>181</v>
      </c>
      <c r="L368" s="10">
        <v>149</v>
      </c>
      <c r="M368" s="10">
        <v>0</v>
      </c>
      <c r="N368" s="10">
        <v>0</v>
      </c>
      <c r="O368" s="10">
        <v>0</v>
      </c>
    </row>
    <row r="369" spans="1:15" x14ac:dyDescent="0.2">
      <c r="A369" s="10" t="s">
        <v>395</v>
      </c>
      <c r="B369" s="10" t="s">
        <v>273</v>
      </c>
      <c r="C369" s="10" t="s">
        <v>50</v>
      </c>
      <c r="D369" s="10" t="s">
        <v>51</v>
      </c>
      <c r="E369" s="10" t="s">
        <v>52</v>
      </c>
      <c r="F369" s="10" t="s">
        <v>61</v>
      </c>
      <c r="G369" s="10" t="b">
        <f>FALSE()</f>
        <v>0</v>
      </c>
      <c r="H369" s="10">
        <v>1</v>
      </c>
      <c r="I369" s="10">
        <v>0</v>
      </c>
      <c r="J369" s="10">
        <v>4</v>
      </c>
      <c r="K369" s="10">
        <v>149</v>
      </c>
      <c r="L369" s="10">
        <v>149</v>
      </c>
      <c r="M369" s="10">
        <v>0</v>
      </c>
      <c r="N369" s="10">
        <v>0</v>
      </c>
      <c r="O369" s="10">
        <v>0</v>
      </c>
    </row>
    <row r="370" spans="1:15" x14ac:dyDescent="0.2">
      <c r="A370" s="10" t="s">
        <v>396</v>
      </c>
      <c r="B370" s="10" t="s">
        <v>282</v>
      </c>
      <c r="C370" s="10" t="s">
        <v>50</v>
      </c>
      <c r="D370" s="10" t="s">
        <v>51</v>
      </c>
      <c r="E370" s="10" t="s">
        <v>52</v>
      </c>
      <c r="F370" s="10" t="s">
        <v>94</v>
      </c>
      <c r="G370" s="10" t="b">
        <f>FALSE()</f>
        <v>0</v>
      </c>
      <c r="H370" s="10">
        <v>1</v>
      </c>
      <c r="I370" s="10">
        <v>0</v>
      </c>
      <c r="J370" s="10">
        <v>2</v>
      </c>
      <c r="K370" s="10">
        <v>163</v>
      </c>
      <c r="L370" s="10">
        <v>149</v>
      </c>
      <c r="M370" s="10">
        <v>0</v>
      </c>
      <c r="N370" s="10">
        <v>0</v>
      </c>
      <c r="O370" s="10">
        <v>0</v>
      </c>
    </row>
    <row r="371" spans="1:15" x14ac:dyDescent="0.2">
      <c r="A371" s="10" t="s">
        <v>189</v>
      </c>
      <c r="B371" s="10" t="s">
        <v>43</v>
      </c>
      <c r="C371" s="10" t="s">
        <v>44</v>
      </c>
      <c r="D371" s="10" t="s">
        <v>45</v>
      </c>
      <c r="E371" s="10" t="s">
        <v>46</v>
      </c>
      <c r="F371" s="10" t="s">
        <v>92</v>
      </c>
      <c r="G371" s="10" t="b">
        <f>FALSE()</f>
        <v>0</v>
      </c>
      <c r="H371" s="10">
        <v>1</v>
      </c>
      <c r="I371" s="10">
        <v>1</v>
      </c>
      <c r="J371" s="10">
        <v>1</v>
      </c>
      <c r="K371" s="10">
        <v>152</v>
      </c>
      <c r="L371" s="10">
        <v>148</v>
      </c>
      <c r="M371" s="10">
        <v>1</v>
      </c>
      <c r="N371" s="10">
        <v>222</v>
      </c>
      <c r="O371" s="10">
        <v>222</v>
      </c>
    </row>
    <row r="372" spans="1:15" x14ac:dyDescent="0.2">
      <c r="A372" s="10" t="s">
        <v>376</v>
      </c>
      <c r="B372" s="10" t="s">
        <v>377</v>
      </c>
      <c r="C372" s="10" t="s">
        <v>50</v>
      </c>
      <c r="D372" s="10" t="s">
        <v>51</v>
      </c>
      <c r="E372" s="10" t="s">
        <v>52</v>
      </c>
      <c r="F372" s="10" t="s">
        <v>75</v>
      </c>
      <c r="G372" s="10" t="b">
        <f>FALSE()</f>
        <v>0</v>
      </c>
      <c r="H372" s="10">
        <v>1</v>
      </c>
      <c r="I372" s="10">
        <v>1</v>
      </c>
      <c r="J372" s="10">
        <v>3</v>
      </c>
      <c r="K372" s="10">
        <v>245</v>
      </c>
      <c r="L372" s="10">
        <v>148</v>
      </c>
      <c r="M372" s="10">
        <v>1</v>
      </c>
      <c r="N372" s="10">
        <v>113</v>
      </c>
      <c r="O372" s="10">
        <v>113</v>
      </c>
    </row>
    <row r="373" spans="1:15" x14ac:dyDescent="0.2">
      <c r="A373" s="10" t="s">
        <v>182</v>
      </c>
      <c r="B373" s="10" t="s">
        <v>104</v>
      </c>
      <c r="C373" s="10" t="s">
        <v>105</v>
      </c>
      <c r="D373" s="10" t="s">
        <v>45</v>
      </c>
      <c r="E373" s="10" t="s">
        <v>46</v>
      </c>
      <c r="F373" s="10" t="s">
        <v>113</v>
      </c>
      <c r="G373" s="10" t="b">
        <f>TRUE()</f>
        <v>1</v>
      </c>
      <c r="H373" s="10">
        <v>1</v>
      </c>
      <c r="I373" s="10">
        <v>0</v>
      </c>
      <c r="J373" s="10">
        <v>1</v>
      </c>
      <c r="K373" s="10">
        <v>106</v>
      </c>
      <c r="L373" s="10">
        <v>148</v>
      </c>
      <c r="M373" s="10">
        <v>0</v>
      </c>
      <c r="N373" s="10">
        <v>0</v>
      </c>
      <c r="O373" s="10">
        <v>0</v>
      </c>
    </row>
    <row r="374" spans="1:15" x14ac:dyDescent="0.2">
      <c r="A374" s="10" t="s">
        <v>152</v>
      </c>
      <c r="B374" s="10" t="s">
        <v>119</v>
      </c>
      <c r="C374" s="10" t="s">
        <v>56</v>
      </c>
      <c r="D374" s="10" t="s">
        <v>45</v>
      </c>
      <c r="E374" s="10" t="s">
        <v>46</v>
      </c>
      <c r="F374" s="10" t="s">
        <v>212</v>
      </c>
      <c r="G374" s="10" t="b">
        <f>FALSE()</f>
        <v>0</v>
      </c>
      <c r="H374" s="10">
        <v>1</v>
      </c>
      <c r="I374" s="10">
        <v>0</v>
      </c>
      <c r="J374" s="10">
        <v>2</v>
      </c>
      <c r="K374" s="10">
        <v>222</v>
      </c>
      <c r="L374" s="10">
        <v>148</v>
      </c>
      <c r="M374" s="10">
        <v>0</v>
      </c>
      <c r="N374" s="10">
        <v>0</v>
      </c>
      <c r="O374" s="10">
        <v>0</v>
      </c>
    </row>
    <row r="375" spans="1:15" x14ac:dyDescent="0.2">
      <c r="A375" s="10" t="s">
        <v>397</v>
      </c>
      <c r="B375" s="10" t="s">
        <v>398</v>
      </c>
      <c r="C375" s="10" t="s">
        <v>112</v>
      </c>
      <c r="D375" s="10" t="s">
        <v>51</v>
      </c>
      <c r="E375" s="10" t="s">
        <v>52</v>
      </c>
      <c r="F375" s="10" t="s">
        <v>94</v>
      </c>
      <c r="G375" s="10" t="b">
        <f>FALSE()</f>
        <v>0</v>
      </c>
      <c r="H375" s="10">
        <v>1</v>
      </c>
      <c r="I375" s="10">
        <v>0</v>
      </c>
      <c r="J375" s="10">
        <v>4</v>
      </c>
      <c r="K375" s="10">
        <v>196</v>
      </c>
      <c r="L375" s="10">
        <v>148</v>
      </c>
      <c r="M375" s="10">
        <v>0</v>
      </c>
      <c r="N375" s="10">
        <v>0</v>
      </c>
      <c r="O375" s="10">
        <v>0</v>
      </c>
    </row>
    <row r="376" spans="1:15" x14ac:dyDescent="0.2">
      <c r="A376" s="10" t="s">
        <v>399</v>
      </c>
      <c r="B376" s="10" t="s">
        <v>139</v>
      </c>
      <c r="C376" s="10" t="s">
        <v>64</v>
      </c>
      <c r="D376" s="10" t="s">
        <v>45</v>
      </c>
      <c r="E376" s="10" t="s">
        <v>46</v>
      </c>
      <c r="F376" s="10" t="s">
        <v>53</v>
      </c>
      <c r="G376" s="10" t="b">
        <f>FALSE()</f>
        <v>0</v>
      </c>
      <c r="H376" s="10">
        <v>1</v>
      </c>
      <c r="I376" s="10">
        <v>0</v>
      </c>
      <c r="J376" s="10">
        <v>3</v>
      </c>
      <c r="K376" s="10">
        <v>219</v>
      </c>
      <c r="L376" s="10">
        <v>148</v>
      </c>
      <c r="M376" s="10">
        <v>0</v>
      </c>
      <c r="N376" s="10">
        <v>0</v>
      </c>
      <c r="O376" s="10">
        <v>0</v>
      </c>
    </row>
    <row r="377" spans="1:15" x14ac:dyDescent="0.2">
      <c r="A377" s="10" t="s">
        <v>400</v>
      </c>
      <c r="B377" s="10" t="s">
        <v>238</v>
      </c>
      <c r="C377" s="10" t="s">
        <v>90</v>
      </c>
      <c r="D377" s="10" t="s">
        <v>51</v>
      </c>
      <c r="E377" s="10" t="s">
        <v>52</v>
      </c>
      <c r="F377" s="10" t="s">
        <v>180</v>
      </c>
      <c r="G377" s="10" t="b">
        <f>FALSE()</f>
        <v>0</v>
      </c>
      <c r="H377" s="10">
        <v>1</v>
      </c>
      <c r="I377" s="10">
        <v>0</v>
      </c>
      <c r="J377" s="10">
        <v>4</v>
      </c>
      <c r="K377" s="10">
        <v>148</v>
      </c>
      <c r="L377" s="10">
        <v>148</v>
      </c>
      <c r="M377" s="10">
        <v>0</v>
      </c>
      <c r="N377" s="10">
        <v>0</v>
      </c>
      <c r="O377" s="10">
        <v>0</v>
      </c>
    </row>
    <row r="378" spans="1:15" x14ac:dyDescent="0.2">
      <c r="A378" s="10" t="s">
        <v>401</v>
      </c>
      <c r="B378" s="10" t="s">
        <v>172</v>
      </c>
      <c r="C378" s="10" t="s">
        <v>44</v>
      </c>
      <c r="D378" s="10" t="s">
        <v>45</v>
      </c>
      <c r="E378" s="10" t="s">
        <v>46</v>
      </c>
      <c r="F378" s="10" t="s">
        <v>61</v>
      </c>
      <c r="G378" s="10" t="b">
        <f>FALSE()</f>
        <v>0</v>
      </c>
      <c r="H378" s="10">
        <v>1</v>
      </c>
      <c r="I378" s="10">
        <v>0</v>
      </c>
      <c r="J378" s="10">
        <v>1</v>
      </c>
      <c r="K378" s="10">
        <v>147</v>
      </c>
      <c r="L378" s="10">
        <v>147</v>
      </c>
      <c r="M378" s="10">
        <v>0</v>
      </c>
      <c r="N378" s="10">
        <v>0</v>
      </c>
      <c r="O378" s="10">
        <v>0</v>
      </c>
    </row>
    <row r="379" spans="1:15" x14ac:dyDescent="0.2">
      <c r="A379" s="10" t="s">
        <v>103</v>
      </c>
      <c r="B379" s="10" t="s">
        <v>104</v>
      </c>
      <c r="C379" s="10" t="s">
        <v>105</v>
      </c>
      <c r="D379" s="10" t="s">
        <v>45</v>
      </c>
      <c r="E379" s="10" t="s">
        <v>46</v>
      </c>
      <c r="F379" s="10" t="s">
        <v>83</v>
      </c>
      <c r="G379" s="10" t="b">
        <f>TRUE()</f>
        <v>1</v>
      </c>
      <c r="H379" s="10">
        <v>1</v>
      </c>
      <c r="I379" s="10">
        <v>1</v>
      </c>
      <c r="J379" s="10">
        <v>3</v>
      </c>
      <c r="K379" s="10">
        <v>169</v>
      </c>
      <c r="L379" s="10">
        <v>146</v>
      </c>
      <c r="M379" s="10">
        <v>1</v>
      </c>
      <c r="N379" s="10">
        <v>112</v>
      </c>
      <c r="O379" s="10">
        <v>112</v>
      </c>
    </row>
    <row r="380" spans="1:15" x14ac:dyDescent="0.2">
      <c r="A380" s="10" t="s">
        <v>402</v>
      </c>
      <c r="B380" s="10" t="s">
        <v>238</v>
      </c>
      <c r="C380" s="10" t="s">
        <v>90</v>
      </c>
      <c r="D380" s="10" t="s">
        <v>51</v>
      </c>
      <c r="E380" s="10" t="s">
        <v>52</v>
      </c>
      <c r="F380" s="10" t="s">
        <v>403</v>
      </c>
      <c r="G380" s="10" t="b">
        <f>TRUE()</f>
        <v>1</v>
      </c>
      <c r="H380" s="10">
        <v>1</v>
      </c>
      <c r="I380" s="10">
        <v>1</v>
      </c>
      <c r="J380" s="10">
        <v>2</v>
      </c>
      <c r="K380" s="10">
        <v>148</v>
      </c>
      <c r="L380" s="10">
        <v>145</v>
      </c>
      <c r="M380" s="10">
        <v>1</v>
      </c>
      <c r="N380" s="10">
        <v>377</v>
      </c>
      <c r="O380" s="10">
        <v>375</v>
      </c>
    </row>
    <row r="381" spans="1:15" x14ac:dyDescent="0.2">
      <c r="A381" s="10" t="s">
        <v>404</v>
      </c>
      <c r="B381" s="10" t="s">
        <v>405</v>
      </c>
      <c r="C381" s="10" t="s">
        <v>112</v>
      </c>
      <c r="D381" s="10" t="s">
        <v>51</v>
      </c>
      <c r="E381" s="10" t="s">
        <v>52</v>
      </c>
      <c r="F381" s="10" t="s">
        <v>75</v>
      </c>
      <c r="G381" s="10" t="b">
        <f>FALSE()</f>
        <v>0</v>
      </c>
      <c r="H381" s="10">
        <v>1</v>
      </c>
      <c r="I381" s="10">
        <v>1</v>
      </c>
      <c r="J381" s="10">
        <v>3</v>
      </c>
      <c r="K381" s="10">
        <v>127</v>
      </c>
      <c r="L381" s="10">
        <v>145</v>
      </c>
      <c r="M381" s="10">
        <v>1</v>
      </c>
      <c r="N381" s="10">
        <v>114</v>
      </c>
      <c r="O381" s="10">
        <v>114</v>
      </c>
    </row>
    <row r="382" spans="1:15" x14ac:dyDescent="0.2">
      <c r="A382" s="10" t="s">
        <v>387</v>
      </c>
      <c r="B382" s="10" t="s">
        <v>55</v>
      </c>
      <c r="C382" s="10" t="s">
        <v>56</v>
      </c>
      <c r="D382" s="10" t="s">
        <v>45</v>
      </c>
      <c r="E382" s="10" t="s">
        <v>46</v>
      </c>
      <c r="F382" s="10" t="s">
        <v>79</v>
      </c>
      <c r="G382" s="10" t="b">
        <f>FALSE()</f>
        <v>0</v>
      </c>
      <c r="H382" s="10">
        <v>1</v>
      </c>
      <c r="I382" s="10">
        <v>1</v>
      </c>
      <c r="J382" s="10">
        <v>1</v>
      </c>
      <c r="K382" s="10">
        <v>149</v>
      </c>
      <c r="L382" s="10">
        <v>145</v>
      </c>
      <c r="M382" s="10">
        <v>1</v>
      </c>
      <c r="N382" s="10">
        <v>73</v>
      </c>
      <c r="O382" s="10">
        <v>73</v>
      </c>
    </row>
    <row r="383" spans="1:15" x14ac:dyDescent="0.2">
      <c r="A383" s="10" t="s">
        <v>84</v>
      </c>
      <c r="B383" s="10" t="s">
        <v>43</v>
      </c>
      <c r="C383" s="10" t="s">
        <v>44</v>
      </c>
      <c r="D383" s="10" t="s">
        <v>45</v>
      </c>
      <c r="E383" s="10" t="s">
        <v>46</v>
      </c>
      <c r="F383" s="10" t="s">
        <v>58</v>
      </c>
      <c r="G383" s="10" t="b">
        <f>FALSE()</f>
        <v>0</v>
      </c>
      <c r="H383" s="10">
        <v>1</v>
      </c>
      <c r="I383" s="10">
        <v>1</v>
      </c>
      <c r="J383" s="10">
        <v>2</v>
      </c>
      <c r="K383" s="10">
        <v>127</v>
      </c>
      <c r="L383" s="10">
        <v>145</v>
      </c>
      <c r="M383" s="10">
        <v>1</v>
      </c>
      <c r="N383" s="10">
        <v>62</v>
      </c>
      <c r="O383" s="10">
        <v>62</v>
      </c>
    </row>
    <row r="384" spans="1:15" x14ac:dyDescent="0.2">
      <c r="A384" s="10" t="s">
        <v>182</v>
      </c>
      <c r="B384" s="10" t="s">
        <v>104</v>
      </c>
      <c r="C384" s="10" t="s">
        <v>105</v>
      </c>
      <c r="D384" s="10" t="s">
        <v>45</v>
      </c>
      <c r="E384" s="10" t="s">
        <v>46</v>
      </c>
      <c r="F384" s="10" t="s">
        <v>153</v>
      </c>
      <c r="G384" s="10" t="b">
        <f>FALSE()</f>
        <v>0</v>
      </c>
      <c r="H384" s="10">
        <v>1</v>
      </c>
      <c r="I384" s="10">
        <v>0</v>
      </c>
      <c r="J384" s="10">
        <v>1</v>
      </c>
      <c r="K384" s="10">
        <v>140</v>
      </c>
      <c r="L384" s="10">
        <v>145</v>
      </c>
      <c r="M384" s="10">
        <v>0</v>
      </c>
      <c r="N384" s="10">
        <v>0</v>
      </c>
      <c r="O384" s="10">
        <v>0</v>
      </c>
    </row>
    <row r="385" spans="1:15" x14ac:dyDescent="0.2">
      <c r="A385" s="10" t="s">
        <v>406</v>
      </c>
      <c r="B385" s="10" t="s">
        <v>407</v>
      </c>
      <c r="C385" s="10" t="s">
        <v>112</v>
      </c>
      <c r="D385" s="10" t="s">
        <v>51</v>
      </c>
      <c r="E385" s="10" t="s">
        <v>52</v>
      </c>
      <c r="F385" s="10" t="s">
        <v>61</v>
      </c>
      <c r="G385" s="10" t="b">
        <f>FALSE()</f>
        <v>0</v>
      </c>
      <c r="H385" s="10">
        <v>1</v>
      </c>
      <c r="I385" s="10">
        <v>0</v>
      </c>
      <c r="J385" s="10">
        <v>1</v>
      </c>
      <c r="K385" s="10">
        <v>140</v>
      </c>
      <c r="L385" s="10">
        <v>145</v>
      </c>
      <c r="M385" s="10">
        <v>0</v>
      </c>
      <c r="N385" s="10">
        <v>0</v>
      </c>
      <c r="O385" s="10">
        <v>0</v>
      </c>
    </row>
    <row r="386" spans="1:15" x14ac:dyDescent="0.2">
      <c r="A386" s="10" t="s">
        <v>161</v>
      </c>
      <c r="B386" s="10" t="s">
        <v>43</v>
      </c>
      <c r="C386" s="10" t="s">
        <v>44</v>
      </c>
      <c r="D386" s="10" t="s">
        <v>45</v>
      </c>
      <c r="E386" s="10" t="s">
        <v>46</v>
      </c>
      <c r="F386" s="10" t="s">
        <v>123</v>
      </c>
      <c r="G386" s="10" t="b">
        <f>FALSE()</f>
        <v>0</v>
      </c>
      <c r="H386" s="10">
        <v>1</v>
      </c>
      <c r="I386" s="10">
        <v>1</v>
      </c>
      <c r="J386" s="10">
        <v>1</v>
      </c>
      <c r="K386" s="10">
        <v>148</v>
      </c>
      <c r="L386" s="10">
        <v>144</v>
      </c>
      <c r="M386" s="10">
        <v>1</v>
      </c>
      <c r="N386" s="10">
        <v>104</v>
      </c>
      <c r="O386" s="10">
        <v>104</v>
      </c>
    </row>
    <row r="387" spans="1:15" x14ac:dyDescent="0.2">
      <c r="A387" s="10" t="s">
        <v>182</v>
      </c>
      <c r="B387" s="10" t="s">
        <v>104</v>
      </c>
      <c r="C387" s="10" t="s">
        <v>105</v>
      </c>
      <c r="D387" s="10" t="s">
        <v>45</v>
      </c>
      <c r="E387" s="10" t="s">
        <v>46</v>
      </c>
      <c r="F387" s="10" t="s">
        <v>251</v>
      </c>
      <c r="G387" s="10" t="b">
        <f>FALSE()</f>
        <v>0</v>
      </c>
      <c r="H387" s="10">
        <v>1</v>
      </c>
      <c r="I387" s="10">
        <v>0</v>
      </c>
      <c r="J387" s="10">
        <v>1</v>
      </c>
      <c r="K387" s="10">
        <v>132</v>
      </c>
      <c r="L387" s="10">
        <v>144</v>
      </c>
      <c r="M387" s="10">
        <v>0</v>
      </c>
      <c r="N387" s="10">
        <v>0</v>
      </c>
      <c r="O387" s="10">
        <v>0</v>
      </c>
    </row>
    <row r="388" spans="1:15" x14ac:dyDescent="0.2">
      <c r="A388" s="10" t="s">
        <v>154</v>
      </c>
      <c r="B388" s="10" t="s">
        <v>104</v>
      </c>
      <c r="C388" s="10" t="s">
        <v>105</v>
      </c>
      <c r="D388" s="10" t="s">
        <v>45</v>
      </c>
      <c r="E388" s="10" t="s">
        <v>46</v>
      </c>
      <c r="F388" s="10" t="s">
        <v>212</v>
      </c>
      <c r="G388" s="10" t="b">
        <f>FALSE()</f>
        <v>0</v>
      </c>
      <c r="H388" s="10">
        <v>1</v>
      </c>
      <c r="I388" s="10">
        <v>1</v>
      </c>
      <c r="J388" s="10">
        <v>2</v>
      </c>
      <c r="K388" s="10">
        <v>99</v>
      </c>
      <c r="L388" s="10">
        <v>143</v>
      </c>
      <c r="M388" s="10">
        <v>1</v>
      </c>
      <c r="N388" s="10">
        <v>91</v>
      </c>
      <c r="O388" s="10">
        <v>73</v>
      </c>
    </row>
    <row r="389" spans="1:15" x14ac:dyDescent="0.2">
      <c r="A389" s="10" t="s">
        <v>408</v>
      </c>
      <c r="B389" s="10" t="s">
        <v>172</v>
      </c>
      <c r="C389" s="10" t="s">
        <v>44</v>
      </c>
      <c r="D389" s="10" t="s">
        <v>45</v>
      </c>
      <c r="E389" s="10" t="s">
        <v>46</v>
      </c>
      <c r="F389" s="10" t="s">
        <v>107</v>
      </c>
      <c r="G389" s="10" t="b">
        <f>FALSE()</f>
        <v>0</v>
      </c>
      <c r="H389" s="10">
        <v>1</v>
      </c>
      <c r="I389" s="10">
        <v>1</v>
      </c>
      <c r="J389" s="10">
        <v>1</v>
      </c>
      <c r="K389" s="10">
        <v>145</v>
      </c>
      <c r="L389" s="10">
        <v>143</v>
      </c>
      <c r="M389" s="10">
        <v>1</v>
      </c>
      <c r="N389" s="10">
        <v>62</v>
      </c>
      <c r="O389" s="10">
        <v>62</v>
      </c>
    </row>
    <row r="390" spans="1:15" x14ac:dyDescent="0.2">
      <c r="A390" s="10" t="s">
        <v>409</v>
      </c>
      <c r="B390" s="10" t="s">
        <v>188</v>
      </c>
      <c r="C390" s="10" t="s">
        <v>112</v>
      </c>
      <c r="D390" s="10" t="s">
        <v>51</v>
      </c>
      <c r="E390" s="10" t="s">
        <v>52</v>
      </c>
      <c r="F390" s="10" t="s">
        <v>183</v>
      </c>
      <c r="G390" s="10" t="b">
        <f>FALSE()</f>
        <v>0</v>
      </c>
      <c r="H390" s="10">
        <v>1</v>
      </c>
      <c r="I390" s="10">
        <v>0</v>
      </c>
      <c r="J390" s="10">
        <v>2</v>
      </c>
      <c r="K390" s="10">
        <v>138</v>
      </c>
      <c r="L390" s="10">
        <v>143</v>
      </c>
      <c r="M390" s="10">
        <v>0</v>
      </c>
      <c r="N390" s="10">
        <v>0</v>
      </c>
      <c r="O390" s="10">
        <v>0</v>
      </c>
    </row>
    <row r="391" spans="1:15" x14ac:dyDescent="0.2">
      <c r="A391" s="10" t="s">
        <v>399</v>
      </c>
      <c r="B391" s="10" t="s">
        <v>139</v>
      </c>
      <c r="C391" s="10" t="s">
        <v>64</v>
      </c>
      <c r="D391" s="10" t="s">
        <v>45</v>
      </c>
      <c r="E391" s="10" t="s">
        <v>46</v>
      </c>
      <c r="F391" s="10" t="s">
        <v>206</v>
      </c>
      <c r="G391" s="10" t="b">
        <f>FALSE()</f>
        <v>0</v>
      </c>
      <c r="H391" s="10">
        <v>1</v>
      </c>
      <c r="I391" s="10">
        <v>0</v>
      </c>
      <c r="J391" s="10">
        <v>3</v>
      </c>
      <c r="K391" s="10">
        <v>163</v>
      </c>
      <c r="L391" s="10">
        <v>142</v>
      </c>
      <c r="M391" s="10">
        <v>0</v>
      </c>
      <c r="N391" s="10">
        <v>0</v>
      </c>
      <c r="O391" s="10">
        <v>0</v>
      </c>
    </row>
    <row r="392" spans="1:15" x14ac:dyDescent="0.2">
      <c r="A392" s="10" t="s">
        <v>410</v>
      </c>
      <c r="B392" s="10" t="s">
        <v>321</v>
      </c>
      <c r="C392" s="10" t="s">
        <v>245</v>
      </c>
      <c r="D392" s="10" t="s">
        <v>51</v>
      </c>
      <c r="E392" s="10" t="s">
        <v>52</v>
      </c>
      <c r="F392" s="10" t="s">
        <v>94</v>
      </c>
      <c r="G392" s="10" t="b">
        <f>FALSE()</f>
        <v>0</v>
      </c>
      <c r="H392" s="10">
        <v>1</v>
      </c>
      <c r="I392" s="10">
        <v>1</v>
      </c>
      <c r="J392" s="10">
        <v>2</v>
      </c>
      <c r="K392" s="10">
        <v>146</v>
      </c>
      <c r="L392" s="10">
        <v>141</v>
      </c>
      <c r="M392" s="10">
        <v>1</v>
      </c>
      <c r="N392" s="10">
        <v>368</v>
      </c>
      <c r="O392" s="10">
        <v>363</v>
      </c>
    </row>
    <row r="393" spans="1:15" x14ac:dyDescent="0.2">
      <c r="A393" s="10" t="s">
        <v>324</v>
      </c>
      <c r="B393" s="10" t="s">
        <v>70</v>
      </c>
      <c r="C393" s="10" t="s">
        <v>70</v>
      </c>
      <c r="D393" s="10" t="s">
        <v>45</v>
      </c>
      <c r="E393" s="10" t="s">
        <v>46</v>
      </c>
      <c r="F393" s="10" t="s">
        <v>61</v>
      </c>
      <c r="G393" s="10" t="b">
        <f>FALSE()</f>
        <v>0</v>
      </c>
      <c r="H393" s="10">
        <v>1</v>
      </c>
      <c r="I393" s="10">
        <v>1</v>
      </c>
      <c r="J393" s="10">
        <v>2</v>
      </c>
      <c r="K393" s="10">
        <v>101</v>
      </c>
      <c r="L393" s="10">
        <v>141</v>
      </c>
      <c r="M393" s="10">
        <v>1</v>
      </c>
      <c r="N393" s="10">
        <v>94</v>
      </c>
      <c r="O393" s="10">
        <v>92</v>
      </c>
    </row>
    <row r="394" spans="1:15" x14ac:dyDescent="0.2">
      <c r="A394" s="10" t="s">
        <v>408</v>
      </c>
      <c r="B394" s="10" t="s">
        <v>172</v>
      </c>
      <c r="C394" s="10" t="s">
        <v>44</v>
      </c>
      <c r="D394" s="10" t="s">
        <v>45</v>
      </c>
      <c r="E394" s="10" t="s">
        <v>46</v>
      </c>
      <c r="F394" s="10" t="s">
        <v>75</v>
      </c>
      <c r="G394" s="10" t="b">
        <f>FALSE()</f>
        <v>0</v>
      </c>
      <c r="H394" s="10">
        <v>1</v>
      </c>
      <c r="I394" s="10">
        <v>1</v>
      </c>
      <c r="J394" s="10">
        <v>1</v>
      </c>
      <c r="K394" s="10">
        <v>152</v>
      </c>
      <c r="L394" s="10">
        <v>141</v>
      </c>
      <c r="M394" s="10">
        <v>1</v>
      </c>
      <c r="N394" s="10">
        <v>86</v>
      </c>
      <c r="O394" s="10">
        <v>86</v>
      </c>
    </row>
    <row r="395" spans="1:15" x14ac:dyDescent="0.2">
      <c r="A395" s="10" t="s">
        <v>411</v>
      </c>
      <c r="B395" s="10" t="s">
        <v>60</v>
      </c>
      <c r="C395" s="10" t="s">
        <v>50</v>
      </c>
      <c r="D395" s="10" t="s">
        <v>51</v>
      </c>
      <c r="E395" s="10" t="s">
        <v>52</v>
      </c>
      <c r="F395" s="10" t="s">
        <v>74</v>
      </c>
      <c r="G395" s="10" t="b">
        <f>FALSE()</f>
        <v>0</v>
      </c>
      <c r="H395" s="10">
        <v>1</v>
      </c>
      <c r="I395" s="10">
        <v>1</v>
      </c>
      <c r="J395" s="10">
        <v>2</v>
      </c>
      <c r="K395" s="10">
        <v>143</v>
      </c>
      <c r="L395" s="10">
        <v>141</v>
      </c>
      <c r="M395" s="10">
        <v>1</v>
      </c>
      <c r="N395" s="10">
        <v>86</v>
      </c>
      <c r="O395" s="10">
        <v>79</v>
      </c>
    </row>
    <row r="396" spans="1:15" x14ac:dyDescent="0.2">
      <c r="A396" s="10" t="s">
        <v>412</v>
      </c>
      <c r="B396" s="10" t="s">
        <v>146</v>
      </c>
      <c r="C396" s="10" t="s">
        <v>105</v>
      </c>
      <c r="D396" s="10" t="s">
        <v>45</v>
      </c>
      <c r="E396" s="10" t="s">
        <v>46</v>
      </c>
      <c r="F396" s="10" t="s">
        <v>153</v>
      </c>
      <c r="G396" s="10" t="b">
        <f>FALSE()</f>
        <v>0</v>
      </c>
      <c r="H396" s="10">
        <v>1</v>
      </c>
      <c r="I396" s="10">
        <v>0</v>
      </c>
      <c r="J396" s="10">
        <v>2</v>
      </c>
      <c r="K396" s="10">
        <v>66</v>
      </c>
      <c r="L396" s="10">
        <v>141</v>
      </c>
      <c r="M396" s="10">
        <v>0</v>
      </c>
      <c r="N396" s="10">
        <v>0</v>
      </c>
      <c r="O396" s="10">
        <v>0</v>
      </c>
    </row>
    <row r="397" spans="1:15" x14ac:dyDescent="0.2">
      <c r="A397" s="10" t="s">
        <v>408</v>
      </c>
      <c r="B397" s="10" t="s">
        <v>172</v>
      </c>
      <c r="C397" s="10" t="s">
        <v>44</v>
      </c>
      <c r="D397" s="10" t="s">
        <v>45</v>
      </c>
      <c r="E397" s="10" t="s">
        <v>46</v>
      </c>
      <c r="F397" s="10" t="s">
        <v>79</v>
      </c>
      <c r="G397" s="10" t="b">
        <f>FALSE()</f>
        <v>0</v>
      </c>
      <c r="H397" s="10">
        <v>1</v>
      </c>
      <c r="I397" s="10">
        <v>1</v>
      </c>
      <c r="J397" s="10">
        <v>2</v>
      </c>
      <c r="K397" s="10">
        <v>145</v>
      </c>
      <c r="L397" s="10">
        <v>140</v>
      </c>
      <c r="M397" s="10">
        <v>1</v>
      </c>
      <c r="N397" s="10">
        <v>83</v>
      </c>
      <c r="O397" s="10">
        <v>83</v>
      </c>
    </row>
    <row r="398" spans="1:15" x14ac:dyDescent="0.2">
      <c r="A398" s="10" t="s">
        <v>106</v>
      </c>
      <c r="B398" s="10" t="s">
        <v>70</v>
      </c>
      <c r="C398" s="10" t="s">
        <v>70</v>
      </c>
      <c r="D398" s="10" t="s">
        <v>45</v>
      </c>
      <c r="E398" s="10" t="s">
        <v>46</v>
      </c>
      <c r="F398" s="10" t="s">
        <v>53</v>
      </c>
      <c r="G398" s="10" t="b">
        <f>FALSE()</f>
        <v>0</v>
      </c>
      <c r="H398" s="10">
        <v>1</v>
      </c>
      <c r="I398" s="10">
        <v>0</v>
      </c>
      <c r="J398" s="10">
        <v>2</v>
      </c>
      <c r="K398" s="10">
        <v>106</v>
      </c>
      <c r="L398" s="10">
        <v>140</v>
      </c>
      <c r="M398" s="10">
        <v>0</v>
      </c>
      <c r="N398" s="10">
        <v>0</v>
      </c>
      <c r="O398" s="10">
        <v>0</v>
      </c>
    </row>
    <row r="399" spans="1:15" x14ac:dyDescent="0.2">
      <c r="A399" s="10" t="s">
        <v>198</v>
      </c>
      <c r="B399" s="10" t="s">
        <v>130</v>
      </c>
      <c r="C399" s="10" t="s">
        <v>56</v>
      </c>
      <c r="D399" s="10" t="s">
        <v>45</v>
      </c>
      <c r="E399" s="10" t="s">
        <v>46</v>
      </c>
      <c r="F399" s="10" t="s">
        <v>403</v>
      </c>
      <c r="G399" s="10" t="b">
        <f>TRUE()</f>
        <v>1</v>
      </c>
      <c r="H399" s="10">
        <v>1</v>
      </c>
      <c r="I399" s="10">
        <v>0</v>
      </c>
      <c r="J399" s="10">
        <v>2</v>
      </c>
      <c r="K399" s="10">
        <v>155</v>
      </c>
      <c r="L399" s="10">
        <v>140</v>
      </c>
      <c r="M399" s="10">
        <v>0</v>
      </c>
      <c r="N399" s="10">
        <v>0</v>
      </c>
      <c r="O399" s="10">
        <v>0</v>
      </c>
    </row>
    <row r="400" spans="1:15" x14ac:dyDescent="0.2">
      <c r="A400" s="10" t="s">
        <v>332</v>
      </c>
      <c r="B400" s="10" t="s">
        <v>333</v>
      </c>
      <c r="C400" s="10" t="s">
        <v>50</v>
      </c>
      <c r="D400" s="10" t="s">
        <v>51</v>
      </c>
      <c r="E400" s="10" t="s">
        <v>52</v>
      </c>
      <c r="F400" s="10" t="s">
        <v>180</v>
      </c>
      <c r="G400" s="10" t="b">
        <f>FALSE()</f>
        <v>0</v>
      </c>
      <c r="H400" s="10">
        <v>1</v>
      </c>
      <c r="I400" s="10">
        <v>0</v>
      </c>
      <c r="J400" s="10">
        <v>3</v>
      </c>
      <c r="K400" s="10">
        <v>126</v>
      </c>
      <c r="L400" s="10">
        <v>139</v>
      </c>
      <c r="M400" s="10">
        <v>0</v>
      </c>
      <c r="N400" s="10">
        <v>0</v>
      </c>
      <c r="O400" s="10">
        <v>0</v>
      </c>
    </row>
    <row r="401" spans="1:15" x14ac:dyDescent="0.2">
      <c r="A401" s="10" t="s">
        <v>413</v>
      </c>
      <c r="B401" s="10" t="s">
        <v>99</v>
      </c>
      <c r="C401" s="10" t="s">
        <v>50</v>
      </c>
      <c r="D401" s="10" t="s">
        <v>51</v>
      </c>
      <c r="E401" s="10" t="s">
        <v>52</v>
      </c>
      <c r="F401" s="10" t="s">
        <v>180</v>
      </c>
      <c r="G401" s="10" t="b">
        <f>FALSE()</f>
        <v>0</v>
      </c>
      <c r="H401" s="10">
        <v>1</v>
      </c>
      <c r="I401" s="10">
        <v>0</v>
      </c>
      <c r="J401" s="10">
        <v>3</v>
      </c>
      <c r="K401" s="10">
        <v>126</v>
      </c>
      <c r="L401" s="10">
        <v>139</v>
      </c>
      <c r="M401" s="10">
        <v>0</v>
      </c>
      <c r="N401" s="10">
        <v>0</v>
      </c>
      <c r="O401" s="10">
        <v>0</v>
      </c>
    </row>
    <row r="402" spans="1:15" x14ac:dyDescent="0.2">
      <c r="A402" s="10" t="s">
        <v>304</v>
      </c>
      <c r="B402" s="10" t="s">
        <v>43</v>
      </c>
      <c r="C402" s="10" t="s">
        <v>44</v>
      </c>
      <c r="D402" s="10" t="s">
        <v>45</v>
      </c>
      <c r="E402" s="10" t="s">
        <v>46</v>
      </c>
      <c r="F402" s="10" t="s">
        <v>204</v>
      </c>
      <c r="G402" s="10" t="b">
        <f>FALSE()</f>
        <v>0</v>
      </c>
      <c r="H402" s="10">
        <v>1</v>
      </c>
      <c r="I402" s="10">
        <v>1</v>
      </c>
      <c r="J402" s="10">
        <v>1</v>
      </c>
      <c r="K402" s="10">
        <v>85</v>
      </c>
      <c r="L402" s="10">
        <v>138</v>
      </c>
      <c r="M402" s="10">
        <v>1</v>
      </c>
      <c r="N402" s="10">
        <v>78</v>
      </c>
      <c r="O402" s="10">
        <v>78</v>
      </c>
    </row>
    <row r="403" spans="1:15" x14ac:dyDescent="0.2">
      <c r="A403" s="10" t="s">
        <v>414</v>
      </c>
      <c r="B403" s="10" t="s">
        <v>96</v>
      </c>
      <c r="C403" s="10" t="s">
        <v>50</v>
      </c>
      <c r="D403" s="10" t="s">
        <v>51</v>
      </c>
      <c r="E403" s="10" t="s">
        <v>52</v>
      </c>
      <c r="F403" s="10" t="s">
        <v>74</v>
      </c>
      <c r="G403" s="10" t="b">
        <f>FALSE()</f>
        <v>0</v>
      </c>
      <c r="H403" s="10">
        <v>1</v>
      </c>
      <c r="I403" s="10">
        <v>1</v>
      </c>
      <c r="J403" s="10">
        <v>2</v>
      </c>
      <c r="K403" s="10">
        <v>138</v>
      </c>
      <c r="L403" s="10">
        <v>138</v>
      </c>
      <c r="M403" s="10">
        <v>1</v>
      </c>
      <c r="N403" s="10">
        <v>76</v>
      </c>
      <c r="O403" s="10">
        <v>75</v>
      </c>
    </row>
    <row r="404" spans="1:15" x14ac:dyDescent="0.2">
      <c r="A404" s="10" t="s">
        <v>161</v>
      </c>
      <c r="B404" s="10" t="s">
        <v>43</v>
      </c>
      <c r="C404" s="10" t="s">
        <v>44</v>
      </c>
      <c r="D404" s="10" t="s">
        <v>45</v>
      </c>
      <c r="E404" s="10" t="s">
        <v>46</v>
      </c>
      <c r="F404" s="10" t="s">
        <v>251</v>
      </c>
      <c r="G404" s="10" t="b">
        <f>FALSE()</f>
        <v>0</v>
      </c>
      <c r="H404" s="10">
        <v>1</v>
      </c>
      <c r="I404" s="10">
        <v>1</v>
      </c>
      <c r="J404" s="10">
        <v>1</v>
      </c>
      <c r="K404" s="10">
        <v>201</v>
      </c>
      <c r="L404" s="10">
        <v>138</v>
      </c>
      <c r="M404" s="10">
        <v>1</v>
      </c>
      <c r="N404" s="10">
        <v>69</v>
      </c>
      <c r="O404" s="10">
        <v>69</v>
      </c>
    </row>
    <row r="405" spans="1:15" x14ac:dyDescent="0.2">
      <c r="A405" s="10" t="s">
        <v>415</v>
      </c>
      <c r="B405" s="10" t="s">
        <v>165</v>
      </c>
      <c r="C405" s="10" t="s">
        <v>112</v>
      </c>
      <c r="D405" s="10" t="s">
        <v>51</v>
      </c>
      <c r="E405" s="10" t="s">
        <v>52</v>
      </c>
      <c r="F405" s="10" t="s">
        <v>94</v>
      </c>
      <c r="G405" s="10" t="b">
        <f>FALSE()</f>
        <v>0</v>
      </c>
      <c r="H405" s="10">
        <v>1</v>
      </c>
      <c r="I405" s="10">
        <v>0</v>
      </c>
      <c r="J405" s="10">
        <v>2</v>
      </c>
      <c r="K405" s="10">
        <v>185</v>
      </c>
      <c r="L405" s="10">
        <v>138</v>
      </c>
      <c r="M405" s="10">
        <v>0</v>
      </c>
      <c r="N405" s="10">
        <v>0</v>
      </c>
      <c r="O405" s="10">
        <v>0</v>
      </c>
    </row>
    <row r="406" spans="1:15" x14ac:dyDescent="0.2">
      <c r="A406" s="10" t="s">
        <v>134</v>
      </c>
      <c r="B406" s="10" t="s">
        <v>63</v>
      </c>
      <c r="C406" s="10" t="s">
        <v>64</v>
      </c>
      <c r="D406" s="10" t="s">
        <v>45</v>
      </c>
      <c r="E406" s="10" t="s">
        <v>46</v>
      </c>
      <c r="F406" s="10" t="s">
        <v>373</v>
      </c>
      <c r="G406" s="10" t="b">
        <f>FALSE()</f>
        <v>0</v>
      </c>
      <c r="H406" s="10">
        <v>1</v>
      </c>
      <c r="I406" s="10">
        <v>0</v>
      </c>
      <c r="J406" s="10">
        <v>2</v>
      </c>
      <c r="K406" s="10">
        <v>142</v>
      </c>
      <c r="L406" s="10">
        <v>137</v>
      </c>
      <c r="M406" s="10">
        <v>0</v>
      </c>
      <c r="N406" s="10">
        <v>0</v>
      </c>
      <c r="O406" s="10">
        <v>0</v>
      </c>
    </row>
    <row r="407" spans="1:15" x14ac:dyDescent="0.2">
      <c r="A407" s="10" t="s">
        <v>217</v>
      </c>
      <c r="B407" s="10" t="s">
        <v>218</v>
      </c>
      <c r="C407" s="10" t="s">
        <v>73</v>
      </c>
      <c r="D407" s="10" t="s">
        <v>45</v>
      </c>
      <c r="E407" s="10" t="s">
        <v>46</v>
      </c>
      <c r="F407" s="10" t="s">
        <v>53</v>
      </c>
      <c r="G407" s="10" t="b">
        <f>FALSE()</f>
        <v>0</v>
      </c>
      <c r="H407" s="10">
        <v>1</v>
      </c>
      <c r="I407" s="10">
        <v>0</v>
      </c>
      <c r="J407" s="10">
        <v>1</v>
      </c>
      <c r="K407" s="10">
        <v>158</v>
      </c>
      <c r="L407" s="10">
        <v>136</v>
      </c>
      <c r="M407" s="10">
        <v>0</v>
      </c>
      <c r="N407" s="10">
        <v>0</v>
      </c>
      <c r="O407" s="10">
        <v>0</v>
      </c>
    </row>
    <row r="408" spans="1:15" x14ac:dyDescent="0.2">
      <c r="A408" s="10" t="s">
        <v>332</v>
      </c>
      <c r="B408" s="10" t="s">
        <v>333</v>
      </c>
      <c r="C408" s="10" t="s">
        <v>50</v>
      </c>
      <c r="D408" s="10" t="s">
        <v>51</v>
      </c>
      <c r="E408" s="10" t="s">
        <v>52</v>
      </c>
      <c r="F408" s="10" t="s">
        <v>155</v>
      </c>
      <c r="G408" s="10" t="b">
        <f>TRUE()</f>
        <v>1</v>
      </c>
      <c r="H408" s="10">
        <v>1</v>
      </c>
      <c r="I408" s="10">
        <v>1</v>
      </c>
      <c r="J408" s="10">
        <v>1</v>
      </c>
      <c r="K408" s="10">
        <v>117</v>
      </c>
      <c r="L408" s="10">
        <v>134</v>
      </c>
      <c r="M408" s="10">
        <v>1</v>
      </c>
      <c r="N408" s="10">
        <v>120</v>
      </c>
      <c r="O408" s="10">
        <v>120</v>
      </c>
    </row>
    <row r="409" spans="1:15" x14ac:dyDescent="0.2">
      <c r="A409" s="10" t="s">
        <v>154</v>
      </c>
      <c r="B409" s="10" t="s">
        <v>104</v>
      </c>
      <c r="C409" s="10" t="s">
        <v>105</v>
      </c>
      <c r="D409" s="10" t="s">
        <v>45</v>
      </c>
      <c r="E409" s="10" t="s">
        <v>46</v>
      </c>
      <c r="F409" s="10" t="s">
        <v>190</v>
      </c>
      <c r="G409" s="10" t="b">
        <f>TRUE()</f>
        <v>1</v>
      </c>
      <c r="H409" s="10">
        <v>1</v>
      </c>
      <c r="I409" s="10">
        <v>1</v>
      </c>
      <c r="J409" s="10">
        <v>1</v>
      </c>
      <c r="K409" s="10">
        <v>80</v>
      </c>
      <c r="L409" s="10">
        <v>134</v>
      </c>
      <c r="M409" s="10">
        <v>1</v>
      </c>
      <c r="N409" s="10">
        <v>100</v>
      </c>
      <c r="O409" s="10">
        <v>98</v>
      </c>
    </row>
    <row r="410" spans="1:15" x14ac:dyDescent="0.2">
      <c r="A410" s="10" t="s">
        <v>367</v>
      </c>
      <c r="B410" s="10" t="s">
        <v>368</v>
      </c>
      <c r="C410" s="10" t="s">
        <v>50</v>
      </c>
      <c r="D410" s="10" t="s">
        <v>51</v>
      </c>
      <c r="E410" s="10" t="s">
        <v>52</v>
      </c>
      <c r="F410" s="10" t="s">
        <v>92</v>
      </c>
      <c r="G410" s="10" t="b">
        <f>FALSE()</f>
        <v>0</v>
      </c>
      <c r="H410" s="10">
        <v>1</v>
      </c>
      <c r="I410" s="10">
        <v>0</v>
      </c>
      <c r="J410" s="10">
        <v>1</v>
      </c>
      <c r="K410" s="10">
        <v>129</v>
      </c>
      <c r="L410" s="10">
        <v>134</v>
      </c>
      <c r="M410" s="10">
        <v>0</v>
      </c>
      <c r="N410" s="10">
        <v>0</v>
      </c>
      <c r="O410" s="10">
        <v>0</v>
      </c>
    </row>
    <row r="411" spans="1:15" x14ac:dyDescent="0.2">
      <c r="A411" s="10" t="s">
        <v>337</v>
      </c>
      <c r="B411" s="10" t="s">
        <v>70</v>
      </c>
      <c r="C411" s="10" t="s">
        <v>70</v>
      </c>
      <c r="D411" s="10" t="s">
        <v>45</v>
      </c>
      <c r="E411" s="10" t="s">
        <v>46</v>
      </c>
      <c r="F411" s="10" t="s">
        <v>61</v>
      </c>
      <c r="G411" s="10" t="b">
        <f>FALSE()</f>
        <v>0</v>
      </c>
      <c r="H411" s="10">
        <v>1</v>
      </c>
      <c r="I411" s="10">
        <v>0</v>
      </c>
      <c r="J411" s="10">
        <v>2</v>
      </c>
      <c r="K411" s="10">
        <v>136</v>
      </c>
      <c r="L411" s="10">
        <v>134</v>
      </c>
      <c r="M411" s="10">
        <v>0</v>
      </c>
      <c r="N411" s="10">
        <v>0</v>
      </c>
      <c r="O411" s="10">
        <v>0</v>
      </c>
    </row>
    <row r="412" spans="1:15" x14ac:dyDescent="0.2">
      <c r="A412" s="10" t="s">
        <v>416</v>
      </c>
      <c r="B412" s="10" t="s">
        <v>218</v>
      </c>
      <c r="C412" s="10" t="s">
        <v>73</v>
      </c>
      <c r="D412" s="10" t="s">
        <v>45</v>
      </c>
      <c r="E412" s="10" t="s">
        <v>46</v>
      </c>
      <c r="F412" s="10" t="s">
        <v>61</v>
      </c>
      <c r="G412" s="10" t="b">
        <f>FALSE()</f>
        <v>0</v>
      </c>
      <c r="H412" s="10">
        <v>1</v>
      </c>
      <c r="I412" s="10">
        <v>0</v>
      </c>
      <c r="J412" s="10">
        <v>1</v>
      </c>
      <c r="K412" s="10">
        <v>148</v>
      </c>
      <c r="L412" s="10">
        <v>134</v>
      </c>
      <c r="M412" s="10">
        <v>0</v>
      </c>
      <c r="N412" s="10">
        <v>0</v>
      </c>
      <c r="O412" s="10">
        <v>0</v>
      </c>
    </row>
    <row r="413" spans="1:15" x14ac:dyDescent="0.2">
      <c r="A413" s="10" t="s">
        <v>417</v>
      </c>
      <c r="B413" s="10" t="s">
        <v>247</v>
      </c>
      <c r="C413" s="10" t="s">
        <v>245</v>
      </c>
      <c r="D413" s="10" t="s">
        <v>51</v>
      </c>
      <c r="E413" s="10" t="s">
        <v>52</v>
      </c>
      <c r="F413" s="10" t="s">
        <v>74</v>
      </c>
      <c r="G413" s="10" t="b">
        <f>FALSE()</f>
        <v>0</v>
      </c>
      <c r="H413" s="10">
        <v>1</v>
      </c>
      <c r="I413" s="10">
        <v>0</v>
      </c>
      <c r="J413" s="10">
        <v>2</v>
      </c>
      <c r="K413" s="10">
        <v>149</v>
      </c>
      <c r="L413" s="10">
        <v>134</v>
      </c>
      <c r="M413" s="10">
        <v>0</v>
      </c>
      <c r="N413" s="10">
        <v>0</v>
      </c>
      <c r="O413" s="10">
        <v>0</v>
      </c>
    </row>
    <row r="414" spans="1:15" x14ac:dyDescent="0.2">
      <c r="A414" s="10" t="s">
        <v>215</v>
      </c>
      <c r="B414" s="10" t="s">
        <v>160</v>
      </c>
      <c r="C414" s="10" t="s">
        <v>56</v>
      </c>
      <c r="D414" s="10" t="s">
        <v>45</v>
      </c>
      <c r="E414" s="10" t="s">
        <v>46</v>
      </c>
      <c r="F414" s="10" t="s">
        <v>47</v>
      </c>
      <c r="G414" s="10" t="b">
        <f>FALSE()</f>
        <v>0</v>
      </c>
      <c r="H414" s="10">
        <v>1</v>
      </c>
      <c r="I414" s="10">
        <v>0</v>
      </c>
      <c r="J414" s="10">
        <v>2</v>
      </c>
      <c r="K414" s="10">
        <v>184</v>
      </c>
      <c r="L414" s="10">
        <v>132</v>
      </c>
      <c r="M414" s="10">
        <v>0</v>
      </c>
      <c r="N414" s="10">
        <v>0</v>
      </c>
      <c r="O414" s="10">
        <v>0</v>
      </c>
    </row>
    <row r="415" spans="1:15" x14ac:dyDescent="0.2">
      <c r="A415" s="10" t="s">
        <v>168</v>
      </c>
      <c r="B415" s="10" t="s">
        <v>169</v>
      </c>
      <c r="C415" s="10" t="s">
        <v>117</v>
      </c>
      <c r="D415" s="10" t="s">
        <v>51</v>
      </c>
      <c r="E415" s="10" t="s">
        <v>52</v>
      </c>
      <c r="F415" s="10" t="s">
        <v>308</v>
      </c>
      <c r="G415" s="10" t="b">
        <f>TRUE()</f>
        <v>1</v>
      </c>
      <c r="H415" s="10">
        <v>1</v>
      </c>
      <c r="I415" s="10">
        <v>0</v>
      </c>
      <c r="J415" s="10">
        <v>2</v>
      </c>
      <c r="K415" s="10">
        <v>143</v>
      </c>
      <c r="L415" s="10">
        <v>132</v>
      </c>
      <c r="M415" s="10">
        <v>0</v>
      </c>
      <c r="N415" s="10">
        <v>0</v>
      </c>
      <c r="O415" s="10">
        <v>0</v>
      </c>
    </row>
    <row r="416" spans="1:15" x14ac:dyDescent="0.2">
      <c r="A416" s="10" t="s">
        <v>418</v>
      </c>
      <c r="B416" s="10" t="s">
        <v>419</v>
      </c>
      <c r="C416" s="10" t="s">
        <v>50</v>
      </c>
      <c r="D416" s="10" t="s">
        <v>51</v>
      </c>
      <c r="E416" s="10" t="s">
        <v>52</v>
      </c>
      <c r="F416" s="10" t="s">
        <v>190</v>
      </c>
      <c r="G416" s="10" t="b">
        <f>TRUE()</f>
        <v>1</v>
      </c>
      <c r="H416" s="10">
        <v>1</v>
      </c>
      <c r="I416" s="10">
        <v>0</v>
      </c>
      <c r="J416" s="10">
        <v>2</v>
      </c>
      <c r="K416" s="10">
        <v>132</v>
      </c>
      <c r="L416" s="10">
        <v>132</v>
      </c>
      <c r="M416" s="10">
        <v>0</v>
      </c>
      <c r="N416" s="10">
        <v>0</v>
      </c>
      <c r="O416" s="10">
        <v>0</v>
      </c>
    </row>
    <row r="417" spans="1:15" x14ac:dyDescent="0.2">
      <c r="A417" s="10" t="s">
        <v>264</v>
      </c>
      <c r="B417" s="10" t="s">
        <v>265</v>
      </c>
      <c r="C417" s="10" t="s">
        <v>245</v>
      </c>
      <c r="D417" s="10" t="s">
        <v>51</v>
      </c>
      <c r="E417" s="10" t="s">
        <v>52</v>
      </c>
      <c r="F417" s="10" t="s">
        <v>190</v>
      </c>
      <c r="G417" s="10" t="b">
        <f>TRUE()</f>
        <v>1</v>
      </c>
      <c r="H417" s="10">
        <v>1</v>
      </c>
      <c r="I417" s="10">
        <v>0</v>
      </c>
      <c r="J417" s="10">
        <v>1</v>
      </c>
      <c r="K417" s="10">
        <v>105</v>
      </c>
      <c r="L417" s="10">
        <v>131</v>
      </c>
      <c r="M417" s="10">
        <v>0</v>
      </c>
      <c r="N417" s="10">
        <v>0</v>
      </c>
      <c r="O417" s="10">
        <v>0</v>
      </c>
    </row>
    <row r="418" spans="1:15" x14ac:dyDescent="0.2">
      <c r="A418" s="10" t="s">
        <v>239</v>
      </c>
      <c r="B418" s="10" t="s">
        <v>172</v>
      </c>
      <c r="C418" s="10" t="s">
        <v>44</v>
      </c>
      <c r="D418" s="10" t="s">
        <v>45</v>
      </c>
      <c r="E418" s="10" t="s">
        <v>46</v>
      </c>
      <c r="F418" s="10" t="s">
        <v>251</v>
      </c>
      <c r="G418" s="10" t="b">
        <f>FALSE()</f>
        <v>0</v>
      </c>
      <c r="H418" s="10">
        <v>1</v>
      </c>
      <c r="I418" s="10">
        <v>0</v>
      </c>
      <c r="J418" s="10">
        <v>1</v>
      </c>
      <c r="K418" s="10">
        <v>78</v>
      </c>
      <c r="L418" s="10">
        <v>131</v>
      </c>
      <c r="M418" s="10">
        <v>0</v>
      </c>
      <c r="N418" s="10">
        <v>0</v>
      </c>
      <c r="O418" s="10">
        <v>0</v>
      </c>
    </row>
    <row r="419" spans="1:15" x14ac:dyDescent="0.2">
      <c r="A419" s="10" t="s">
        <v>420</v>
      </c>
      <c r="B419" s="10" t="s">
        <v>67</v>
      </c>
      <c r="C419" s="10" t="s">
        <v>64</v>
      </c>
      <c r="D419" s="10" t="s">
        <v>45</v>
      </c>
      <c r="E419" s="10" t="s">
        <v>46</v>
      </c>
      <c r="F419" s="10" t="s">
        <v>61</v>
      </c>
      <c r="G419" s="10" t="b">
        <f>FALSE()</f>
        <v>0</v>
      </c>
      <c r="H419" s="10">
        <v>1</v>
      </c>
      <c r="I419" s="10">
        <v>0</v>
      </c>
      <c r="J419" s="10">
        <v>1</v>
      </c>
      <c r="K419" s="10">
        <v>181</v>
      </c>
      <c r="L419" s="10">
        <v>131</v>
      </c>
      <c r="M419" s="10">
        <v>0</v>
      </c>
      <c r="N419" s="10">
        <v>0</v>
      </c>
      <c r="O419" s="10">
        <v>0</v>
      </c>
    </row>
    <row r="420" spans="1:15" x14ac:dyDescent="0.2">
      <c r="A420" s="10" t="s">
        <v>421</v>
      </c>
      <c r="B420" s="10" t="s">
        <v>70</v>
      </c>
      <c r="C420" s="10" t="s">
        <v>70</v>
      </c>
      <c r="D420" s="10" t="s">
        <v>45</v>
      </c>
      <c r="E420" s="10" t="s">
        <v>46</v>
      </c>
      <c r="F420" s="10" t="s">
        <v>92</v>
      </c>
      <c r="G420" s="10" t="b">
        <f>FALSE()</f>
        <v>0</v>
      </c>
      <c r="H420" s="10">
        <v>1</v>
      </c>
      <c r="I420" s="10">
        <v>0</v>
      </c>
      <c r="J420" s="10">
        <v>3</v>
      </c>
      <c r="K420" s="10">
        <v>157</v>
      </c>
      <c r="L420" s="10">
        <v>131</v>
      </c>
      <c r="M420" s="10">
        <v>0</v>
      </c>
      <c r="N420" s="10">
        <v>0</v>
      </c>
      <c r="O420" s="10">
        <v>0</v>
      </c>
    </row>
    <row r="421" spans="1:15" x14ac:dyDescent="0.2">
      <c r="A421" s="10" t="s">
        <v>422</v>
      </c>
      <c r="B421" s="10" t="s">
        <v>193</v>
      </c>
      <c r="C421" s="10" t="s">
        <v>117</v>
      </c>
      <c r="D421" s="10" t="s">
        <v>51</v>
      </c>
      <c r="E421" s="10" t="s">
        <v>52</v>
      </c>
      <c r="F421" s="10" t="s">
        <v>403</v>
      </c>
      <c r="G421" s="10" t="b">
        <f>TRUE()</f>
        <v>1</v>
      </c>
      <c r="H421" s="10">
        <v>1</v>
      </c>
      <c r="I421" s="10">
        <v>1</v>
      </c>
      <c r="J421" s="10">
        <v>2</v>
      </c>
      <c r="K421" s="10">
        <v>106</v>
      </c>
      <c r="L421" s="10">
        <v>130</v>
      </c>
      <c r="M421" s="10">
        <v>1</v>
      </c>
      <c r="N421" s="10">
        <v>649</v>
      </c>
      <c r="O421" s="10">
        <v>591</v>
      </c>
    </row>
    <row r="422" spans="1:15" x14ac:dyDescent="0.2">
      <c r="A422" s="10" t="s">
        <v>423</v>
      </c>
      <c r="B422" s="10" t="s">
        <v>55</v>
      </c>
      <c r="C422" s="10" t="s">
        <v>56</v>
      </c>
      <c r="D422" s="10" t="s">
        <v>45</v>
      </c>
      <c r="E422" s="10" t="s">
        <v>46</v>
      </c>
      <c r="F422" s="10" t="s">
        <v>424</v>
      </c>
      <c r="G422" s="10" t="b">
        <f>FALSE()</f>
        <v>0</v>
      </c>
      <c r="H422" s="10">
        <v>1</v>
      </c>
      <c r="I422" s="10">
        <v>1</v>
      </c>
      <c r="J422" s="10">
        <v>3</v>
      </c>
      <c r="K422" s="10">
        <v>164</v>
      </c>
      <c r="L422" s="10">
        <v>130</v>
      </c>
      <c r="M422" s="10">
        <v>1</v>
      </c>
      <c r="N422" s="10">
        <v>128</v>
      </c>
      <c r="O422" s="10">
        <v>128</v>
      </c>
    </row>
    <row r="423" spans="1:15" x14ac:dyDescent="0.2">
      <c r="A423" s="10" t="s">
        <v>369</v>
      </c>
      <c r="B423" s="10" t="s">
        <v>160</v>
      </c>
      <c r="C423" s="10" t="s">
        <v>56</v>
      </c>
      <c r="D423" s="10" t="s">
        <v>45</v>
      </c>
      <c r="E423" s="10" t="s">
        <v>46</v>
      </c>
      <c r="F423" s="10" t="s">
        <v>92</v>
      </c>
      <c r="G423" s="10" t="b">
        <f>FALSE()</f>
        <v>0</v>
      </c>
      <c r="H423" s="10">
        <v>1</v>
      </c>
      <c r="I423" s="10">
        <v>0</v>
      </c>
      <c r="J423" s="10">
        <v>2</v>
      </c>
      <c r="K423" s="10">
        <v>111</v>
      </c>
      <c r="L423" s="10">
        <v>130</v>
      </c>
      <c r="M423" s="10">
        <v>0</v>
      </c>
      <c r="N423" s="10">
        <v>0</v>
      </c>
      <c r="O423" s="10">
        <v>0</v>
      </c>
    </row>
    <row r="424" spans="1:15" x14ac:dyDescent="0.2">
      <c r="A424" s="10" t="s">
        <v>390</v>
      </c>
      <c r="B424" s="10" t="s">
        <v>72</v>
      </c>
      <c r="C424" s="10" t="s">
        <v>73</v>
      </c>
      <c r="D424" s="10" t="s">
        <v>45</v>
      </c>
      <c r="E424" s="10" t="s">
        <v>46</v>
      </c>
      <c r="F424" s="10" t="s">
        <v>91</v>
      </c>
      <c r="G424" s="10" t="b">
        <f>TRUE()</f>
        <v>1</v>
      </c>
      <c r="H424" s="10">
        <v>1</v>
      </c>
      <c r="I424" s="10">
        <v>0</v>
      </c>
      <c r="J424" s="10">
        <v>3</v>
      </c>
      <c r="K424" s="10">
        <v>130</v>
      </c>
      <c r="L424" s="10">
        <v>130</v>
      </c>
      <c r="M424" s="10">
        <v>0</v>
      </c>
      <c r="N424" s="10">
        <v>0</v>
      </c>
      <c r="O424" s="10">
        <v>0</v>
      </c>
    </row>
    <row r="425" spans="1:15" x14ac:dyDescent="0.2">
      <c r="A425" s="10" t="s">
        <v>425</v>
      </c>
      <c r="B425" s="10" t="s">
        <v>178</v>
      </c>
      <c r="C425" s="10" t="s">
        <v>73</v>
      </c>
      <c r="D425" s="10" t="s">
        <v>45</v>
      </c>
      <c r="E425" s="10" t="s">
        <v>46</v>
      </c>
      <c r="F425" s="10" t="s">
        <v>61</v>
      </c>
      <c r="G425" s="10" t="b">
        <f>FALSE()</f>
        <v>0</v>
      </c>
      <c r="H425" s="10">
        <v>1</v>
      </c>
      <c r="I425" s="10">
        <v>1</v>
      </c>
      <c r="J425" s="10">
        <v>1</v>
      </c>
      <c r="K425" s="10">
        <v>133</v>
      </c>
      <c r="L425" s="10">
        <v>129</v>
      </c>
      <c r="M425" s="10">
        <v>1</v>
      </c>
      <c r="N425" s="10">
        <v>47</v>
      </c>
      <c r="O425" s="10">
        <v>47</v>
      </c>
    </row>
    <row r="426" spans="1:15" x14ac:dyDescent="0.2">
      <c r="A426" s="10" t="s">
        <v>426</v>
      </c>
      <c r="B426" s="10" t="s">
        <v>70</v>
      </c>
      <c r="C426" s="10" t="s">
        <v>70</v>
      </c>
      <c r="D426" s="10" t="s">
        <v>45</v>
      </c>
      <c r="E426" s="10" t="s">
        <v>46</v>
      </c>
      <c r="F426" s="10" t="s">
        <v>47</v>
      </c>
      <c r="G426" s="10" t="b">
        <f>FALSE()</f>
        <v>0</v>
      </c>
      <c r="H426" s="10">
        <v>1</v>
      </c>
      <c r="I426" s="10">
        <v>0</v>
      </c>
      <c r="J426" s="10">
        <v>1</v>
      </c>
      <c r="K426" s="10">
        <v>140</v>
      </c>
      <c r="L426" s="10">
        <v>129</v>
      </c>
      <c r="M426" s="10">
        <v>0</v>
      </c>
      <c r="N426" s="10">
        <v>0</v>
      </c>
      <c r="O426" s="10">
        <v>0</v>
      </c>
    </row>
    <row r="427" spans="1:15" x14ac:dyDescent="0.2">
      <c r="A427" s="10" t="s">
        <v>395</v>
      </c>
      <c r="B427" s="10" t="s">
        <v>273</v>
      </c>
      <c r="C427" s="10" t="s">
        <v>50</v>
      </c>
      <c r="D427" s="10" t="s">
        <v>51</v>
      </c>
      <c r="E427" s="10" t="s">
        <v>52</v>
      </c>
      <c r="F427" s="10" t="s">
        <v>180</v>
      </c>
      <c r="G427" s="10" t="b">
        <f>FALSE()</f>
        <v>0</v>
      </c>
      <c r="H427" s="10">
        <v>1</v>
      </c>
      <c r="I427" s="10">
        <v>1</v>
      </c>
      <c r="J427" s="10">
        <v>2</v>
      </c>
      <c r="K427" s="10">
        <v>128</v>
      </c>
      <c r="L427" s="10">
        <v>128</v>
      </c>
      <c r="M427" s="10">
        <v>1</v>
      </c>
      <c r="N427" s="10">
        <v>81</v>
      </c>
      <c r="O427" s="10">
        <v>57</v>
      </c>
    </row>
    <row r="428" spans="1:15" x14ac:dyDescent="0.2">
      <c r="A428" s="10" t="s">
        <v>427</v>
      </c>
      <c r="B428" s="10" t="s">
        <v>67</v>
      </c>
      <c r="C428" s="10" t="s">
        <v>64</v>
      </c>
      <c r="D428" s="10" t="s">
        <v>45</v>
      </c>
      <c r="E428" s="10" t="s">
        <v>46</v>
      </c>
      <c r="F428" s="10" t="s">
        <v>94</v>
      </c>
      <c r="G428" s="10" t="b">
        <f>FALSE()</f>
        <v>0</v>
      </c>
      <c r="H428" s="10">
        <v>1</v>
      </c>
      <c r="I428" s="10">
        <v>0</v>
      </c>
      <c r="J428" s="10">
        <v>3</v>
      </c>
      <c r="K428" s="10">
        <v>114</v>
      </c>
      <c r="L428" s="10">
        <v>128</v>
      </c>
      <c r="M428" s="10">
        <v>0</v>
      </c>
      <c r="N428" s="10">
        <v>0</v>
      </c>
      <c r="O428" s="10">
        <v>0</v>
      </c>
    </row>
    <row r="429" spans="1:15" x14ac:dyDescent="0.2">
      <c r="A429" s="10" t="s">
        <v>428</v>
      </c>
      <c r="B429" s="10" t="s">
        <v>146</v>
      </c>
      <c r="C429" s="10" t="s">
        <v>105</v>
      </c>
      <c r="D429" s="10" t="s">
        <v>45</v>
      </c>
      <c r="E429" s="10" t="s">
        <v>46</v>
      </c>
      <c r="F429" s="10" t="s">
        <v>74</v>
      </c>
      <c r="G429" s="10" t="b">
        <f>FALSE()</f>
        <v>0</v>
      </c>
      <c r="H429" s="10">
        <v>1</v>
      </c>
      <c r="I429" s="10">
        <v>0</v>
      </c>
      <c r="J429" s="10">
        <v>2</v>
      </c>
      <c r="K429" s="10">
        <v>133</v>
      </c>
      <c r="L429" s="10">
        <v>128</v>
      </c>
      <c r="M429" s="10">
        <v>0</v>
      </c>
      <c r="N429" s="10">
        <v>0</v>
      </c>
      <c r="O429" s="10">
        <v>0</v>
      </c>
    </row>
    <row r="430" spans="1:15" x14ac:dyDescent="0.2">
      <c r="A430" s="10" t="s">
        <v>429</v>
      </c>
      <c r="B430" s="10" t="s">
        <v>169</v>
      </c>
      <c r="C430" s="10" t="s">
        <v>117</v>
      </c>
      <c r="D430" s="10" t="s">
        <v>51</v>
      </c>
      <c r="E430" s="10" t="s">
        <v>52</v>
      </c>
      <c r="F430" s="10" t="s">
        <v>47</v>
      </c>
      <c r="G430" s="10" t="b">
        <f>FALSE()</f>
        <v>0</v>
      </c>
      <c r="H430" s="10">
        <v>1</v>
      </c>
      <c r="I430" s="10">
        <v>1</v>
      </c>
      <c r="J430" s="10">
        <v>1</v>
      </c>
      <c r="K430" s="10">
        <v>131</v>
      </c>
      <c r="L430" s="10">
        <v>127</v>
      </c>
      <c r="M430" s="10">
        <v>1</v>
      </c>
      <c r="N430" s="10">
        <v>557</v>
      </c>
      <c r="O430" s="10">
        <v>582</v>
      </c>
    </row>
    <row r="431" spans="1:15" x14ac:dyDescent="0.2">
      <c r="A431" s="10" t="s">
        <v>257</v>
      </c>
      <c r="B431" s="10" t="s">
        <v>258</v>
      </c>
      <c r="C431" s="10" t="s">
        <v>90</v>
      </c>
      <c r="D431" s="10" t="s">
        <v>51</v>
      </c>
      <c r="E431" s="10" t="s">
        <v>52</v>
      </c>
      <c r="F431" s="10" t="s">
        <v>153</v>
      </c>
      <c r="G431" s="10" t="b">
        <f>FALSE()</f>
        <v>0</v>
      </c>
      <c r="H431" s="10">
        <v>1</v>
      </c>
      <c r="I431" s="10">
        <v>1</v>
      </c>
      <c r="J431" s="10">
        <v>2</v>
      </c>
      <c r="K431" s="10">
        <v>136</v>
      </c>
      <c r="L431" s="10">
        <v>127</v>
      </c>
      <c r="M431" s="10">
        <v>1</v>
      </c>
      <c r="N431" s="10">
        <v>143</v>
      </c>
      <c r="O431" s="10">
        <v>142</v>
      </c>
    </row>
    <row r="432" spans="1:15" x14ac:dyDescent="0.2">
      <c r="A432" s="10" t="s">
        <v>118</v>
      </c>
      <c r="B432" s="10" t="s">
        <v>119</v>
      </c>
      <c r="C432" s="10" t="s">
        <v>56</v>
      </c>
      <c r="D432" s="10" t="s">
        <v>45</v>
      </c>
      <c r="E432" s="10" t="s">
        <v>46</v>
      </c>
      <c r="F432" s="10" t="s">
        <v>251</v>
      </c>
      <c r="G432" s="10" t="b">
        <f>FALSE()</f>
        <v>0</v>
      </c>
      <c r="H432" s="10">
        <v>1</v>
      </c>
      <c r="I432" s="10">
        <v>1</v>
      </c>
      <c r="J432" s="10">
        <v>2</v>
      </c>
      <c r="K432" s="10">
        <v>121</v>
      </c>
      <c r="L432" s="10">
        <v>127</v>
      </c>
      <c r="M432" s="10">
        <v>1</v>
      </c>
      <c r="N432" s="10">
        <v>86</v>
      </c>
      <c r="O432" s="10">
        <v>86</v>
      </c>
    </row>
    <row r="433" spans="1:15" x14ac:dyDescent="0.2">
      <c r="A433" s="10" t="s">
        <v>298</v>
      </c>
      <c r="B433" s="10" t="s">
        <v>273</v>
      </c>
      <c r="C433" s="10" t="s">
        <v>50</v>
      </c>
      <c r="D433" s="10" t="s">
        <v>51</v>
      </c>
      <c r="E433" s="10" t="s">
        <v>52</v>
      </c>
      <c r="F433" s="10" t="s">
        <v>92</v>
      </c>
      <c r="G433" s="10" t="b">
        <f>FALSE()</f>
        <v>0</v>
      </c>
      <c r="H433" s="10">
        <v>1</v>
      </c>
      <c r="I433" s="10">
        <v>0</v>
      </c>
      <c r="J433" s="10">
        <v>3</v>
      </c>
      <c r="K433" s="10">
        <v>152</v>
      </c>
      <c r="L433" s="10">
        <v>127</v>
      </c>
      <c r="M433" s="10">
        <v>0</v>
      </c>
      <c r="N433" s="10">
        <v>0</v>
      </c>
      <c r="O433" s="10">
        <v>0</v>
      </c>
    </row>
    <row r="434" spans="1:15" x14ac:dyDescent="0.2">
      <c r="A434" s="10" t="s">
        <v>216</v>
      </c>
      <c r="B434" s="10" t="s">
        <v>160</v>
      </c>
      <c r="C434" s="10" t="s">
        <v>56</v>
      </c>
      <c r="D434" s="10" t="s">
        <v>45</v>
      </c>
      <c r="E434" s="10" t="s">
        <v>46</v>
      </c>
      <c r="F434" s="10" t="s">
        <v>61</v>
      </c>
      <c r="G434" s="10" t="b">
        <f>FALSE()</f>
        <v>0</v>
      </c>
      <c r="H434" s="10">
        <v>1</v>
      </c>
      <c r="I434" s="10">
        <v>0</v>
      </c>
      <c r="J434" s="10">
        <v>3</v>
      </c>
      <c r="K434" s="10">
        <v>158</v>
      </c>
      <c r="L434" s="10">
        <v>127</v>
      </c>
      <c r="M434" s="10">
        <v>0</v>
      </c>
      <c r="N434" s="10">
        <v>0</v>
      </c>
      <c r="O434" s="10">
        <v>0</v>
      </c>
    </row>
    <row r="435" spans="1:15" x14ac:dyDescent="0.2">
      <c r="A435" s="10" t="s">
        <v>426</v>
      </c>
      <c r="B435" s="10" t="s">
        <v>70</v>
      </c>
      <c r="C435" s="10" t="s">
        <v>70</v>
      </c>
      <c r="D435" s="10" t="s">
        <v>45</v>
      </c>
      <c r="E435" s="10" t="s">
        <v>46</v>
      </c>
      <c r="F435" s="10" t="s">
        <v>53</v>
      </c>
      <c r="G435" s="10" t="b">
        <f>FALSE()</f>
        <v>0</v>
      </c>
      <c r="H435" s="10">
        <v>1</v>
      </c>
      <c r="I435" s="10">
        <v>0</v>
      </c>
      <c r="J435" s="10">
        <v>2</v>
      </c>
      <c r="K435" s="10">
        <v>160</v>
      </c>
      <c r="L435" s="10">
        <v>127</v>
      </c>
      <c r="M435" s="10">
        <v>0</v>
      </c>
      <c r="N435" s="10">
        <v>0</v>
      </c>
      <c r="O435" s="10">
        <v>0</v>
      </c>
    </row>
    <row r="436" spans="1:15" x14ac:dyDescent="0.2">
      <c r="A436" s="10" t="s">
        <v>399</v>
      </c>
      <c r="B436" s="10" t="s">
        <v>139</v>
      </c>
      <c r="C436" s="10" t="s">
        <v>64</v>
      </c>
      <c r="D436" s="10" t="s">
        <v>45</v>
      </c>
      <c r="E436" s="10" t="s">
        <v>46</v>
      </c>
      <c r="F436" s="10" t="s">
        <v>47</v>
      </c>
      <c r="G436" s="10" t="b">
        <f>FALSE()</f>
        <v>0</v>
      </c>
      <c r="H436" s="10">
        <v>1</v>
      </c>
      <c r="I436" s="10">
        <v>0</v>
      </c>
      <c r="J436" s="10">
        <v>2</v>
      </c>
      <c r="K436" s="10">
        <v>140</v>
      </c>
      <c r="L436" s="10">
        <v>127</v>
      </c>
      <c r="M436" s="10">
        <v>0</v>
      </c>
      <c r="N436" s="10">
        <v>0</v>
      </c>
      <c r="O436" s="10">
        <v>0</v>
      </c>
    </row>
    <row r="437" spans="1:15" x14ac:dyDescent="0.2">
      <c r="A437" s="10" t="s">
        <v>430</v>
      </c>
      <c r="B437" s="10" t="s">
        <v>70</v>
      </c>
      <c r="C437" s="10" t="s">
        <v>70</v>
      </c>
      <c r="D437" s="10" t="s">
        <v>45</v>
      </c>
      <c r="E437" s="10" t="s">
        <v>46</v>
      </c>
      <c r="F437" s="10" t="s">
        <v>53</v>
      </c>
      <c r="G437" s="10" t="b">
        <f>FALSE()</f>
        <v>0</v>
      </c>
      <c r="H437" s="10">
        <v>1</v>
      </c>
      <c r="I437" s="10">
        <v>0</v>
      </c>
      <c r="J437" s="10">
        <v>2</v>
      </c>
      <c r="K437" s="10">
        <v>155</v>
      </c>
      <c r="L437" s="10">
        <v>127</v>
      </c>
      <c r="M437" s="10">
        <v>0</v>
      </c>
      <c r="N437" s="10">
        <v>0</v>
      </c>
      <c r="O437" s="10">
        <v>0</v>
      </c>
    </row>
    <row r="438" spans="1:15" x14ac:dyDescent="0.2">
      <c r="A438" s="10" t="s">
        <v>431</v>
      </c>
      <c r="B438" s="10" t="s">
        <v>432</v>
      </c>
      <c r="C438" s="10" t="s">
        <v>117</v>
      </c>
      <c r="D438" s="10" t="s">
        <v>51</v>
      </c>
      <c r="E438" s="10" t="s">
        <v>52</v>
      </c>
      <c r="F438" s="10" t="s">
        <v>74</v>
      </c>
      <c r="G438" s="10" t="b">
        <f>FALSE()</f>
        <v>0</v>
      </c>
      <c r="H438" s="10">
        <v>1</v>
      </c>
      <c r="I438" s="10">
        <v>0</v>
      </c>
      <c r="J438" s="10">
        <v>1</v>
      </c>
      <c r="K438" s="10">
        <v>128</v>
      </c>
      <c r="L438" s="10">
        <v>127</v>
      </c>
      <c r="M438" s="10">
        <v>0</v>
      </c>
      <c r="N438" s="10">
        <v>0</v>
      </c>
      <c r="O438" s="10">
        <v>0</v>
      </c>
    </row>
    <row r="439" spans="1:15" x14ac:dyDescent="0.2">
      <c r="A439" s="10" t="s">
        <v>433</v>
      </c>
      <c r="B439" s="10" t="s">
        <v>70</v>
      </c>
      <c r="C439" s="10" t="s">
        <v>70</v>
      </c>
      <c r="D439" s="10" t="s">
        <v>45</v>
      </c>
      <c r="E439" s="10" t="s">
        <v>46</v>
      </c>
      <c r="F439" s="10" t="s">
        <v>85</v>
      </c>
      <c r="G439" s="10" t="b">
        <f>FALSE()</f>
        <v>0</v>
      </c>
      <c r="H439" s="10">
        <v>1</v>
      </c>
      <c r="I439" s="10">
        <v>0</v>
      </c>
      <c r="J439" s="10">
        <v>1</v>
      </c>
      <c r="K439" s="10">
        <v>141</v>
      </c>
      <c r="L439" s="10">
        <v>127</v>
      </c>
      <c r="M439" s="10">
        <v>0</v>
      </c>
      <c r="N439" s="10">
        <v>0</v>
      </c>
      <c r="O439" s="10">
        <v>0</v>
      </c>
    </row>
    <row r="440" spans="1:15" x14ac:dyDescent="0.2">
      <c r="A440" s="10" t="s">
        <v>174</v>
      </c>
      <c r="B440" s="10" t="s">
        <v>130</v>
      </c>
      <c r="C440" s="10" t="s">
        <v>56</v>
      </c>
      <c r="D440" s="10" t="s">
        <v>45</v>
      </c>
      <c r="E440" s="10" t="s">
        <v>46</v>
      </c>
      <c r="F440" s="10" t="s">
        <v>434</v>
      </c>
      <c r="G440" s="10" t="b">
        <f>FALSE()</f>
        <v>0</v>
      </c>
      <c r="H440" s="10">
        <v>1</v>
      </c>
      <c r="I440" s="10">
        <v>1</v>
      </c>
      <c r="J440" s="10">
        <v>2</v>
      </c>
      <c r="K440" s="10">
        <v>114</v>
      </c>
      <c r="L440" s="10">
        <v>126</v>
      </c>
      <c r="M440" s="10">
        <v>1</v>
      </c>
      <c r="N440" s="10">
        <v>74</v>
      </c>
      <c r="O440" s="10">
        <v>74</v>
      </c>
    </row>
    <row r="441" spans="1:15" x14ac:dyDescent="0.2">
      <c r="A441" s="10" t="s">
        <v>369</v>
      </c>
      <c r="B441" s="10" t="s">
        <v>160</v>
      </c>
      <c r="C441" s="10" t="s">
        <v>56</v>
      </c>
      <c r="D441" s="10" t="s">
        <v>45</v>
      </c>
      <c r="E441" s="10" t="s">
        <v>46</v>
      </c>
      <c r="F441" s="10" t="s">
        <v>251</v>
      </c>
      <c r="G441" s="10" t="b">
        <f>FALSE()</f>
        <v>0</v>
      </c>
      <c r="H441" s="10">
        <v>1</v>
      </c>
      <c r="I441" s="10">
        <v>0</v>
      </c>
      <c r="J441" s="10">
        <v>1</v>
      </c>
      <c r="K441" s="10">
        <v>76</v>
      </c>
      <c r="L441" s="10">
        <v>126</v>
      </c>
      <c r="M441" s="10">
        <v>0</v>
      </c>
      <c r="N441" s="10">
        <v>0</v>
      </c>
      <c r="O441" s="10">
        <v>0</v>
      </c>
    </row>
    <row r="442" spans="1:15" x14ac:dyDescent="0.2">
      <c r="A442" s="10" t="s">
        <v>435</v>
      </c>
      <c r="B442" s="10" t="s">
        <v>70</v>
      </c>
      <c r="C442" s="10" t="s">
        <v>70</v>
      </c>
      <c r="D442" s="10" t="s">
        <v>45</v>
      </c>
      <c r="E442" s="10" t="s">
        <v>46</v>
      </c>
      <c r="F442" s="10" t="s">
        <v>393</v>
      </c>
      <c r="G442" s="10" t="b">
        <f>FALSE()</f>
        <v>0</v>
      </c>
      <c r="H442" s="10">
        <v>1</v>
      </c>
      <c r="I442" s="10">
        <v>0</v>
      </c>
      <c r="J442" s="10">
        <v>2</v>
      </c>
      <c r="K442" s="10">
        <v>79</v>
      </c>
      <c r="L442" s="10">
        <v>126</v>
      </c>
      <c r="M442" s="10">
        <v>0</v>
      </c>
      <c r="N442" s="10">
        <v>0</v>
      </c>
      <c r="O442" s="10">
        <v>0</v>
      </c>
    </row>
    <row r="443" spans="1:15" x14ac:dyDescent="0.2">
      <c r="A443" s="10" t="s">
        <v>203</v>
      </c>
      <c r="B443" s="10" t="s">
        <v>178</v>
      </c>
      <c r="C443" s="10" t="s">
        <v>73</v>
      </c>
      <c r="D443" s="10" t="s">
        <v>45</v>
      </c>
      <c r="E443" s="10" t="s">
        <v>46</v>
      </c>
      <c r="F443" s="10" t="s">
        <v>113</v>
      </c>
      <c r="G443" s="10" t="b">
        <f>TRUE()</f>
        <v>1</v>
      </c>
      <c r="H443" s="10">
        <v>1</v>
      </c>
      <c r="I443" s="10">
        <v>0</v>
      </c>
      <c r="J443" s="10">
        <v>2</v>
      </c>
      <c r="K443" s="10">
        <v>43</v>
      </c>
      <c r="L443" s="10">
        <v>125</v>
      </c>
      <c r="M443" s="10">
        <v>0</v>
      </c>
      <c r="N443" s="10">
        <v>0</v>
      </c>
      <c r="O443" s="10">
        <v>0</v>
      </c>
    </row>
    <row r="444" spans="1:15" x14ac:dyDescent="0.2">
      <c r="A444" s="10" t="s">
        <v>201</v>
      </c>
      <c r="B444" s="10" t="s">
        <v>130</v>
      </c>
      <c r="C444" s="10" t="s">
        <v>56</v>
      </c>
      <c r="D444" s="10" t="s">
        <v>45</v>
      </c>
      <c r="E444" s="10" t="s">
        <v>46</v>
      </c>
      <c r="F444" s="10" t="s">
        <v>153</v>
      </c>
      <c r="G444" s="10" t="b">
        <f>FALSE()</f>
        <v>0</v>
      </c>
      <c r="H444" s="10">
        <v>1</v>
      </c>
      <c r="I444" s="10">
        <v>0</v>
      </c>
      <c r="J444" s="10">
        <v>1</v>
      </c>
      <c r="K444" s="10">
        <v>200</v>
      </c>
      <c r="L444" s="10">
        <v>125</v>
      </c>
      <c r="M444" s="10">
        <v>0</v>
      </c>
      <c r="N444" s="10">
        <v>0</v>
      </c>
      <c r="O444" s="10">
        <v>0</v>
      </c>
    </row>
    <row r="445" spans="1:15" x14ac:dyDescent="0.2">
      <c r="A445" s="10" t="s">
        <v>129</v>
      </c>
      <c r="B445" s="10" t="s">
        <v>63</v>
      </c>
      <c r="C445" s="10" t="s">
        <v>64</v>
      </c>
      <c r="D445" s="10" t="s">
        <v>45</v>
      </c>
      <c r="E445" s="10" t="s">
        <v>46</v>
      </c>
      <c r="F445" s="10" t="s">
        <v>61</v>
      </c>
      <c r="G445" s="10" t="b">
        <f>FALSE()</f>
        <v>0</v>
      </c>
      <c r="H445" s="10">
        <v>1</v>
      </c>
      <c r="I445" s="10">
        <v>0</v>
      </c>
      <c r="J445" s="10">
        <v>2</v>
      </c>
      <c r="K445" s="10">
        <v>153</v>
      </c>
      <c r="L445" s="10">
        <v>125</v>
      </c>
      <c r="M445" s="10">
        <v>0</v>
      </c>
      <c r="N445" s="10">
        <v>0</v>
      </c>
      <c r="O445" s="10">
        <v>0</v>
      </c>
    </row>
    <row r="446" spans="1:15" x14ac:dyDescent="0.2">
      <c r="A446" s="10" t="s">
        <v>254</v>
      </c>
      <c r="B446" s="10" t="s">
        <v>130</v>
      </c>
      <c r="C446" s="10" t="s">
        <v>56</v>
      </c>
      <c r="D446" s="10" t="s">
        <v>45</v>
      </c>
      <c r="E446" s="10" t="s">
        <v>46</v>
      </c>
      <c r="F446" s="10" t="s">
        <v>47</v>
      </c>
      <c r="G446" s="10" t="b">
        <f>FALSE()</f>
        <v>0</v>
      </c>
      <c r="H446" s="10">
        <v>1</v>
      </c>
      <c r="I446" s="10">
        <v>0</v>
      </c>
      <c r="J446" s="10">
        <v>2</v>
      </c>
      <c r="K446" s="10">
        <v>182</v>
      </c>
      <c r="L446" s="10">
        <v>125</v>
      </c>
      <c r="M446" s="10">
        <v>0</v>
      </c>
      <c r="N446" s="10">
        <v>0</v>
      </c>
      <c r="O446" s="10">
        <v>0</v>
      </c>
    </row>
    <row r="447" spans="1:15" x14ac:dyDescent="0.2">
      <c r="A447" s="10" t="s">
        <v>436</v>
      </c>
      <c r="B447" s="10" t="s">
        <v>72</v>
      </c>
      <c r="C447" s="10" t="s">
        <v>73</v>
      </c>
      <c r="D447" s="10" t="s">
        <v>45</v>
      </c>
      <c r="E447" s="10" t="s">
        <v>46</v>
      </c>
      <c r="F447" s="10" t="s">
        <v>206</v>
      </c>
      <c r="G447" s="10" t="b">
        <f>FALSE()</f>
        <v>0</v>
      </c>
      <c r="H447" s="10">
        <v>1</v>
      </c>
      <c r="I447" s="10">
        <v>0</v>
      </c>
      <c r="J447" s="10">
        <v>1</v>
      </c>
      <c r="K447" s="10">
        <v>140</v>
      </c>
      <c r="L447" s="10">
        <v>125</v>
      </c>
      <c r="M447" s="10">
        <v>0</v>
      </c>
      <c r="N447" s="10">
        <v>0</v>
      </c>
      <c r="O447" s="10">
        <v>0</v>
      </c>
    </row>
    <row r="448" spans="1:15" x14ac:dyDescent="0.2">
      <c r="A448" s="10" t="s">
        <v>437</v>
      </c>
      <c r="B448" s="10" t="s">
        <v>165</v>
      </c>
      <c r="C448" s="10" t="s">
        <v>112</v>
      </c>
      <c r="D448" s="10" t="s">
        <v>51</v>
      </c>
      <c r="E448" s="10" t="s">
        <v>52</v>
      </c>
      <c r="F448" s="10" t="s">
        <v>74</v>
      </c>
      <c r="G448" s="10" t="b">
        <f>FALSE()</f>
        <v>0</v>
      </c>
      <c r="H448" s="10">
        <v>1</v>
      </c>
      <c r="I448" s="10">
        <v>1</v>
      </c>
      <c r="J448" s="10">
        <v>3</v>
      </c>
      <c r="K448" s="10">
        <v>127</v>
      </c>
      <c r="L448" s="10">
        <v>124</v>
      </c>
      <c r="M448" s="10">
        <v>1</v>
      </c>
      <c r="N448" s="10">
        <v>316</v>
      </c>
      <c r="O448" s="10">
        <v>316</v>
      </c>
    </row>
    <row r="449" spans="1:15" x14ac:dyDescent="0.2">
      <c r="A449" s="10" t="s">
        <v>324</v>
      </c>
      <c r="B449" s="10" t="s">
        <v>70</v>
      </c>
      <c r="C449" s="10" t="s">
        <v>70</v>
      </c>
      <c r="D449" s="10" t="s">
        <v>45</v>
      </c>
      <c r="E449" s="10" t="s">
        <v>46</v>
      </c>
      <c r="F449" s="10" t="s">
        <v>92</v>
      </c>
      <c r="G449" s="10" t="b">
        <f>FALSE()</f>
        <v>0</v>
      </c>
      <c r="H449" s="10">
        <v>1</v>
      </c>
      <c r="I449" s="10">
        <v>1</v>
      </c>
      <c r="J449" s="10">
        <v>0</v>
      </c>
      <c r="K449" s="10">
        <v>0</v>
      </c>
      <c r="L449" s="10">
        <v>124</v>
      </c>
      <c r="M449" s="10">
        <v>1</v>
      </c>
      <c r="N449" s="10">
        <v>222</v>
      </c>
      <c r="O449" s="10">
        <v>222</v>
      </c>
    </row>
    <row r="450" spans="1:15" x14ac:dyDescent="0.2">
      <c r="A450" s="10" t="s">
        <v>292</v>
      </c>
      <c r="B450" s="10" t="s">
        <v>119</v>
      </c>
      <c r="C450" s="10" t="s">
        <v>56</v>
      </c>
      <c r="D450" s="10" t="s">
        <v>45</v>
      </c>
      <c r="E450" s="10" t="s">
        <v>46</v>
      </c>
      <c r="F450" s="10" t="s">
        <v>363</v>
      </c>
      <c r="G450" s="10" t="b">
        <f>FALSE()</f>
        <v>0</v>
      </c>
      <c r="H450" s="10">
        <v>1</v>
      </c>
      <c r="I450" s="10">
        <v>0</v>
      </c>
      <c r="J450" s="10">
        <v>1</v>
      </c>
      <c r="K450" s="10">
        <v>98</v>
      </c>
      <c r="L450" s="10">
        <v>124</v>
      </c>
      <c r="M450" s="10">
        <v>0</v>
      </c>
      <c r="N450" s="10">
        <v>0</v>
      </c>
      <c r="O450" s="10">
        <v>0</v>
      </c>
    </row>
    <row r="451" spans="1:15" x14ac:dyDescent="0.2">
      <c r="A451" s="10" t="s">
        <v>438</v>
      </c>
      <c r="B451" s="10" t="s">
        <v>439</v>
      </c>
      <c r="C451" s="10" t="s">
        <v>112</v>
      </c>
      <c r="D451" s="10" t="s">
        <v>51</v>
      </c>
      <c r="E451" s="10" t="s">
        <v>52</v>
      </c>
      <c r="F451" s="10" t="s">
        <v>183</v>
      </c>
      <c r="G451" s="10" t="b">
        <f>FALSE()</f>
        <v>0</v>
      </c>
      <c r="H451" s="10">
        <v>1</v>
      </c>
      <c r="I451" s="10">
        <v>0</v>
      </c>
      <c r="J451" s="10">
        <v>1</v>
      </c>
      <c r="K451" s="10">
        <v>81</v>
      </c>
      <c r="L451" s="10">
        <v>124</v>
      </c>
      <c r="M451" s="10">
        <v>0</v>
      </c>
      <c r="N451" s="10">
        <v>0</v>
      </c>
      <c r="O451" s="10">
        <v>0</v>
      </c>
    </row>
    <row r="452" spans="1:15" x14ac:dyDescent="0.2">
      <c r="A452" s="10" t="s">
        <v>326</v>
      </c>
      <c r="B452" s="10" t="s">
        <v>55</v>
      </c>
      <c r="C452" s="10" t="s">
        <v>56</v>
      </c>
      <c r="D452" s="10" t="s">
        <v>45</v>
      </c>
      <c r="E452" s="10" t="s">
        <v>46</v>
      </c>
      <c r="F452" s="10" t="s">
        <v>47</v>
      </c>
      <c r="G452" s="10" t="b">
        <f>FALSE()</f>
        <v>0</v>
      </c>
      <c r="H452" s="10">
        <v>1</v>
      </c>
      <c r="I452" s="10">
        <v>0</v>
      </c>
      <c r="J452" s="10">
        <v>2</v>
      </c>
      <c r="K452" s="10">
        <v>156</v>
      </c>
      <c r="L452" s="10">
        <v>124</v>
      </c>
      <c r="M452" s="10">
        <v>0</v>
      </c>
      <c r="N452" s="10">
        <v>0</v>
      </c>
      <c r="O452" s="10">
        <v>0</v>
      </c>
    </row>
    <row r="453" spans="1:15" x14ac:dyDescent="0.2">
      <c r="A453" s="10" t="s">
        <v>440</v>
      </c>
      <c r="B453" s="10" t="s">
        <v>72</v>
      </c>
      <c r="C453" s="10" t="s">
        <v>73</v>
      </c>
      <c r="D453" s="10" t="s">
        <v>45</v>
      </c>
      <c r="E453" s="10" t="s">
        <v>46</v>
      </c>
      <c r="F453" s="10" t="s">
        <v>61</v>
      </c>
      <c r="G453" s="10" t="b">
        <f>FALSE()</f>
        <v>0</v>
      </c>
      <c r="H453" s="10">
        <v>1</v>
      </c>
      <c r="I453" s="10">
        <v>0</v>
      </c>
      <c r="J453" s="10">
        <v>1</v>
      </c>
      <c r="K453" s="10">
        <v>36</v>
      </c>
      <c r="L453" s="10">
        <v>124</v>
      </c>
      <c r="M453" s="10">
        <v>0</v>
      </c>
      <c r="N453" s="10">
        <v>0</v>
      </c>
      <c r="O453" s="10">
        <v>0</v>
      </c>
    </row>
    <row r="454" spans="1:15" x14ac:dyDescent="0.2">
      <c r="A454" s="10" t="s">
        <v>441</v>
      </c>
      <c r="B454" s="10" t="s">
        <v>116</v>
      </c>
      <c r="C454" s="10" t="s">
        <v>117</v>
      </c>
      <c r="D454" s="10" t="s">
        <v>51</v>
      </c>
      <c r="E454" s="10" t="s">
        <v>52</v>
      </c>
      <c r="F454" s="10" t="s">
        <v>47</v>
      </c>
      <c r="G454" s="10" t="b">
        <f>FALSE()</f>
        <v>0</v>
      </c>
      <c r="H454" s="10">
        <v>1</v>
      </c>
      <c r="I454" s="10">
        <v>0</v>
      </c>
      <c r="J454" s="10">
        <v>3</v>
      </c>
      <c r="K454" s="10">
        <v>97</v>
      </c>
      <c r="L454" s="10">
        <v>124</v>
      </c>
      <c r="M454" s="10">
        <v>0</v>
      </c>
      <c r="N454" s="10">
        <v>0</v>
      </c>
      <c r="O454" s="10">
        <v>0</v>
      </c>
    </row>
    <row r="455" spans="1:15" x14ac:dyDescent="0.2">
      <c r="A455" s="10" t="s">
        <v>442</v>
      </c>
      <c r="B455" s="10" t="s">
        <v>280</v>
      </c>
      <c r="C455" s="10" t="s">
        <v>64</v>
      </c>
      <c r="D455" s="10" t="s">
        <v>45</v>
      </c>
      <c r="E455" s="10" t="s">
        <v>46</v>
      </c>
      <c r="F455" s="10" t="s">
        <v>53</v>
      </c>
      <c r="G455" s="10" t="b">
        <f>FALSE()</f>
        <v>0</v>
      </c>
      <c r="H455" s="10">
        <v>1</v>
      </c>
      <c r="I455" s="10">
        <v>0</v>
      </c>
      <c r="J455" s="10">
        <v>1</v>
      </c>
      <c r="K455" s="10">
        <v>159</v>
      </c>
      <c r="L455" s="10">
        <v>124</v>
      </c>
      <c r="M455" s="10">
        <v>0</v>
      </c>
      <c r="N455" s="10">
        <v>0</v>
      </c>
      <c r="O455" s="10">
        <v>0</v>
      </c>
    </row>
    <row r="456" spans="1:15" x14ac:dyDescent="0.2">
      <c r="A456" s="10" t="s">
        <v>443</v>
      </c>
      <c r="B456" s="10" t="s">
        <v>407</v>
      </c>
      <c r="C456" s="10" t="s">
        <v>112</v>
      </c>
      <c r="D456" s="10" t="s">
        <v>51</v>
      </c>
      <c r="E456" s="10" t="s">
        <v>52</v>
      </c>
      <c r="F456" s="10" t="s">
        <v>190</v>
      </c>
      <c r="G456" s="10" t="b">
        <f>TRUE()</f>
        <v>1</v>
      </c>
      <c r="H456" s="10">
        <v>1</v>
      </c>
      <c r="I456" s="10">
        <v>0</v>
      </c>
      <c r="J456" s="10">
        <v>1</v>
      </c>
      <c r="K456" s="10">
        <v>100</v>
      </c>
      <c r="L456" s="10">
        <v>124</v>
      </c>
      <c r="M456" s="10">
        <v>0</v>
      </c>
      <c r="N456" s="10">
        <v>0</v>
      </c>
      <c r="O456" s="10">
        <v>0</v>
      </c>
    </row>
    <row r="457" spans="1:15" x14ac:dyDescent="0.2">
      <c r="A457" s="10" t="s">
        <v>192</v>
      </c>
      <c r="B457" s="10" t="s">
        <v>193</v>
      </c>
      <c r="C457" s="10" t="s">
        <v>117</v>
      </c>
      <c r="D457" s="10" t="s">
        <v>51</v>
      </c>
      <c r="E457" s="10" t="s">
        <v>52</v>
      </c>
      <c r="F457" s="10" t="s">
        <v>444</v>
      </c>
      <c r="G457" s="10" t="b">
        <f>TRUE()</f>
        <v>1</v>
      </c>
      <c r="H457" s="10">
        <v>1</v>
      </c>
      <c r="I457" s="10">
        <v>0</v>
      </c>
      <c r="J457" s="10">
        <v>1</v>
      </c>
      <c r="K457" s="10">
        <v>124</v>
      </c>
      <c r="L457" s="10">
        <v>124</v>
      </c>
      <c r="M457" s="10">
        <v>0</v>
      </c>
      <c r="N457" s="10">
        <v>0</v>
      </c>
      <c r="O457" s="10">
        <v>0</v>
      </c>
    </row>
    <row r="458" spans="1:15" x14ac:dyDescent="0.2">
      <c r="A458" s="10" t="s">
        <v>445</v>
      </c>
      <c r="B458" s="10" t="s">
        <v>104</v>
      </c>
      <c r="C458" s="10" t="s">
        <v>105</v>
      </c>
      <c r="D458" s="10" t="s">
        <v>45</v>
      </c>
      <c r="E458" s="10" t="s">
        <v>46</v>
      </c>
      <c r="F458" s="10" t="s">
        <v>61</v>
      </c>
      <c r="G458" s="10" t="b">
        <f>FALSE()</f>
        <v>0</v>
      </c>
      <c r="H458" s="10">
        <v>1</v>
      </c>
      <c r="I458" s="10">
        <v>1</v>
      </c>
      <c r="J458" s="10">
        <v>2</v>
      </c>
      <c r="K458" s="10">
        <v>123</v>
      </c>
      <c r="L458" s="10">
        <v>123</v>
      </c>
      <c r="M458" s="10">
        <v>1</v>
      </c>
      <c r="N458" s="10">
        <v>69</v>
      </c>
      <c r="O458" s="10">
        <v>69</v>
      </c>
    </row>
    <row r="459" spans="1:15" x14ac:dyDescent="0.2">
      <c r="A459" s="10" t="s">
        <v>300</v>
      </c>
      <c r="B459" s="10" t="s">
        <v>172</v>
      </c>
      <c r="C459" s="10" t="s">
        <v>44</v>
      </c>
      <c r="D459" s="10" t="s">
        <v>45</v>
      </c>
      <c r="E459" s="10" t="s">
        <v>46</v>
      </c>
      <c r="F459" s="10" t="s">
        <v>446</v>
      </c>
      <c r="G459" s="10" t="b">
        <f>FALSE()</f>
        <v>0</v>
      </c>
      <c r="H459" s="10">
        <v>1</v>
      </c>
      <c r="I459" s="10">
        <v>0</v>
      </c>
      <c r="J459" s="10">
        <v>1</v>
      </c>
      <c r="K459" s="10">
        <v>126</v>
      </c>
      <c r="L459" s="10">
        <v>123</v>
      </c>
      <c r="M459" s="10">
        <v>0</v>
      </c>
      <c r="N459" s="10">
        <v>0</v>
      </c>
      <c r="O459" s="10">
        <v>0</v>
      </c>
    </row>
    <row r="460" spans="1:15" x14ac:dyDescent="0.2">
      <c r="A460" s="10" t="s">
        <v>447</v>
      </c>
      <c r="B460" s="10" t="s">
        <v>282</v>
      </c>
      <c r="C460" s="10" t="s">
        <v>50</v>
      </c>
      <c r="D460" s="10" t="s">
        <v>51</v>
      </c>
      <c r="E460" s="10" t="s">
        <v>52</v>
      </c>
      <c r="F460" s="10" t="s">
        <v>75</v>
      </c>
      <c r="G460" s="10" t="b">
        <f>FALSE()</f>
        <v>0</v>
      </c>
      <c r="H460" s="10">
        <v>1</v>
      </c>
      <c r="I460" s="10">
        <v>0</v>
      </c>
      <c r="J460" s="10">
        <v>1</v>
      </c>
      <c r="K460" s="10">
        <v>123</v>
      </c>
      <c r="L460" s="10">
        <v>123</v>
      </c>
      <c r="M460" s="10">
        <v>0</v>
      </c>
      <c r="N460" s="10">
        <v>0</v>
      </c>
      <c r="O460" s="10">
        <v>0</v>
      </c>
    </row>
    <row r="461" spans="1:15" x14ac:dyDescent="0.2">
      <c r="A461" s="10" t="s">
        <v>448</v>
      </c>
      <c r="B461" s="10" t="s">
        <v>289</v>
      </c>
      <c r="C461" s="10" t="s">
        <v>50</v>
      </c>
      <c r="D461" s="10" t="s">
        <v>51</v>
      </c>
      <c r="E461" s="10" t="s">
        <v>52</v>
      </c>
      <c r="F461" s="10" t="s">
        <v>113</v>
      </c>
      <c r="G461" s="10" t="b">
        <f>TRUE()</f>
        <v>1</v>
      </c>
      <c r="H461" s="10">
        <v>1</v>
      </c>
      <c r="I461" s="10">
        <v>1</v>
      </c>
      <c r="J461" s="10">
        <v>1</v>
      </c>
      <c r="K461" s="10">
        <v>125</v>
      </c>
      <c r="L461" s="10">
        <v>122</v>
      </c>
      <c r="M461" s="10">
        <v>1</v>
      </c>
      <c r="N461" s="10">
        <v>412</v>
      </c>
      <c r="O461" s="10">
        <v>391</v>
      </c>
    </row>
    <row r="462" spans="1:15" x14ac:dyDescent="0.2">
      <c r="A462" s="10" t="s">
        <v>449</v>
      </c>
      <c r="B462" s="10" t="s">
        <v>70</v>
      </c>
      <c r="C462" s="10" t="s">
        <v>70</v>
      </c>
      <c r="D462" s="10" t="s">
        <v>45</v>
      </c>
      <c r="E462" s="10" t="s">
        <v>46</v>
      </c>
      <c r="F462" s="10" t="s">
        <v>79</v>
      </c>
      <c r="G462" s="10" t="b">
        <f>FALSE()</f>
        <v>0</v>
      </c>
      <c r="H462" s="10">
        <v>1</v>
      </c>
      <c r="I462" s="10">
        <v>1</v>
      </c>
      <c r="J462" s="10">
        <v>2</v>
      </c>
      <c r="K462" s="10">
        <v>129</v>
      </c>
      <c r="L462" s="10">
        <v>122</v>
      </c>
      <c r="M462" s="10">
        <v>1</v>
      </c>
      <c r="N462" s="10">
        <v>58</v>
      </c>
      <c r="O462" s="10">
        <v>58</v>
      </c>
    </row>
    <row r="463" spans="1:15" x14ac:dyDescent="0.2">
      <c r="A463" s="10" t="s">
        <v>450</v>
      </c>
      <c r="B463" s="10" t="s">
        <v>262</v>
      </c>
      <c r="C463" s="10" t="s">
        <v>105</v>
      </c>
      <c r="D463" s="10" t="s">
        <v>45</v>
      </c>
      <c r="E463" s="10" t="s">
        <v>46</v>
      </c>
      <c r="F463" s="10" t="s">
        <v>61</v>
      </c>
      <c r="G463" s="10" t="b">
        <f>FALSE()</f>
        <v>0</v>
      </c>
      <c r="H463" s="10">
        <v>1</v>
      </c>
      <c r="I463" s="10">
        <v>0</v>
      </c>
      <c r="J463" s="10">
        <v>1</v>
      </c>
      <c r="K463" s="10">
        <v>172</v>
      </c>
      <c r="L463" s="10">
        <v>122</v>
      </c>
      <c r="M463" s="10">
        <v>0</v>
      </c>
      <c r="N463" s="10">
        <v>0</v>
      </c>
      <c r="O463" s="10">
        <v>0</v>
      </c>
    </row>
    <row r="464" spans="1:15" x14ac:dyDescent="0.2">
      <c r="A464" s="10" t="s">
        <v>451</v>
      </c>
      <c r="B464" s="10" t="s">
        <v>130</v>
      </c>
      <c r="C464" s="10" t="s">
        <v>56</v>
      </c>
      <c r="D464" s="10" t="s">
        <v>45</v>
      </c>
      <c r="E464" s="10" t="s">
        <v>46</v>
      </c>
      <c r="F464" s="10" t="s">
        <v>79</v>
      </c>
      <c r="G464" s="10" t="b">
        <f>FALSE()</f>
        <v>0</v>
      </c>
      <c r="H464" s="10">
        <v>1</v>
      </c>
      <c r="I464" s="10">
        <v>0</v>
      </c>
      <c r="J464" s="10">
        <v>3</v>
      </c>
      <c r="K464" s="10">
        <v>126</v>
      </c>
      <c r="L464" s="10">
        <v>122</v>
      </c>
      <c r="M464" s="10">
        <v>0</v>
      </c>
      <c r="N464" s="10">
        <v>0</v>
      </c>
      <c r="O464" s="10">
        <v>0</v>
      </c>
    </row>
    <row r="465" spans="1:15" x14ac:dyDescent="0.2">
      <c r="A465" s="10" t="s">
        <v>452</v>
      </c>
      <c r="B465" s="10" t="s">
        <v>262</v>
      </c>
      <c r="C465" s="10" t="s">
        <v>105</v>
      </c>
      <c r="D465" s="10" t="s">
        <v>45</v>
      </c>
      <c r="E465" s="10" t="s">
        <v>46</v>
      </c>
      <c r="F465" s="10" t="s">
        <v>102</v>
      </c>
      <c r="G465" s="10" t="b">
        <f>TRUE()</f>
        <v>1</v>
      </c>
      <c r="H465" s="10">
        <v>1</v>
      </c>
      <c r="I465" s="10">
        <v>0</v>
      </c>
      <c r="J465" s="10">
        <v>2</v>
      </c>
      <c r="K465" s="10">
        <v>144</v>
      </c>
      <c r="L465" s="10">
        <v>122</v>
      </c>
      <c r="M465" s="10">
        <v>0</v>
      </c>
      <c r="N465" s="10">
        <v>0</v>
      </c>
      <c r="O465" s="10">
        <v>0</v>
      </c>
    </row>
    <row r="466" spans="1:15" x14ac:dyDescent="0.2">
      <c r="A466" s="10" t="s">
        <v>453</v>
      </c>
      <c r="B466" s="10" t="s">
        <v>136</v>
      </c>
      <c r="C466" s="10" t="s">
        <v>73</v>
      </c>
      <c r="D466" s="10" t="s">
        <v>45</v>
      </c>
      <c r="E466" s="10" t="s">
        <v>46</v>
      </c>
      <c r="F466" s="10" t="s">
        <v>190</v>
      </c>
      <c r="G466" s="10" t="b">
        <f>TRUE()</f>
        <v>1</v>
      </c>
      <c r="H466" s="10">
        <v>1</v>
      </c>
      <c r="I466" s="10">
        <v>1</v>
      </c>
      <c r="J466" s="10">
        <v>1</v>
      </c>
      <c r="K466" s="10">
        <v>178</v>
      </c>
      <c r="L466" s="10">
        <v>121</v>
      </c>
      <c r="M466" s="10">
        <v>1</v>
      </c>
      <c r="N466" s="10">
        <v>48</v>
      </c>
      <c r="O466" s="10">
        <v>41</v>
      </c>
    </row>
    <row r="467" spans="1:15" x14ac:dyDescent="0.2">
      <c r="A467" s="10" t="s">
        <v>454</v>
      </c>
      <c r="B467" s="10" t="s">
        <v>333</v>
      </c>
      <c r="C467" s="10" t="s">
        <v>50</v>
      </c>
      <c r="D467" s="10" t="s">
        <v>51</v>
      </c>
      <c r="E467" s="10" t="s">
        <v>52</v>
      </c>
      <c r="F467" s="10" t="s">
        <v>100</v>
      </c>
      <c r="G467" s="10" t="b">
        <f>FALSE()</f>
        <v>0</v>
      </c>
      <c r="H467" s="10">
        <v>1</v>
      </c>
      <c r="I467" s="10">
        <v>0</v>
      </c>
      <c r="J467" s="10">
        <v>4</v>
      </c>
      <c r="K467" s="10">
        <v>123</v>
      </c>
      <c r="L467" s="10">
        <v>121</v>
      </c>
      <c r="M467" s="10">
        <v>0</v>
      </c>
      <c r="N467" s="10">
        <v>0</v>
      </c>
      <c r="O467" s="10">
        <v>0</v>
      </c>
    </row>
    <row r="468" spans="1:15" x14ac:dyDescent="0.2">
      <c r="A468" s="10" t="s">
        <v>455</v>
      </c>
      <c r="B468" s="10" t="s">
        <v>456</v>
      </c>
      <c r="C468" s="10" t="s">
        <v>245</v>
      </c>
      <c r="D468" s="10" t="s">
        <v>51</v>
      </c>
      <c r="E468" s="10" t="s">
        <v>52</v>
      </c>
      <c r="F468" s="10" t="s">
        <v>102</v>
      </c>
      <c r="G468" s="10" t="b">
        <f>TRUE()</f>
        <v>1</v>
      </c>
      <c r="H468" s="10">
        <v>1</v>
      </c>
      <c r="I468" s="10">
        <v>0</v>
      </c>
      <c r="J468" s="10">
        <v>1</v>
      </c>
      <c r="K468" s="10">
        <v>81</v>
      </c>
      <c r="L468" s="10">
        <v>121</v>
      </c>
      <c r="M468" s="10">
        <v>0</v>
      </c>
      <c r="N468" s="10">
        <v>0</v>
      </c>
      <c r="O468" s="10">
        <v>0</v>
      </c>
    </row>
    <row r="469" spans="1:15" x14ac:dyDescent="0.2">
      <c r="A469" s="10" t="s">
        <v>243</v>
      </c>
      <c r="B469" s="10" t="s">
        <v>244</v>
      </c>
      <c r="C469" s="10" t="s">
        <v>245</v>
      </c>
      <c r="D469" s="10" t="s">
        <v>51</v>
      </c>
      <c r="E469" s="10" t="s">
        <v>52</v>
      </c>
      <c r="F469" s="10" t="s">
        <v>190</v>
      </c>
      <c r="G469" s="10" t="b">
        <f>TRUE()</f>
        <v>1</v>
      </c>
      <c r="H469" s="10">
        <v>1</v>
      </c>
      <c r="I469" s="10">
        <v>0</v>
      </c>
      <c r="J469" s="10">
        <v>2</v>
      </c>
      <c r="K469" s="10">
        <v>143</v>
      </c>
      <c r="L469" s="10">
        <v>121</v>
      </c>
      <c r="M469" s="10">
        <v>0</v>
      </c>
      <c r="N469" s="10">
        <v>0</v>
      </c>
      <c r="O469" s="10">
        <v>0</v>
      </c>
    </row>
    <row r="470" spans="1:15" x14ac:dyDescent="0.2">
      <c r="A470" s="10" t="s">
        <v>457</v>
      </c>
      <c r="B470" s="10" t="s">
        <v>119</v>
      </c>
      <c r="C470" s="10" t="s">
        <v>56</v>
      </c>
      <c r="D470" s="10" t="s">
        <v>45</v>
      </c>
      <c r="E470" s="10" t="s">
        <v>46</v>
      </c>
      <c r="F470" s="10" t="s">
        <v>206</v>
      </c>
      <c r="G470" s="10" t="b">
        <f>FALSE()</f>
        <v>0</v>
      </c>
      <c r="H470" s="10">
        <v>1</v>
      </c>
      <c r="I470" s="10">
        <v>0</v>
      </c>
      <c r="J470" s="10">
        <v>3</v>
      </c>
      <c r="K470" s="10">
        <v>121</v>
      </c>
      <c r="L470" s="10">
        <v>121</v>
      </c>
      <c r="M470" s="10">
        <v>0</v>
      </c>
      <c r="N470" s="10">
        <v>0</v>
      </c>
      <c r="O470" s="10">
        <v>0</v>
      </c>
    </row>
    <row r="471" spans="1:15" x14ac:dyDescent="0.2">
      <c r="A471" s="10" t="s">
        <v>458</v>
      </c>
      <c r="B471" s="10" t="s">
        <v>109</v>
      </c>
      <c r="C471" s="10" t="s">
        <v>90</v>
      </c>
      <c r="D471" s="10" t="s">
        <v>51</v>
      </c>
      <c r="E471" s="10" t="s">
        <v>52</v>
      </c>
      <c r="F471" s="10" t="s">
        <v>318</v>
      </c>
      <c r="G471" s="10" t="b">
        <f>FALSE()</f>
        <v>0</v>
      </c>
      <c r="H471" s="10">
        <v>1</v>
      </c>
      <c r="I471" s="10">
        <v>0</v>
      </c>
      <c r="J471" s="10">
        <v>3</v>
      </c>
      <c r="K471" s="10">
        <v>123</v>
      </c>
      <c r="L471" s="10">
        <v>120</v>
      </c>
      <c r="M471" s="10">
        <v>0</v>
      </c>
      <c r="N471" s="10">
        <v>0</v>
      </c>
      <c r="O471" s="10">
        <v>0</v>
      </c>
    </row>
    <row r="472" spans="1:15" x14ac:dyDescent="0.2">
      <c r="A472" s="10" t="s">
        <v>290</v>
      </c>
      <c r="B472" s="10" t="s">
        <v>260</v>
      </c>
      <c r="C472" s="10" t="s">
        <v>64</v>
      </c>
      <c r="D472" s="10" t="s">
        <v>45</v>
      </c>
      <c r="E472" s="10" t="s">
        <v>46</v>
      </c>
      <c r="F472" s="10" t="s">
        <v>223</v>
      </c>
      <c r="G472" s="10" t="b">
        <f>FALSE()</f>
        <v>0</v>
      </c>
      <c r="H472" s="10">
        <v>1</v>
      </c>
      <c r="I472" s="10">
        <v>0</v>
      </c>
      <c r="J472" s="10">
        <v>1</v>
      </c>
      <c r="K472" s="10">
        <v>91</v>
      </c>
      <c r="L472" s="10">
        <v>120</v>
      </c>
      <c r="M472" s="10">
        <v>0</v>
      </c>
      <c r="N472" s="10">
        <v>0</v>
      </c>
      <c r="O472" s="10">
        <v>0</v>
      </c>
    </row>
    <row r="473" spans="1:15" x14ac:dyDescent="0.2">
      <c r="A473" s="10" t="s">
        <v>369</v>
      </c>
      <c r="B473" s="10" t="s">
        <v>160</v>
      </c>
      <c r="C473" s="10" t="s">
        <v>56</v>
      </c>
      <c r="D473" s="10" t="s">
        <v>45</v>
      </c>
      <c r="E473" s="10" t="s">
        <v>46</v>
      </c>
      <c r="F473" s="10" t="s">
        <v>153</v>
      </c>
      <c r="G473" s="10" t="b">
        <f>FALSE()</f>
        <v>0</v>
      </c>
      <c r="H473" s="10">
        <v>1</v>
      </c>
      <c r="I473" s="10">
        <v>0</v>
      </c>
      <c r="J473" s="10">
        <v>1</v>
      </c>
      <c r="K473" s="10">
        <v>76</v>
      </c>
      <c r="L473" s="10">
        <v>120</v>
      </c>
      <c r="M473" s="10">
        <v>0</v>
      </c>
      <c r="N473" s="10">
        <v>0</v>
      </c>
      <c r="O473" s="10">
        <v>0</v>
      </c>
    </row>
    <row r="474" spans="1:15" x14ac:dyDescent="0.2">
      <c r="A474" s="10" t="s">
        <v>459</v>
      </c>
      <c r="B474" s="10" t="s">
        <v>172</v>
      </c>
      <c r="C474" s="10" t="s">
        <v>44</v>
      </c>
      <c r="D474" s="10" t="s">
        <v>45</v>
      </c>
      <c r="E474" s="10" t="s">
        <v>46</v>
      </c>
      <c r="F474" s="10" t="s">
        <v>94</v>
      </c>
      <c r="G474" s="10" t="b">
        <f>FALSE()</f>
        <v>0</v>
      </c>
      <c r="H474" s="10">
        <v>1</v>
      </c>
      <c r="I474" s="10">
        <v>1</v>
      </c>
      <c r="J474" s="10">
        <v>2</v>
      </c>
      <c r="K474" s="10">
        <v>67</v>
      </c>
      <c r="L474" s="10">
        <v>119</v>
      </c>
      <c r="M474" s="10">
        <v>1</v>
      </c>
      <c r="N474" s="10">
        <v>332</v>
      </c>
      <c r="O474" s="10">
        <v>310</v>
      </c>
    </row>
    <row r="475" spans="1:15" x14ac:dyDescent="0.2">
      <c r="A475" s="10" t="s">
        <v>460</v>
      </c>
      <c r="B475" s="10" t="s">
        <v>178</v>
      </c>
      <c r="C475" s="10" t="s">
        <v>73</v>
      </c>
      <c r="D475" s="10" t="s">
        <v>45</v>
      </c>
      <c r="E475" s="10" t="s">
        <v>46</v>
      </c>
      <c r="F475" s="10" t="s">
        <v>251</v>
      </c>
      <c r="G475" s="10" t="b">
        <f>FALSE()</f>
        <v>0</v>
      </c>
      <c r="H475" s="10">
        <v>1</v>
      </c>
      <c r="I475" s="10">
        <v>1</v>
      </c>
      <c r="J475" s="10">
        <v>2</v>
      </c>
      <c r="K475" s="10">
        <v>47</v>
      </c>
      <c r="L475" s="10">
        <v>119</v>
      </c>
      <c r="M475" s="10">
        <v>1</v>
      </c>
      <c r="N475" s="10">
        <v>46</v>
      </c>
      <c r="O475" s="10">
        <v>46</v>
      </c>
    </row>
    <row r="476" spans="1:15" x14ac:dyDescent="0.2">
      <c r="A476" s="10" t="s">
        <v>425</v>
      </c>
      <c r="B476" s="10" t="s">
        <v>178</v>
      </c>
      <c r="C476" s="10" t="s">
        <v>73</v>
      </c>
      <c r="D476" s="10" t="s">
        <v>45</v>
      </c>
      <c r="E476" s="10" t="s">
        <v>46</v>
      </c>
      <c r="F476" s="10" t="s">
        <v>190</v>
      </c>
      <c r="G476" s="10" t="b">
        <f>TRUE()</f>
        <v>1</v>
      </c>
      <c r="H476" s="10">
        <v>1</v>
      </c>
      <c r="I476" s="10">
        <v>1</v>
      </c>
      <c r="J476" s="10">
        <v>1</v>
      </c>
      <c r="K476" s="10">
        <v>120</v>
      </c>
      <c r="L476" s="10">
        <v>119</v>
      </c>
      <c r="M476" s="10">
        <v>1</v>
      </c>
      <c r="N476" s="10">
        <v>24</v>
      </c>
      <c r="O476" s="10">
        <v>24</v>
      </c>
    </row>
    <row r="477" spans="1:15" x14ac:dyDescent="0.2">
      <c r="A477" s="10" t="s">
        <v>461</v>
      </c>
      <c r="B477" s="10" t="s">
        <v>70</v>
      </c>
      <c r="C477" s="10" t="s">
        <v>70</v>
      </c>
      <c r="D477" s="10" t="s">
        <v>45</v>
      </c>
      <c r="E477" s="10" t="s">
        <v>46</v>
      </c>
      <c r="F477" s="10" t="s">
        <v>61</v>
      </c>
      <c r="G477" s="10" t="b">
        <f>FALSE()</f>
        <v>0</v>
      </c>
      <c r="H477" s="10">
        <v>1</v>
      </c>
      <c r="I477" s="10">
        <v>0</v>
      </c>
      <c r="J477" s="10">
        <v>2</v>
      </c>
      <c r="K477" s="10">
        <v>89</v>
      </c>
      <c r="L477" s="10">
        <v>119</v>
      </c>
      <c r="M477" s="10">
        <v>0</v>
      </c>
      <c r="N477" s="10">
        <v>0</v>
      </c>
      <c r="O477" s="10">
        <v>0</v>
      </c>
    </row>
    <row r="478" spans="1:15" x14ac:dyDescent="0.2">
      <c r="A478" s="10" t="s">
        <v>462</v>
      </c>
      <c r="B478" s="10" t="s">
        <v>193</v>
      </c>
      <c r="C478" s="10" t="s">
        <v>117</v>
      </c>
      <c r="D478" s="10" t="s">
        <v>51</v>
      </c>
      <c r="E478" s="10" t="s">
        <v>52</v>
      </c>
      <c r="F478" s="10" t="s">
        <v>153</v>
      </c>
      <c r="G478" s="10" t="b">
        <f>FALSE()</f>
        <v>0</v>
      </c>
      <c r="H478" s="10">
        <v>1</v>
      </c>
      <c r="I478" s="10">
        <v>0</v>
      </c>
      <c r="J478" s="10">
        <v>0</v>
      </c>
      <c r="K478" s="10">
        <v>0</v>
      </c>
      <c r="L478" s="10">
        <v>119</v>
      </c>
      <c r="M478" s="10">
        <v>0</v>
      </c>
      <c r="N478" s="10">
        <v>0</v>
      </c>
      <c r="O478" s="10">
        <v>0</v>
      </c>
    </row>
    <row r="479" spans="1:15" x14ac:dyDescent="0.2">
      <c r="A479" s="10" t="s">
        <v>463</v>
      </c>
      <c r="B479" s="10" t="s">
        <v>72</v>
      </c>
      <c r="C479" s="10" t="s">
        <v>73</v>
      </c>
      <c r="D479" s="10" t="s">
        <v>45</v>
      </c>
      <c r="E479" s="10" t="s">
        <v>46</v>
      </c>
      <c r="F479" s="10" t="s">
        <v>61</v>
      </c>
      <c r="G479" s="10" t="b">
        <f>FALSE()</f>
        <v>0</v>
      </c>
      <c r="H479" s="10">
        <v>1</v>
      </c>
      <c r="I479" s="10">
        <v>0</v>
      </c>
      <c r="J479" s="10">
        <v>2</v>
      </c>
      <c r="K479" s="10">
        <v>140</v>
      </c>
      <c r="L479" s="10">
        <v>118</v>
      </c>
      <c r="M479" s="10">
        <v>0</v>
      </c>
      <c r="N479" s="10">
        <v>0</v>
      </c>
      <c r="O479" s="10">
        <v>0</v>
      </c>
    </row>
    <row r="480" spans="1:15" x14ac:dyDescent="0.2">
      <c r="A480" s="10" t="s">
        <v>108</v>
      </c>
      <c r="B480" s="10" t="s">
        <v>109</v>
      </c>
      <c r="C480" s="10" t="s">
        <v>90</v>
      </c>
      <c r="D480" s="10" t="s">
        <v>51</v>
      </c>
      <c r="E480" s="10" t="s">
        <v>52</v>
      </c>
      <c r="F480" s="10" t="s">
        <v>251</v>
      </c>
      <c r="G480" s="10" t="b">
        <f>FALSE()</f>
        <v>0</v>
      </c>
      <c r="H480" s="10">
        <v>1</v>
      </c>
      <c r="I480" s="10">
        <v>0</v>
      </c>
      <c r="J480" s="10">
        <v>2</v>
      </c>
      <c r="K480" s="10">
        <v>82</v>
      </c>
      <c r="L480" s="10">
        <v>118</v>
      </c>
      <c r="M480" s="10">
        <v>0</v>
      </c>
      <c r="N480" s="10">
        <v>0</v>
      </c>
      <c r="O480" s="10">
        <v>0</v>
      </c>
    </row>
    <row r="481" spans="1:15" x14ac:dyDescent="0.2">
      <c r="A481" s="10" t="s">
        <v>464</v>
      </c>
      <c r="B481" s="10" t="s">
        <v>104</v>
      </c>
      <c r="C481" s="10" t="s">
        <v>105</v>
      </c>
      <c r="D481" s="10" t="s">
        <v>45</v>
      </c>
      <c r="E481" s="10" t="s">
        <v>46</v>
      </c>
      <c r="F481" s="10" t="s">
        <v>113</v>
      </c>
      <c r="G481" s="10" t="b">
        <f>TRUE()</f>
        <v>1</v>
      </c>
      <c r="H481" s="10">
        <v>1</v>
      </c>
      <c r="I481" s="10">
        <v>0</v>
      </c>
      <c r="J481" s="10">
        <v>2</v>
      </c>
      <c r="K481" s="10">
        <v>75</v>
      </c>
      <c r="L481" s="10">
        <v>118</v>
      </c>
      <c r="M481" s="10">
        <v>0</v>
      </c>
      <c r="N481" s="10">
        <v>0</v>
      </c>
      <c r="O481" s="10">
        <v>0</v>
      </c>
    </row>
    <row r="482" spans="1:15" x14ac:dyDescent="0.2">
      <c r="A482" s="10" t="s">
        <v>465</v>
      </c>
      <c r="B482" s="10" t="s">
        <v>188</v>
      </c>
      <c r="C482" s="10" t="s">
        <v>112</v>
      </c>
      <c r="D482" s="10" t="s">
        <v>51</v>
      </c>
      <c r="E482" s="10" t="s">
        <v>52</v>
      </c>
      <c r="F482" s="10" t="s">
        <v>126</v>
      </c>
      <c r="G482" s="10" t="b">
        <f>FALSE()</f>
        <v>0</v>
      </c>
      <c r="H482" s="10">
        <v>1</v>
      </c>
      <c r="I482" s="10">
        <v>1</v>
      </c>
      <c r="J482" s="10">
        <v>2</v>
      </c>
      <c r="K482" s="10">
        <v>101</v>
      </c>
      <c r="L482" s="10">
        <v>116</v>
      </c>
      <c r="M482" s="10">
        <v>1</v>
      </c>
      <c r="N482" s="10">
        <v>147</v>
      </c>
      <c r="O482" s="10">
        <v>144</v>
      </c>
    </row>
    <row r="483" spans="1:15" x14ac:dyDescent="0.2">
      <c r="A483" s="10" t="s">
        <v>257</v>
      </c>
      <c r="B483" s="10" t="s">
        <v>258</v>
      </c>
      <c r="C483" s="10" t="s">
        <v>90</v>
      </c>
      <c r="D483" s="10" t="s">
        <v>51</v>
      </c>
      <c r="E483" s="10" t="s">
        <v>52</v>
      </c>
      <c r="F483" s="10" t="s">
        <v>190</v>
      </c>
      <c r="G483" s="10" t="b">
        <f>TRUE()</f>
        <v>1</v>
      </c>
      <c r="H483" s="10">
        <v>1</v>
      </c>
      <c r="I483" s="10">
        <v>1</v>
      </c>
      <c r="J483" s="10">
        <v>1</v>
      </c>
      <c r="K483" s="10">
        <v>119</v>
      </c>
      <c r="L483" s="10">
        <v>116</v>
      </c>
      <c r="M483" s="10">
        <v>1</v>
      </c>
      <c r="N483" s="10">
        <v>110</v>
      </c>
      <c r="O483" s="10">
        <v>108</v>
      </c>
    </row>
    <row r="484" spans="1:15" x14ac:dyDescent="0.2">
      <c r="A484" s="10" t="s">
        <v>466</v>
      </c>
      <c r="B484" s="10" t="s">
        <v>43</v>
      </c>
      <c r="C484" s="10" t="s">
        <v>44</v>
      </c>
      <c r="D484" s="10" t="s">
        <v>45</v>
      </c>
      <c r="E484" s="10" t="s">
        <v>46</v>
      </c>
      <c r="F484" s="10" t="s">
        <v>467</v>
      </c>
      <c r="G484" s="10" t="b">
        <f>FALSE()</f>
        <v>0</v>
      </c>
      <c r="H484" s="10">
        <v>1</v>
      </c>
      <c r="I484" s="10">
        <v>1</v>
      </c>
      <c r="J484" s="10">
        <v>3</v>
      </c>
      <c r="K484" s="10">
        <v>120</v>
      </c>
      <c r="L484" s="10">
        <v>116</v>
      </c>
      <c r="M484" s="10">
        <v>1</v>
      </c>
      <c r="N484" s="10">
        <v>80</v>
      </c>
      <c r="O484" s="10">
        <v>81</v>
      </c>
    </row>
    <row r="485" spans="1:15" x14ac:dyDescent="0.2">
      <c r="A485" s="10" t="s">
        <v>84</v>
      </c>
      <c r="B485" s="10" t="s">
        <v>43</v>
      </c>
      <c r="C485" s="10" t="s">
        <v>44</v>
      </c>
      <c r="D485" s="10" t="s">
        <v>45</v>
      </c>
      <c r="E485" s="10" t="s">
        <v>46</v>
      </c>
      <c r="F485" s="10" t="s">
        <v>468</v>
      </c>
      <c r="G485" s="10" t="b">
        <f>FALSE()</f>
        <v>0</v>
      </c>
      <c r="H485" s="10">
        <v>1</v>
      </c>
      <c r="I485" s="10">
        <v>1</v>
      </c>
      <c r="J485" s="10">
        <v>0</v>
      </c>
      <c r="K485" s="10">
        <v>0</v>
      </c>
      <c r="L485" s="10">
        <v>116</v>
      </c>
      <c r="M485" s="10">
        <v>1</v>
      </c>
      <c r="N485" s="10">
        <v>47</v>
      </c>
      <c r="O485" s="10">
        <v>47</v>
      </c>
    </row>
    <row r="486" spans="1:15" x14ac:dyDescent="0.2">
      <c r="A486" s="10" t="s">
        <v>129</v>
      </c>
      <c r="B486" s="10" t="s">
        <v>130</v>
      </c>
      <c r="C486" s="10" t="s">
        <v>56</v>
      </c>
      <c r="D486" s="10" t="s">
        <v>45</v>
      </c>
      <c r="E486" s="10" t="s">
        <v>46</v>
      </c>
      <c r="F486" s="10" t="s">
        <v>153</v>
      </c>
      <c r="G486" s="10" t="b">
        <f>FALSE()</f>
        <v>0</v>
      </c>
      <c r="H486" s="10">
        <v>1</v>
      </c>
      <c r="I486" s="10">
        <v>0</v>
      </c>
      <c r="J486" s="10">
        <v>1</v>
      </c>
      <c r="K486" s="10">
        <v>60</v>
      </c>
      <c r="L486" s="10">
        <v>116</v>
      </c>
      <c r="M486" s="10">
        <v>0</v>
      </c>
      <c r="N486" s="10">
        <v>0</v>
      </c>
      <c r="O486" s="10">
        <v>0</v>
      </c>
    </row>
    <row r="487" spans="1:15" x14ac:dyDescent="0.2">
      <c r="A487" s="10" t="s">
        <v>469</v>
      </c>
      <c r="B487" s="10" t="s">
        <v>55</v>
      </c>
      <c r="C487" s="10" t="s">
        <v>56</v>
      </c>
      <c r="D487" s="10" t="s">
        <v>45</v>
      </c>
      <c r="E487" s="10" t="s">
        <v>46</v>
      </c>
      <c r="F487" s="10" t="s">
        <v>47</v>
      </c>
      <c r="G487" s="10" t="b">
        <f>FALSE()</f>
        <v>0</v>
      </c>
      <c r="H487" s="10">
        <v>1</v>
      </c>
      <c r="I487" s="10">
        <v>0</v>
      </c>
      <c r="J487" s="10">
        <v>2</v>
      </c>
      <c r="K487" s="10">
        <v>140</v>
      </c>
      <c r="L487" s="10">
        <v>116</v>
      </c>
      <c r="M487" s="10">
        <v>0</v>
      </c>
      <c r="N487" s="10">
        <v>0</v>
      </c>
      <c r="O487" s="10">
        <v>0</v>
      </c>
    </row>
    <row r="488" spans="1:15" x14ac:dyDescent="0.2">
      <c r="A488" s="10" t="s">
        <v>470</v>
      </c>
      <c r="B488" s="10" t="s">
        <v>136</v>
      </c>
      <c r="C488" s="10" t="s">
        <v>73</v>
      </c>
      <c r="D488" s="10" t="s">
        <v>45</v>
      </c>
      <c r="E488" s="10" t="s">
        <v>46</v>
      </c>
      <c r="F488" s="10" t="s">
        <v>92</v>
      </c>
      <c r="G488" s="10" t="b">
        <f>FALSE()</f>
        <v>0</v>
      </c>
      <c r="H488" s="10">
        <v>1</v>
      </c>
      <c r="I488" s="10">
        <v>0</v>
      </c>
      <c r="J488" s="10">
        <v>1</v>
      </c>
      <c r="K488" s="10">
        <v>130</v>
      </c>
      <c r="L488" s="10">
        <v>116</v>
      </c>
      <c r="M488" s="10">
        <v>0</v>
      </c>
      <c r="N488" s="10">
        <v>0</v>
      </c>
      <c r="O488" s="10">
        <v>0</v>
      </c>
    </row>
    <row r="489" spans="1:15" x14ac:dyDescent="0.2">
      <c r="A489" s="10" t="s">
        <v>471</v>
      </c>
      <c r="B489" s="10" t="s">
        <v>472</v>
      </c>
      <c r="C489" s="10" t="s">
        <v>64</v>
      </c>
      <c r="D489" s="10" t="s">
        <v>45</v>
      </c>
      <c r="E489" s="10" t="s">
        <v>46</v>
      </c>
      <c r="F489" s="10" t="s">
        <v>79</v>
      </c>
      <c r="G489" s="10" t="b">
        <f>FALSE()</f>
        <v>0</v>
      </c>
      <c r="H489" s="10">
        <v>1</v>
      </c>
      <c r="I489" s="10">
        <v>0</v>
      </c>
      <c r="J489" s="10">
        <v>2</v>
      </c>
      <c r="K489" s="10">
        <v>116</v>
      </c>
      <c r="L489" s="10">
        <v>116</v>
      </c>
      <c r="M489" s="10">
        <v>0</v>
      </c>
      <c r="N489" s="10">
        <v>0</v>
      </c>
      <c r="O489" s="10">
        <v>0</v>
      </c>
    </row>
    <row r="490" spans="1:15" x14ac:dyDescent="0.2">
      <c r="A490" s="10" t="s">
        <v>473</v>
      </c>
      <c r="B490" s="10" t="s">
        <v>178</v>
      </c>
      <c r="C490" s="10" t="s">
        <v>73</v>
      </c>
      <c r="D490" s="10" t="s">
        <v>45</v>
      </c>
      <c r="E490" s="10" t="s">
        <v>46</v>
      </c>
      <c r="F490" s="10" t="s">
        <v>61</v>
      </c>
      <c r="G490" s="10" t="b">
        <f>FALSE()</f>
        <v>0</v>
      </c>
      <c r="H490" s="10">
        <v>1</v>
      </c>
      <c r="I490" s="10">
        <v>1</v>
      </c>
      <c r="J490" s="10">
        <v>2</v>
      </c>
      <c r="K490" s="10">
        <v>165</v>
      </c>
      <c r="L490" s="10">
        <v>115</v>
      </c>
      <c r="M490" s="10">
        <v>1</v>
      </c>
      <c r="N490" s="10">
        <v>70</v>
      </c>
      <c r="O490" s="10">
        <v>69</v>
      </c>
    </row>
    <row r="491" spans="1:15" x14ac:dyDescent="0.2">
      <c r="A491" s="10" t="s">
        <v>474</v>
      </c>
      <c r="B491" s="10" t="s">
        <v>385</v>
      </c>
      <c r="C491" s="10" t="s">
        <v>90</v>
      </c>
      <c r="D491" s="10" t="s">
        <v>51</v>
      </c>
      <c r="E491" s="10" t="s">
        <v>52</v>
      </c>
      <c r="F491" s="10" t="s">
        <v>475</v>
      </c>
      <c r="G491" s="10" t="b">
        <f>FALSE()</f>
        <v>0</v>
      </c>
      <c r="H491" s="10">
        <v>1</v>
      </c>
      <c r="I491" s="10">
        <v>0</v>
      </c>
      <c r="J491" s="10">
        <v>2</v>
      </c>
      <c r="K491" s="10">
        <v>116</v>
      </c>
      <c r="L491" s="10">
        <v>115</v>
      </c>
      <c r="M491" s="10">
        <v>0</v>
      </c>
      <c r="N491" s="10">
        <v>0</v>
      </c>
      <c r="O491" s="10">
        <v>0</v>
      </c>
    </row>
    <row r="492" spans="1:15" x14ac:dyDescent="0.2">
      <c r="A492" s="10" t="s">
        <v>264</v>
      </c>
      <c r="B492" s="10" t="s">
        <v>265</v>
      </c>
      <c r="C492" s="10" t="s">
        <v>245</v>
      </c>
      <c r="D492" s="10" t="s">
        <v>51</v>
      </c>
      <c r="E492" s="10" t="s">
        <v>52</v>
      </c>
      <c r="F492" s="10" t="s">
        <v>79</v>
      </c>
      <c r="G492" s="10" t="b">
        <f>FALSE()</f>
        <v>0</v>
      </c>
      <c r="H492" s="10">
        <v>1</v>
      </c>
      <c r="I492" s="10">
        <v>0</v>
      </c>
      <c r="J492" s="10">
        <v>3</v>
      </c>
      <c r="K492" s="10">
        <v>75</v>
      </c>
      <c r="L492" s="10">
        <v>115</v>
      </c>
      <c r="M492" s="10">
        <v>0</v>
      </c>
      <c r="N492" s="10">
        <v>0</v>
      </c>
      <c r="O492" s="10">
        <v>0</v>
      </c>
    </row>
    <row r="493" spans="1:15" x14ac:dyDescent="0.2">
      <c r="A493" s="10" t="s">
        <v>367</v>
      </c>
      <c r="B493" s="10" t="s">
        <v>368</v>
      </c>
      <c r="C493" s="10" t="s">
        <v>50</v>
      </c>
      <c r="D493" s="10" t="s">
        <v>51</v>
      </c>
      <c r="E493" s="10" t="s">
        <v>52</v>
      </c>
      <c r="F493" s="10" t="s">
        <v>153</v>
      </c>
      <c r="G493" s="10" t="b">
        <f>FALSE()</f>
        <v>0</v>
      </c>
      <c r="H493" s="10">
        <v>1</v>
      </c>
      <c r="I493" s="10">
        <v>0</v>
      </c>
      <c r="J493" s="10">
        <v>1</v>
      </c>
      <c r="K493" s="10">
        <v>118</v>
      </c>
      <c r="L493" s="10">
        <v>115</v>
      </c>
      <c r="M493" s="10">
        <v>0</v>
      </c>
      <c r="N493" s="10">
        <v>0</v>
      </c>
      <c r="O493" s="10">
        <v>0</v>
      </c>
    </row>
    <row r="494" spans="1:15" x14ac:dyDescent="0.2">
      <c r="A494" s="10" t="s">
        <v>476</v>
      </c>
      <c r="B494" s="10" t="s">
        <v>477</v>
      </c>
      <c r="C494" s="10" t="s">
        <v>50</v>
      </c>
      <c r="D494" s="10" t="s">
        <v>51</v>
      </c>
      <c r="E494" s="10" t="s">
        <v>52</v>
      </c>
      <c r="F494" s="10" t="s">
        <v>79</v>
      </c>
      <c r="G494" s="10" t="b">
        <f>FALSE()</f>
        <v>0</v>
      </c>
      <c r="H494" s="10">
        <v>1</v>
      </c>
      <c r="I494" s="10">
        <v>0</v>
      </c>
      <c r="J494" s="10">
        <v>1</v>
      </c>
      <c r="K494" s="10">
        <v>134</v>
      </c>
      <c r="L494" s="10">
        <v>115</v>
      </c>
      <c r="M494" s="10">
        <v>0</v>
      </c>
      <c r="N494" s="10">
        <v>0</v>
      </c>
      <c r="O494" s="10">
        <v>0</v>
      </c>
    </row>
    <row r="495" spans="1:15" x14ac:dyDescent="0.2">
      <c r="A495" s="10" t="s">
        <v>478</v>
      </c>
      <c r="B495" s="10" t="s">
        <v>157</v>
      </c>
      <c r="C495" s="10" t="s">
        <v>64</v>
      </c>
      <c r="D495" s="10" t="s">
        <v>45</v>
      </c>
      <c r="E495" s="10" t="s">
        <v>46</v>
      </c>
      <c r="F495" s="10" t="s">
        <v>74</v>
      </c>
      <c r="G495" s="10" t="b">
        <f>FALSE()</f>
        <v>0</v>
      </c>
      <c r="H495" s="10">
        <v>1</v>
      </c>
      <c r="I495" s="10">
        <v>0</v>
      </c>
      <c r="J495" s="10">
        <v>5</v>
      </c>
      <c r="K495" s="10">
        <v>178</v>
      </c>
      <c r="L495" s="10">
        <v>115</v>
      </c>
      <c r="M495" s="10">
        <v>0</v>
      </c>
      <c r="N495" s="10">
        <v>0</v>
      </c>
      <c r="O495" s="10">
        <v>0</v>
      </c>
    </row>
    <row r="496" spans="1:15" x14ac:dyDescent="0.2">
      <c r="A496" s="10" t="s">
        <v>479</v>
      </c>
      <c r="B496" s="10" t="s">
        <v>480</v>
      </c>
      <c r="C496" s="10" t="s">
        <v>245</v>
      </c>
      <c r="D496" s="10" t="s">
        <v>51</v>
      </c>
      <c r="E496" s="10" t="s">
        <v>52</v>
      </c>
      <c r="F496" s="10" t="s">
        <v>97</v>
      </c>
      <c r="G496" s="10" t="b">
        <f>TRUE()</f>
        <v>1</v>
      </c>
      <c r="H496" s="10">
        <v>1</v>
      </c>
      <c r="I496" s="10">
        <v>0</v>
      </c>
      <c r="J496" s="10">
        <v>2</v>
      </c>
      <c r="K496" s="10">
        <v>164</v>
      </c>
      <c r="L496" s="10">
        <v>115</v>
      </c>
      <c r="M496" s="10">
        <v>0</v>
      </c>
      <c r="N496" s="10">
        <v>0</v>
      </c>
      <c r="O496" s="10">
        <v>0</v>
      </c>
    </row>
    <row r="497" spans="1:15" x14ac:dyDescent="0.2">
      <c r="A497" s="10" t="s">
        <v>290</v>
      </c>
      <c r="B497" s="10" t="s">
        <v>260</v>
      </c>
      <c r="C497" s="10" t="s">
        <v>64</v>
      </c>
      <c r="D497" s="10" t="s">
        <v>45</v>
      </c>
      <c r="E497" s="10" t="s">
        <v>46</v>
      </c>
      <c r="F497" s="10" t="s">
        <v>481</v>
      </c>
      <c r="G497" s="10" t="b">
        <f>FALSE()</f>
        <v>0</v>
      </c>
      <c r="H497" s="10">
        <v>1</v>
      </c>
      <c r="I497" s="10">
        <v>0</v>
      </c>
      <c r="J497" s="10">
        <v>1</v>
      </c>
      <c r="K497" s="10">
        <v>78</v>
      </c>
      <c r="L497" s="10">
        <v>114</v>
      </c>
      <c r="M497" s="10">
        <v>0</v>
      </c>
      <c r="N497" s="10">
        <v>0</v>
      </c>
      <c r="O497" s="10">
        <v>0</v>
      </c>
    </row>
    <row r="498" spans="1:15" x14ac:dyDescent="0.2">
      <c r="A498" s="10" t="s">
        <v>290</v>
      </c>
      <c r="B498" s="10" t="s">
        <v>260</v>
      </c>
      <c r="C498" s="10" t="s">
        <v>64</v>
      </c>
      <c r="D498" s="10" t="s">
        <v>45</v>
      </c>
      <c r="E498" s="10" t="s">
        <v>46</v>
      </c>
      <c r="F498" s="10" t="s">
        <v>91</v>
      </c>
      <c r="G498" s="10" t="b">
        <f>TRUE()</f>
        <v>1</v>
      </c>
      <c r="H498" s="10">
        <v>1</v>
      </c>
      <c r="I498" s="10">
        <v>0</v>
      </c>
      <c r="J498" s="10">
        <v>1</v>
      </c>
      <c r="K498" s="10">
        <v>163</v>
      </c>
      <c r="L498" s="10">
        <v>114</v>
      </c>
      <c r="M498" s="10">
        <v>0</v>
      </c>
      <c r="N498" s="10">
        <v>0</v>
      </c>
      <c r="O498" s="10">
        <v>0</v>
      </c>
    </row>
    <row r="499" spans="1:15" x14ac:dyDescent="0.2">
      <c r="A499" s="10" t="s">
        <v>182</v>
      </c>
      <c r="B499" s="10" t="s">
        <v>104</v>
      </c>
      <c r="C499" s="10" t="s">
        <v>105</v>
      </c>
      <c r="D499" s="10" t="s">
        <v>45</v>
      </c>
      <c r="E499" s="10" t="s">
        <v>46</v>
      </c>
      <c r="F499" s="10" t="s">
        <v>91</v>
      </c>
      <c r="G499" s="10" t="b">
        <f>TRUE()</f>
        <v>1</v>
      </c>
      <c r="H499" s="10">
        <v>1</v>
      </c>
      <c r="I499" s="10">
        <v>0</v>
      </c>
      <c r="J499" s="10">
        <v>3</v>
      </c>
      <c r="K499" s="10">
        <v>83</v>
      </c>
      <c r="L499" s="10">
        <v>114</v>
      </c>
      <c r="M499" s="10">
        <v>0</v>
      </c>
      <c r="N499" s="10">
        <v>0</v>
      </c>
      <c r="O499" s="10">
        <v>0</v>
      </c>
    </row>
    <row r="500" spans="1:15" x14ac:dyDescent="0.2">
      <c r="A500" s="10" t="s">
        <v>229</v>
      </c>
      <c r="B500" s="10" t="s">
        <v>139</v>
      </c>
      <c r="C500" s="10" t="s">
        <v>64</v>
      </c>
      <c r="D500" s="10" t="s">
        <v>45</v>
      </c>
      <c r="E500" s="10" t="s">
        <v>46</v>
      </c>
      <c r="F500" s="10" t="s">
        <v>47</v>
      </c>
      <c r="G500" s="10" t="b">
        <f>FALSE()</f>
        <v>0</v>
      </c>
      <c r="H500" s="10">
        <v>1</v>
      </c>
      <c r="I500" s="10">
        <v>0</v>
      </c>
      <c r="J500" s="10">
        <v>3</v>
      </c>
      <c r="K500" s="10">
        <v>158</v>
      </c>
      <c r="L500" s="10">
        <v>114</v>
      </c>
      <c r="M500" s="10">
        <v>0</v>
      </c>
      <c r="N500" s="10">
        <v>0</v>
      </c>
      <c r="O500" s="10">
        <v>0</v>
      </c>
    </row>
    <row r="501" spans="1:15" x14ac:dyDescent="0.2">
      <c r="A501" s="10" t="s">
        <v>482</v>
      </c>
      <c r="B501" s="10" t="s">
        <v>89</v>
      </c>
      <c r="C501" s="10" t="s">
        <v>90</v>
      </c>
      <c r="D501" s="10" t="s">
        <v>51</v>
      </c>
      <c r="E501" s="10" t="s">
        <v>52</v>
      </c>
      <c r="F501" s="10" t="s">
        <v>75</v>
      </c>
      <c r="G501" s="10" t="b">
        <f>FALSE()</f>
        <v>0</v>
      </c>
      <c r="H501" s="10">
        <v>1</v>
      </c>
      <c r="I501" s="10">
        <v>0</v>
      </c>
      <c r="J501" s="10">
        <v>2</v>
      </c>
      <c r="K501" s="10">
        <v>113</v>
      </c>
      <c r="L501" s="10">
        <v>113</v>
      </c>
      <c r="M501" s="10">
        <v>0</v>
      </c>
      <c r="N501" s="10">
        <v>0</v>
      </c>
      <c r="O501" s="10">
        <v>0</v>
      </c>
    </row>
    <row r="502" spans="1:15" x14ac:dyDescent="0.2">
      <c r="A502" s="10" t="s">
        <v>355</v>
      </c>
      <c r="B502" s="10" t="s">
        <v>119</v>
      </c>
      <c r="C502" s="10" t="s">
        <v>56</v>
      </c>
      <c r="D502" s="10" t="s">
        <v>45</v>
      </c>
      <c r="E502" s="10" t="s">
        <v>46</v>
      </c>
      <c r="F502" s="10" t="s">
        <v>94</v>
      </c>
      <c r="G502" s="10" t="b">
        <f>FALSE()</f>
        <v>0</v>
      </c>
      <c r="H502" s="10">
        <v>1</v>
      </c>
      <c r="I502" s="10">
        <v>0</v>
      </c>
      <c r="J502" s="10">
        <v>2</v>
      </c>
      <c r="K502" s="10">
        <v>50</v>
      </c>
      <c r="L502" s="10">
        <v>112</v>
      </c>
      <c r="M502" s="10">
        <v>0</v>
      </c>
      <c r="N502" s="10">
        <v>0</v>
      </c>
      <c r="O502" s="10">
        <v>0</v>
      </c>
    </row>
    <row r="503" spans="1:15" x14ac:dyDescent="0.2">
      <c r="A503" s="10" t="s">
        <v>483</v>
      </c>
      <c r="B503" s="10" t="s">
        <v>321</v>
      </c>
      <c r="C503" s="10" t="s">
        <v>245</v>
      </c>
      <c r="D503" s="10" t="s">
        <v>51</v>
      </c>
      <c r="E503" s="10" t="s">
        <v>52</v>
      </c>
      <c r="F503" s="10" t="s">
        <v>79</v>
      </c>
      <c r="G503" s="10" t="b">
        <f>FALSE()</f>
        <v>0</v>
      </c>
      <c r="H503" s="10">
        <v>1</v>
      </c>
      <c r="I503" s="10">
        <v>0</v>
      </c>
      <c r="J503" s="10">
        <v>1</v>
      </c>
      <c r="K503" s="10">
        <v>98</v>
      </c>
      <c r="L503" s="10">
        <v>112</v>
      </c>
      <c r="M503" s="10">
        <v>0</v>
      </c>
      <c r="N503" s="10">
        <v>0</v>
      </c>
      <c r="O503" s="10">
        <v>0</v>
      </c>
    </row>
    <row r="504" spans="1:15" x14ac:dyDescent="0.2">
      <c r="A504" s="10" t="s">
        <v>484</v>
      </c>
      <c r="B504" s="10" t="s">
        <v>485</v>
      </c>
      <c r="C504" s="10" t="s">
        <v>245</v>
      </c>
      <c r="D504" s="10" t="s">
        <v>51</v>
      </c>
      <c r="E504" s="10" t="s">
        <v>52</v>
      </c>
      <c r="F504" s="10" t="s">
        <v>65</v>
      </c>
      <c r="G504" s="10" t="b">
        <f>FALSE()</f>
        <v>0</v>
      </c>
      <c r="H504" s="10">
        <v>1</v>
      </c>
      <c r="I504" s="10">
        <v>0</v>
      </c>
      <c r="J504" s="10">
        <v>1</v>
      </c>
      <c r="K504" s="10">
        <v>908</v>
      </c>
      <c r="L504" s="10">
        <v>112</v>
      </c>
      <c r="M504" s="10">
        <v>0</v>
      </c>
      <c r="N504" s="10">
        <v>0</v>
      </c>
      <c r="O504" s="10">
        <v>0</v>
      </c>
    </row>
    <row r="505" spans="1:15" x14ac:dyDescent="0.2">
      <c r="A505" s="10" t="s">
        <v>445</v>
      </c>
      <c r="B505" s="10" t="s">
        <v>104</v>
      </c>
      <c r="C505" s="10" t="s">
        <v>105</v>
      </c>
      <c r="D505" s="10" t="s">
        <v>45</v>
      </c>
      <c r="E505" s="10" t="s">
        <v>46</v>
      </c>
      <c r="F505" s="10" t="s">
        <v>92</v>
      </c>
      <c r="G505" s="10" t="b">
        <f>FALSE()</f>
        <v>0</v>
      </c>
      <c r="H505" s="10">
        <v>1</v>
      </c>
      <c r="I505" s="10">
        <v>1</v>
      </c>
      <c r="J505" s="10">
        <v>2</v>
      </c>
      <c r="K505" s="10">
        <v>112</v>
      </c>
      <c r="L505" s="10">
        <v>111</v>
      </c>
      <c r="M505" s="10">
        <v>1</v>
      </c>
      <c r="N505" s="10">
        <v>155</v>
      </c>
      <c r="O505" s="10">
        <v>155</v>
      </c>
    </row>
    <row r="506" spans="1:15" x14ac:dyDescent="0.2">
      <c r="A506" s="10" t="s">
        <v>402</v>
      </c>
      <c r="B506" s="10" t="s">
        <v>238</v>
      </c>
      <c r="C506" s="10" t="s">
        <v>90</v>
      </c>
      <c r="D506" s="10" t="s">
        <v>51</v>
      </c>
      <c r="E506" s="10" t="s">
        <v>52</v>
      </c>
      <c r="F506" s="10" t="s">
        <v>126</v>
      </c>
      <c r="G506" s="10" t="b">
        <f>FALSE()</f>
        <v>0</v>
      </c>
      <c r="H506" s="10">
        <v>1</v>
      </c>
      <c r="I506" s="10">
        <v>1</v>
      </c>
      <c r="J506" s="10">
        <v>1</v>
      </c>
      <c r="K506" s="10">
        <v>111</v>
      </c>
      <c r="L506" s="10">
        <v>111</v>
      </c>
      <c r="M506" s="10">
        <v>1</v>
      </c>
      <c r="N506" s="10">
        <v>96</v>
      </c>
      <c r="O506" s="10">
        <v>95</v>
      </c>
    </row>
    <row r="507" spans="1:15" x14ac:dyDescent="0.2">
      <c r="A507" s="10" t="s">
        <v>486</v>
      </c>
      <c r="B507" s="10" t="s">
        <v>70</v>
      </c>
      <c r="C507" s="10" t="s">
        <v>70</v>
      </c>
      <c r="D507" s="10" t="s">
        <v>45</v>
      </c>
      <c r="E507" s="10" t="s">
        <v>46</v>
      </c>
      <c r="F507" s="10" t="s">
        <v>61</v>
      </c>
      <c r="G507" s="10" t="b">
        <f>FALSE()</f>
        <v>0</v>
      </c>
      <c r="H507" s="10">
        <v>1</v>
      </c>
      <c r="I507" s="10">
        <v>1</v>
      </c>
      <c r="J507" s="10">
        <v>1</v>
      </c>
      <c r="K507" s="10">
        <v>116</v>
      </c>
      <c r="L507" s="10">
        <v>111</v>
      </c>
      <c r="M507" s="10">
        <v>1</v>
      </c>
      <c r="N507" s="10">
        <v>23</v>
      </c>
      <c r="O507" s="10">
        <v>23</v>
      </c>
    </row>
    <row r="508" spans="1:15" x14ac:dyDescent="0.2">
      <c r="A508" s="10" t="s">
        <v>487</v>
      </c>
      <c r="B508" s="10" t="s">
        <v>165</v>
      </c>
      <c r="C508" s="10" t="s">
        <v>112</v>
      </c>
      <c r="D508" s="10" t="s">
        <v>51</v>
      </c>
      <c r="E508" s="10" t="s">
        <v>52</v>
      </c>
      <c r="F508" s="10" t="s">
        <v>79</v>
      </c>
      <c r="G508" s="10" t="b">
        <f>FALSE()</f>
        <v>0</v>
      </c>
      <c r="H508" s="10">
        <v>1</v>
      </c>
      <c r="I508" s="10">
        <v>0</v>
      </c>
      <c r="J508" s="10">
        <v>2</v>
      </c>
      <c r="K508" s="10">
        <v>111</v>
      </c>
      <c r="L508" s="10">
        <v>111</v>
      </c>
      <c r="M508" s="10">
        <v>0</v>
      </c>
      <c r="N508" s="10">
        <v>0</v>
      </c>
      <c r="O508" s="10">
        <v>0</v>
      </c>
    </row>
    <row r="509" spans="1:15" x14ac:dyDescent="0.2">
      <c r="A509" s="10" t="s">
        <v>290</v>
      </c>
      <c r="B509" s="10" t="s">
        <v>260</v>
      </c>
      <c r="C509" s="10" t="s">
        <v>64</v>
      </c>
      <c r="D509" s="10" t="s">
        <v>45</v>
      </c>
      <c r="E509" s="10" t="s">
        <v>46</v>
      </c>
      <c r="F509" s="10" t="s">
        <v>488</v>
      </c>
      <c r="G509" s="10" t="b">
        <f>FALSE()</f>
        <v>0</v>
      </c>
      <c r="H509" s="10">
        <v>1</v>
      </c>
      <c r="I509" s="10">
        <v>0</v>
      </c>
      <c r="J509" s="10">
        <v>1</v>
      </c>
      <c r="K509" s="10">
        <v>118</v>
      </c>
      <c r="L509" s="10">
        <v>110</v>
      </c>
      <c r="M509" s="10">
        <v>0</v>
      </c>
      <c r="N509" s="10">
        <v>0</v>
      </c>
      <c r="O509" s="10">
        <v>0</v>
      </c>
    </row>
    <row r="510" spans="1:15" x14ac:dyDescent="0.2">
      <c r="A510" s="10" t="s">
        <v>309</v>
      </c>
      <c r="B510" s="10" t="s">
        <v>146</v>
      </c>
      <c r="C510" s="10" t="s">
        <v>105</v>
      </c>
      <c r="D510" s="10" t="s">
        <v>45</v>
      </c>
      <c r="E510" s="10" t="s">
        <v>46</v>
      </c>
      <c r="F510" s="10" t="s">
        <v>183</v>
      </c>
      <c r="G510" s="10" t="b">
        <f>FALSE()</f>
        <v>0</v>
      </c>
      <c r="H510" s="10">
        <v>1</v>
      </c>
      <c r="I510" s="10">
        <v>0</v>
      </c>
      <c r="J510" s="10">
        <v>1</v>
      </c>
      <c r="K510" s="10">
        <v>145</v>
      </c>
      <c r="L510" s="10">
        <v>110</v>
      </c>
      <c r="M510" s="10">
        <v>0</v>
      </c>
      <c r="N510" s="10">
        <v>0</v>
      </c>
      <c r="O510" s="10">
        <v>0</v>
      </c>
    </row>
    <row r="511" spans="1:15" x14ac:dyDescent="0.2">
      <c r="A511" s="10" t="s">
        <v>489</v>
      </c>
      <c r="B511" s="10" t="s">
        <v>477</v>
      </c>
      <c r="C511" s="10" t="s">
        <v>50</v>
      </c>
      <c r="D511" s="10" t="s">
        <v>51</v>
      </c>
      <c r="E511" s="10" t="s">
        <v>52</v>
      </c>
      <c r="F511" s="10" t="s">
        <v>153</v>
      </c>
      <c r="G511" s="10" t="b">
        <f>FALSE()</f>
        <v>0</v>
      </c>
      <c r="H511" s="10">
        <v>1</v>
      </c>
      <c r="I511" s="10">
        <v>0</v>
      </c>
      <c r="J511" s="10">
        <v>3</v>
      </c>
      <c r="K511" s="10">
        <v>161</v>
      </c>
      <c r="L511" s="10">
        <v>110</v>
      </c>
      <c r="M511" s="10">
        <v>0</v>
      </c>
      <c r="N511" s="10">
        <v>0</v>
      </c>
      <c r="O511" s="10">
        <v>0</v>
      </c>
    </row>
    <row r="512" spans="1:15" x14ac:dyDescent="0.2">
      <c r="A512" s="10" t="s">
        <v>118</v>
      </c>
      <c r="B512" s="10" t="s">
        <v>119</v>
      </c>
      <c r="C512" s="10" t="s">
        <v>56</v>
      </c>
      <c r="D512" s="10" t="s">
        <v>45</v>
      </c>
      <c r="E512" s="10" t="s">
        <v>46</v>
      </c>
      <c r="F512" s="10" t="s">
        <v>92</v>
      </c>
      <c r="G512" s="10" t="b">
        <f>FALSE()</f>
        <v>0</v>
      </c>
      <c r="H512" s="10">
        <v>1</v>
      </c>
      <c r="I512" s="10">
        <v>1</v>
      </c>
      <c r="J512" s="10">
        <v>2</v>
      </c>
      <c r="K512" s="10">
        <v>209</v>
      </c>
      <c r="L512" s="10">
        <v>109</v>
      </c>
      <c r="M512" s="10">
        <v>1</v>
      </c>
      <c r="N512" s="10">
        <v>574</v>
      </c>
      <c r="O512" s="10">
        <v>575</v>
      </c>
    </row>
    <row r="513" spans="1:15" x14ac:dyDescent="0.2">
      <c r="A513" s="10" t="s">
        <v>490</v>
      </c>
      <c r="B513" s="10" t="s">
        <v>172</v>
      </c>
      <c r="C513" s="10" t="s">
        <v>44</v>
      </c>
      <c r="D513" s="10" t="s">
        <v>45</v>
      </c>
      <c r="E513" s="10" t="s">
        <v>46</v>
      </c>
      <c r="F513" s="10" t="s">
        <v>123</v>
      </c>
      <c r="G513" s="10" t="b">
        <f>FALSE()</f>
        <v>0</v>
      </c>
      <c r="H513" s="10">
        <v>1</v>
      </c>
      <c r="I513" s="10">
        <v>1</v>
      </c>
      <c r="J513" s="10">
        <v>1</v>
      </c>
      <c r="K513" s="10">
        <v>109</v>
      </c>
      <c r="L513" s="10">
        <v>109</v>
      </c>
      <c r="M513" s="10">
        <v>1</v>
      </c>
      <c r="N513" s="10">
        <v>261</v>
      </c>
      <c r="O513" s="10">
        <v>260</v>
      </c>
    </row>
    <row r="514" spans="1:15" x14ac:dyDescent="0.2">
      <c r="A514" s="10" t="s">
        <v>455</v>
      </c>
      <c r="B514" s="10" t="s">
        <v>456</v>
      </c>
      <c r="C514" s="10" t="s">
        <v>245</v>
      </c>
      <c r="D514" s="10" t="s">
        <v>51</v>
      </c>
      <c r="E514" s="10" t="s">
        <v>52</v>
      </c>
      <c r="F514" s="10" t="s">
        <v>47</v>
      </c>
      <c r="G514" s="10" t="b">
        <f>FALSE()</f>
        <v>0</v>
      </c>
      <c r="H514" s="10">
        <v>1</v>
      </c>
      <c r="I514" s="10">
        <v>0</v>
      </c>
      <c r="J514" s="10">
        <v>1</v>
      </c>
      <c r="K514" s="10">
        <v>78</v>
      </c>
      <c r="L514" s="10">
        <v>109</v>
      </c>
      <c r="M514" s="10">
        <v>0</v>
      </c>
      <c r="N514" s="10">
        <v>0</v>
      </c>
      <c r="O514" s="10">
        <v>0</v>
      </c>
    </row>
    <row r="515" spans="1:15" x14ac:dyDescent="0.2">
      <c r="A515" s="10" t="s">
        <v>489</v>
      </c>
      <c r="B515" s="10" t="s">
        <v>477</v>
      </c>
      <c r="C515" s="10" t="s">
        <v>50</v>
      </c>
      <c r="D515" s="10" t="s">
        <v>51</v>
      </c>
      <c r="E515" s="10" t="s">
        <v>52</v>
      </c>
      <c r="F515" s="10" t="s">
        <v>61</v>
      </c>
      <c r="G515" s="10" t="b">
        <f>FALSE()</f>
        <v>0</v>
      </c>
      <c r="H515" s="10">
        <v>1</v>
      </c>
      <c r="I515" s="10">
        <v>0</v>
      </c>
      <c r="J515" s="10">
        <v>4</v>
      </c>
      <c r="K515" s="10">
        <v>224</v>
      </c>
      <c r="L515" s="10">
        <v>109</v>
      </c>
      <c r="M515" s="10">
        <v>0</v>
      </c>
      <c r="N515" s="10">
        <v>0</v>
      </c>
      <c r="O515" s="10">
        <v>0</v>
      </c>
    </row>
    <row r="516" spans="1:15" x14ac:dyDescent="0.2">
      <c r="A516" s="10" t="s">
        <v>491</v>
      </c>
      <c r="B516" s="10" t="s">
        <v>165</v>
      </c>
      <c r="C516" s="10" t="s">
        <v>112</v>
      </c>
      <c r="D516" s="10" t="s">
        <v>51</v>
      </c>
      <c r="E516" s="10" t="s">
        <v>52</v>
      </c>
      <c r="F516" s="10" t="s">
        <v>113</v>
      </c>
      <c r="G516" s="10" t="b">
        <f>TRUE()</f>
        <v>1</v>
      </c>
      <c r="H516" s="10">
        <v>1</v>
      </c>
      <c r="I516" s="10">
        <v>0</v>
      </c>
      <c r="J516" s="10">
        <v>1</v>
      </c>
      <c r="K516" s="10">
        <v>96</v>
      </c>
      <c r="L516" s="10">
        <v>109</v>
      </c>
      <c r="M516" s="10">
        <v>0</v>
      </c>
      <c r="N516" s="10">
        <v>0</v>
      </c>
      <c r="O516" s="10">
        <v>0</v>
      </c>
    </row>
    <row r="517" spans="1:15" x14ac:dyDescent="0.2">
      <c r="A517" s="10" t="s">
        <v>101</v>
      </c>
      <c r="B517" s="10" t="s">
        <v>55</v>
      </c>
      <c r="C517" s="10" t="s">
        <v>56</v>
      </c>
      <c r="D517" s="10" t="s">
        <v>45</v>
      </c>
      <c r="E517" s="10" t="s">
        <v>46</v>
      </c>
      <c r="F517" s="10" t="s">
        <v>251</v>
      </c>
      <c r="G517" s="10" t="b">
        <f>FALSE()</f>
        <v>0</v>
      </c>
      <c r="H517" s="10">
        <v>1</v>
      </c>
      <c r="I517" s="10">
        <v>1</v>
      </c>
      <c r="J517" s="10">
        <v>2</v>
      </c>
      <c r="K517" s="10">
        <v>164</v>
      </c>
      <c r="L517" s="10">
        <v>108</v>
      </c>
      <c r="M517" s="10">
        <v>1</v>
      </c>
      <c r="N517" s="10">
        <v>85</v>
      </c>
      <c r="O517" s="10">
        <v>85</v>
      </c>
    </row>
    <row r="518" spans="1:15" x14ac:dyDescent="0.2">
      <c r="A518" s="10" t="s">
        <v>84</v>
      </c>
      <c r="B518" s="10" t="s">
        <v>43</v>
      </c>
      <c r="C518" s="10" t="s">
        <v>44</v>
      </c>
      <c r="D518" s="10" t="s">
        <v>45</v>
      </c>
      <c r="E518" s="10" t="s">
        <v>46</v>
      </c>
      <c r="F518" s="10" t="s">
        <v>153</v>
      </c>
      <c r="G518" s="10" t="b">
        <f>FALSE()</f>
        <v>0</v>
      </c>
      <c r="H518" s="10">
        <v>1</v>
      </c>
      <c r="I518" s="10">
        <v>1</v>
      </c>
      <c r="J518" s="10">
        <v>3</v>
      </c>
      <c r="K518" s="10">
        <v>160</v>
      </c>
      <c r="L518" s="10">
        <v>108</v>
      </c>
      <c r="M518" s="10">
        <v>1</v>
      </c>
      <c r="N518" s="10">
        <v>53</v>
      </c>
      <c r="O518" s="10">
        <v>51</v>
      </c>
    </row>
    <row r="519" spans="1:15" x14ac:dyDescent="0.2">
      <c r="A519" s="10" t="s">
        <v>108</v>
      </c>
      <c r="B519" s="10" t="s">
        <v>109</v>
      </c>
      <c r="C519" s="10" t="s">
        <v>90</v>
      </c>
      <c r="D519" s="10" t="s">
        <v>51</v>
      </c>
      <c r="E519" s="10" t="s">
        <v>52</v>
      </c>
      <c r="F519" s="10" t="s">
        <v>153</v>
      </c>
      <c r="G519" s="10" t="b">
        <f>FALSE()</f>
        <v>0</v>
      </c>
      <c r="H519" s="10">
        <v>1</v>
      </c>
      <c r="I519" s="10">
        <v>0</v>
      </c>
      <c r="J519" s="10">
        <v>1</v>
      </c>
      <c r="K519" s="10">
        <v>76</v>
      </c>
      <c r="L519" s="10">
        <v>108</v>
      </c>
      <c r="M519" s="10">
        <v>0</v>
      </c>
      <c r="N519" s="10">
        <v>0</v>
      </c>
      <c r="O519" s="10">
        <v>0</v>
      </c>
    </row>
    <row r="520" spans="1:15" x14ac:dyDescent="0.2">
      <c r="A520" s="10" t="s">
        <v>492</v>
      </c>
      <c r="B520" s="10" t="s">
        <v>493</v>
      </c>
      <c r="C520" s="10" t="s">
        <v>117</v>
      </c>
      <c r="D520" s="10" t="s">
        <v>51</v>
      </c>
      <c r="E520" s="10" t="s">
        <v>52</v>
      </c>
      <c r="F520" s="10" t="s">
        <v>494</v>
      </c>
      <c r="G520" s="10" t="b">
        <f>TRUE()</f>
        <v>1</v>
      </c>
      <c r="H520" s="10">
        <v>1</v>
      </c>
      <c r="I520" s="10">
        <v>1</v>
      </c>
      <c r="J520" s="10">
        <v>2</v>
      </c>
      <c r="K520" s="10">
        <v>109</v>
      </c>
      <c r="L520" s="10">
        <v>107</v>
      </c>
      <c r="M520" s="10">
        <v>1</v>
      </c>
      <c r="N520" s="10">
        <v>871</v>
      </c>
      <c r="O520" s="10">
        <v>871</v>
      </c>
    </row>
    <row r="521" spans="1:15" x14ac:dyDescent="0.2">
      <c r="A521" s="10" t="s">
        <v>495</v>
      </c>
      <c r="B521" s="10" t="s">
        <v>119</v>
      </c>
      <c r="C521" s="10" t="s">
        <v>56</v>
      </c>
      <c r="D521" s="10" t="s">
        <v>45</v>
      </c>
      <c r="E521" s="10" t="s">
        <v>46</v>
      </c>
      <c r="F521" s="10" t="s">
        <v>102</v>
      </c>
      <c r="G521" s="10" t="b">
        <f>TRUE()</f>
        <v>1</v>
      </c>
      <c r="H521" s="10">
        <v>1</v>
      </c>
      <c r="I521" s="10">
        <v>1</v>
      </c>
      <c r="J521" s="10">
        <v>3</v>
      </c>
      <c r="K521" s="10">
        <v>110</v>
      </c>
      <c r="L521" s="10">
        <v>107</v>
      </c>
      <c r="M521" s="10">
        <v>1</v>
      </c>
      <c r="N521" s="10">
        <v>263</v>
      </c>
      <c r="O521" s="10">
        <v>258</v>
      </c>
    </row>
    <row r="522" spans="1:15" x14ac:dyDescent="0.2">
      <c r="A522" s="10" t="s">
        <v>156</v>
      </c>
      <c r="B522" s="10" t="s">
        <v>157</v>
      </c>
      <c r="C522" s="10" t="s">
        <v>64</v>
      </c>
      <c r="D522" s="10" t="s">
        <v>45</v>
      </c>
      <c r="E522" s="10" t="s">
        <v>46</v>
      </c>
      <c r="F522" s="10" t="s">
        <v>61</v>
      </c>
      <c r="G522" s="10" t="b">
        <f>FALSE()</f>
        <v>0</v>
      </c>
      <c r="H522" s="10">
        <v>1</v>
      </c>
      <c r="I522" s="10">
        <v>1</v>
      </c>
      <c r="J522" s="10">
        <v>2</v>
      </c>
      <c r="K522" s="10">
        <v>112</v>
      </c>
      <c r="L522" s="10">
        <v>107</v>
      </c>
      <c r="M522" s="10">
        <v>1</v>
      </c>
      <c r="N522" s="10">
        <v>206</v>
      </c>
      <c r="O522" s="10">
        <v>206</v>
      </c>
    </row>
    <row r="523" spans="1:15" x14ac:dyDescent="0.2">
      <c r="A523" s="10" t="s">
        <v>383</v>
      </c>
      <c r="B523" s="10" t="s">
        <v>384</v>
      </c>
      <c r="C523" s="10" t="s">
        <v>50</v>
      </c>
      <c r="D523" s="10" t="s">
        <v>51</v>
      </c>
      <c r="E523" s="10" t="s">
        <v>52</v>
      </c>
      <c r="F523" s="10" t="s">
        <v>496</v>
      </c>
      <c r="G523" s="10" t="b">
        <f>FALSE()</f>
        <v>0</v>
      </c>
      <c r="H523" s="10">
        <v>1</v>
      </c>
      <c r="I523" s="10">
        <v>1</v>
      </c>
      <c r="J523" s="10">
        <v>1</v>
      </c>
      <c r="K523" s="10">
        <v>105</v>
      </c>
      <c r="L523" s="10">
        <v>107</v>
      </c>
      <c r="M523" s="10">
        <v>1</v>
      </c>
      <c r="N523" s="10">
        <v>50</v>
      </c>
      <c r="O523" s="10">
        <v>50</v>
      </c>
    </row>
    <row r="524" spans="1:15" x14ac:dyDescent="0.2">
      <c r="A524" s="10" t="s">
        <v>120</v>
      </c>
      <c r="B524" s="10" t="s">
        <v>72</v>
      </c>
      <c r="C524" s="10" t="s">
        <v>73</v>
      </c>
      <c r="D524" s="10" t="s">
        <v>45</v>
      </c>
      <c r="E524" s="10" t="s">
        <v>46</v>
      </c>
      <c r="F524" s="10" t="s">
        <v>113</v>
      </c>
      <c r="G524" s="10" t="b">
        <f>TRUE()</f>
        <v>1</v>
      </c>
      <c r="H524" s="10">
        <v>1</v>
      </c>
      <c r="I524" s="10">
        <v>1</v>
      </c>
      <c r="J524" s="10">
        <v>1</v>
      </c>
      <c r="K524" s="10">
        <v>110</v>
      </c>
      <c r="L524" s="10">
        <v>106</v>
      </c>
      <c r="M524" s="10">
        <v>1</v>
      </c>
      <c r="N524" s="10">
        <v>458</v>
      </c>
      <c r="O524" s="10">
        <v>458</v>
      </c>
    </row>
    <row r="525" spans="1:15" x14ac:dyDescent="0.2">
      <c r="A525" s="10" t="s">
        <v>479</v>
      </c>
      <c r="B525" s="10" t="s">
        <v>480</v>
      </c>
      <c r="C525" s="10" t="s">
        <v>245</v>
      </c>
      <c r="D525" s="10" t="s">
        <v>51</v>
      </c>
      <c r="E525" s="10" t="s">
        <v>52</v>
      </c>
      <c r="F525" s="10" t="s">
        <v>102</v>
      </c>
      <c r="G525" s="10" t="b">
        <f>TRUE()</f>
        <v>1</v>
      </c>
      <c r="H525" s="10">
        <v>1</v>
      </c>
      <c r="I525" s="10">
        <v>1</v>
      </c>
      <c r="J525" s="10">
        <v>3</v>
      </c>
      <c r="K525" s="10">
        <v>109</v>
      </c>
      <c r="L525" s="10">
        <v>106</v>
      </c>
      <c r="M525" s="10">
        <v>1</v>
      </c>
      <c r="N525" s="10">
        <v>156</v>
      </c>
      <c r="O525" s="10">
        <v>154</v>
      </c>
    </row>
    <row r="526" spans="1:15" x14ac:dyDescent="0.2">
      <c r="A526" s="10" t="s">
        <v>197</v>
      </c>
      <c r="B526" s="10" t="s">
        <v>116</v>
      </c>
      <c r="C526" s="10" t="s">
        <v>117</v>
      </c>
      <c r="D526" s="10" t="s">
        <v>51</v>
      </c>
      <c r="E526" s="10" t="s">
        <v>52</v>
      </c>
      <c r="F526" s="10" t="s">
        <v>47</v>
      </c>
      <c r="G526" s="10" t="b">
        <f>FALSE()</f>
        <v>0</v>
      </c>
      <c r="H526" s="10">
        <v>1</v>
      </c>
      <c r="I526" s="10">
        <v>0</v>
      </c>
      <c r="J526" s="10">
        <v>2</v>
      </c>
      <c r="K526" s="10">
        <v>115</v>
      </c>
      <c r="L526" s="10">
        <v>106</v>
      </c>
      <c r="M526" s="10">
        <v>0</v>
      </c>
      <c r="N526" s="10">
        <v>0</v>
      </c>
      <c r="O526" s="10">
        <v>0</v>
      </c>
    </row>
    <row r="527" spans="1:15" x14ac:dyDescent="0.2">
      <c r="A527" s="10" t="s">
        <v>315</v>
      </c>
      <c r="B527" s="10" t="s">
        <v>55</v>
      </c>
      <c r="C527" s="10" t="s">
        <v>56</v>
      </c>
      <c r="D527" s="10" t="s">
        <v>45</v>
      </c>
      <c r="E527" s="10" t="s">
        <v>46</v>
      </c>
      <c r="F527" s="10" t="s">
        <v>363</v>
      </c>
      <c r="G527" s="10" t="b">
        <f>FALSE()</f>
        <v>0</v>
      </c>
      <c r="H527" s="10">
        <v>1</v>
      </c>
      <c r="I527" s="10">
        <v>0</v>
      </c>
      <c r="J527" s="10">
        <v>1</v>
      </c>
      <c r="K527" s="10">
        <v>108</v>
      </c>
      <c r="L527" s="10">
        <v>106</v>
      </c>
      <c r="M527" s="10">
        <v>0</v>
      </c>
      <c r="N527" s="10">
        <v>0</v>
      </c>
      <c r="O527" s="10">
        <v>0</v>
      </c>
    </row>
    <row r="528" spans="1:15" x14ac:dyDescent="0.2">
      <c r="A528" s="10" t="s">
        <v>213</v>
      </c>
      <c r="B528" s="10" t="s">
        <v>55</v>
      </c>
      <c r="C528" s="10" t="s">
        <v>56</v>
      </c>
      <c r="D528" s="10" t="s">
        <v>45</v>
      </c>
      <c r="E528" s="10" t="s">
        <v>46</v>
      </c>
      <c r="F528" s="10" t="s">
        <v>183</v>
      </c>
      <c r="G528" s="10" t="b">
        <f>FALSE()</f>
        <v>0</v>
      </c>
      <c r="H528" s="10">
        <v>1</v>
      </c>
      <c r="I528" s="10">
        <v>0</v>
      </c>
      <c r="J528" s="10">
        <v>1</v>
      </c>
      <c r="K528" s="10">
        <v>113</v>
      </c>
      <c r="L528" s="10">
        <v>106</v>
      </c>
      <c r="M528" s="10">
        <v>0</v>
      </c>
      <c r="N528" s="10">
        <v>0</v>
      </c>
      <c r="O528" s="10">
        <v>0</v>
      </c>
    </row>
    <row r="529" spans="1:15" x14ac:dyDescent="0.2">
      <c r="A529" s="10" t="s">
        <v>497</v>
      </c>
      <c r="B529" s="10" t="s">
        <v>498</v>
      </c>
      <c r="C529" s="10" t="s">
        <v>245</v>
      </c>
      <c r="D529" s="10" t="s">
        <v>51</v>
      </c>
      <c r="E529" s="10" t="s">
        <v>52</v>
      </c>
      <c r="F529" s="10" t="s">
        <v>183</v>
      </c>
      <c r="G529" s="10" t="b">
        <f>FALSE()</f>
        <v>0</v>
      </c>
      <c r="H529" s="10">
        <v>1</v>
      </c>
      <c r="I529" s="10">
        <v>0</v>
      </c>
      <c r="J529" s="10">
        <v>1</v>
      </c>
      <c r="K529" s="10">
        <v>100</v>
      </c>
      <c r="L529" s="10">
        <v>106</v>
      </c>
      <c r="M529" s="10">
        <v>0</v>
      </c>
      <c r="N529" s="10">
        <v>0</v>
      </c>
      <c r="O529" s="10">
        <v>0</v>
      </c>
    </row>
    <row r="530" spans="1:15" x14ac:dyDescent="0.2">
      <c r="A530" s="10" t="s">
        <v>324</v>
      </c>
      <c r="B530" s="10" t="s">
        <v>70</v>
      </c>
      <c r="C530" s="10" t="s">
        <v>70</v>
      </c>
      <c r="D530" s="10" t="s">
        <v>45</v>
      </c>
      <c r="E530" s="10" t="s">
        <v>46</v>
      </c>
      <c r="F530" s="10" t="s">
        <v>83</v>
      </c>
      <c r="G530" s="10" t="b">
        <f>TRUE()</f>
        <v>1</v>
      </c>
      <c r="H530" s="10">
        <v>1</v>
      </c>
      <c r="I530" s="10">
        <v>0</v>
      </c>
      <c r="J530" s="10">
        <v>1</v>
      </c>
      <c r="K530" s="10">
        <v>106</v>
      </c>
      <c r="L530" s="10">
        <v>106</v>
      </c>
      <c r="M530" s="10">
        <v>0</v>
      </c>
      <c r="N530" s="10">
        <v>0</v>
      </c>
      <c r="O530" s="10">
        <v>0</v>
      </c>
    </row>
    <row r="531" spans="1:15" x14ac:dyDescent="0.2">
      <c r="A531" s="10" t="s">
        <v>156</v>
      </c>
      <c r="B531" s="10" t="s">
        <v>157</v>
      </c>
      <c r="C531" s="10" t="s">
        <v>64</v>
      </c>
      <c r="D531" s="10" t="s">
        <v>45</v>
      </c>
      <c r="E531" s="10" t="s">
        <v>46</v>
      </c>
      <c r="F531" s="10" t="s">
        <v>251</v>
      </c>
      <c r="G531" s="10" t="b">
        <f>FALSE()</f>
        <v>0</v>
      </c>
      <c r="H531" s="10">
        <v>1</v>
      </c>
      <c r="I531" s="10">
        <v>0</v>
      </c>
      <c r="J531" s="10">
        <v>1</v>
      </c>
      <c r="K531" s="10">
        <v>109</v>
      </c>
      <c r="L531" s="10">
        <v>106</v>
      </c>
      <c r="M531" s="10">
        <v>0</v>
      </c>
      <c r="N531" s="10">
        <v>0</v>
      </c>
      <c r="O531" s="10">
        <v>0</v>
      </c>
    </row>
    <row r="532" spans="1:15" x14ac:dyDescent="0.2">
      <c r="A532" s="10" t="s">
        <v>499</v>
      </c>
      <c r="B532" s="10" t="s">
        <v>500</v>
      </c>
      <c r="C532" s="10" t="s">
        <v>50</v>
      </c>
      <c r="D532" s="10" t="s">
        <v>51</v>
      </c>
      <c r="E532" s="10" t="s">
        <v>52</v>
      </c>
      <c r="F532" s="10" t="s">
        <v>94</v>
      </c>
      <c r="G532" s="10" t="b">
        <f>FALSE()</f>
        <v>0</v>
      </c>
      <c r="H532" s="10">
        <v>1</v>
      </c>
      <c r="I532" s="10">
        <v>0</v>
      </c>
      <c r="J532" s="10">
        <v>2</v>
      </c>
      <c r="K532" s="10">
        <v>130</v>
      </c>
      <c r="L532" s="10">
        <v>106</v>
      </c>
      <c r="M532" s="10">
        <v>0</v>
      </c>
      <c r="N532" s="10">
        <v>0</v>
      </c>
      <c r="O532" s="10">
        <v>0</v>
      </c>
    </row>
    <row r="533" spans="1:15" x14ac:dyDescent="0.2">
      <c r="A533" s="10" t="s">
        <v>195</v>
      </c>
      <c r="B533" s="10" t="s">
        <v>196</v>
      </c>
      <c r="C533" s="10" t="s">
        <v>117</v>
      </c>
      <c r="D533" s="10" t="s">
        <v>51</v>
      </c>
      <c r="E533" s="10" t="s">
        <v>52</v>
      </c>
      <c r="F533" s="10" t="s">
        <v>308</v>
      </c>
      <c r="G533" s="10" t="b">
        <f>TRUE()</f>
        <v>1</v>
      </c>
      <c r="H533" s="10">
        <v>1</v>
      </c>
      <c r="I533" s="10">
        <v>0</v>
      </c>
      <c r="J533" s="10">
        <v>2</v>
      </c>
      <c r="K533" s="10">
        <v>84</v>
      </c>
      <c r="L533" s="10">
        <v>106</v>
      </c>
      <c r="M533" s="10">
        <v>0</v>
      </c>
      <c r="N533" s="10">
        <v>0</v>
      </c>
      <c r="O533" s="10">
        <v>0</v>
      </c>
    </row>
    <row r="534" spans="1:15" x14ac:dyDescent="0.2">
      <c r="A534" s="10" t="s">
        <v>209</v>
      </c>
      <c r="B534" s="10" t="s">
        <v>178</v>
      </c>
      <c r="C534" s="10" t="s">
        <v>73</v>
      </c>
      <c r="D534" s="10" t="s">
        <v>45</v>
      </c>
      <c r="E534" s="10" t="s">
        <v>46</v>
      </c>
      <c r="F534" s="10" t="s">
        <v>47</v>
      </c>
      <c r="G534" s="10" t="b">
        <f>FALSE()</f>
        <v>0</v>
      </c>
      <c r="H534" s="10">
        <v>1</v>
      </c>
      <c r="I534" s="10">
        <v>1</v>
      </c>
      <c r="J534" s="10">
        <v>1</v>
      </c>
      <c r="K534" s="10">
        <v>21</v>
      </c>
      <c r="L534" s="10">
        <v>105</v>
      </c>
      <c r="M534" s="10">
        <v>1</v>
      </c>
      <c r="N534" s="10">
        <v>145</v>
      </c>
      <c r="O534" s="10">
        <v>145</v>
      </c>
    </row>
    <row r="535" spans="1:15" x14ac:dyDescent="0.2">
      <c r="A535" s="10" t="s">
        <v>454</v>
      </c>
      <c r="B535" s="10" t="s">
        <v>333</v>
      </c>
      <c r="C535" s="10" t="s">
        <v>50</v>
      </c>
      <c r="D535" s="10" t="s">
        <v>51</v>
      </c>
      <c r="E535" s="10" t="s">
        <v>52</v>
      </c>
      <c r="F535" s="10" t="s">
        <v>318</v>
      </c>
      <c r="G535" s="10" t="b">
        <f>FALSE()</f>
        <v>0</v>
      </c>
      <c r="H535" s="10">
        <v>1</v>
      </c>
      <c r="I535" s="10">
        <v>0</v>
      </c>
      <c r="J535" s="10">
        <v>3</v>
      </c>
      <c r="K535" s="10">
        <v>130</v>
      </c>
      <c r="L535" s="10">
        <v>105</v>
      </c>
      <c r="M535" s="10">
        <v>0</v>
      </c>
      <c r="N535" s="10">
        <v>0</v>
      </c>
      <c r="O535" s="10">
        <v>0</v>
      </c>
    </row>
    <row r="536" spans="1:15" x14ac:dyDescent="0.2">
      <c r="A536" s="10" t="s">
        <v>352</v>
      </c>
      <c r="B536" s="10" t="s">
        <v>55</v>
      </c>
      <c r="C536" s="10" t="s">
        <v>56</v>
      </c>
      <c r="D536" s="10" t="s">
        <v>45</v>
      </c>
      <c r="E536" s="10" t="s">
        <v>46</v>
      </c>
      <c r="F536" s="10" t="s">
        <v>97</v>
      </c>
      <c r="G536" s="10" t="b">
        <f>TRUE()</f>
        <v>1</v>
      </c>
      <c r="H536" s="10">
        <v>1</v>
      </c>
      <c r="I536" s="10">
        <v>0</v>
      </c>
      <c r="J536" s="10">
        <v>3</v>
      </c>
      <c r="K536" s="10">
        <v>109</v>
      </c>
      <c r="L536" s="10">
        <v>105</v>
      </c>
      <c r="M536" s="10">
        <v>0</v>
      </c>
      <c r="N536" s="10">
        <v>0</v>
      </c>
      <c r="O536" s="10">
        <v>0</v>
      </c>
    </row>
    <row r="537" spans="1:15" x14ac:dyDescent="0.2">
      <c r="A537" s="10" t="s">
        <v>501</v>
      </c>
      <c r="B537" s="10" t="s">
        <v>89</v>
      </c>
      <c r="C537" s="10" t="s">
        <v>90</v>
      </c>
      <c r="D537" s="10" t="s">
        <v>51</v>
      </c>
      <c r="E537" s="10" t="s">
        <v>52</v>
      </c>
      <c r="F537" s="10" t="s">
        <v>61</v>
      </c>
      <c r="G537" s="10" t="b">
        <f>FALSE()</f>
        <v>0</v>
      </c>
      <c r="H537" s="10">
        <v>1</v>
      </c>
      <c r="I537" s="10">
        <v>0</v>
      </c>
      <c r="J537" s="10">
        <v>2</v>
      </c>
      <c r="K537" s="10">
        <v>104</v>
      </c>
      <c r="L537" s="10">
        <v>104</v>
      </c>
      <c r="M537" s="10">
        <v>0</v>
      </c>
      <c r="N537" s="10">
        <v>0</v>
      </c>
      <c r="O537" s="10">
        <v>0</v>
      </c>
    </row>
    <row r="538" spans="1:15" x14ac:dyDescent="0.2">
      <c r="A538" s="10" t="s">
        <v>495</v>
      </c>
      <c r="B538" s="10" t="s">
        <v>119</v>
      </c>
      <c r="C538" s="10" t="s">
        <v>56</v>
      </c>
      <c r="D538" s="10" t="s">
        <v>45</v>
      </c>
      <c r="E538" s="10" t="s">
        <v>46</v>
      </c>
      <c r="F538" s="10" t="s">
        <v>97</v>
      </c>
      <c r="G538" s="10" t="b">
        <f>TRUE()</f>
        <v>1</v>
      </c>
      <c r="H538" s="10">
        <v>1</v>
      </c>
      <c r="I538" s="10">
        <v>1</v>
      </c>
      <c r="J538" s="10">
        <v>1</v>
      </c>
      <c r="K538" s="10">
        <v>105</v>
      </c>
      <c r="L538" s="10">
        <v>103</v>
      </c>
      <c r="M538" s="10">
        <v>1</v>
      </c>
      <c r="N538" s="10">
        <v>339</v>
      </c>
      <c r="O538" s="10">
        <v>336</v>
      </c>
    </row>
    <row r="539" spans="1:15" x14ac:dyDescent="0.2">
      <c r="A539" s="10" t="s">
        <v>502</v>
      </c>
      <c r="B539" s="10" t="s">
        <v>302</v>
      </c>
      <c r="C539" s="10" t="s">
        <v>117</v>
      </c>
      <c r="D539" s="10" t="s">
        <v>51</v>
      </c>
      <c r="E539" s="10" t="s">
        <v>52</v>
      </c>
      <c r="F539" s="10" t="s">
        <v>92</v>
      </c>
      <c r="G539" s="10" t="b">
        <f>FALSE()</f>
        <v>0</v>
      </c>
      <c r="H539" s="10">
        <v>1</v>
      </c>
      <c r="I539" s="10">
        <v>1</v>
      </c>
      <c r="J539" s="10">
        <v>2</v>
      </c>
      <c r="K539" s="10">
        <v>137</v>
      </c>
      <c r="L539" s="10">
        <v>103</v>
      </c>
      <c r="M539" s="10">
        <v>1</v>
      </c>
      <c r="N539" s="10">
        <v>125</v>
      </c>
      <c r="O539" s="10">
        <v>125</v>
      </c>
    </row>
    <row r="540" spans="1:15" x14ac:dyDescent="0.2">
      <c r="A540" s="10" t="s">
        <v>327</v>
      </c>
      <c r="B540" s="10" t="s">
        <v>165</v>
      </c>
      <c r="C540" s="10" t="s">
        <v>112</v>
      </c>
      <c r="D540" s="10" t="s">
        <v>51</v>
      </c>
      <c r="E540" s="10" t="s">
        <v>52</v>
      </c>
      <c r="F540" s="10" t="s">
        <v>91</v>
      </c>
      <c r="G540" s="10" t="b">
        <f>TRUE()</f>
        <v>1</v>
      </c>
      <c r="H540" s="10">
        <v>1</v>
      </c>
      <c r="I540" s="10">
        <v>0</v>
      </c>
      <c r="J540" s="10">
        <v>1</v>
      </c>
      <c r="K540" s="10">
        <v>117</v>
      </c>
      <c r="L540" s="10">
        <v>103</v>
      </c>
      <c r="M540" s="10">
        <v>0</v>
      </c>
      <c r="N540" s="10">
        <v>0</v>
      </c>
      <c r="O540" s="10">
        <v>0</v>
      </c>
    </row>
    <row r="541" spans="1:15" x14ac:dyDescent="0.2">
      <c r="A541" s="10" t="s">
        <v>250</v>
      </c>
      <c r="B541" s="10" t="s">
        <v>193</v>
      </c>
      <c r="C541" s="10" t="s">
        <v>117</v>
      </c>
      <c r="D541" s="10" t="s">
        <v>51</v>
      </c>
      <c r="E541" s="10" t="s">
        <v>52</v>
      </c>
      <c r="F541" s="10" t="s">
        <v>61</v>
      </c>
      <c r="G541" s="10" t="b">
        <f>FALSE()</f>
        <v>0</v>
      </c>
      <c r="H541" s="10">
        <v>1</v>
      </c>
      <c r="I541" s="10">
        <v>0</v>
      </c>
      <c r="J541" s="10">
        <v>4</v>
      </c>
      <c r="K541" s="10">
        <v>133</v>
      </c>
      <c r="L541" s="10">
        <v>103</v>
      </c>
      <c r="M541" s="10">
        <v>0</v>
      </c>
      <c r="N541" s="10">
        <v>0</v>
      </c>
      <c r="O541" s="10">
        <v>0</v>
      </c>
    </row>
    <row r="542" spans="1:15" x14ac:dyDescent="0.2">
      <c r="A542" s="10" t="s">
        <v>296</v>
      </c>
      <c r="B542" s="10" t="s">
        <v>297</v>
      </c>
      <c r="C542" s="10" t="s">
        <v>117</v>
      </c>
      <c r="D542" s="10" t="s">
        <v>51</v>
      </c>
      <c r="E542" s="10" t="s">
        <v>52</v>
      </c>
      <c r="F542" s="10" t="s">
        <v>190</v>
      </c>
      <c r="G542" s="10" t="b">
        <f>TRUE()</f>
        <v>1</v>
      </c>
      <c r="H542" s="10">
        <v>1</v>
      </c>
      <c r="I542" s="10">
        <v>0</v>
      </c>
      <c r="J542" s="10">
        <v>1</v>
      </c>
      <c r="K542" s="10">
        <v>106</v>
      </c>
      <c r="L542" s="10">
        <v>103</v>
      </c>
      <c r="M542" s="10">
        <v>0</v>
      </c>
      <c r="N542" s="10">
        <v>0</v>
      </c>
      <c r="O542" s="10">
        <v>0</v>
      </c>
    </row>
    <row r="543" spans="1:15" x14ac:dyDescent="0.2">
      <c r="A543" s="10" t="s">
        <v>248</v>
      </c>
      <c r="B543" s="10" t="s">
        <v>249</v>
      </c>
      <c r="C543" s="10" t="s">
        <v>90</v>
      </c>
      <c r="D543" s="10" t="s">
        <v>51</v>
      </c>
      <c r="E543" s="10" t="s">
        <v>52</v>
      </c>
      <c r="F543" s="10" t="s">
        <v>47</v>
      </c>
      <c r="G543" s="10" t="b">
        <f>FALSE()</f>
        <v>0</v>
      </c>
      <c r="H543" s="10">
        <v>1</v>
      </c>
      <c r="I543" s="10">
        <v>0</v>
      </c>
      <c r="J543" s="10">
        <v>1</v>
      </c>
      <c r="K543" s="10">
        <v>103</v>
      </c>
      <c r="L543" s="10">
        <v>103</v>
      </c>
      <c r="M543" s="10">
        <v>0</v>
      </c>
      <c r="N543" s="10">
        <v>0</v>
      </c>
      <c r="O543" s="10">
        <v>0</v>
      </c>
    </row>
    <row r="544" spans="1:15" x14ac:dyDescent="0.2">
      <c r="A544" s="10" t="s">
        <v>503</v>
      </c>
      <c r="B544" s="10" t="s">
        <v>67</v>
      </c>
      <c r="C544" s="10" t="s">
        <v>64</v>
      </c>
      <c r="D544" s="10" t="s">
        <v>45</v>
      </c>
      <c r="E544" s="10" t="s">
        <v>46</v>
      </c>
      <c r="F544" s="10" t="s">
        <v>206</v>
      </c>
      <c r="G544" s="10" t="b">
        <f>FALSE()</f>
        <v>0</v>
      </c>
      <c r="H544" s="10">
        <v>1</v>
      </c>
      <c r="I544" s="10">
        <v>0</v>
      </c>
      <c r="J544" s="10">
        <v>1</v>
      </c>
      <c r="K544" s="10">
        <v>103</v>
      </c>
      <c r="L544" s="10">
        <v>103</v>
      </c>
      <c r="M544" s="10">
        <v>0</v>
      </c>
      <c r="N544" s="10">
        <v>0</v>
      </c>
      <c r="O544" s="10">
        <v>0</v>
      </c>
    </row>
    <row r="545" spans="1:15" x14ac:dyDescent="0.2">
      <c r="A545" s="10" t="s">
        <v>504</v>
      </c>
      <c r="B545" s="10" t="s">
        <v>505</v>
      </c>
      <c r="C545" s="10" t="s">
        <v>90</v>
      </c>
      <c r="D545" s="10" t="s">
        <v>51</v>
      </c>
      <c r="E545" s="10" t="s">
        <v>52</v>
      </c>
      <c r="F545" s="10" t="s">
        <v>318</v>
      </c>
      <c r="G545" s="10" t="b">
        <f>FALSE()</f>
        <v>0</v>
      </c>
      <c r="H545" s="10">
        <v>1</v>
      </c>
      <c r="I545" s="10">
        <v>0</v>
      </c>
      <c r="J545" s="10">
        <v>3</v>
      </c>
      <c r="K545" s="10">
        <v>114</v>
      </c>
      <c r="L545" s="10">
        <v>102</v>
      </c>
      <c r="M545" s="10">
        <v>0</v>
      </c>
      <c r="N545" s="10">
        <v>0</v>
      </c>
      <c r="O545" s="10">
        <v>0</v>
      </c>
    </row>
    <row r="546" spans="1:15" x14ac:dyDescent="0.2">
      <c r="A546" s="10" t="s">
        <v>182</v>
      </c>
      <c r="B546" s="10" t="s">
        <v>104</v>
      </c>
      <c r="C546" s="10" t="s">
        <v>105</v>
      </c>
      <c r="D546" s="10" t="s">
        <v>45</v>
      </c>
      <c r="E546" s="10" t="s">
        <v>46</v>
      </c>
      <c r="F546" s="10" t="s">
        <v>190</v>
      </c>
      <c r="G546" s="10" t="b">
        <f>TRUE()</f>
        <v>1</v>
      </c>
      <c r="H546" s="10">
        <v>1</v>
      </c>
      <c r="I546" s="10">
        <v>0</v>
      </c>
      <c r="J546" s="10">
        <v>2</v>
      </c>
      <c r="K546" s="10">
        <v>129</v>
      </c>
      <c r="L546" s="10">
        <v>102</v>
      </c>
      <c r="M546" s="10">
        <v>0</v>
      </c>
      <c r="N546" s="10">
        <v>0</v>
      </c>
      <c r="O546" s="10">
        <v>0</v>
      </c>
    </row>
    <row r="547" spans="1:15" x14ac:dyDescent="0.2">
      <c r="A547" s="10" t="s">
        <v>294</v>
      </c>
      <c r="B547" s="10" t="s">
        <v>258</v>
      </c>
      <c r="C547" s="10" t="s">
        <v>90</v>
      </c>
      <c r="D547" s="10" t="s">
        <v>51</v>
      </c>
      <c r="E547" s="10" t="s">
        <v>52</v>
      </c>
      <c r="F547" s="10" t="s">
        <v>91</v>
      </c>
      <c r="G547" s="10" t="b">
        <f>TRUE()</f>
        <v>1</v>
      </c>
      <c r="H547" s="10">
        <v>1</v>
      </c>
      <c r="I547" s="10">
        <v>0</v>
      </c>
      <c r="J547" s="10">
        <v>3</v>
      </c>
      <c r="K547" s="10">
        <v>106</v>
      </c>
      <c r="L547" s="10">
        <v>102</v>
      </c>
      <c r="M547" s="10">
        <v>0</v>
      </c>
      <c r="N547" s="10">
        <v>0</v>
      </c>
      <c r="O547" s="10">
        <v>0</v>
      </c>
    </row>
    <row r="548" spans="1:15" x14ac:dyDescent="0.2">
      <c r="A548" s="10" t="s">
        <v>194</v>
      </c>
      <c r="B548" s="10" t="s">
        <v>70</v>
      </c>
      <c r="C548" s="10" t="s">
        <v>70</v>
      </c>
      <c r="D548" s="10" t="s">
        <v>45</v>
      </c>
      <c r="E548" s="10" t="s">
        <v>46</v>
      </c>
      <c r="F548" s="10" t="s">
        <v>92</v>
      </c>
      <c r="G548" s="10" t="b">
        <f>FALSE()</f>
        <v>0</v>
      </c>
      <c r="H548" s="10">
        <v>1</v>
      </c>
      <c r="I548" s="10">
        <v>1</v>
      </c>
      <c r="J548" s="10">
        <v>3</v>
      </c>
      <c r="K548" s="10">
        <v>124</v>
      </c>
      <c r="L548" s="10">
        <v>101</v>
      </c>
      <c r="M548" s="10">
        <v>1</v>
      </c>
      <c r="N548" s="10">
        <v>397</v>
      </c>
      <c r="O548" s="10">
        <v>396</v>
      </c>
    </row>
    <row r="549" spans="1:15" x14ac:dyDescent="0.2">
      <c r="A549" s="10" t="s">
        <v>257</v>
      </c>
      <c r="B549" s="10" t="s">
        <v>258</v>
      </c>
      <c r="C549" s="10" t="s">
        <v>90</v>
      </c>
      <c r="D549" s="10" t="s">
        <v>51</v>
      </c>
      <c r="E549" s="10" t="s">
        <v>52</v>
      </c>
      <c r="F549" s="10" t="s">
        <v>92</v>
      </c>
      <c r="G549" s="10" t="b">
        <f>FALSE()</f>
        <v>0</v>
      </c>
      <c r="H549" s="10">
        <v>1</v>
      </c>
      <c r="I549" s="10">
        <v>1</v>
      </c>
      <c r="J549" s="10">
        <v>3</v>
      </c>
      <c r="K549" s="10">
        <v>103</v>
      </c>
      <c r="L549" s="10">
        <v>101</v>
      </c>
      <c r="M549" s="10">
        <v>1</v>
      </c>
      <c r="N549" s="10">
        <v>338</v>
      </c>
      <c r="O549" s="10">
        <v>338</v>
      </c>
    </row>
    <row r="550" spans="1:15" x14ac:dyDescent="0.2">
      <c r="A550" s="10" t="s">
        <v>422</v>
      </c>
      <c r="B550" s="10" t="s">
        <v>193</v>
      </c>
      <c r="C550" s="10" t="s">
        <v>117</v>
      </c>
      <c r="D550" s="10" t="s">
        <v>51</v>
      </c>
      <c r="E550" s="10" t="s">
        <v>52</v>
      </c>
      <c r="F550" s="10" t="s">
        <v>506</v>
      </c>
      <c r="G550" s="10" t="b">
        <f>TRUE()</f>
        <v>1</v>
      </c>
      <c r="H550" s="10">
        <v>1</v>
      </c>
      <c r="I550" s="10">
        <v>1</v>
      </c>
      <c r="J550" s="10">
        <v>1</v>
      </c>
      <c r="K550" s="10">
        <v>119</v>
      </c>
      <c r="L550" s="10">
        <v>101</v>
      </c>
      <c r="M550" s="10">
        <v>1</v>
      </c>
      <c r="N550" s="10">
        <v>102</v>
      </c>
      <c r="O550" s="10">
        <v>101</v>
      </c>
    </row>
    <row r="551" spans="1:15" x14ac:dyDescent="0.2">
      <c r="A551" s="10" t="s">
        <v>411</v>
      </c>
      <c r="B551" s="10" t="s">
        <v>60</v>
      </c>
      <c r="C551" s="10" t="s">
        <v>50</v>
      </c>
      <c r="D551" s="10" t="s">
        <v>51</v>
      </c>
      <c r="E551" s="10" t="s">
        <v>52</v>
      </c>
      <c r="F551" s="10" t="s">
        <v>190</v>
      </c>
      <c r="G551" s="10" t="b">
        <f>TRUE()</f>
        <v>1</v>
      </c>
      <c r="H551" s="10">
        <v>1</v>
      </c>
      <c r="I551" s="10">
        <v>1</v>
      </c>
      <c r="J551" s="10">
        <v>1</v>
      </c>
      <c r="K551" s="10">
        <v>101</v>
      </c>
      <c r="L551" s="10">
        <v>101</v>
      </c>
      <c r="M551" s="10">
        <v>1</v>
      </c>
      <c r="N551" s="10">
        <v>73</v>
      </c>
      <c r="O551" s="10">
        <v>73</v>
      </c>
    </row>
    <row r="552" spans="1:15" x14ac:dyDescent="0.2">
      <c r="A552" s="10" t="s">
        <v>319</v>
      </c>
      <c r="B552" s="10" t="s">
        <v>43</v>
      </c>
      <c r="C552" s="10" t="s">
        <v>44</v>
      </c>
      <c r="D552" s="10" t="s">
        <v>45</v>
      </c>
      <c r="E552" s="10" t="s">
        <v>46</v>
      </c>
      <c r="F552" s="10" t="s">
        <v>251</v>
      </c>
      <c r="G552" s="10" t="b">
        <f>FALSE()</f>
        <v>0</v>
      </c>
      <c r="H552" s="10">
        <v>1</v>
      </c>
      <c r="I552" s="10">
        <v>1</v>
      </c>
      <c r="J552" s="10">
        <v>2</v>
      </c>
      <c r="K552" s="10">
        <v>52</v>
      </c>
      <c r="L552" s="10">
        <v>101</v>
      </c>
      <c r="M552" s="10">
        <v>1</v>
      </c>
      <c r="N552" s="10">
        <v>47</v>
      </c>
      <c r="O552" s="10">
        <v>47</v>
      </c>
    </row>
    <row r="553" spans="1:15" x14ac:dyDescent="0.2">
      <c r="A553" s="10" t="s">
        <v>84</v>
      </c>
      <c r="B553" s="10" t="s">
        <v>43</v>
      </c>
      <c r="C553" s="10" t="s">
        <v>44</v>
      </c>
      <c r="D553" s="10" t="s">
        <v>45</v>
      </c>
      <c r="E553" s="10" t="s">
        <v>46</v>
      </c>
      <c r="F553" s="10" t="s">
        <v>61</v>
      </c>
      <c r="G553" s="10" t="b">
        <f>FALSE()</f>
        <v>0</v>
      </c>
      <c r="H553" s="10">
        <v>1</v>
      </c>
      <c r="I553" s="10">
        <v>1</v>
      </c>
      <c r="J553" s="10">
        <v>2</v>
      </c>
      <c r="K553" s="10">
        <v>101</v>
      </c>
      <c r="L553" s="10">
        <v>101</v>
      </c>
      <c r="M553" s="10">
        <v>1</v>
      </c>
      <c r="N553" s="10">
        <v>21</v>
      </c>
      <c r="O553" s="10">
        <v>21</v>
      </c>
    </row>
    <row r="554" spans="1:15" x14ac:dyDescent="0.2">
      <c r="A554" s="10" t="s">
        <v>507</v>
      </c>
      <c r="B554" s="10" t="s">
        <v>508</v>
      </c>
      <c r="C554" s="10" t="s">
        <v>90</v>
      </c>
      <c r="D554" s="10" t="s">
        <v>51</v>
      </c>
      <c r="E554" s="10" t="s">
        <v>52</v>
      </c>
      <c r="F554" s="10" t="s">
        <v>61</v>
      </c>
      <c r="G554" s="10" t="b">
        <f>FALSE()</f>
        <v>0</v>
      </c>
      <c r="H554" s="10">
        <v>1</v>
      </c>
      <c r="I554" s="10">
        <v>0</v>
      </c>
      <c r="J554" s="10">
        <v>3</v>
      </c>
      <c r="K554" s="10">
        <v>131</v>
      </c>
      <c r="L554" s="10">
        <v>101</v>
      </c>
      <c r="M554" s="10">
        <v>0</v>
      </c>
      <c r="N554" s="10">
        <v>0</v>
      </c>
      <c r="O554" s="10">
        <v>0</v>
      </c>
    </row>
    <row r="555" spans="1:15" x14ac:dyDescent="0.2">
      <c r="A555" s="10" t="s">
        <v>509</v>
      </c>
      <c r="B555" s="10" t="s">
        <v>285</v>
      </c>
      <c r="C555" s="10" t="s">
        <v>105</v>
      </c>
      <c r="D555" s="10" t="s">
        <v>45</v>
      </c>
      <c r="E555" s="10" t="s">
        <v>46</v>
      </c>
      <c r="F555" s="10" t="s">
        <v>61</v>
      </c>
      <c r="G555" s="10" t="b">
        <f>FALSE()</f>
        <v>0</v>
      </c>
      <c r="H555" s="10">
        <v>1</v>
      </c>
      <c r="I555" s="10">
        <v>0</v>
      </c>
      <c r="J555" s="10">
        <v>1</v>
      </c>
      <c r="K555" s="10">
        <v>101</v>
      </c>
      <c r="L555" s="10">
        <v>101</v>
      </c>
      <c r="M555" s="10">
        <v>0</v>
      </c>
      <c r="N555" s="10">
        <v>0</v>
      </c>
      <c r="O555" s="10">
        <v>0</v>
      </c>
    </row>
    <row r="556" spans="1:15" x14ac:dyDescent="0.2">
      <c r="A556" s="10" t="s">
        <v>510</v>
      </c>
      <c r="B556" s="10" t="s">
        <v>55</v>
      </c>
      <c r="C556" s="10" t="s">
        <v>56</v>
      </c>
      <c r="D556" s="10" t="s">
        <v>45</v>
      </c>
      <c r="E556" s="10" t="s">
        <v>46</v>
      </c>
      <c r="F556" s="10" t="s">
        <v>61</v>
      </c>
      <c r="G556" s="10" t="b">
        <f>FALSE()</f>
        <v>0</v>
      </c>
      <c r="H556" s="10">
        <v>1</v>
      </c>
      <c r="I556" s="10">
        <v>0</v>
      </c>
      <c r="J556" s="10">
        <v>2</v>
      </c>
      <c r="K556" s="10">
        <v>102</v>
      </c>
      <c r="L556" s="10">
        <v>101</v>
      </c>
      <c r="M556" s="10">
        <v>0</v>
      </c>
      <c r="N556" s="10">
        <v>0</v>
      </c>
      <c r="O556" s="10">
        <v>0</v>
      </c>
    </row>
    <row r="557" spans="1:15" x14ac:dyDescent="0.2">
      <c r="A557" s="10" t="s">
        <v>511</v>
      </c>
      <c r="B557" s="10" t="s">
        <v>273</v>
      </c>
      <c r="C557" s="10" t="s">
        <v>50</v>
      </c>
      <c r="D557" s="10" t="s">
        <v>51</v>
      </c>
      <c r="E557" s="10" t="s">
        <v>52</v>
      </c>
      <c r="F557" s="10" t="s">
        <v>61</v>
      </c>
      <c r="G557" s="10" t="b">
        <f>FALSE()</f>
        <v>0</v>
      </c>
      <c r="H557" s="10">
        <v>1</v>
      </c>
      <c r="I557" s="10">
        <v>0</v>
      </c>
      <c r="J557" s="10">
        <v>1</v>
      </c>
      <c r="K557" s="10">
        <v>174</v>
      </c>
      <c r="L557" s="10">
        <v>101</v>
      </c>
      <c r="M557" s="10">
        <v>0</v>
      </c>
      <c r="N557" s="10">
        <v>0</v>
      </c>
      <c r="O557" s="10">
        <v>0</v>
      </c>
    </row>
    <row r="558" spans="1:15" x14ac:dyDescent="0.2">
      <c r="A558" s="10" t="s">
        <v>512</v>
      </c>
      <c r="B558" s="10" t="s">
        <v>513</v>
      </c>
      <c r="C558" s="10" t="s">
        <v>64</v>
      </c>
      <c r="D558" s="10" t="s">
        <v>45</v>
      </c>
      <c r="E558" s="10" t="s">
        <v>46</v>
      </c>
      <c r="F558" s="10" t="s">
        <v>85</v>
      </c>
      <c r="G558" s="10" t="b">
        <f>FALSE()</f>
        <v>0</v>
      </c>
      <c r="H558" s="10">
        <v>1</v>
      </c>
      <c r="I558" s="10">
        <v>1</v>
      </c>
      <c r="J558" s="10">
        <v>1</v>
      </c>
      <c r="K558" s="10">
        <v>100</v>
      </c>
      <c r="L558" s="10">
        <v>100</v>
      </c>
      <c r="M558" s="10">
        <v>1</v>
      </c>
      <c r="N558" s="10">
        <v>10</v>
      </c>
      <c r="O558" s="10">
        <v>10</v>
      </c>
    </row>
    <row r="559" spans="1:15" x14ac:dyDescent="0.2">
      <c r="A559" s="10" t="s">
        <v>514</v>
      </c>
      <c r="B559" s="10" t="s">
        <v>238</v>
      </c>
      <c r="C559" s="10" t="s">
        <v>90</v>
      </c>
      <c r="D559" s="10" t="s">
        <v>51</v>
      </c>
      <c r="E559" s="10" t="s">
        <v>52</v>
      </c>
      <c r="F559" s="10" t="s">
        <v>61</v>
      </c>
      <c r="G559" s="10" t="b">
        <f>FALSE()</f>
        <v>0</v>
      </c>
      <c r="H559" s="10">
        <v>1</v>
      </c>
      <c r="I559" s="10">
        <v>0</v>
      </c>
      <c r="J559" s="10">
        <v>4</v>
      </c>
      <c r="K559" s="10">
        <v>101</v>
      </c>
      <c r="L559" s="10">
        <v>100</v>
      </c>
      <c r="M559" s="10">
        <v>0</v>
      </c>
      <c r="N559" s="10">
        <v>0</v>
      </c>
      <c r="O559" s="10">
        <v>0</v>
      </c>
    </row>
    <row r="560" spans="1:15" x14ac:dyDescent="0.2">
      <c r="A560" s="10" t="s">
        <v>515</v>
      </c>
      <c r="B560" s="10" t="s">
        <v>104</v>
      </c>
      <c r="C560" s="10" t="s">
        <v>105</v>
      </c>
      <c r="D560" s="10" t="s">
        <v>45</v>
      </c>
      <c r="E560" s="10" t="s">
        <v>46</v>
      </c>
      <c r="F560" s="10" t="s">
        <v>58</v>
      </c>
      <c r="G560" s="10" t="b">
        <f>FALSE()</f>
        <v>0</v>
      </c>
      <c r="H560" s="10">
        <v>1</v>
      </c>
      <c r="I560" s="10">
        <v>0</v>
      </c>
      <c r="J560" s="10">
        <v>3</v>
      </c>
      <c r="K560" s="10">
        <v>100</v>
      </c>
      <c r="L560" s="10">
        <v>100</v>
      </c>
      <c r="M560" s="10">
        <v>0</v>
      </c>
      <c r="N560" s="10">
        <v>0</v>
      </c>
      <c r="O560" s="10">
        <v>0</v>
      </c>
    </row>
    <row r="561" spans="1:15" x14ac:dyDescent="0.2">
      <c r="A561" s="10" t="s">
        <v>507</v>
      </c>
      <c r="B561" s="10" t="s">
        <v>508</v>
      </c>
      <c r="C561" s="10" t="s">
        <v>90</v>
      </c>
      <c r="D561" s="10" t="s">
        <v>51</v>
      </c>
      <c r="E561" s="10" t="s">
        <v>52</v>
      </c>
      <c r="F561" s="10" t="s">
        <v>153</v>
      </c>
      <c r="G561" s="10" t="b">
        <f>FALSE()</f>
        <v>0</v>
      </c>
      <c r="H561" s="10">
        <v>1</v>
      </c>
      <c r="I561" s="10">
        <v>0</v>
      </c>
      <c r="J561" s="10">
        <v>2</v>
      </c>
      <c r="K561" s="10">
        <v>126</v>
      </c>
      <c r="L561" s="10">
        <v>100</v>
      </c>
      <c r="M561" s="10">
        <v>0</v>
      </c>
      <c r="N561" s="10">
        <v>0</v>
      </c>
      <c r="O561" s="10">
        <v>0</v>
      </c>
    </row>
    <row r="562" spans="1:15" x14ac:dyDescent="0.2">
      <c r="A562" s="10" t="s">
        <v>516</v>
      </c>
      <c r="B562" s="10" t="s">
        <v>517</v>
      </c>
      <c r="C562" s="10" t="s">
        <v>90</v>
      </c>
      <c r="D562" s="10" t="s">
        <v>51</v>
      </c>
      <c r="E562" s="10" t="s">
        <v>52</v>
      </c>
      <c r="F562" s="10" t="s">
        <v>61</v>
      </c>
      <c r="G562" s="10" t="b">
        <f>FALSE()</f>
        <v>0</v>
      </c>
      <c r="H562" s="10">
        <v>1</v>
      </c>
      <c r="I562" s="10">
        <v>0</v>
      </c>
      <c r="J562" s="10">
        <v>4</v>
      </c>
      <c r="K562" s="10">
        <v>100</v>
      </c>
      <c r="L562" s="10">
        <v>100</v>
      </c>
      <c r="M562" s="10">
        <v>0</v>
      </c>
      <c r="N562" s="10">
        <v>0</v>
      </c>
      <c r="O562" s="10">
        <v>0</v>
      </c>
    </row>
    <row r="563" spans="1:15" x14ac:dyDescent="0.2">
      <c r="A563" s="10" t="s">
        <v>516</v>
      </c>
      <c r="B563" s="10" t="s">
        <v>517</v>
      </c>
      <c r="C563" s="10" t="s">
        <v>90</v>
      </c>
      <c r="D563" s="10" t="s">
        <v>51</v>
      </c>
      <c r="E563" s="10" t="s">
        <v>52</v>
      </c>
      <c r="F563" s="10" t="s">
        <v>190</v>
      </c>
      <c r="G563" s="10" t="b">
        <f>TRUE()</f>
        <v>1</v>
      </c>
      <c r="H563" s="10">
        <v>1</v>
      </c>
      <c r="I563" s="10">
        <v>0</v>
      </c>
      <c r="J563" s="10">
        <v>4</v>
      </c>
      <c r="K563" s="10">
        <v>100</v>
      </c>
      <c r="L563" s="10">
        <v>100</v>
      </c>
      <c r="M563" s="10">
        <v>0</v>
      </c>
      <c r="N563" s="10">
        <v>0</v>
      </c>
      <c r="O563" s="10">
        <v>0</v>
      </c>
    </row>
    <row r="564" spans="1:15" x14ac:dyDescent="0.2">
      <c r="A564" s="10" t="s">
        <v>518</v>
      </c>
      <c r="B564" s="10" t="s">
        <v>188</v>
      </c>
      <c r="C564" s="10" t="s">
        <v>112</v>
      </c>
      <c r="D564" s="10" t="s">
        <v>51</v>
      </c>
      <c r="E564" s="10" t="s">
        <v>52</v>
      </c>
      <c r="F564" s="10" t="s">
        <v>85</v>
      </c>
      <c r="G564" s="10" t="b">
        <f>FALSE()</f>
        <v>0</v>
      </c>
      <c r="H564" s="10">
        <v>1</v>
      </c>
      <c r="I564" s="10">
        <v>0</v>
      </c>
      <c r="J564" s="10">
        <v>1</v>
      </c>
      <c r="K564" s="10">
        <v>100</v>
      </c>
      <c r="L564" s="10">
        <v>100</v>
      </c>
      <c r="M564" s="10">
        <v>0</v>
      </c>
      <c r="N564" s="10">
        <v>0</v>
      </c>
      <c r="O564" s="10">
        <v>0</v>
      </c>
    </row>
    <row r="565" spans="1:15" x14ac:dyDescent="0.2">
      <c r="A565" s="10" t="s">
        <v>519</v>
      </c>
      <c r="B565" s="10" t="s">
        <v>258</v>
      </c>
      <c r="C565" s="10" t="s">
        <v>90</v>
      </c>
      <c r="D565" s="10" t="s">
        <v>51</v>
      </c>
      <c r="E565" s="10" t="s">
        <v>52</v>
      </c>
      <c r="F565" s="10" t="s">
        <v>65</v>
      </c>
      <c r="G565" s="10" t="b">
        <f>FALSE()</f>
        <v>0</v>
      </c>
      <c r="H565" s="10">
        <v>1</v>
      </c>
      <c r="I565" s="10">
        <v>0</v>
      </c>
      <c r="J565" s="10">
        <v>1</v>
      </c>
      <c r="K565" s="10">
        <v>106</v>
      </c>
      <c r="L565" s="10">
        <v>100</v>
      </c>
      <c r="M565" s="10">
        <v>0</v>
      </c>
      <c r="N565" s="10">
        <v>0</v>
      </c>
      <c r="O565" s="10">
        <v>0</v>
      </c>
    </row>
    <row r="566" spans="1:15" x14ac:dyDescent="0.2">
      <c r="A566" s="10" t="s">
        <v>520</v>
      </c>
      <c r="B566" s="10" t="s">
        <v>70</v>
      </c>
      <c r="C566" s="10" t="s">
        <v>70</v>
      </c>
      <c r="D566" s="10" t="s">
        <v>45</v>
      </c>
      <c r="E566" s="10" t="s">
        <v>46</v>
      </c>
      <c r="F566" s="10" t="s">
        <v>251</v>
      </c>
      <c r="G566" s="10" t="b">
        <f>FALSE()</f>
        <v>0</v>
      </c>
      <c r="H566" s="10">
        <v>1</v>
      </c>
      <c r="I566" s="10">
        <v>0</v>
      </c>
      <c r="J566" s="10">
        <v>2</v>
      </c>
      <c r="K566" s="10">
        <v>102</v>
      </c>
      <c r="L566" s="10">
        <v>100</v>
      </c>
      <c r="M566" s="10">
        <v>0</v>
      </c>
      <c r="N566" s="10">
        <v>0</v>
      </c>
      <c r="O566" s="10">
        <v>0</v>
      </c>
    </row>
    <row r="567" spans="1:15" x14ac:dyDescent="0.2">
      <c r="A567" s="10" t="s">
        <v>521</v>
      </c>
      <c r="B567" s="10" t="s">
        <v>522</v>
      </c>
      <c r="C567" s="10" t="s">
        <v>90</v>
      </c>
      <c r="D567" s="10" t="s">
        <v>51</v>
      </c>
      <c r="E567" s="10" t="s">
        <v>52</v>
      </c>
      <c r="F567" s="10" t="s">
        <v>180</v>
      </c>
      <c r="G567" s="10" t="b">
        <f>FALSE()</f>
        <v>0</v>
      </c>
      <c r="H567" s="10">
        <v>1</v>
      </c>
      <c r="I567" s="10">
        <v>0</v>
      </c>
      <c r="J567" s="10">
        <v>4</v>
      </c>
      <c r="K567" s="10">
        <v>100</v>
      </c>
      <c r="L567" s="10">
        <v>100</v>
      </c>
      <c r="M567" s="10">
        <v>0</v>
      </c>
      <c r="N567" s="10">
        <v>0</v>
      </c>
      <c r="O567" s="10">
        <v>0</v>
      </c>
    </row>
    <row r="568" spans="1:15" x14ac:dyDescent="0.2">
      <c r="A568" s="10" t="s">
        <v>414</v>
      </c>
      <c r="B568" s="10" t="s">
        <v>96</v>
      </c>
      <c r="C568" s="10" t="s">
        <v>50</v>
      </c>
      <c r="D568" s="10" t="s">
        <v>51</v>
      </c>
      <c r="E568" s="10" t="s">
        <v>52</v>
      </c>
      <c r="F568" s="10" t="s">
        <v>190</v>
      </c>
      <c r="G568" s="10" t="b">
        <f>TRUE()</f>
        <v>1</v>
      </c>
      <c r="H568" s="10">
        <v>1</v>
      </c>
      <c r="I568" s="10">
        <v>1</v>
      </c>
      <c r="J568" s="10">
        <v>1</v>
      </c>
      <c r="K568" s="10">
        <v>101</v>
      </c>
      <c r="L568" s="10">
        <v>99</v>
      </c>
      <c r="M568" s="10">
        <v>1</v>
      </c>
      <c r="N568" s="10">
        <v>446</v>
      </c>
      <c r="O568" s="10">
        <v>445</v>
      </c>
    </row>
    <row r="569" spans="1:15" x14ac:dyDescent="0.2">
      <c r="A569" s="10" t="s">
        <v>523</v>
      </c>
      <c r="B569" s="10" t="s">
        <v>96</v>
      </c>
      <c r="C569" s="10" t="s">
        <v>50</v>
      </c>
      <c r="D569" s="10" t="s">
        <v>51</v>
      </c>
      <c r="E569" s="10" t="s">
        <v>52</v>
      </c>
      <c r="F569" s="10" t="s">
        <v>74</v>
      </c>
      <c r="G569" s="10" t="b">
        <f>FALSE()</f>
        <v>0</v>
      </c>
      <c r="H569" s="10">
        <v>1</v>
      </c>
      <c r="I569" s="10">
        <v>1</v>
      </c>
      <c r="J569" s="10">
        <v>2</v>
      </c>
      <c r="K569" s="10">
        <v>103</v>
      </c>
      <c r="L569" s="10">
        <v>99</v>
      </c>
      <c r="M569" s="10">
        <v>1</v>
      </c>
      <c r="N569" s="10">
        <v>245</v>
      </c>
      <c r="O569" s="10">
        <v>233</v>
      </c>
    </row>
    <row r="570" spans="1:15" x14ac:dyDescent="0.2">
      <c r="A570" s="10" t="s">
        <v>437</v>
      </c>
      <c r="B570" s="10" t="s">
        <v>165</v>
      </c>
      <c r="C570" s="10" t="s">
        <v>112</v>
      </c>
      <c r="D570" s="10" t="s">
        <v>51</v>
      </c>
      <c r="E570" s="10" t="s">
        <v>52</v>
      </c>
      <c r="F570" s="10" t="s">
        <v>214</v>
      </c>
      <c r="G570" s="10" t="b">
        <f>FALSE()</f>
        <v>0</v>
      </c>
      <c r="H570" s="10">
        <v>1</v>
      </c>
      <c r="I570" s="10">
        <v>1</v>
      </c>
      <c r="J570" s="10">
        <v>1</v>
      </c>
      <c r="K570" s="10">
        <v>99</v>
      </c>
      <c r="L570" s="10">
        <v>99</v>
      </c>
      <c r="M570" s="10">
        <v>1</v>
      </c>
      <c r="N570" s="10">
        <v>177</v>
      </c>
      <c r="O570" s="10">
        <v>176</v>
      </c>
    </row>
    <row r="571" spans="1:15" x14ac:dyDescent="0.2">
      <c r="A571" s="10" t="s">
        <v>257</v>
      </c>
      <c r="B571" s="10" t="s">
        <v>258</v>
      </c>
      <c r="C571" s="10" t="s">
        <v>90</v>
      </c>
      <c r="D571" s="10" t="s">
        <v>51</v>
      </c>
      <c r="E571" s="10" t="s">
        <v>52</v>
      </c>
      <c r="F571" s="10" t="s">
        <v>91</v>
      </c>
      <c r="G571" s="10" t="b">
        <f>TRUE()</f>
        <v>1</v>
      </c>
      <c r="H571" s="10">
        <v>1</v>
      </c>
      <c r="I571" s="10">
        <v>1</v>
      </c>
      <c r="J571" s="10">
        <v>1</v>
      </c>
      <c r="K571" s="10">
        <v>99</v>
      </c>
      <c r="L571" s="10">
        <v>99</v>
      </c>
      <c r="M571" s="10">
        <v>1</v>
      </c>
      <c r="N571" s="10">
        <v>74</v>
      </c>
      <c r="O571" s="10">
        <v>73</v>
      </c>
    </row>
    <row r="572" spans="1:15" x14ac:dyDescent="0.2">
      <c r="A572" s="10" t="s">
        <v>466</v>
      </c>
      <c r="B572" s="10" t="s">
        <v>43</v>
      </c>
      <c r="C572" s="10" t="s">
        <v>44</v>
      </c>
      <c r="D572" s="10" t="s">
        <v>45</v>
      </c>
      <c r="E572" s="10" t="s">
        <v>46</v>
      </c>
      <c r="F572" s="10" t="s">
        <v>393</v>
      </c>
      <c r="G572" s="10" t="b">
        <f>FALSE()</f>
        <v>0</v>
      </c>
      <c r="H572" s="10">
        <v>1</v>
      </c>
      <c r="I572" s="10">
        <v>1</v>
      </c>
      <c r="J572" s="10">
        <v>2</v>
      </c>
      <c r="K572" s="10">
        <v>147</v>
      </c>
      <c r="L572" s="10">
        <v>99</v>
      </c>
      <c r="M572" s="10">
        <v>1</v>
      </c>
      <c r="N572" s="10">
        <v>28</v>
      </c>
      <c r="O572" s="10">
        <v>30</v>
      </c>
    </row>
    <row r="573" spans="1:15" x14ac:dyDescent="0.2">
      <c r="A573" s="10" t="s">
        <v>524</v>
      </c>
      <c r="B573" s="10" t="s">
        <v>285</v>
      </c>
      <c r="C573" s="10" t="s">
        <v>105</v>
      </c>
      <c r="D573" s="10" t="s">
        <v>45</v>
      </c>
      <c r="E573" s="10" t="s">
        <v>46</v>
      </c>
      <c r="F573" s="10" t="s">
        <v>61</v>
      </c>
      <c r="G573" s="10" t="b">
        <f>FALSE()</f>
        <v>0</v>
      </c>
      <c r="H573" s="10">
        <v>1</v>
      </c>
      <c r="I573" s="10">
        <v>0</v>
      </c>
      <c r="J573" s="10">
        <v>2</v>
      </c>
      <c r="K573" s="10">
        <v>99</v>
      </c>
      <c r="L573" s="10">
        <v>99</v>
      </c>
      <c r="M573" s="10">
        <v>0</v>
      </c>
      <c r="N573" s="10">
        <v>0</v>
      </c>
      <c r="O573" s="10">
        <v>0</v>
      </c>
    </row>
    <row r="574" spans="1:15" x14ac:dyDescent="0.2">
      <c r="A574" s="10" t="s">
        <v>525</v>
      </c>
      <c r="B574" s="10" t="s">
        <v>262</v>
      </c>
      <c r="C574" s="10" t="s">
        <v>105</v>
      </c>
      <c r="D574" s="10" t="s">
        <v>45</v>
      </c>
      <c r="E574" s="10" t="s">
        <v>46</v>
      </c>
      <c r="F574" s="10" t="s">
        <v>53</v>
      </c>
      <c r="G574" s="10" t="b">
        <f>FALSE()</f>
        <v>0</v>
      </c>
      <c r="H574" s="10">
        <v>1</v>
      </c>
      <c r="I574" s="10">
        <v>0</v>
      </c>
      <c r="J574" s="10">
        <v>1</v>
      </c>
      <c r="K574" s="10">
        <v>112</v>
      </c>
      <c r="L574" s="10">
        <v>99</v>
      </c>
      <c r="M574" s="10">
        <v>0</v>
      </c>
      <c r="N574" s="10">
        <v>0</v>
      </c>
      <c r="O574" s="10">
        <v>0</v>
      </c>
    </row>
    <row r="575" spans="1:15" x14ac:dyDescent="0.2">
      <c r="A575" s="10" t="s">
        <v>526</v>
      </c>
      <c r="B575" s="10" t="s">
        <v>432</v>
      </c>
      <c r="C575" s="10" t="s">
        <v>117</v>
      </c>
      <c r="D575" s="10" t="s">
        <v>51</v>
      </c>
      <c r="E575" s="10" t="s">
        <v>52</v>
      </c>
      <c r="F575" s="10" t="s">
        <v>79</v>
      </c>
      <c r="G575" s="10" t="b">
        <f>FALSE()</f>
        <v>0</v>
      </c>
      <c r="H575" s="10">
        <v>1</v>
      </c>
      <c r="I575" s="10">
        <v>0</v>
      </c>
      <c r="J575" s="10">
        <v>1</v>
      </c>
      <c r="K575" s="10">
        <v>102</v>
      </c>
      <c r="L575" s="10">
        <v>99</v>
      </c>
      <c r="M575" s="10">
        <v>0</v>
      </c>
      <c r="N575" s="10">
        <v>0</v>
      </c>
      <c r="O575" s="10">
        <v>0</v>
      </c>
    </row>
    <row r="576" spans="1:15" x14ac:dyDescent="0.2">
      <c r="A576" s="10" t="s">
        <v>527</v>
      </c>
      <c r="B576" s="10" t="s">
        <v>99</v>
      </c>
      <c r="C576" s="10" t="s">
        <v>50</v>
      </c>
      <c r="D576" s="10" t="s">
        <v>51</v>
      </c>
      <c r="E576" s="10" t="s">
        <v>52</v>
      </c>
      <c r="F576" s="10" t="s">
        <v>100</v>
      </c>
      <c r="G576" s="10" t="b">
        <f>FALSE()</f>
        <v>0</v>
      </c>
      <c r="H576" s="10">
        <v>1</v>
      </c>
      <c r="I576" s="10">
        <v>0</v>
      </c>
      <c r="J576" s="10">
        <v>2</v>
      </c>
      <c r="K576" s="10">
        <v>108</v>
      </c>
      <c r="L576" s="10">
        <v>99</v>
      </c>
      <c r="M576" s="10">
        <v>0</v>
      </c>
      <c r="N576" s="10">
        <v>0</v>
      </c>
      <c r="O576" s="10">
        <v>0</v>
      </c>
    </row>
    <row r="577" spans="1:15" x14ac:dyDescent="0.2">
      <c r="A577" s="10" t="s">
        <v>528</v>
      </c>
      <c r="B577" s="10" t="s">
        <v>78</v>
      </c>
      <c r="C577" s="10" t="s">
        <v>50</v>
      </c>
      <c r="D577" s="10" t="s">
        <v>51</v>
      </c>
      <c r="E577" s="10" t="s">
        <v>52</v>
      </c>
      <c r="F577" s="10" t="s">
        <v>61</v>
      </c>
      <c r="G577" s="10" t="b">
        <f>FALSE()</f>
        <v>0</v>
      </c>
      <c r="H577" s="10">
        <v>1</v>
      </c>
      <c r="I577" s="10">
        <v>1</v>
      </c>
      <c r="J577" s="10">
        <v>1</v>
      </c>
      <c r="K577" s="10">
        <v>99</v>
      </c>
      <c r="L577" s="10">
        <v>98</v>
      </c>
      <c r="M577" s="10">
        <v>1</v>
      </c>
      <c r="N577" s="10">
        <v>440</v>
      </c>
      <c r="O577" s="10">
        <v>440</v>
      </c>
    </row>
    <row r="578" spans="1:15" x14ac:dyDescent="0.2">
      <c r="A578" s="10" t="s">
        <v>304</v>
      </c>
      <c r="B578" s="10" t="s">
        <v>43</v>
      </c>
      <c r="C578" s="10" t="s">
        <v>44</v>
      </c>
      <c r="D578" s="10" t="s">
        <v>45</v>
      </c>
      <c r="E578" s="10" t="s">
        <v>46</v>
      </c>
      <c r="F578" s="10" t="s">
        <v>155</v>
      </c>
      <c r="G578" s="10" t="b">
        <f>TRUE()</f>
        <v>1</v>
      </c>
      <c r="H578" s="10">
        <v>1</v>
      </c>
      <c r="I578" s="10">
        <v>1</v>
      </c>
      <c r="J578" s="10">
        <v>1</v>
      </c>
      <c r="K578" s="10">
        <v>102</v>
      </c>
      <c r="L578" s="10">
        <v>98</v>
      </c>
      <c r="M578" s="10">
        <v>1</v>
      </c>
      <c r="N578" s="10">
        <v>181</v>
      </c>
      <c r="O578" s="10">
        <v>180</v>
      </c>
    </row>
    <row r="579" spans="1:15" x14ac:dyDescent="0.2">
      <c r="A579" s="10" t="s">
        <v>354</v>
      </c>
      <c r="B579" s="10" t="s">
        <v>218</v>
      </c>
      <c r="C579" s="10" t="s">
        <v>73</v>
      </c>
      <c r="D579" s="10" t="s">
        <v>45</v>
      </c>
      <c r="E579" s="10" t="s">
        <v>46</v>
      </c>
      <c r="F579" s="10" t="s">
        <v>58</v>
      </c>
      <c r="G579" s="10" t="b">
        <f>FALSE()</f>
        <v>0</v>
      </c>
      <c r="H579" s="10">
        <v>1</v>
      </c>
      <c r="I579" s="10">
        <v>1</v>
      </c>
      <c r="J579" s="10">
        <v>1</v>
      </c>
      <c r="K579" s="10">
        <v>107</v>
      </c>
      <c r="L579" s="10">
        <v>98</v>
      </c>
      <c r="M579" s="10">
        <v>1</v>
      </c>
      <c r="N579" s="10">
        <v>60</v>
      </c>
      <c r="O579" s="10">
        <v>60</v>
      </c>
    </row>
    <row r="580" spans="1:15" x14ac:dyDescent="0.2">
      <c r="A580" s="10" t="s">
        <v>441</v>
      </c>
      <c r="B580" s="10" t="s">
        <v>116</v>
      </c>
      <c r="C580" s="10" t="s">
        <v>117</v>
      </c>
      <c r="D580" s="10" t="s">
        <v>51</v>
      </c>
      <c r="E580" s="10" t="s">
        <v>52</v>
      </c>
      <c r="F580" s="10" t="s">
        <v>207</v>
      </c>
      <c r="G580" s="10" t="b">
        <f>FALSE()</f>
        <v>0</v>
      </c>
      <c r="H580" s="10">
        <v>1</v>
      </c>
      <c r="I580" s="10">
        <v>0</v>
      </c>
      <c r="J580" s="10">
        <v>2</v>
      </c>
      <c r="K580" s="10">
        <v>100</v>
      </c>
      <c r="L580" s="10">
        <v>98</v>
      </c>
      <c r="M580" s="10">
        <v>0</v>
      </c>
      <c r="N580" s="10">
        <v>0</v>
      </c>
      <c r="O580" s="10">
        <v>0</v>
      </c>
    </row>
    <row r="581" spans="1:15" x14ac:dyDescent="0.2">
      <c r="A581" s="10" t="s">
        <v>443</v>
      </c>
      <c r="B581" s="10" t="s">
        <v>407</v>
      </c>
      <c r="C581" s="10" t="s">
        <v>112</v>
      </c>
      <c r="D581" s="10" t="s">
        <v>51</v>
      </c>
      <c r="E581" s="10" t="s">
        <v>52</v>
      </c>
      <c r="F581" s="10" t="s">
        <v>91</v>
      </c>
      <c r="G581" s="10" t="b">
        <f>TRUE()</f>
        <v>1</v>
      </c>
      <c r="H581" s="10">
        <v>1</v>
      </c>
      <c r="I581" s="10">
        <v>0</v>
      </c>
      <c r="J581" s="10">
        <v>1</v>
      </c>
      <c r="K581" s="10">
        <v>98</v>
      </c>
      <c r="L581" s="10">
        <v>98</v>
      </c>
      <c r="M581" s="10">
        <v>0</v>
      </c>
      <c r="N581" s="10">
        <v>0</v>
      </c>
      <c r="O581" s="10">
        <v>0</v>
      </c>
    </row>
    <row r="582" spans="1:15" x14ac:dyDescent="0.2">
      <c r="A582" s="10" t="s">
        <v>529</v>
      </c>
      <c r="B582" s="10" t="s">
        <v>172</v>
      </c>
      <c r="C582" s="10" t="s">
        <v>44</v>
      </c>
      <c r="D582" s="10" t="s">
        <v>45</v>
      </c>
      <c r="E582" s="10" t="s">
        <v>46</v>
      </c>
      <c r="F582" s="10" t="s">
        <v>92</v>
      </c>
      <c r="G582" s="10" t="b">
        <f>FALSE()</f>
        <v>0</v>
      </c>
      <c r="H582" s="10">
        <v>1</v>
      </c>
      <c r="I582" s="10">
        <v>1</v>
      </c>
      <c r="J582" s="10">
        <v>3</v>
      </c>
      <c r="K582" s="10">
        <v>97</v>
      </c>
      <c r="L582" s="10">
        <v>97</v>
      </c>
      <c r="M582" s="10">
        <v>1</v>
      </c>
      <c r="N582" s="10">
        <v>517</v>
      </c>
      <c r="O582" s="10">
        <v>517</v>
      </c>
    </row>
    <row r="583" spans="1:15" x14ac:dyDescent="0.2">
      <c r="A583" s="10" t="s">
        <v>334</v>
      </c>
      <c r="B583" s="10" t="s">
        <v>335</v>
      </c>
      <c r="C583" s="10" t="s">
        <v>50</v>
      </c>
      <c r="D583" s="10" t="s">
        <v>51</v>
      </c>
      <c r="E583" s="10" t="s">
        <v>52</v>
      </c>
      <c r="F583" s="10" t="s">
        <v>475</v>
      </c>
      <c r="G583" s="10" t="b">
        <f>FALSE()</f>
        <v>0</v>
      </c>
      <c r="H583" s="10">
        <v>1</v>
      </c>
      <c r="I583" s="10">
        <v>0</v>
      </c>
      <c r="J583" s="10">
        <v>3</v>
      </c>
      <c r="K583" s="10">
        <v>116</v>
      </c>
      <c r="L583" s="10">
        <v>97</v>
      </c>
      <c r="M583" s="10">
        <v>0</v>
      </c>
      <c r="N583" s="10">
        <v>0</v>
      </c>
      <c r="O583" s="10">
        <v>0</v>
      </c>
    </row>
    <row r="584" spans="1:15" x14ac:dyDescent="0.2">
      <c r="A584" s="10" t="s">
        <v>182</v>
      </c>
      <c r="B584" s="10" t="s">
        <v>104</v>
      </c>
      <c r="C584" s="10" t="s">
        <v>105</v>
      </c>
      <c r="D584" s="10" t="s">
        <v>45</v>
      </c>
      <c r="E584" s="10" t="s">
        <v>46</v>
      </c>
      <c r="F584" s="10" t="s">
        <v>530</v>
      </c>
      <c r="G584" s="10" t="b">
        <f>TRUE()</f>
        <v>1</v>
      </c>
      <c r="H584" s="10">
        <v>1</v>
      </c>
      <c r="I584" s="10">
        <v>0</v>
      </c>
      <c r="J584" s="10">
        <v>2</v>
      </c>
      <c r="K584" s="10">
        <v>104</v>
      </c>
      <c r="L584" s="10">
        <v>97</v>
      </c>
      <c r="M584" s="10">
        <v>0</v>
      </c>
      <c r="N584" s="10">
        <v>0</v>
      </c>
      <c r="O584" s="10">
        <v>0</v>
      </c>
    </row>
    <row r="585" spans="1:15" x14ac:dyDescent="0.2">
      <c r="A585" s="10" t="s">
        <v>450</v>
      </c>
      <c r="B585" s="10" t="s">
        <v>262</v>
      </c>
      <c r="C585" s="10" t="s">
        <v>105</v>
      </c>
      <c r="D585" s="10" t="s">
        <v>45</v>
      </c>
      <c r="E585" s="10" t="s">
        <v>46</v>
      </c>
      <c r="F585" s="10" t="s">
        <v>94</v>
      </c>
      <c r="G585" s="10" t="b">
        <f>FALSE()</f>
        <v>0</v>
      </c>
      <c r="H585" s="10">
        <v>1</v>
      </c>
      <c r="I585" s="10">
        <v>0</v>
      </c>
      <c r="J585" s="10">
        <v>2</v>
      </c>
      <c r="K585" s="10">
        <v>125</v>
      </c>
      <c r="L585" s="10">
        <v>97</v>
      </c>
      <c r="M585" s="10">
        <v>0</v>
      </c>
      <c r="N585" s="10">
        <v>0</v>
      </c>
      <c r="O585" s="10">
        <v>0</v>
      </c>
    </row>
    <row r="586" spans="1:15" x14ac:dyDescent="0.2">
      <c r="A586" s="10" t="s">
        <v>531</v>
      </c>
      <c r="B586" s="10" t="s">
        <v>146</v>
      </c>
      <c r="C586" s="10" t="s">
        <v>105</v>
      </c>
      <c r="D586" s="10" t="s">
        <v>45</v>
      </c>
      <c r="E586" s="10" t="s">
        <v>46</v>
      </c>
      <c r="F586" s="10" t="s">
        <v>61</v>
      </c>
      <c r="G586" s="10" t="b">
        <f>FALSE()</f>
        <v>0</v>
      </c>
      <c r="H586" s="10">
        <v>1</v>
      </c>
      <c r="I586" s="10">
        <v>0</v>
      </c>
      <c r="J586" s="10">
        <v>1</v>
      </c>
      <c r="K586" s="10">
        <v>97</v>
      </c>
      <c r="L586" s="10">
        <v>97</v>
      </c>
      <c r="M586" s="10">
        <v>0</v>
      </c>
      <c r="N586" s="10">
        <v>0</v>
      </c>
      <c r="O586" s="10">
        <v>0</v>
      </c>
    </row>
    <row r="587" spans="1:15" x14ac:dyDescent="0.2">
      <c r="A587" s="10" t="s">
        <v>323</v>
      </c>
      <c r="B587" s="10" t="s">
        <v>172</v>
      </c>
      <c r="C587" s="10" t="s">
        <v>44</v>
      </c>
      <c r="D587" s="10" t="s">
        <v>45</v>
      </c>
      <c r="E587" s="10" t="s">
        <v>46</v>
      </c>
      <c r="F587" s="10" t="s">
        <v>212</v>
      </c>
      <c r="G587" s="10" t="b">
        <f>FALSE()</f>
        <v>0</v>
      </c>
      <c r="H587" s="10">
        <v>1</v>
      </c>
      <c r="I587" s="10">
        <v>0</v>
      </c>
      <c r="J587" s="10">
        <v>2</v>
      </c>
      <c r="K587" s="10">
        <v>102</v>
      </c>
      <c r="L587" s="10">
        <v>97</v>
      </c>
      <c r="M587" s="10">
        <v>0</v>
      </c>
      <c r="N587" s="10">
        <v>0</v>
      </c>
      <c r="O587" s="10">
        <v>0</v>
      </c>
    </row>
    <row r="588" spans="1:15" x14ac:dyDescent="0.2">
      <c r="A588" s="10" t="s">
        <v>532</v>
      </c>
      <c r="B588" s="10" t="s">
        <v>119</v>
      </c>
      <c r="C588" s="10" t="s">
        <v>56</v>
      </c>
      <c r="D588" s="10" t="s">
        <v>45</v>
      </c>
      <c r="E588" s="10" t="s">
        <v>46</v>
      </c>
      <c r="F588" s="10" t="s">
        <v>83</v>
      </c>
      <c r="G588" s="10" t="b">
        <f>TRUE()</f>
        <v>1</v>
      </c>
      <c r="H588" s="10">
        <v>1</v>
      </c>
      <c r="I588" s="10">
        <v>0</v>
      </c>
      <c r="J588" s="10">
        <v>3</v>
      </c>
      <c r="K588" s="10">
        <v>115</v>
      </c>
      <c r="L588" s="10">
        <v>97</v>
      </c>
      <c r="M588" s="10">
        <v>0</v>
      </c>
      <c r="N588" s="10">
        <v>0</v>
      </c>
      <c r="O588" s="10">
        <v>0</v>
      </c>
    </row>
    <row r="589" spans="1:15" x14ac:dyDescent="0.2">
      <c r="A589" s="10" t="s">
        <v>239</v>
      </c>
      <c r="B589" s="10" t="s">
        <v>172</v>
      </c>
      <c r="C589" s="10" t="s">
        <v>44</v>
      </c>
      <c r="D589" s="10" t="s">
        <v>45</v>
      </c>
      <c r="E589" s="10" t="s">
        <v>46</v>
      </c>
      <c r="F589" s="10" t="s">
        <v>79</v>
      </c>
      <c r="G589" s="10" t="b">
        <f>FALSE()</f>
        <v>0</v>
      </c>
      <c r="H589" s="10">
        <v>1</v>
      </c>
      <c r="I589" s="10">
        <v>0</v>
      </c>
      <c r="J589" s="10">
        <v>2</v>
      </c>
      <c r="K589" s="10">
        <v>96</v>
      </c>
      <c r="L589" s="10">
        <v>96</v>
      </c>
      <c r="M589" s="10">
        <v>0</v>
      </c>
      <c r="N589" s="10">
        <v>0</v>
      </c>
      <c r="O589" s="10">
        <v>0</v>
      </c>
    </row>
    <row r="590" spans="1:15" x14ac:dyDescent="0.2">
      <c r="A590" s="10" t="s">
        <v>171</v>
      </c>
      <c r="B590" s="10" t="s">
        <v>172</v>
      </c>
      <c r="C590" s="10" t="s">
        <v>44</v>
      </c>
      <c r="D590" s="10" t="s">
        <v>45</v>
      </c>
      <c r="E590" s="10" t="s">
        <v>46</v>
      </c>
      <c r="F590" s="10" t="s">
        <v>183</v>
      </c>
      <c r="G590" s="10" t="b">
        <f>FALSE()</f>
        <v>0</v>
      </c>
      <c r="H590" s="10">
        <v>1</v>
      </c>
      <c r="I590" s="10">
        <v>0</v>
      </c>
      <c r="J590" s="10">
        <v>2</v>
      </c>
      <c r="K590" s="10">
        <v>96</v>
      </c>
      <c r="L590" s="10">
        <v>96</v>
      </c>
      <c r="M590" s="10">
        <v>0</v>
      </c>
      <c r="N590" s="10">
        <v>0</v>
      </c>
      <c r="O590" s="10">
        <v>0</v>
      </c>
    </row>
    <row r="591" spans="1:15" x14ac:dyDescent="0.2">
      <c r="A591" s="10" t="s">
        <v>533</v>
      </c>
      <c r="B591" s="10" t="s">
        <v>477</v>
      </c>
      <c r="C591" s="10" t="s">
        <v>50</v>
      </c>
      <c r="D591" s="10" t="s">
        <v>51</v>
      </c>
      <c r="E591" s="10" t="s">
        <v>52</v>
      </c>
      <c r="F591" s="10" t="s">
        <v>61</v>
      </c>
      <c r="G591" s="10" t="b">
        <f>FALSE()</f>
        <v>0</v>
      </c>
      <c r="H591" s="10">
        <v>1</v>
      </c>
      <c r="I591" s="10">
        <v>0</v>
      </c>
      <c r="J591" s="10">
        <v>1</v>
      </c>
      <c r="K591" s="10">
        <v>125</v>
      </c>
      <c r="L591" s="10">
        <v>96</v>
      </c>
      <c r="M591" s="10">
        <v>0</v>
      </c>
      <c r="N591" s="10">
        <v>0</v>
      </c>
      <c r="O591" s="10">
        <v>0</v>
      </c>
    </row>
    <row r="592" spans="1:15" x14ac:dyDescent="0.2">
      <c r="A592" s="10" t="s">
        <v>534</v>
      </c>
      <c r="B592" s="10" t="s">
        <v>78</v>
      </c>
      <c r="C592" s="10" t="s">
        <v>50</v>
      </c>
      <c r="D592" s="10" t="s">
        <v>51</v>
      </c>
      <c r="E592" s="10" t="s">
        <v>52</v>
      </c>
      <c r="F592" s="10" t="s">
        <v>535</v>
      </c>
      <c r="G592" s="10" t="b">
        <f>TRUE()</f>
        <v>1</v>
      </c>
      <c r="H592" s="10">
        <v>1</v>
      </c>
      <c r="I592" s="10">
        <v>0</v>
      </c>
      <c r="J592" s="10">
        <v>1</v>
      </c>
      <c r="K592" s="10">
        <v>51</v>
      </c>
      <c r="L592" s="10">
        <v>96</v>
      </c>
      <c r="M592" s="10">
        <v>0</v>
      </c>
      <c r="N592" s="10">
        <v>0</v>
      </c>
      <c r="O592" s="10">
        <v>0</v>
      </c>
    </row>
    <row r="593" spans="1:15" x14ac:dyDescent="0.2">
      <c r="A593" s="10" t="s">
        <v>426</v>
      </c>
      <c r="B593" s="10" t="s">
        <v>70</v>
      </c>
      <c r="C593" s="10" t="s">
        <v>70</v>
      </c>
      <c r="D593" s="10" t="s">
        <v>45</v>
      </c>
      <c r="E593" s="10" t="s">
        <v>46</v>
      </c>
      <c r="F593" s="10" t="s">
        <v>251</v>
      </c>
      <c r="G593" s="10" t="b">
        <f>FALSE()</f>
        <v>0</v>
      </c>
      <c r="H593" s="10">
        <v>1</v>
      </c>
      <c r="I593" s="10">
        <v>0</v>
      </c>
      <c r="J593" s="10">
        <v>2</v>
      </c>
      <c r="K593" s="10">
        <v>133</v>
      </c>
      <c r="L593" s="10">
        <v>96</v>
      </c>
      <c r="M593" s="10">
        <v>0</v>
      </c>
      <c r="N593" s="10">
        <v>0</v>
      </c>
      <c r="O593" s="10">
        <v>0</v>
      </c>
    </row>
    <row r="594" spans="1:15" x14ac:dyDescent="0.2">
      <c r="A594" s="10" t="s">
        <v>536</v>
      </c>
      <c r="B594" s="10" t="s">
        <v>67</v>
      </c>
      <c r="C594" s="10" t="s">
        <v>64</v>
      </c>
      <c r="D594" s="10" t="s">
        <v>45</v>
      </c>
      <c r="E594" s="10" t="s">
        <v>46</v>
      </c>
      <c r="F594" s="10" t="s">
        <v>47</v>
      </c>
      <c r="G594" s="10" t="b">
        <f>FALSE()</f>
        <v>0</v>
      </c>
      <c r="H594" s="10">
        <v>1</v>
      </c>
      <c r="I594" s="10">
        <v>0</v>
      </c>
      <c r="J594" s="10">
        <v>2</v>
      </c>
      <c r="K594" s="10">
        <v>96</v>
      </c>
      <c r="L594" s="10">
        <v>96</v>
      </c>
      <c r="M594" s="10">
        <v>0</v>
      </c>
      <c r="N594" s="10">
        <v>0</v>
      </c>
      <c r="O594" s="10">
        <v>0</v>
      </c>
    </row>
    <row r="595" spans="1:15" x14ac:dyDescent="0.2">
      <c r="A595" s="10" t="s">
        <v>537</v>
      </c>
      <c r="B595" s="10" t="s">
        <v>538</v>
      </c>
      <c r="C595" s="10" t="s">
        <v>90</v>
      </c>
      <c r="D595" s="10" t="s">
        <v>51</v>
      </c>
      <c r="E595" s="10" t="s">
        <v>52</v>
      </c>
      <c r="F595" s="10" t="s">
        <v>190</v>
      </c>
      <c r="G595" s="10" t="b">
        <f>TRUE()</f>
        <v>1</v>
      </c>
      <c r="H595" s="10">
        <v>1</v>
      </c>
      <c r="I595" s="10">
        <v>1</v>
      </c>
      <c r="J595" s="10">
        <v>3</v>
      </c>
      <c r="K595" s="10">
        <v>120</v>
      </c>
      <c r="L595" s="10">
        <v>95</v>
      </c>
      <c r="M595" s="10">
        <v>1</v>
      </c>
      <c r="N595" s="10">
        <v>308</v>
      </c>
      <c r="O595" s="10">
        <v>304</v>
      </c>
    </row>
    <row r="596" spans="1:15" x14ac:dyDescent="0.2">
      <c r="A596" s="10" t="s">
        <v>539</v>
      </c>
      <c r="B596" s="10" t="s">
        <v>43</v>
      </c>
      <c r="C596" s="10" t="s">
        <v>44</v>
      </c>
      <c r="D596" s="10" t="s">
        <v>45</v>
      </c>
      <c r="E596" s="10" t="s">
        <v>46</v>
      </c>
      <c r="F596" s="10" t="s">
        <v>123</v>
      </c>
      <c r="G596" s="10" t="b">
        <f>FALSE()</f>
        <v>0</v>
      </c>
      <c r="H596" s="10">
        <v>1</v>
      </c>
      <c r="I596" s="10">
        <v>1</v>
      </c>
      <c r="J596" s="10">
        <v>2</v>
      </c>
      <c r="K596" s="10">
        <v>112</v>
      </c>
      <c r="L596" s="10">
        <v>95</v>
      </c>
      <c r="M596" s="10">
        <v>1</v>
      </c>
      <c r="N596" s="10">
        <v>87</v>
      </c>
      <c r="O596" s="10">
        <v>87</v>
      </c>
    </row>
    <row r="597" spans="1:15" x14ac:dyDescent="0.2">
      <c r="A597" s="10" t="s">
        <v>540</v>
      </c>
      <c r="B597" s="10" t="s">
        <v>70</v>
      </c>
      <c r="C597" s="10" t="s">
        <v>70</v>
      </c>
      <c r="D597" s="10" t="s">
        <v>45</v>
      </c>
      <c r="E597" s="10" t="s">
        <v>46</v>
      </c>
      <c r="F597" s="10" t="s">
        <v>61</v>
      </c>
      <c r="G597" s="10" t="b">
        <f>FALSE()</f>
        <v>0</v>
      </c>
      <c r="H597" s="10">
        <v>1</v>
      </c>
      <c r="I597" s="10">
        <v>0</v>
      </c>
      <c r="J597" s="10">
        <v>2</v>
      </c>
      <c r="K597" s="10">
        <v>99</v>
      </c>
      <c r="L597" s="10">
        <v>95</v>
      </c>
      <c r="M597" s="10">
        <v>0</v>
      </c>
      <c r="N597" s="10">
        <v>0</v>
      </c>
      <c r="O597" s="10">
        <v>0</v>
      </c>
    </row>
    <row r="598" spans="1:15" x14ac:dyDescent="0.2">
      <c r="A598" s="10" t="s">
        <v>534</v>
      </c>
      <c r="B598" s="10" t="s">
        <v>78</v>
      </c>
      <c r="C598" s="10" t="s">
        <v>50</v>
      </c>
      <c r="D598" s="10" t="s">
        <v>51</v>
      </c>
      <c r="E598" s="10" t="s">
        <v>52</v>
      </c>
      <c r="F598" s="10" t="s">
        <v>155</v>
      </c>
      <c r="G598" s="10" t="b">
        <f>TRUE()</f>
        <v>1</v>
      </c>
      <c r="H598" s="10">
        <v>1</v>
      </c>
      <c r="I598" s="10">
        <v>0</v>
      </c>
      <c r="J598" s="10">
        <v>1</v>
      </c>
      <c r="K598" s="10">
        <v>51</v>
      </c>
      <c r="L598" s="10">
        <v>95</v>
      </c>
      <c r="M598" s="10">
        <v>0</v>
      </c>
      <c r="N598" s="10">
        <v>0</v>
      </c>
      <c r="O598" s="10">
        <v>0</v>
      </c>
    </row>
    <row r="599" spans="1:15" x14ac:dyDescent="0.2">
      <c r="A599" s="10" t="s">
        <v>541</v>
      </c>
      <c r="B599" s="10" t="s">
        <v>139</v>
      </c>
      <c r="C599" s="10" t="s">
        <v>64</v>
      </c>
      <c r="D599" s="10" t="s">
        <v>45</v>
      </c>
      <c r="E599" s="10" t="s">
        <v>46</v>
      </c>
      <c r="F599" s="10" t="s">
        <v>47</v>
      </c>
      <c r="G599" s="10" t="b">
        <f>FALSE()</f>
        <v>0</v>
      </c>
      <c r="H599" s="10">
        <v>1</v>
      </c>
      <c r="I599" s="10">
        <v>0</v>
      </c>
      <c r="J599" s="10">
        <v>1</v>
      </c>
      <c r="K599" s="10">
        <v>121</v>
      </c>
      <c r="L599" s="10">
        <v>95</v>
      </c>
      <c r="M599" s="10">
        <v>0</v>
      </c>
      <c r="N599" s="10">
        <v>0</v>
      </c>
      <c r="O599" s="10">
        <v>0</v>
      </c>
    </row>
    <row r="600" spans="1:15" x14ac:dyDescent="0.2">
      <c r="A600" s="10" t="s">
        <v>542</v>
      </c>
      <c r="B600" s="10" t="s">
        <v>543</v>
      </c>
      <c r="C600" s="10" t="s">
        <v>90</v>
      </c>
      <c r="D600" s="10" t="s">
        <v>51</v>
      </c>
      <c r="E600" s="10" t="s">
        <v>52</v>
      </c>
      <c r="F600" s="10" t="s">
        <v>535</v>
      </c>
      <c r="G600" s="10" t="b">
        <f>TRUE()</f>
        <v>1</v>
      </c>
      <c r="H600" s="10">
        <v>1</v>
      </c>
      <c r="I600" s="10">
        <v>1</v>
      </c>
      <c r="J600" s="10">
        <v>2</v>
      </c>
      <c r="K600" s="10">
        <v>94</v>
      </c>
      <c r="L600" s="10">
        <v>94</v>
      </c>
      <c r="M600" s="10">
        <v>1</v>
      </c>
      <c r="N600" s="10">
        <v>78</v>
      </c>
      <c r="O600" s="10">
        <v>78</v>
      </c>
    </row>
    <row r="601" spans="1:15" x14ac:dyDescent="0.2">
      <c r="A601" s="10" t="s">
        <v>544</v>
      </c>
      <c r="B601" s="10" t="s">
        <v>60</v>
      </c>
      <c r="C601" s="10" t="s">
        <v>50</v>
      </c>
      <c r="D601" s="10" t="s">
        <v>51</v>
      </c>
      <c r="E601" s="10" t="s">
        <v>52</v>
      </c>
      <c r="F601" s="10" t="s">
        <v>190</v>
      </c>
      <c r="G601" s="10" t="b">
        <f>TRUE()</f>
        <v>1</v>
      </c>
      <c r="H601" s="10">
        <v>1</v>
      </c>
      <c r="I601" s="10">
        <v>1</v>
      </c>
      <c r="J601" s="10">
        <v>3</v>
      </c>
      <c r="K601" s="10">
        <v>116</v>
      </c>
      <c r="L601" s="10">
        <v>94</v>
      </c>
      <c r="M601" s="10">
        <v>1</v>
      </c>
      <c r="N601" s="10">
        <v>64</v>
      </c>
      <c r="O601" s="10">
        <v>64</v>
      </c>
    </row>
    <row r="602" spans="1:15" x14ac:dyDescent="0.2">
      <c r="A602" s="10" t="s">
        <v>545</v>
      </c>
      <c r="B602" s="10" t="s">
        <v>146</v>
      </c>
      <c r="C602" s="10" t="s">
        <v>105</v>
      </c>
      <c r="D602" s="10" t="s">
        <v>45</v>
      </c>
      <c r="E602" s="10" t="s">
        <v>46</v>
      </c>
      <c r="F602" s="10" t="s">
        <v>61</v>
      </c>
      <c r="G602" s="10" t="b">
        <f>FALSE()</f>
        <v>0</v>
      </c>
      <c r="H602" s="10">
        <v>1</v>
      </c>
      <c r="I602" s="10">
        <v>1</v>
      </c>
      <c r="J602" s="10">
        <v>1</v>
      </c>
      <c r="K602" s="10">
        <v>124</v>
      </c>
      <c r="L602" s="10">
        <v>94</v>
      </c>
      <c r="M602" s="10">
        <v>1</v>
      </c>
      <c r="N602" s="10">
        <v>56</v>
      </c>
      <c r="O602" s="10">
        <v>56</v>
      </c>
    </row>
    <row r="603" spans="1:15" x14ac:dyDescent="0.2">
      <c r="A603" s="10" t="s">
        <v>471</v>
      </c>
      <c r="B603" s="10" t="s">
        <v>472</v>
      </c>
      <c r="C603" s="10" t="s">
        <v>64</v>
      </c>
      <c r="D603" s="10" t="s">
        <v>45</v>
      </c>
      <c r="E603" s="10" t="s">
        <v>46</v>
      </c>
      <c r="F603" s="10" t="s">
        <v>74</v>
      </c>
      <c r="G603" s="10" t="b">
        <f>FALSE()</f>
        <v>0</v>
      </c>
      <c r="H603" s="10">
        <v>1</v>
      </c>
      <c r="I603" s="10">
        <v>0</v>
      </c>
      <c r="J603" s="10">
        <v>3</v>
      </c>
      <c r="K603" s="10">
        <v>112</v>
      </c>
      <c r="L603" s="10">
        <v>94</v>
      </c>
      <c r="M603" s="10">
        <v>0</v>
      </c>
      <c r="N603" s="10">
        <v>0</v>
      </c>
      <c r="O603" s="10">
        <v>0</v>
      </c>
    </row>
    <row r="604" spans="1:15" x14ac:dyDescent="0.2">
      <c r="A604" s="10" t="s">
        <v>546</v>
      </c>
      <c r="B604" s="10" t="s">
        <v>547</v>
      </c>
      <c r="C604" s="10" t="s">
        <v>112</v>
      </c>
      <c r="D604" s="10" t="s">
        <v>51</v>
      </c>
      <c r="E604" s="10" t="s">
        <v>52</v>
      </c>
      <c r="F604" s="10" t="s">
        <v>113</v>
      </c>
      <c r="G604" s="10" t="b">
        <f>TRUE()</f>
        <v>1</v>
      </c>
      <c r="H604" s="10">
        <v>1</v>
      </c>
      <c r="I604" s="10">
        <v>0</v>
      </c>
      <c r="J604" s="10">
        <v>3</v>
      </c>
      <c r="K604" s="10">
        <v>94</v>
      </c>
      <c r="L604" s="10">
        <v>94</v>
      </c>
      <c r="M604" s="10">
        <v>0</v>
      </c>
      <c r="N604" s="10">
        <v>0</v>
      </c>
      <c r="O604" s="10">
        <v>0</v>
      </c>
    </row>
    <row r="605" spans="1:15" x14ac:dyDescent="0.2">
      <c r="A605" s="10" t="s">
        <v>482</v>
      </c>
      <c r="B605" s="10" t="s">
        <v>89</v>
      </c>
      <c r="C605" s="10" t="s">
        <v>90</v>
      </c>
      <c r="D605" s="10" t="s">
        <v>51</v>
      </c>
      <c r="E605" s="10" t="s">
        <v>52</v>
      </c>
      <c r="F605" s="10" t="s">
        <v>79</v>
      </c>
      <c r="G605" s="10" t="b">
        <f>FALSE()</f>
        <v>0</v>
      </c>
      <c r="H605" s="10">
        <v>1</v>
      </c>
      <c r="I605" s="10">
        <v>0</v>
      </c>
      <c r="J605" s="10">
        <v>2</v>
      </c>
      <c r="K605" s="10">
        <v>94</v>
      </c>
      <c r="L605" s="10">
        <v>94</v>
      </c>
      <c r="M605" s="10">
        <v>0</v>
      </c>
      <c r="N605" s="10">
        <v>0</v>
      </c>
      <c r="O605" s="10">
        <v>0</v>
      </c>
    </row>
    <row r="606" spans="1:15" x14ac:dyDescent="0.2">
      <c r="A606" s="10" t="s">
        <v>537</v>
      </c>
      <c r="B606" s="10" t="s">
        <v>538</v>
      </c>
      <c r="C606" s="10" t="s">
        <v>90</v>
      </c>
      <c r="D606" s="10" t="s">
        <v>51</v>
      </c>
      <c r="E606" s="10" t="s">
        <v>52</v>
      </c>
      <c r="F606" s="10" t="s">
        <v>91</v>
      </c>
      <c r="G606" s="10" t="b">
        <f>TRUE()</f>
        <v>1</v>
      </c>
      <c r="H606" s="10">
        <v>1</v>
      </c>
      <c r="I606" s="10">
        <v>1</v>
      </c>
      <c r="J606" s="10">
        <v>3</v>
      </c>
      <c r="K606" s="10">
        <v>93</v>
      </c>
      <c r="L606" s="10">
        <v>93</v>
      </c>
      <c r="M606" s="10">
        <v>1</v>
      </c>
      <c r="N606" s="10">
        <v>258</v>
      </c>
      <c r="O606" s="10">
        <v>258</v>
      </c>
    </row>
    <row r="607" spans="1:15" x14ac:dyDescent="0.2">
      <c r="A607" s="10" t="s">
        <v>150</v>
      </c>
      <c r="B607" s="10" t="s">
        <v>151</v>
      </c>
      <c r="C607" s="10" t="s">
        <v>64</v>
      </c>
      <c r="D607" s="10" t="s">
        <v>45</v>
      </c>
      <c r="E607" s="10" t="s">
        <v>46</v>
      </c>
      <c r="F607" s="10" t="s">
        <v>212</v>
      </c>
      <c r="G607" s="10" t="b">
        <f>FALSE()</f>
        <v>0</v>
      </c>
      <c r="H607" s="10">
        <v>1</v>
      </c>
      <c r="I607" s="10">
        <v>1</v>
      </c>
      <c r="J607" s="10">
        <v>2</v>
      </c>
      <c r="K607" s="10">
        <v>104</v>
      </c>
      <c r="L607" s="10">
        <v>93</v>
      </c>
      <c r="M607" s="10">
        <v>1</v>
      </c>
      <c r="N607" s="10">
        <v>72</v>
      </c>
      <c r="O607" s="10">
        <v>60</v>
      </c>
    </row>
    <row r="608" spans="1:15" x14ac:dyDescent="0.2">
      <c r="A608" s="10" t="s">
        <v>311</v>
      </c>
      <c r="B608" s="10" t="s">
        <v>312</v>
      </c>
      <c r="C608" s="10" t="s">
        <v>50</v>
      </c>
      <c r="D608" s="10" t="s">
        <v>51</v>
      </c>
      <c r="E608" s="10" t="s">
        <v>52</v>
      </c>
      <c r="F608" s="10" t="s">
        <v>190</v>
      </c>
      <c r="G608" s="10" t="b">
        <f>TRUE()</f>
        <v>1</v>
      </c>
      <c r="H608" s="10">
        <v>1</v>
      </c>
      <c r="I608" s="10">
        <v>1</v>
      </c>
      <c r="J608" s="10">
        <v>3</v>
      </c>
      <c r="K608" s="10">
        <v>96</v>
      </c>
      <c r="L608" s="10">
        <v>93</v>
      </c>
      <c r="M608" s="10">
        <v>1</v>
      </c>
      <c r="N608" s="10">
        <v>48</v>
      </c>
      <c r="O608" s="10">
        <v>48</v>
      </c>
    </row>
    <row r="609" spans="1:15" x14ac:dyDescent="0.2">
      <c r="A609" s="10" t="s">
        <v>176</v>
      </c>
      <c r="B609" s="10" t="s">
        <v>104</v>
      </c>
      <c r="C609" s="10" t="s">
        <v>105</v>
      </c>
      <c r="D609" s="10" t="s">
        <v>45</v>
      </c>
      <c r="E609" s="10" t="s">
        <v>46</v>
      </c>
      <c r="F609" s="10" t="s">
        <v>236</v>
      </c>
      <c r="G609" s="10" t="b">
        <f>FALSE()</f>
        <v>0</v>
      </c>
      <c r="H609" s="10">
        <v>1</v>
      </c>
      <c r="I609" s="10">
        <v>1</v>
      </c>
      <c r="J609" s="10">
        <v>1</v>
      </c>
      <c r="K609" s="10">
        <v>61</v>
      </c>
      <c r="L609" s="10">
        <v>93</v>
      </c>
      <c r="M609" s="10">
        <v>1</v>
      </c>
      <c r="N609" s="10">
        <v>23</v>
      </c>
      <c r="O609" s="10">
        <v>23</v>
      </c>
    </row>
    <row r="610" spans="1:15" x14ac:dyDescent="0.2">
      <c r="A610" s="10" t="s">
        <v>546</v>
      </c>
      <c r="B610" s="10" t="s">
        <v>547</v>
      </c>
      <c r="C610" s="10" t="s">
        <v>112</v>
      </c>
      <c r="D610" s="10" t="s">
        <v>51</v>
      </c>
      <c r="E610" s="10" t="s">
        <v>52</v>
      </c>
      <c r="F610" s="10" t="s">
        <v>190</v>
      </c>
      <c r="G610" s="10" t="b">
        <f>TRUE()</f>
        <v>1</v>
      </c>
      <c r="H610" s="10">
        <v>1</v>
      </c>
      <c r="I610" s="10">
        <v>0</v>
      </c>
      <c r="J610" s="10">
        <v>2</v>
      </c>
      <c r="K610" s="10">
        <v>94</v>
      </c>
      <c r="L610" s="10">
        <v>93</v>
      </c>
      <c r="M610" s="10">
        <v>0</v>
      </c>
      <c r="N610" s="10">
        <v>0</v>
      </c>
      <c r="O610" s="10">
        <v>0</v>
      </c>
    </row>
    <row r="611" spans="1:15" x14ac:dyDescent="0.2">
      <c r="A611" s="10" t="s">
        <v>548</v>
      </c>
      <c r="B611" s="10" t="s">
        <v>549</v>
      </c>
      <c r="C611" s="10" t="s">
        <v>117</v>
      </c>
      <c r="D611" s="10" t="s">
        <v>51</v>
      </c>
      <c r="E611" s="10" t="s">
        <v>52</v>
      </c>
      <c r="F611" s="10" t="s">
        <v>190</v>
      </c>
      <c r="G611" s="10" t="b">
        <f>TRUE()</f>
        <v>1</v>
      </c>
      <c r="H611" s="10">
        <v>1</v>
      </c>
      <c r="I611" s="10">
        <v>0</v>
      </c>
      <c r="J611" s="10">
        <v>2</v>
      </c>
      <c r="K611" s="10">
        <v>93</v>
      </c>
      <c r="L611" s="10">
        <v>93</v>
      </c>
      <c r="M611" s="10">
        <v>0</v>
      </c>
      <c r="N611" s="10">
        <v>0</v>
      </c>
      <c r="O611" s="10">
        <v>0</v>
      </c>
    </row>
    <row r="612" spans="1:15" x14ac:dyDescent="0.2">
      <c r="A612" s="10" t="s">
        <v>550</v>
      </c>
      <c r="B612" s="10" t="s">
        <v>72</v>
      </c>
      <c r="C612" s="10" t="s">
        <v>73</v>
      </c>
      <c r="D612" s="10" t="s">
        <v>45</v>
      </c>
      <c r="E612" s="10" t="s">
        <v>46</v>
      </c>
      <c r="F612" s="10" t="s">
        <v>61</v>
      </c>
      <c r="G612" s="10" t="b">
        <f>FALSE()</f>
        <v>0</v>
      </c>
      <c r="H612" s="10">
        <v>1</v>
      </c>
      <c r="I612" s="10">
        <v>1</v>
      </c>
      <c r="J612" s="10">
        <v>2</v>
      </c>
      <c r="K612" s="10">
        <v>117</v>
      </c>
      <c r="L612" s="10">
        <v>92</v>
      </c>
      <c r="M612" s="10">
        <v>1</v>
      </c>
      <c r="N612" s="10">
        <v>89</v>
      </c>
      <c r="O612" s="10">
        <v>89</v>
      </c>
    </row>
    <row r="613" spans="1:15" x14ac:dyDescent="0.2">
      <c r="A613" s="10" t="s">
        <v>217</v>
      </c>
      <c r="B613" s="10" t="s">
        <v>218</v>
      </c>
      <c r="C613" s="10" t="s">
        <v>73</v>
      </c>
      <c r="D613" s="10" t="s">
        <v>45</v>
      </c>
      <c r="E613" s="10" t="s">
        <v>46</v>
      </c>
      <c r="F613" s="10" t="s">
        <v>424</v>
      </c>
      <c r="G613" s="10" t="b">
        <f>FALSE()</f>
        <v>0</v>
      </c>
      <c r="H613" s="10">
        <v>1</v>
      </c>
      <c r="I613" s="10">
        <v>1</v>
      </c>
      <c r="J613" s="10">
        <v>1</v>
      </c>
      <c r="K613" s="10">
        <v>103</v>
      </c>
      <c r="L613" s="10">
        <v>92</v>
      </c>
      <c r="M613" s="10">
        <v>1</v>
      </c>
      <c r="N613" s="10">
        <v>78</v>
      </c>
      <c r="O613" s="10">
        <v>78</v>
      </c>
    </row>
    <row r="614" spans="1:15" x14ac:dyDescent="0.2">
      <c r="A614" s="10" t="s">
        <v>551</v>
      </c>
      <c r="B614" s="10" t="s">
        <v>419</v>
      </c>
      <c r="C614" s="10" t="s">
        <v>50</v>
      </c>
      <c r="D614" s="10" t="s">
        <v>51</v>
      </c>
      <c r="E614" s="10" t="s">
        <v>52</v>
      </c>
      <c r="F614" s="10" t="s">
        <v>552</v>
      </c>
      <c r="G614" s="10" t="b">
        <f>FALSE()</f>
        <v>0</v>
      </c>
      <c r="H614" s="10">
        <v>1</v>
      </c>
      <c r="I614" s="10">
        <v>0</v>
      </c>
      <c r="J614" s="10">
        <v>2</v>
      </c>
      <c r="K614" s="10">
        <v>106</v>
      </c>
      <c r="L614" s="10">
        <v>92</v>
      </c>
      <c r="M614" s="10">
        <v>0</v>
      </c>
      <c r="N614" s="10">
        <v>0</v>
      </c>
      <c r="O614" s="10">
        <v>0</v>
      </c>
    </row>
    <row r="615" spans="1:15" x14ac:dyDescent="0.2">
      <c r="A615" s="10" t="s">
        <v>182</v>
      </c>
      <c r="B615" s="10" t="s">
        <v>104</v>
      </c>
      <c r="C615" s="10" t="s">
        <v>105</v>
      </c>
      <c r="D615" s="10" t="s">
        <v>45</v>
      </c>
      <c r="E615" s="10" t="s">
        <v>46</v>
      </c>
      <c r="F615" s="10" t="s">
        <v>207</v>
      </c>
      <c r="G615" s="10" t="b">
        <f>FALSE()</f>
        <v>0</v>
      </c>
      <c r="H615" s="10">
        <v>1</v>
      </c>
      <c r="I615" s="10">
        <v>0</v>
      </c>
      <c r="J615" s="10">
        <v>1</v>
      </c>
      <c r="K615" s="10">
        <v>68</v>
      </c>
      <c r="L615" s="10">
        <v>92</v>
      </c>
      <c r="M615" s="10">
        <v>0</v>
      </c>
      <c r="N615" s="10">
        <v>0</v>
      </c>
      <c r="O615" s="10">
        <v>0</v>
      </c>
    </row>
    <row r="616" spans="1:15" x14ac:dyDescent="0.2">
      <c r="A616" s="10" t="s">
        <v>372</v>
      </c>
      <c r="B616" s="10" t="s">
        <v>130</v>
      </c>
      <c r="C616" s="10" t="s">
        <v>56</v>
      </c>
      <c r="D616" s="10" t="s">
        <v>45</v>
      </c>
      <c r="E616" s="10" t="s">
        <v>46</v>
      </c>
      <c r="F616" s="10" t="s">
        <v>61</v>
      </c>
      <c r="G616" s="10" t="b">
        <f>FALSE()</f>
        <v>0</v>
      </c>
      <c r="H616" s="10">
        <v>1</v>
      </c>
      <c r="I616" s="10">
        <v>0</v>
      </c>
      <c r="J616" s="10">
        <v>2</v>
      </c>
      <c r="K616" s="10">
        <v>96</v>
      </c>
      <c r="L616" s="10">
        <v>92</v>
      </c>
      <c r="M616" s="10">
        <v>0</v>
      </c>
      <c r="N616" s="10">
        <v>0</v>
      </c>
      <c r="O616" s="10">
        <v>0</v>
      </c>
    </row>
    <row r="617" spans="1:15" x14ac:dyDescent="0.2">
      <c r="A617" s="10" t="s">
        <v>553</v>
      </c>
      <c r="B617" s="10" t="s">
        <v>193</v>
      </c>
      <c r="C617" s="10" t="s">
        <v>117</v>
      </c>
      <c r="D617" s="10" t="s">
        <v>51</v>
      </c>
      <c r="E617" s="10" t="s">
        <v>52</v>
      </c>
      <c r="F617" s="10" t="s">
        <v>53</v>
      </c>
      <c r="G617" s="10" t="b">
        <f>FALSE()</f>
        <v>0</v>
      </c>
      <c r="H617" s="10">
        <v>1</v>
      </c>
      <c r="I617" s="10">
        <v>0</v>
      </c>
      <c r="J617" s="10">
        <v>1</v>
      </c>
      <c r="K617" s="10">
        <v>61</v>
      </c>
      <c r="L617" s="10">
        <v>92</v>
      </c>
      <c r="M617" s="10">
        <v>0</v>
      </c>
      <c r="N617" s="10">
        <v>0</v>
      </c>
      <c r="O617" s="10">
        <v>0</v>
      </c>
    </row>
    <row r="618" spans="1:15" x14ac:dyDescent="0.2">
      <c r="A618" s="10" t="s">
        <v>311</v>
      </c>
      <c r="B618" s="10" t="s">
        <v>312</v>
      </c>
      <c r="C618" s="10" t="s">
        <v>50</v>
      </c>
      <c r="D618" s="10" t="s">
        <v>51</v>
      </c>
      <c r="E618" s="10" t="s">
        <v>52</v>
      </c>
      <c r="F618" s="10" t="s">
        <v>91</v>
      </c>
      <c r="G618" s="10" t="b">
        <f>TRUE()</f>
        <v>1</v>
      </c>
      <c r="H618" s="10">
        <v>1</v>
      </c>
      <c r="I618" s="10">
        <v>1</v>
      </c>
      <c r="J618" s="10">
        <v>2</v>
      </c>
      <c r="K618" s="10">
        <v>91</v>
      </c>
      <c r="L618" s="10">
        <v>91</v>
      </c>
      <c r="M618" s="10">
        <v>1</v>
      </c>
      <c r="N618" s="10">
        <v>49</v>
      </c>
      <c r="O618" s="10">
        <v>49</v>
      </c>
    </row>
    <row r="619" spans="1:15" x14ac:dyDescent="0.2">
      <c r="A619" s="10" t="s">
        <v>554</v>
      </c>
      <c r="B619" s="10" t="s">
        <v>555</v>
      </c>
      <c r="C619" s="10" t="s">
        <v>245</v>
      </c>
      <c r="D619" s="10" t="s">
        <v>51</v>
      </c>
      <c r="E619" s="10" t="s">
        <v>52</v>
      </c>
      <c r="F619" s="10" t="s">
        <v>61</v>
      </c>
      <c r="G619" s="10" t="b">
        <f>FALSE()</f>
        <v>0</v>
      </c>
      <c r="H619" s="10">
        <v>1</v>
      </c>
      <c r="I619" s="10">
        <v>0</v>
      </c>
      <c r="J619" s="10">
        <v>1</v>
      </c>
      <c r="K619" s="10">
        <v>78</v>
      </c>
      <c r="L619" s="10">
        <v>91</v>
      </c>
      <c r="M619" s="10">
        <v>0</v>
      </c>
      <c r="N619" s="10">
        <v>0</v>
      </c>
      <c r="O619" s="10">
        <v>0</v>
      </c>
    </row>
    <row r="620" spans="1:15" x14ac:dyDescent="0.2">
      <c r="A620" s="10" t="s">
        <v>379</v>
      </c>
      <c r="B620" s="10" t="s">
        <v>70</v>
      </c>
      <c r="C620" s="10" t="s">
        <v>70</v>
      </c>
      <c r="D620" s="10" t="s">
        <v>45</v>
      </c>
      <c r="E620" s="10" t="s">
        <v>46</v>
      </c>
      <c r="F620" s="10" t="s">
        <v>92</v>
      </c>
      <c r="G620" s="10" t="b">
        <f>FALSE()</f>
        <v>0</v>
      </c>
      <c r="H620" s="10">
        <v>1</v>
      </c>
      <c r="I620" s="10">
        <v>0</v>
      </c>
      <c r="J620" s="10">
        <v>1</v>
      </c>
      <c r="K620" s="10">
        <v>99</v>
      </c>
      <c r="L620" s="10">
        <v>91</v>
      </c>
      <c r="M620" s="10">
        <v>0</v>
      </c>
      <c r="N620" s="10">
        <v>0</v>
      </c>
      <c r="O620" s="10">
        <v>0</v>
      </c>
    </row>
    <row r="621" spans="1:15" x14ac:dyDescent="0.2">
      <c r="A621" s="10" t="s">
        <v>556</v>
      </c>
      <c r="B621" s="10" t="s">
        <v>99</v>
      </c>
      <c r="C621" s="10" t="s">
        <v>50</v>
      </c>
      <c r="D621" s="10" t="s">
        <v>51</v>
      </c>
      <c r="E621" s="10" t="s">
        <v>52</v>
      </c>
      <c r="F621" s="10" t="s">
        <v>94</v>
      </c>
      <c r="G621" s="10" t="b">
        <f>FALSE()</f>
        <v>0</v>
      </c>
      <c r="H621" s="10">
        <v>1</v>
      </c>
      <c r="I621" s="10">
        <v>0</v>
      </c>
      <c r="J621" s="10">
        <v>2</v>
      </c>
      <c r="K621" s="10">
        <v>72</v>
      </c>
      <c r="L621" s="10">
        <v>91</v>
      </c>
      <c r="M621" s="10">
        <v>0</v>
      </c>
      <c r="N621" s="10">
        <v>0</v>
      </c>
      <c r="O621" s="10">
        <v>0</v>
      </c>
    </row>
    <row r="622" spans="1:15" x14ac:dyDescent="0.2">
      <c r="A622" s="10" t="s">
        <v>388</v>
      </c>
      <c r="B622" s="10" t="s">
        <v>151</v>
      </c>
      <c r="C622" s="10" t="s">
        <v>64</v>
      </c>
      <c r="D622" s="10" t="s">
        <v>45</v>
      </c>
      <c r="E622" s="10" t="s">
        <v>46</v>
      </c>
      <c r="F622" s="10" t="s">
        <v>91</v>
      </c>
      <c r="G622" s="10" t="b">
        <f>TRUE()</f>
        <v>1</v>
      </c>
      <c r="H622" s="10">
        <v>1</v>
      </c>
      <c r="I622" s="10">
        <v>0</v>
      </c>
      <c r="J622" s="10">
        <v>2</v>
      </c>
      <c r="K622" s="10">
        <v>95</v>
      </c>
      <c r="L622" s="10">
        <v>91</v>
      </c>
      <c r="M622" s="10">
        <v>0</v>
      </c>
      <c r="N622" s="10">
        <v>0</v>
      </c>
      <c r="O622" s="10">
        <v>0</v>
      </c>
    </row>
    <row r="623" spans="1:15" x14ac:dyDescent="0.2">
      <c r="A623" s="10" t="s">
        <v>557</v>
      </c>
      <c r="B623" s="10" t="s">
        <v>70</v>
      </c>
      <c r="C623" s="10" t="s">
        <v>70</v>
      </c>
      <c r="D623" s="10" t="s">
        <v>45</v>
      </c>
      <c r="E623" s="10" t="s">
        <v>46</v>
      </c>
      <c r="F623" s="10" t="s">
        <v>558</v>
      </c>
      <c r="G623" s="10" t="b">
        <f>TRUE()</f>
        <v>1</v>
      </c>
      <c r="H623" s="10">
        <v>1</v>
      </c>
      <c r="I623" s="10">
        <v>1</v>
      </c>
      <c r="J623" s="10">
        <v>1</v>
      </c>
      <c r="K623" s="10">
        <v>90</v>
      </c>
      <c r="L623" s="10">
        <v>90</v>
      </c>
      <c r="M623" s="10">
        <v>1</v>
      </c>
      <c r="N623" s="10">
        <v>371</v>
      </c>
      <c r="O623" s="10">
        <v>363</v>
      </c>
    </row>
    <row r="624" spans="1:15" x14ac:dyDescent="0.2">
      <c r="A624" s="10" t="s">
        <v>422</v>
      </c>
      <c r="B624" s="10" t="s">
        <v>193</v>
      </c>
      <c r="C624" s="10" t="s">
        <v>117</v>
      </c>
      <c r="D624" s="10" t="s">
        <v>51</v>
      </c>
      <c r="E624" s="10" t="s">
        <v>52</v>
      </c>
      <c r="F624" s="10" t="s">
        <v>102</v>
      </c>
      <c r="G624" s="10" t="b">
        <f>TRUE()</f>
        <v>1</v>
      </c>
      <c r="H624" s="10">
        <v>1</v>
      </c>
      <c r="I624" s="10">
        <v>1</v>
      </c>
      <c r="J624" s="10">
        <v>1</v>
      </c>
      <c r="K624" s="10">
        <v>90</v>
      </c>
      <c r="L624" s="10">
        <v>90</v>
      </c>
      <c r="M624" s="10">
        <v>1</v>
      </c>
      <c r="N624" s="10">
        <v>341</v>
      </c>
      <c r="O624" s="10">
        <v>308</v>
      </c>
    </row>
    <row r="625" spans="1:15" x14ac:dyDescent="0.2">
      <c r="A625" s="10" t="s">
        <v>263</v>
      </c>
      <c r="B625" s="10" t="s">
        <v>67</v>
      </c>
      <c r="C625" s="10" t="s">
        <v>64</v>
      </c>
      <c r="D625" s="10" t="s">
        <v>45</v>
      </c>
      <c r="E625" s="10" t="s">
        <v>46</v>
      </c>
      <c r="F625" s="10" t="s">
        <v>113</v>
      </c>
      <c r="G625" s="10" t="b">
        <f>TRUE()</f>
        <v>1</v>
      </c>
      <c r="H625" s="10">
        <v>1</v>
      </c>
      <c r="I625" s="10">
        <v>1</v>
      </c>
      <c r="J625" s="10">
        <v>2</v>
      </c>
      <c r="K625" s="10">
        <v>103</v>
      </c>
      <c r="L625" s="10">
        <v>90</v>
      </c>
      <c r="M625" s="10">
        <v>1</v>
      </c>
      <c r="N625" s="10">
        <v>186</v>
      </c>
      <c r="O625" s="10">
        <v>185</v>
      </c>
    </row>
    <row r="626" spans="1:15" x14ac:dyDescent="0.2">
      <c r="A626" s="10" t="s">
        <v>502</v>
      </c>
      <c r="B626" s="10" t="s">
        <v>302</v>
      </c>
      <c r="C626" s="10" t="s">
        <v>117</v>
      </c>
      <c r="D626" s="10" t="s">
        <v>51</v>
      </c>
      <c r="E626" s="10" t="s">
        <v>52</v>
      </c>
      <c r="F626" s="10" t="s">
        <v>153</v>
      </c>
      <c r="G626" s="10" t="b">
        <f>FALSE()</f>
        <v>0</v>
      </c>
      <c r="H626" s="10">
        <v>1</v>
      </c>
      <c r="I626" s="10">
        <v>1</v>
      </c>
      <c r="J626" s="10">
        <v>1</v>
      </c>
      <c r="K626" s="10">
        <v>117</v>
      </c>
      <c r="L626" s="10">
        <v>90</v>
      </c>
      <c r="M626" s="10">
        <v>1</v>
      </c>
      <c r="N626" s="10">
        <v>125</v>
      </c>
      <c r="O626" s="10">
        <v>117</v>
      </c>
    </row>
    <row r="627" spans="1:15" x14ac:dyDescent="0.2">
      <c r="A627" s="10" t="s">
        <v>559</v>
      </c>
      <c r="B627" s="10" t="s">
        <v>99</v>
      </c>
      <c r="C627" s="10" t="s">
        <v>50</v>
      </c>
      <c r="D627" s="10" t="s">
        <v>51</v>
      </c>
      <c r="E627" s="10" t="s">
        <v>52</v>
      </c>
      <c r="F627" s="10" t="s">
        <v>61</v>
      </c>
      <c r="G627" s="10" t="b">
        <f>FALSE()</f>
        <v>0</v>
      </c>
      <c r="H627" s="10">
        <v>1</v>
      </c>
      <c r="I627" s="10">
        <v>1</v>
      </c>
      <c r="J627" s="10">
        <v>2</v>
      </c>
      <c r="K627" s="10">
        <v>106</v>
      </c>
      <c r="L627" s="10">
        <v>90</v>
      </c>
      <c r="M627" s="10">
        <v>1</v>
      </c>
      <c r="N627" s="10">
        <v>102</v>
      </c>
      <c r="O627" s="10">
        <v>102</v>
      </c>
    </row>
    <row r="628" spans="1:15" x14ac:dyDescent="0.2">
      <c r="A628" s="10" t="s">
        <v>257</v>
      </c>
      <c r="B628" s="10" t="s">
        <v>258</v>
      </c>
      <c r="C628" s="10" t="s">
        <v>90</v>
      </c>
      <c r="D628" s="10" t="s">
        <v>51</v>
      </c>
      <c r="E628" s="10" t="s">
        <v>52</v>
      </c>
      <c r="F628" s="10" t="s">
        <v>113</v>
      </c>
      <c r="G628" s="10" t="b">
        <f>TRUE()</f>
        <v>1</v>
      </c>
      <c r="H628" s="10">
        <v>1</v>
      </c>
      <c r="I628" s="10">
        <v>1</v>
      </c>
      <c r="J628" s="10">
        <v>1</v>
      </c>
      <c r="K628" s="10">
        <v>90</v>
      </c>
      <c r="L628" s="10">
        <v>90</v>
      </c>
      <c r="M628" s="10">
        <v>1</v>
      </c>
      <c r="N628" s="10">
        <v>77</v>
      </c>
      <c r="O628" s="10">
        <v>77</v>
      </c>
    </row>
    <row r="629" spans="1:15" x14ac:dyDescent="0.2">
      <c r="A629" s="10" t="s">
        <v>560</v>
      </c>
      <c r="B629" s="10" t="s">
        <v>96</v>
      </c>
      <c r="C629" s="10" t="s">
        <v>50</v>
      </c>
      <c r="D629" s="10" t="s">
        <v>51</v>
      </c>
      <c r="E629" s="10" t="s">
        <v>52</v>
      </c>
      <c r="F629" s="10" t="s">
        <v>61</v>
      </c>
      <c r="G629" s="10" t="b">
        <f>FALSE()</f>
        <v>0</v>
      </c>
      <c r="H629" s="10">
        <v>1</v>
      </c>
      <c r="I629" s="10">
        <v>0</v>
      </c>
      <c r="J629" s="10">
        <v>2</v>
      </c>
      <c r="K629" s="10">
        <v>116</v>
      </c>
      <c r="L629" s="10">
        <v>90</v>
      </c>
      <c r="M629" s="10">
        <v>0</v>
      </c>
      <c r="N629" s="10">
        <v>0</v>
      </c>
      <c r="O629" s="10">
        <v>0</v>
      </c>
    </row>
    <row r="630" spans="1:15" x14ac:dyDescent="0.2">
      <c r="A630" s="10" t="s">
        <v>463</v>
      </c>
      <c r="B630" s="10" t="s">
        <v>72</v>
      </c>
      <c r="C630" s="10" t="s">
        <v>73</v>
      </c>
      <c r="D630" s="10" t="s">
        <v>45</v>
      </c>
      <c r="E630" s="10" t="s">
        <v>46</v>
      </c>
      <c r="F630" s="10" t="s">
        <v>92</v>
      </c>
      <c r="G630" s="10" t="b">
        <f>FALSE()</f>
        <v>0</v>
      </c>
      <c r="H630" s="10">
        <v>1</v>
      </c>
      <c r="I630" s="10">
        <v>0</v>
      </c>
      <c r="J630" s="10">
        <v>2</v>
      </c>
      <c r="K630" s="10">
        <v>39</v>
      </c>
      <c r="L630" s="10">
        <v>90</v>
      </c>
      <c r="M630" s="10">
        <v>0</v>
      </c>
      <c r="N630" s="10">
        <v>0</v>
      </c>
      <c r="O630" s="10">
        <v>0</v>
      </c>
    </row>
    <row r="631" spans="1:15" x14ac:dyDescent="0.2">
      <c r="A631" s="10" t="s">
        <v>561</v>
      </c>
      <c r="B631" s="10" t="s">
        <v>562</v>
      </c>
      <c r="C631" s="10" t="s">
        <v>245</v>
      </c>
      <c r="D631" s="10" t="s">
        <v>51</v>
      </c>
      <c r="E631" s="10" t="s">
        <v>52</v>
      </c>
      <c r="F631" s="10" t="s">
        <v>79</v>
      </c>
      <c r="G631" s="10" t="b">
        <f>FALSE()</f>
        <v>0</v>
      </c>
      <c r="H631" s="10">
        <v>1</v>
      </c>
      <c r="I631" s="10">
        <v>0</v>
      </c>
      <c r="J631" s="10">
        <v>1</v>
      </c>
      <c r="K631" s="10">
        <v>96</v>
      </c>
      <c r="L631" s="10">
        <v>90</v>
      </c>
      <c r="M631" s="10">
        <v>0</v>
      </c>
      <c r="N631" s="10">
        <v>0</v>
      </c>
      <c r="O631" s="10">
        <v>0</v>
      </c>
    </row>
    <row r="632" spans="1:15" x14ac:dyDescent="0.2">
      <c r="A632" s="10" t="s">
        <v>213</v>
      </c>
      <c r="B632" s="10" t="s">
        <v>55</v>
      </c>
      <c r="C632" s="10" t="s">
        <v>56</v>
      </c>
      <c r="D632" s="10" t="s">
        <v>45</v>
      </c>
      <c r="E632" s="10" t="s">
        <v>46</v>
      </c>
      <c r="F632" s="10" t="s">
        <v>212</v>
      </c>
      <c r="G632" s="10" t="b">
        <f>FALSE()</f>
        <v>0</v>
      </c>
      <c r="H632" s="10">
        <v>1</v>
      </c>
      <c r="I632" s="10">
        <v>0</v>
      </c>
      <c r="J632" s="10">
        <v>2</v>
      </c>
      <c r="K632" s="10">
        <v>142</v>
      </c>
      <c r="L632" s="10">
        <v>89</v>
      </c>
      <c r="M632" s="10">
        <v>0</v>
      </c>
      <c r="N632" s="10">
        <v>0</v>
      </c>
      <c r="O632" s="10">
        <v>0</v>
      </c>
    </row>
    <row r="633" spans="1:15" x14ac:dyDescent="0.2">
      <c r="A633" s="10" t="s">
        <v>563</v>
      </c>
      <c r="B633" s="10" t="s">
        <v>247</v>
      </c>
      <c r="C633" s="10" t="s">
        <v>245</v>
      </c>
      <c r="D633" s="10" t="s">
        <v>51</v>
      </c>
      <c r="E633" s="10" t="s">
        <v>52</v>
      </c>
      <c r="F633" s="10" t="s">
        <v>61</v>
      </c>
      <c r="G633" s="10" t="b">
        <f>FALSE()</f>
        <v>0</v>
      </c>
      <c r="H633" s="10">
        <v>1</v>
      </c>
      <c r="I633" s="10">
        <v>0</v>
      </c>
      <c r="J633" s="10">
        <v>1</v>
      </c>
      <c r="K633" s="10">
        <v>89</v>
      </c>
      <c r="L633" s="10">
        <v>89</v>
      </c>
      <c r="M633" s="10">
        <v>0</v>
      </c>
      <c r="N633" s="10">
        <v>0</v>
      </c>
      <c r="O633" s="10">
        <v>0</v>
      </c>
    </row>
    <row r="634" spans="1:15" x14ac:dyDescent="0.2">
      <c r="A634" s="10" t="s">
        <v>284</v>
      </c>
      <c r="B634" s="10" t="s">
        <v>285</v>
      </c>
      <c r="C634" s="10" t="s">
        <v>105</v>
      </c>
      <c r="D634" s="10" t="s">
        <v>45</v>
      </c>
      <c r="E634" s="10" t="s">
        <v>46</v>
      </c>
      <c r="F634" s="10" t="s">
        <v>153</v>
      </c>
      <c r="G634" s="10" t="b">
        <f>FALSE()</f>
        <v>0</v>
      </c>
      <c r="H634" s="10">
        <v>1</v>
      </c>
      <c r="I634" s="10">
        <v>0</v>
      </c>
      <c r="J634" s="10">
        <v>1</v>
      </c>
      <c r="K634" s="10">
        <v>114</v>
      </c>
      <c r="L634" s="10">
        <v>89</v>
      </c>
      <c r="M634" s="10">
        <v>0</v>
      </c>
      <c r="N634" s="10">
        <v>0</v>
      </c>
      <c r="O634" s="10">
        <v>0</v>
      </c>
    </row>
    <row r="635" spans="1:15" x14ac:dyDescent="0.2">
      <c r="A635" s="10" t="s">
        <v>510</v>
      </c>
      <c r="B635" s="10" t="s">
        <v>55</v>
      </c>
      <c r="C635" s="10" t="s">
        <v>56</v>
      </c>
      <c r="D635" s="10" t="s">
        <v>45</v>
      </c>
      <c r="E635" s="10" t="s">
        <v>46</v>
      </c>
      <c r="F635" s="10" t="s">
        <v>153</v>
      </c>
      <c r="G635" s="10" t="b">
        <f>FALSE()</f>
        <v>0</v>
      </c>
      <c r="H635" s="10">
        <v>1</v>
      </c>
      <c r="I635" s="10">
        <v>0</v>
      </c>
      <c r="J635" s="10">
        <v>1</v>
      </c>
      <c r="K635" s="10">
        <v>120</v>
      </c>
      <c r="L635" s="10">
        <v>89</v>
      </c>
      <c r="M635" s="10">
        <v>0</v>
      </c>
      <c r="N635" s="10">
        <v>0</v>
      </c>
      <c r="O635" s="10">
        <v>0</v>
      </c>
    </row>
    <row r="636" spans="1:15" x14ac:dyDescent="0.2">
      <c r="A636" s="10" t="s">
        <v>564</v>
      </c>
      <c r="B636" s="10" t="s">
        <v>562</v>
      </c>
      <c r="C636" s="10" t="s">
        <v>245</v>
      </c>
      <c r="D636" s="10" t="s">
        <v>51</v>
      </c>
      <c r="E636" s="10" t="s">
        <v>52</v>
      </c>
      <c r="F636" s="10" t="s">
        <v>91</v>
      </c>
      <c r="G636" s="10" t="b">
        <f>TRUE()</f>
        <v>1</v>
      </c>
      <c r="H636" s="10">
        <v>1</v>
      </c>
      <c r="I636" s="10">
        <v>0</v>
      </c>
      <c r="J636" s="10">
        <v>1</v>
      </c>
      <c r="K636" s="10">
        <v>54</v>
      </c>
      <c r="L636" s="10">
        <v>89</v>
      </c>
      <c r="M636" s="10">
        <v>0</v>
      </c>
      <c r="N636" s="10">
        <v>0</v>
      </c>
      <c r="O636" s="10">
        <v>0</v>
      </c>
    </row>
    <row r="637" spans="1:15" x14ac:dyDescent="0.2">
      <c r="A637" s="10" t="s">
        <v>120</v>
      </c>
      <c r="B637" s="10" t="s">
        <v>72</v>
      </c>
      <c r="C637" s="10" t="s">
        <v>73</v>
      </c>
      <c r="D637" s="10" t="s">
        <v>45</v>
      </c>
      <c r="E637" s="10" t="s">
        <v>46</v>
      </c>
      <c r="F637" s="10" t="s">
        <v>47</v>
      </c>
      <c r="G637" s="10" t="b">
        <f>FALSE()</f>
        <v>0</v>
      </c>
      <c r="H637" s="10">
        <v>1</v>
      </c>
      <c r="I637" s="10">
        <v>1</v>
      </c>
      <c r="J637" s="10">
        <v>2</v>
      </c>
      <c r="K637" s="10">
        <v>75</v>
      </c>
      <c r="L637" s="10">
        <v>88</v>
      </c>
      <c r="M637" s="10">
        <v>1</v>
      </c>
      <c r="N637" s="10">
        <v>323</v>
      </c>
      <c r="O637" s="10">
        <v>317</v>
      </c>
    </row>
    <row r="638" spans="1:15" x14ac:dyDescent="0.2">
      <c r="A638" s="10" t="s">
        <v>565</v>
      </c>
      <c r="B638" s="10" t="s">
        <v>493</v>
      </c>
      <c r="C638" s="10" t="s">
        <v>117</v>
      </c>
      <c r="D638" s="10" t="s">
        <v>51</v>
      </c>
      <c r="E638" s="10" t="s">
        <v>52</v>
      </c>
      <c r="F638" s="10" t="s">
        <v>363</v>
      </c>
      <c r="G638" s="10" t="b">
        <f>FALSE()</f>
        <v>0</v>
      </c>
      <c r="H638" s="10">
        <v>1</v>
      </c>
      <c r="I638" s="10">
        <v>1</v>
      </c>
      <c r="J638" s="10">
        <v>1</v>
      </c>
      <c r="K638" s="10">
        <v>60</v>
      </c>
      <c r="L638" s="10">
        <v>88</v>
      </c>
      <c r="M638" s="10">
        <v>1</v>
      </c>
      <c r="N638" s="10">
        <v>220</v>
      </c>
      <c r="O638" s="10">
        <v>178</v>
      </c>
    </row>
    <row r="639" spans="1:15" x14ac:dyDescent="0.2">
      <c r="A639" s="10" t="s">
        <v>174</v>
      </c>
      <c r="B639" s="10" t="s">
        <v>130</v>
      </c>
      <c r="C639" s="10" t="s">
        <v>56</v>
      </c>
      <c r="D639" s="10" t="s">
        <v>45</v>
      </c>
      <c r="E639" s="10" t="s">
        <v>46</v>
      </c>
      <c r="F639" s="10" t="s">
        <v>363</v>
      </c>
      <c r="G639" s="10" t="b">
        <f>FALSE()</f>
        <v>0</v>
      </c>
      <c r="H639" s="10">
        <v>1</v>
      </c>
      <c r="I639" s="10">
        <v>1</v>
      </c>
      <c r="J639" s="10">
        <v>2</v>
      </c>
      <c r="K639" s="10">
        <v>100</v>
      </c>
      <c r="L639" s="10">
        <v>87</v>
      </c>
      <c r="M639" s="10">
        <v>1</v>
      </c>
      <c r="N639" s="10">
        <v>65</v>
      </c>
      <c r="O639" s="10">
        <v>64</v>
      </c>
    </row>
    <row r="640" spans="1:15" x14ac:dyDescent="0.2">
      <c r="A640" s="10" t="s">
        <v>106</v>
      </c>
      <c r="B640" s="10" t="s">
        <v>70</v>
      </c>
      <c r="C640" s="10" t="s">
        <v>70</v>
      </c>
      <c r="D640" s="10" t="s">
        <v>45</v>
      </c>
      <c r="E640" s="10" t="s">
        <v>46</v>
      </c>
      <c r="F640" s="10" t="s">
        <v>47</v>
      </c>
      <c r="G640" s="10" t="b">
        <f>FALSE()</f>
        <v>0</v>
      </c>
      <c r="H640" s="10">
        <v>1</v>
      </c>
      <c r="I640" s="10">
        <v>0</v>
      </c>
      <c r="J640" s="10">
        <v>1</v>
      </c>
      <c r="K640" s="10">
        <v>112</v>
      </c>
      <c r="L640" s="10">
        <v>87</v>
      </c>
      <c r="M640" s="10">
        <v>0</v>
      </c>
      <c r="N640" s="10">
        <v>0</v>
      </c>
      <c r="O640" s="10">
        <v>0</v>
      </c>
    </row>
    <row r="641" spans="1:15" x14ac:dyDescent="0.2">
      <c r="A641" s="10" t="s">
        <v>197</v>
      </c>
      <c r="B641" s="10" t="s">
        <v>116</v>
      </c>
      <c r="C641" s="10" t="s">
        <v>117</v>
      </c>
      <c r="D641" s="10" t="s">
        <v>51</v>
      </c>
      <c r="E641" s="10" t="s">
        <v>52</v>
      </c>
      <c r="F641" s="10" t="s">
        <v>58</v>
      </c>
      <c r="G641" s="10" t="b">
        <f>FALSE()</f>
        <v>0</v>
      </c>
      <c r="H641" s="10">
        <v>1</v>
      </c>
      <c r="I641" s="10">
        <v>1</v>
      </c>
      <c r="J641" s="10">
        <v>2</v>
      </c>
      <c r="K641" s="10">
        <v>87</v>
      </c>
      <c r="L641" s="10">
        <v>86</v>
      </c>
      <c r="M641" s="10">
        <v>1</v>
      </c>
      <c r="N641" s="10">
        <v>243</v>
      </c>
      <c r="O641" s="10">
        <v>243</v>
      </c>
    </row>
    <row r="642" spans="1:15" x14ac:dyDescent="0.2">
      <c r="A642" s="10" t="s">
        <v>278</v>
      </c>
      <c r="B642" s="10" t="s">
        <v>43</v>
      </c>
      <c r="C642" s="10" t="s">
        <v>44</v>
      </c>
      <c r="D642" s="10" t="s">
        <v>45</v>
      </c>
      <c r="E642" s="10" t="s">
        <v>46</v>
      </c>
      <c r="F642" s="10" t="s">
        <v>79</v>
      </c>
      <c r="G642" s="10" t="b">
        <f>FALSE()</f>
        <v>0</v>
      </c>
      <c r="H642" s="10">
        <v>1</v>
      </c>
      <c r="I642" s="10">
        <v>1</v>
      </c>
      <c r="J642" s="10">
        <v>1</v>
      </c>
      <c r="K642" s="10">
        <v>119</v>
      </c>
      <c r="L642" s="10">
        <v>86</v>
      </c>
      <c r="M642" s="10">
        <v>1</v>
      </c>
      <c r="N642" s="10">
        <v>89</v>
      </c>
      <c r="O642" s="10">
        <v>88</v>
      </c>
    </row>
    <row r="643" spans="1:15" x14ac:dyDescent="0.2">
      <c r="A643" s="10" t="s">
        <v>154</v>
      </c>
      <c r="B643" s="10" t="s">
        <v>104</v>
      </c>
      <c r="C643" s="10" t="s">
        <v>105</v>
      </c>
      <c r="D643" s="10" t="s">
        <v>45</v>
      </c>
      <c r="E643" s="10" t="s">
        <v>46</v>
      </c>
      <c r="F643" s="10" t="s">
        <v>308</v>
      </c>
      <c r="G643" s="10" t="b">
        <f>TRUE()</f>
        <v>1</v>
      </c>
      <c r="H643" s="10">
        <v>1</v>
      </c>
      <c r="I643" s="10">
        <v>1</v>
      </c>
      <c r="J643" s="10">
        <v>1</v>
      </c>
      <c r="K643" s="10">
        <v>38</v>
      </c>
      <c r="L643" s="10">
        <v>86</v>
      </c>
      <c r="M643" s="10">
        <v>1</v>
      </c>
      <c r="N643" s="10">
        <v>44</v>
      </c>
      <c r="O643" s="10">
        <v>42</v>
      </c>
    </row>
    <row r="644" spans="1:15" x14ac:dyDescent="0.2">
      <c r="A644" s="10" t="s">
        <v>264</v>
      </c>
      <c r="B644" s="10" t="s">
        <v>265</v>
      </c>
      <c r="C644" s="10" t="s">
        <v>245</v>
      </c>
      <c r="D644" s="10" t="s">
        <v>51</v>
      </c>
      <c r="E644" s="10" t="s">
        <v>52</v>
      </c>
      <c r="F644" s="10" t="s">
        <v>113</v>
      </c>
      <c r="G644" s="10" t="b">
        <f>TRUE()</f>
        <v>1</v>
      </c>
      <c r="H644" s="10">
        <v>1</v>
      </c>
      <c r="I644" s="10">
        <v>0</v>
      </c>
      <c r="J644" s="10">
        <v>1</v>
      </c>
      <c r="K644" s="10">
        <v>92</v>
      </c>
      <c r="L644" s="10">
        <v>86</v>
      </c>
      <c r="M644" s="10">
        <v>0</v>
      </c>
      <c r="N644" s="10">
        <v>0</v>
      </c>
      <c r="O644" s="10">
        <v>0</v>
      </c>
    </row>
    <row r="645" spans="1:15" x14ac:dyDescent="0.2">
      <c r="A645" s="10" t="s">
        <v>566</v>
      </c>
      <c r="B645" s="10" t="s">
        <v>193</v>
      </c>
      <c r="C645" s="10" t="s">
        <v>117</v>
      </c>
      <c r="D645" s="10" t="s">
        <v>51</v>
      </c>
      <c r="E645" s="10" t="s">
        <v>52</v>
      </c>
      <c r="F645" s="10" t="s">
        <v>94</v>
      </c>
      <c r="G645" s="10" t="b">
        <f>FALSE()</f>
        <v>0</v>
      </c>
      <c r="H645" s="10">
        <v>1</v>
      </c>
      <c r="I645" s="10">
        <v>0</v>
      </c>
      <c r="J645" s="10">
        <v>1</v>
      </c>
      <c r="K645" s="10">
        <v>65</v>
      </c>
      <c r="L645" s="10">
        <v>86</v>
      </c>
      <c r="M645" s="10">
        <v>0</v>
      </c>
      <c r="N645" s="10">
        <v>0</v>
      </c>
      <c r="O645" s="10">
        <v>0</v>
      </c>
    </row>
    <row r="646" spans="1:15" x14ac:dyDescent="0.2">
      <c r="A646" s="10" t="s">
        <v>567</v>
      </c>
      <c r="B646" s="10" t="s">
        <v>109</v>
      </c>
      <c r="C646" s="10" t="s">
        <v>90</v>
      </c>
      <c r="D646" s="10" t="s">
        <v>51</v>
      </c>
      <c r="E646" s="10" t="s">
        <v>52</v>
      </c>
      <c r="F646" s="10" t="s">
        <v>190</v>
      </c>
      <c r="G646" s="10" t="b">
        <f>TRUE()</f>
        <v>1</v>
      </c>
      <c r="H646" s="10">
        <v>1</v>
      </c>
      <c r="I646" s="10">
        <v>0</v>
      </c>
      <c r="J646" s="10">
        <v>3</v>
      </c>
      <c r="K646" s="10">
        <v>86</v>
      </c>
      <c r="L646" s="10">
        <v>86</v>
      </c>
      <c r="M646" s="10">
        <v>0</v>
      </c>
      <c r="N646" s="10">
        <v>0</v>
      </c>
      <c r="O646" s="10">
        <v>0</v>
      </c>
    </row>
    <row r="647" spans="1:15" x14ac:dyDescent="0.2">
      <c r="A647" s="10" t="s">
        <v>567</v>
      </c>
      <c r="B647" s="10" t="s">
        <v>109</v>
      </c>
      <c r="C647" s="10" t="s">
        <v>90</v>
      </c>
      <c r="D647" s="10" t="s">
        <v>51</v>
      </c>
      <c r="E647" s="10" t="s">
        <v>52</v>
      </c>
      <c r="F647" s="10" t="s">
        <v>91</v>
      </c>
      <c r="G647" s="10" t="b">
        <f>TRUE()</f>
        <v>1</v>
      </c>
      <c r="H647" s="10">
        <v>1</v>
      </c>
      <c r="I647" s="10">
        <v>0</v>
      </c>
      <c r="J647" s="10">
        <v>3</v>
      </c>
      <c r="K647" s="10">
        <v>86</v>
      </c>
      <c r="L647" s="10">
        <v>86</v>
      </c>
      <c r="M647" s="10">
        <v>0</v>
      </c>
      <c r="N647" s="10">
        <v>0</v>
      </c>
      <c r="O647" s="10">
        <v>0</v>
      </c>
    </row>
    <row r="648" spans="1:15" x14ac:dyDescent="0.2">
      <c r="A648" s="10" t="s">
        <v>568</v>
      </c>
      <c r="B648" s="10" t="s">
        <v>247</v>
      </c>
      <c r="C648" s="10" t="s">
        <v>245</v>
      </c>
      <c r="D648" s="10" t="s">
        <v>51</v>
      </c>
      <c r="E648" s="10" t="s">
        <v>52</v>
      </c>
      <c r="F648" s="10" t="s">
        <v>126</v>
      </c>
      <c r="G648" s="10" t="b">
        <f>FALSE()</f>
        <v>0</v>
      </c>
      <c r="H648" s="10">
        <v>1</v>
      </c>
      <c r="I648" s="10">
        <v>0</v>
      </c>
      <c r="J648" s="10">
        <v>3</v>
      </c>
      <c r="K648" s="10">
        <v>86</v>
      </c>
      <c r="L648" s="10">
        <v>86</v>
      </c>
      <c r="M648" s="10">
        <v>0</v>
      </c>
      <c r="N648" s="10">
        <v>0</v>
      </c>
      <c r="O648" s="10">
        <v>0</v>
      </c>
    </row>
    <row r="649" spans="1:15" x14ac:dyDescent="0.2">
      <c r="A649" s="10" t="s">
        <v>103</v>
      </c>
      <c r="B649" s="10" t="s">
        <v>104</v>
      </c>
      <c r="C649" s="10" t="s">
        <v>105</v>
      </c>
      <c r="D649" s="10" t="s">
        <v>45</v>
      </c>
      <c r="E649" s="10" t="s">
        <v>46</v>
      </c>
      <c r="F649" s="10" t="s">
        <v>236</v>
      </c>
      <c r="G649" s="10" t="b">
        <f>FALSE()</f>
        <v>0</v>
      </c>
      <c r="H649" s="10">
        <v>1</v>
      </c>
      <c r="I649" s="10">
        <v>1</v>
      </c>
      <c r="J649" s="10">
        <v>2</v>
      </c>
      <c r="K649" s="10">
        <v>124</v>
      </c>
      <c r="L649" s="10">
        <v>85</v>
      </c>
      <c r="M649" s="10">
        <v>1</v>
      </c>
      <c r="N649" s="10">
        <v>154</v>
      </c>
      <c r="O649" s="10">
        <v>151</v>
      </c>
    </row>
    <row r="650" spans="1:15" x14ac:dyDescent="0.2">
      <c r="A650" s="10" t="s">
        <v>569</v>
      </c>
      <c r="B650" s="10" t="s">
        <v>130</v>
      </c>
      <c r="C650" s="10" t="s">
        <v>56</v>
      </c>
      <c r="D650" s="10" t="s">
        <v>45</v>
      </c>
      <c r="E650" s="10" t="s">
        <v>46</v>
      </c>
      <c r="F650" s="10" t="s">
        <v>331</v>
      </c>
      <c r="G650" s="10" t="b">
        <f>FALSE()</f>
        <v>0</v>
      </c>
      <c r="H650" s="10">
        <v>1</v>
      </c>
      <c r="I650" s="10">
        <v>1</v>
      </c>
      <c r="J650" s="10">
        <v>1</v>
      </c>
      <c r="K650" s="10">
        <v>95</v>
      </c>
      <c r="L650" s="10">
        <v>85</v>
      </c>
      <c r="M650" s="10">
        <v>1</v>
      </c>
      <c r="N650" s="10">
        <v>65</v>
      </c>
      <c r="O650" s="10">
        <v>56</v>
      </c>
    </row>
    <row r="651" spans="1:15" x14ac:dyDescent="0.2">
      <c r="A651" s="10" t="s">
        <v>570</v>
      </c>
      <c r="B651" s="10" t="s">
        <v>321</v>
      </c>
      <c r="C651" s="10" t="s">
        <v>245</v>
      </c>
      <c r="D651" s="10" t="s">
        <v>51</v>
      </c>
      <c r="E651" s="10" t="s">
        <v>52</v>
      </c>
      <c r="F651" s="10" t="s">
        <v>190</v>
      </c>
      <c r="G651" s="10" t="b">
        <f>TRUE()</f>
        <v>1</v>
      </c>
      <c r="H651" s="10">
        <v>1</v>
      </c>
      <c r="I651" s="10">
        <v>0</v>
      </c>
      <c r="J651" s="10">
        <v>2</v>
      </c>
      <c r="K651" s="10">
        <v>59</v>
      </c>
      <c r="L651" s="10">
        <v>85</v>
      </c>
      <c r="M651" s="10">
        <v>0</v>
      </c>
      <c r="N651" s="10">
        <v>0</v>
      </c>
      <c r="O651" s="10">
        <v>0</v>
      </c>
    </row>
    <row r="652" spans="1:15" x14ac:dyDescent="0.2">
      <c r="A652" s="10" t="s">
        <v>571</v>
      </c>
      <c r="B652" s="10" t="s">
        <v>572</v>
      </c>
      <c r="C652" s="10" t="s">
        <v>112</v>
      </c>
      <c r="D652" s="10" t="s">
        <v>51</v>
      </c>
      <c r="E652" s="10" t="s">
        <v>52</v>
      </c>
      <c r="F652" s="10" t="s">
        <v>214</v>
      </c>
      <c r="G652" s="10" t="b">
        <f>FALSE()</f>
        <v>0</v>
      </c>
      <c r="H652" s="10">
        <v>1</v>
      </c>
      <c r="I652" s="10">
        <v>0</v>
      </c>
      <c r="J652" s="10">
        <v>2</v>
      </c>
      <c r="K652" s="10">
        <v>93</v>
      </c>
      <c r="L652" s="10">
        <v>85</v>
      </c>
      <c r="M652" s="10">
        <v>0</v>
      </c>
      <c r="N652" s="10">
        <v>0</v>
      </c>
      <c r="O652" s="10">
        <v>0</v>
      </c>
    </row>
    <row r="653" spans="1:15" x14ac:dyDescent="0.2">
      <c r="A653" s="10" t="s">
        <v>573</v>
      </c>
      <c r="B653" s="10" t="s">
        <v>104</v>
      </c>
      <c r="C653" s="10" t="s">
        <v>105</v>
      </c>
      <c r="D653" s="10" t="s">
        <v>45</v>
      </c>
      <c r="E653" s="10" t="s">
        <v>46</v>
      </c>
      <c r="F653" s="10" t="s">
        <v>207</v>
      </c>
      <c r="G653" s="10" t="b">
        <f>FALSE()</f>
        <v>0</v>
      </c>
      <c r="H653" s="10">
        <v>1</v>
      </c>
      <c r="I653" s="10">
        <v>0</v>
      </c>
      <c r="J653" s="10">
        <v>1</v>
      </c>
      <c r="K653" s="10">
        <v>135</v>
      </c>
      <c r="L653" s="10">
        <v>85</v>
      </c>
      <c r="M653" s="10">
        <v>0</v>
      </c>
      <c r="N653" s="10">
        <v>0</v>
      </c>
      <c r="O653" s="10">
        <v>0</v>
      </c>
    </row>
    <row r="654" spans="1:15" x14ac:dyDescent="0.2">
      <c r="A654" s="10" t="s">
        <v>565</v>
      </c>
      <c r="B654" s="10" t="s">
        <v>493</v>
      </c>
      <c r="C654" s="10" t="s">
        <v>117</v>
      </c>
      <c r="D654" s="10" t="s">
        <v>51</v>
      </c>
      <c r="E654" s="10" t="s">
        <v>52</v>
      </c>
      <c r="F654" s="10" t="s">
        <v>47</v>
      </c>
      <c r="G654" s="10" t="b">
        <f>FALSE()</f>
        <v>0</v>
      </c>
      <c r="H654" s="10">
        <v>1</v>
      </c>
      <c r="I654" s="10">
        <v>0</v>
      </c>
      <c r="J654" s="10">
        <v>2</v>
      </c>
      <c r="K654" s="10">
        <v>85</v>
      </c>
      <c r="L654" s="10">
        <v>84</v>
      </c>
      <c r="M654" s="10">
        <v>0</v>
      </c>
      <c r="N654" s="10">
        <v>0</v>
      </c>
      <c r="O654" s="10">
        <v>0</v>
      </c>
    </row>
    <row r="655" spans="1:15" x14ac:dyDescent="0.2">
      <c r="A655" s="10" t="s">
        <v>82</v>
      </c>
      <c r="B655" s="10" t="s">
        <v>70</v>
      </c>
      <c r="C655" s="10" t="s">
        <v>70</v>
      </c>
      <c r="D655" s="10" t="s">
        <v>45</v>
      </c>
      <c r="E655" s="10" t="s">
        <v>46</v>
      </c>
      <c r="F655" s="10" t="s">
        <v>47</v>
      </c>
      <c r="G655" s="10" t="b">
        <f>FALSE()</f>
        <v>0</v>
      </c>
      <c r="H655" s="10">
        <v>1</v>
      </c>
      <c r="I655" s="10">
        <v>0</v>
      </c>
      <c r="J655" s="10">
        <v>2</v>
      </c>
      <c r="K655" s="10">
        <v>88</v>
      </c>
      <c r="L655" s="10">
        <v>84</v>
      </c>
      <c r="M655" s="10">
        <v>0</v>
      </c>
      <c r="N655" s="10">
        <v>0</v>
      </c>
      <c r="O655" s="10">
        <v>0</v>
      </c>
    </row>
    <row r="656" spans="1:15" x14ac:dyDescent="0.2">
      <c r="A656" s="10" t="s">
        <v>574</v>
      </c>
      <c r="B656" s="10" t="s">
        <v>234</v>
      </c>
      <c r="C656" s="10" t="s">
        <v>90</v>
      </c>
      <c r="D656" s="10" t="s">
        <v>51</v>
      </c>
      <c r="E656" s="10" t="s">
        <v>52</v>
      </c>
      <c r="F656" s="10" t="s">
        <v>97</v>
      </c>
      <c r="G656" s="10" t="b">
        <f>TRUE()</f>
        <v>1</v>
      </c>
      <c r="H656" s="10">
        <v>1</v>
      </c>
      <c r="I656" s="10">
        <v>0</v>
      </c>
      <c r="J656" s="10">
        <v>2</v>
      </c>
      <c r="K656" s="10">
        <v>105</v>
      </c>
      <c r="L656" s="10">
        <v>84</v>
      </c>
      <c r="M656" s="10">
        <v>0</v>
      </c>
      <c r="N656" s="10">
        <v>0</v>
      </c>
      <c r="O656" s="10">
        <v>0</v>
      </c>
    </row>
    <row r="657" spans="1:15" x14ac:dyDescent="0.2">
      <c r="A657" s="10" t="s">
        <v>575</v>
      </c>
      <c r="B657" s="10" t="s">
        <v>55</v>
      </c>
      <c r="C657" s="10" t="s">
        <v>56</v>
      </c>
      <c r="D657" s="10" t="s">
        <v>45</v>
      </c>
      <c r="E657" s="10" t="s">
        <v>46</v>
      </c>
      <c r="F657" s="10" t="s">
        <v>207</v>
      </c>
      <c r="G657" s="10" t="b">
        <f>FALSE()</f>
        <v>0</v>
      </c>
      <c r="H657" s="10">
        <v>1</v>
      </c>
      <c r="I657" s="10">
        <v>0</v>
      </c>
      <c r="J657" s="10">
        <v>0</v>
      </c>
      <c r="K657" s="10">
        <v>0</v>
      </c>
      <c r="L657" s="10">
        <v>84</v>
      </c>
      <c r="M657" s="10">
        <v>0</v>
      </c>
      <c r="N657" s="10">
        <v>0</v>
      </c>
      <c r="O657" s="10">
        <v>0</v>
      </c>
    </row>
    <row r="658" spans="1:15" x14ac:dyDescent="0.2">
      <c r="A658" s="10" t="s">
        <v>576</v>
      </c>
      <c r="B658" s="10" t="s">
        <v>517</v>
      </c>
      <c r="C658" s="10" t="s">
        <v>90</v>
      </c>
      <c r="D658" s="10" t="s">
        <v>51</v>
      </c>
      <c r="E658" s="10" t="s">
        <v>52</v>
      </c>
      <c r="F658" s="10" t="s">
        <v>190</v>
      </c>
      <c r="G658" s="10" t="b">
        <f>TRUE()</f>
        <v>1</v>
      </c>
      <c r="H658" s="10">
        <v>1</v>
      </c>
      <c r="I658" s="10">
        <v>0</v>
      </c>
      <c r="J658" s="10">
        <v>3</v>
      </c>
      <c r="K658" s="10">
        <v>86</v>
      </c>
      <c r="L658" s="10">
        <v>84</v>
      </c>
      <c r="M658" s="10">
        <v>0</v>
      </c>
      <c r="N658" s="10">
        <v>0</v>
      </c>
      <c r="O658" s="10">
        <v>0</v>
      </c>
    </row>
    <row r="659" spans="1:15" x14ac:dyDescent="0.2">
      <c r="A659" s="10" t="s">
        <v>150</v>
      </c>
      <c r="B659" s="10" t="s">
        <v>151</v>
      </c>
      <c r="C659" s="10" t="s">
        <v>64</v>
      </c>
      <c r="D659" s="10" t="s">
        <v>45</v>
      </c>
      <c r="E659" s="10" t="s">
        <v>46</v>
      </c>
      <c r="F659" s="10" t="s">
        <v>79</v>
      </c>
      <c r="G659" s="10" t="b">
        <f>FALSE()</f>
        <v>0</v>
      </c>
      <c r="H659" s="10">
        <v>1</v>
      </c>
      <c r="I659" s="10">
        <v>1</v>
      </c>
      <c r="J659" s="10">
        <v>3</v>
      </c>
      <c r="K659" s="10">
        <v>176</v>
      </c>
      <c r="L659" s="10">
        <v>83</v>
      </c>
      <c r="M659" s="10">
        <v>1</v>
      </c>
      <c r="N659" s="10">
        <v>657</v>
      </c>
      <c r="O659" s="10">
        <v>656</v>
      </c>
    </row>
    <row r="660" spans="1:15" x14ac:dyDescent="0.2">
      <c r="A660" s="10" t="s">
        <v>120</v>
      </c>
      <c r="B660" s="10" t="s">
        <v>72</v>
      </c>
      <c r="C660" s="10" t="s">
        <v>73</v>
      </c>
      <c r="D660" s="10" t="s">
        <v>45</v>
      </c>
      <c r="E660" s="10" t="s">
        <v>46</v>
      </c>
      <c r="F660" s="10" t="s">
        <v>91</v>
      </c>
      <c r="G660" s="10" t="b">
        <f>TRUE()</f>
        <v>1</v>
      </c>
      <c r="H660" s="10">
        <v>1</v>
      </c>
      <c r="I660" s="10">
        <v>1</v>
      </c>
      <c r="J660" s="10">
        <v>1</v>
      </c>
      <c r="K660" s="10">
        <v>83</v>
      </c>
      <c r="L660" s="10">
        <v>83</v>
      </c>
      <c r="M660" s="10">
        <v>1</v>
      </c>
      <c r="N660" s="10">
        <v>78</v>
      </c>
      <c r="O660" s="10">
        <v>73</v>
      </c>
    </row>
    <row r="661" spans="1:15" x14ac:dyDescent="0.2">
      <c r="A661" s="10" t="s">
        <v>84</v>
      </c>
      <c r="B661" s="10" t="s">
        <v>43</v>
      </c>
      <c r="C661" s="10" t="s">
        <v>44</v>
      </c>
      <c r="D661" s="10" t="s">
        <v>45</v>
      </c>
      <c r="E661" s="10" t="s">
        <v>46</v>
      </c>
      <c r="F661" s="10" t="s">
        <v>79</v>
      </c>
      <c r="G661" s="10" t="b">
        <f>FALSE()</f>
        <v>0</v>
      </c>
      <c r="H661" s="10">
        <v>1</v>
      </c>
      <c r="I661" s="10">
        <v>1</v>
      </c>
      <c r="J661" s="10">
        <v>2</v>
      </c>
      <c r="K661" s="10">
        <v>99</v>
      </c>
      <c r="L661" s="10">
        <v>83</v>
      </c>
      <c r="M661" s="10">
        <v>1</v>
      </c>
      <c r="N661" s="10">
        <v>68</v>
      </c>
      <c r="O661" s="10">
        <v>67</v>
      </c>
    </row>
    <row r="662" spans="1:15" x14ac:dyDescent="0.2">
      <c r="A662" s="10" t="s">
        <v>310</v>
      </c>
      <c r="B662" s="10" t="s">
        <v>116</v>
      </c>
      <c r="C662" s="10" t="s">
        <v>117</v>
      </c>
      <c r="D662" s="10" t="s">
        <v>51</v>
      </c>
      <c r="E662" s="10" t="s">
        <v>52</v>
      </c>
      <c r="F662" s="10" t="s">
        <v>220</v>
      </c>
      <c r="G662" s="10" t="b">
        <f>FALSE()</f>
        <v>0</v>
      </c>
      <c r="H662" s="10">
        <v>1</v>
      </c>
      <c r="I662" s="10">
        <v>0</v>
      </c>
      <c r="J662" s="10">
        <v>1</v>
      </c>
      <c r="K662" s="10">
        <v>78</v>
      </c>
      <c r="L662" s="10">
        <v>83</v>
      </c>
      <c r="M662" s="10">
        <v>0</v>
      </c>
      <c r="N662" s="10">
        <v>0</v>
      </c>
      <c r="O662" s="10">
        <v>0</v>
      </c>
    </row>
    <row r="663" spans="1:15" x14ac:dyDescent="0.2">
      <c r="A663" s="10" t="s">
        <v>560</v>
      </c>
      <c r="B663" s="10" t="s">
        <v>96</v>
      </c>
      <c r="C663" s="10" t="s">
        <v>50</v>
      </c>
      <c r="D663" s="10" t="s">
        <v>51</v>
      </c>
      <c r="E663" s="10" t="s">
        <v>52</v>
      </c>
      <c r="F663" s="10" t="s">
        <v>212</v>
      </c>
      <c r="G663" s="10" t="b">
        <f>FALSE()</f>
        <v>0</v>
      </c>
      <c r="H663" s="10">
        <v>1</v>
      </c>
      <c r="I663" s="10">
        <v>0</v>
      </c>
      <c r="J663" s="10">
        <v>2</v>
      </c>
      <c r="K663" s="10">
        <v>83</v>
      </c>
      <c r="L663" s="10">
        <v>83</v>
      </c>
      <c r="M663" s="10">
        <v>0</v>
      </c>
      <c r="N663" s="10">
        <v>0</v>
      </c>
      <c r="O663" s="10">
        <v>0</v>
      </c>
    </row>
    <row r="664" spans="1:15" x14ac:dyDescent="0.2">
      <c r="A664" s="10" t="s">
        <v>250</v>
      </c>
      <c r="B664" s="10" t="s">
        <v>193</v>
      </c>
      <c r="C664" s="10" t="s">
        <v>117</v>
      </c>
      <c r="D664" s="10" t="s">
        <v>51</v>
      </c>
      <c r="E664" s="10" t="s">
        <v>52</v>
      </c>
      <c r="F664" s="10" t="s">
        <v>74</v>
      </c>
      <c r="G664" s="10" t="b">
        <f>FALSE()</f>
        <v>0</v>
      </c>
      <c r="H664" s="10">
        <v>1</v>
      </c>
      <c r="I664" s="10">
        <v>0</v>
      </c>
      <c r="J664" s="10">
        <v>1</v>
      </c>
      <c r="K664" s="10">
        <v>20</v>
      </c>
      <c r="L664" s="10">
        <v>83</v>
      </c>
      <c r="M664" s="10">
        <v>0</v>
      </c>
      <c r="N664" s="10">
        <v>0</v>
      </c>
      <c r="O664" s="10">
        <v>0</v>
      </c>
    </row>
    <row r="665" spans="1:15" x14ac:dyDescent="0.2">
      <c r="A665" s="10" t="s">
        <v>412</v>
      </c>
      <c r="B665" s="10" t="s">
        <v>146</v>
      </c>
      <c r="C665" s="10" t="s">
        <v>105</v>
      </c>
      <c r="D665" s="10" t="s">
        <v>45</v>
      </c>
      <c r="E665" s="10" t="s">
        <v>46</v>
      </c>
      <c r="F665" s="10" t="s">
        <v>251</v>
      </c>
      <c r="G665" s="10" t="b">
        <f>FALSE()</f>
        <v>0</v>
      </c>
      <c r="H665" s="10">
        <v>1</v>
      </c>
      <c r="I665" s="10">
        <v>0</v>
      </c>
      <c r="J665" s="10">
        <v>1</v>
      </c>
      <c r="K665" s="10">
        <v>50</v>
      </c>
      <c r="L665" s="10">
        <v>83</v>
      </c>
      <c r="M665" s="10">
        <v>0</v>
      </c>
      <c r="N665" s="10">
        <v>0</v>
      </c>
      <c r="O665" s="10">
        <v>0</v>
      </c>
    </row>
    <row r="666" spans="1:15" x14ac:dyDescent="0.2">
      <c r="A666" s="10" t="s">
        <v>553</v>
      </c>
      <c r="B666" s="10" t="s">
        <v>193</v>
      </c>
      <c r="C666" s="10" t="s">
        <v>117</v>
      </c>
      <c r="D666" s="10" t="s">
        <v>51</v>
      </c>
      <c r="E666" s="10" t="s">
        <v>52</v>
      </c>
      <c r="F666" s="10" t="s">
        <v>47</v>
      </c>
      <c r="G666" s="10" t="b">
        <f>FALSE()</f>
        <v>0</v>
      </c>
      <c r="H666" s="10">
        <v>1</v>
      </c>
      <c r="I666" s="10">
        <v>0</v>
      </c>
      <c r="J666" s="10">
        <v>1</v>
      </c>
      <c r="K666" s="10">
        <v>55</v>
      </c>
      <c r="L666" s="10">
        <v>83</v>
      </c>
      <c r="M666" s="10">
        <v>0</v>
      </c>
      <c r="N666" s="10">
        <v>0</v>
      </c>
      <c r="O666" s="10">
        <v>0</v>
      </c>
    </row>
    <row r="667" spans="1:15" x14ac:dyDescent="0.2">
      <c r="A667" s="10" t="s">
        <v>577</v>
      </c>
      <c r="B667" s="10" t="s">
        <v>165</v>
      </c>
      <c r="C667" s="10" t="s">
        <v>112</v>
      </c>
      <c r="D667" s="10" t="s">
        <v>51</v>
      </c>
      <c r="E667" s="10" t="s">
        <v>52</v>
      </c>
      <c r="F667" s="10" t="s">
        <v>251</v>
      </c>
      <c r="G667" s="10" t="b">
        <f>FALSE()</f>
        <v>0</v>
      </c>
      <c r="H667" s="10">
        <v>1</v>
      </c>
      <c r="I667" s="10">
        <v>0</v>
      </c>
      <c r="J667" s="10">
        <v>1</v>
      </c>
      <c r="K667" s="10">
        <v>136</v>
      </c>
      <c r="L667" s="10">
        <v>83</v>
      </c>
      <c r="M667" s="10">
        <v>0</v>
      </c>
      <c r="N667" s="10">
        <v>0</v>
      </c>
      <c r="O667" s="10">
        <v>0</v>
      </c>
    </row>
    <row r="668" spans="1:15" x14ac:dyDescent="0.2">
      <c r="A668" s="10" t="s">
        <v>529</v>
      </c>
      <c r="B668" s="10" t="s">
        <v>172</v>
      </c>
      <c r="C668" s="10" t="s">
        <v>44</v>
      </c>
      <c r="D668" s="10" t="s">
        <v>45</v>
      </c>
      <c r="E668" s="10" t="s">
        <v>46</v>
      </c>
      <c r="F668" s="10" t="s">
        <v>61</v>
      </c>
      <c r="G668" s="10" t="b">
        <f>FALSE()</f>
        <v>0</v>
      </c>
      <c r="H668" s="10">
        <v>1</v>
      </c>
      <c r="I668" s="10">
        <v>1</v>
      </c>
      <c r="J668" s="10">
        <v>1</v>
      </c>
      <c r="K668" s="10">
        <v>87</v>
      </c>
      <c r="L668" s="10">
        <v>82</v>
      </c>
      <c r="M668" s="10">
        <v>1</v>
      </c>
      <c r="N668" s="10">
        <v>354</v>
      </c>
      <c r="O668" s="10">
        <v>345</v>
      </c>
    </row>
    <row r="669" spans="1:15" x14ac:dyDescent="0.2">
      <c r="A669" s="10" t="s">
        <v>422</v>
      </c>
      <c r="B669" s="10" t="s">
        <v>193</v>
      </c>
      <c r="C669" s="10" t="s">
        <v>117</v>
      </c>
      <c r="D669" s="10" t="s">
        <v>51</v>
      </c>
      <c r="E669" s="10" t="s">
        <v>52</v>
      </c>
      <c r="F669" s="10" t="s">
        <v>75</v>
      </c>
      <c r="G669" s="10" t="b">
        <f>FALSE()</f>
        <v>0</v>
      </c>
      <c r="H669" s="10">
        <v>1</v>
      </c>
      <c r="I669" s="10">
        <v>1</v>
      </c>
      <c r="J669" s="10">
        <v>1</v>
      </c>
      <c r="K669" s="10">
        <v>59</v>
      </c>
      <c r="L669" s="10">
        <v>82</v>
      </c>
      <c r="M669" s="10">
        <v>1</v>
      </c>
      <c r="N669" s="10">
        <v>270</v>
      </c>
      <c r="O669" s="10">
        <v>269</v>
      </c>
    </row>
    <row r="670" spans="1:15" x14ac:dyDescent="0.2">
      <c r="A670" s="10" t="s">
        <v>578</v>
      </c>
      <c r="B670" s="10" t="s">
        <v>178</v>
      </c>
      <c r="C670" s="10" t="s">
        <v>73</v>
      </c>
      <c r="D670" s="10" t="s">
        <v>45</v>
      </c>
      <c r="E670" s="10" t="s">
        <v>46</v>
      </c>
      <c r="F670" s="10" t="s">
        <v>331</v>
      </c>
      <c r="G670" s="10" t="b">
        <f>FALSE()</f>
        <v>0</v>
      </c>
      <c r="H670" s="10">
        <v>1</v>
      </c>
      <c r="I670" s="10">
        <v>1</v>
      </c>
      <c r="J670" s="10">
        <v>2</v>
      </c>
      <c r="K670" s="10">
        <v>28</v>
      </c>
      <c r="L670" s="10">
        <v>82</v>
      </c>
      <c r="M670" s="10">
        <v>1</v>
      </c>
      <c r="N670" s="10">
        <v>54</v>
      </c>
      <c r="O670" s="10">
        <v>54</v>
      </c>
    </row>
    <row r="671" spans="1:15" x14ac:dyDescent="0.2">
      <c r="A671" s="10" t="s">
        <v>255</v>
      </c>
      <c r="B671" s="10" t="s">
        <v>116</v>
      </c>
      <c r="C671" s="10" t="s">
        <v>117</v>
      </c>
      <c r="D671" s="10" t="s">
        <v>51</v>
      </c>
      <c r="E671" s="10" t="s">
        <v>52</v>
      </c>
      <c r="F671" s="10" t="s">
        <v>92</v>
      </c>
      <c r="G671" s="10" t="b">
        <f>FALSE()</f>
        <v>0</v>
      </c>
      <c r="H671" s="10">
        <v>1</v>
      </c>
      <c r="I671" s="10">
        <v>0</v>
      </c>
      <c r="J671" s="10">
        <v>2</v>
      </c>
      <c r="K671" s="10">
        <v>83</v>
      </c>
      <c r="L671" s="10">
        <v>82</v>
      </c>
      <c r="M671" s="10">
        <v>0</v>
      </c>
      <c r="N671" s="10">
        <v>0</v>
      </c>
      <c r="O671" s="10">
        <v>0</v>
      </c>
    </row>
    <row r="672" spans="1:15" x14ac:dyDescent="0.2">
      <c r="A672" s="10" t="s">
        <v>579</v>
      </c>
      <c r="B672" s="10" t="s">
        <v>116</v>
      </c>
      <c r="C672" s="10" t="s">
        <v>117</v>
      </c>
      <c r="D672" s="10" t="s">
        <v>51</v>
      </c>
      <c r="E672" s="10" t="s">
        <v>52</v>
      </c>
      <c r="F672" s="10" t="s">
        <v>91</v>
      </c>
      <c r="G672" s="10" t="b">
        <f>TRUE()</f>
        <v>1</v>
      </c>
      <c r="H672" s="10">
        <v>1</v>
      </c>
      <c r="I672" s="10">
        <v>0</v>
      </c>
      <c r="J672" s="10">
        <v>2</v>
      </c>
      <c r="K672" s="10">
        <v>104</v>
      </c>
      <c r="L672" s="10">
        <v>82</v>
      </c>
      <c r="M672" s="10">
        <v>0</v>
      </c>
      <c r="N672" s="10">
        <v>0</v>
      </c>
      <c r="O672" s="10">
        <v>0</v>
      </c>
    </row>
    <row r="673" spans="1:15" x14ac:dyDescent="0.2">
      <c r="A673" s="10" t="s">
        <v>580</v>
      </c>
      <c r="B673" s="10" t="s">
        <v>78</v>
      </c>
      <c r="C673" s="10" t="s">
        <v>50</v>
      </c>
      <c r="D673" s="10" t="s">
        <v>51</v>
      </c>
      <c r="E673" s="10" t="s">
        <v>52</v>
      </c>
      <c r="F673" s="10" t="s">
        <v>236</v>
      </c>
      <c r="G673" s="10" t="b">
        <f>FALSE()</f>
        <v>0</v>
      </c>
      <c r="H673" s="10">
        <v>1</v>
      </c>
      <c r="I673" s="10">
        <v>1</v>
      </c>
      <c r="J673" s="10">
        <v>1</v>
      </c>
      <c r="K673" s="10">
        <v>61</v>
      </c>
      <c r="L673" s="10">
        <v>81</v>
      </c>
      <c r="M673" s="10">
        <v>1</v>
      </c>
      <c r="N673" s="10">
        <v>50</v>
      </c>
      <c r="O673" s="10">
        <v>50</v>
      </c>
    </row>
    <row r="674" spans="1:15" x14ac:dyDescent="0.2">
      <c r="A674" s="10" t="s">
        <v>512</v>
      </c>
      <c r="B674" s="10" t="s">
        <v>513</v>
      </c>
      <c r="C674" s="10" t="s">
        <v>64</v>
      </c>
      <c r="D674" s="10" t="s">
        <v>45</v>
      </c>
      <c r="E674" s="10" t="s">
        <v>46</v>
      </c>
      <c r="F674" s="10" t="s">
        <v>65</v>
      </c>
      <c r="G674" s="10" t="b">
        <f>FALSE()</f>
        <v>0</v>
      </c>
      <c r="H674" s="10">
        <v>1</v>
      </c>
      <c r="I674" s="10">
        <v>1</v>
      </c>
      <c r="J674" s="10">
        <v>2</v>
      </c>
      <c r="K674" s="10">
        <v>81</v>
      </c>
      <c r="L674" s="10">
        <v>81</v>
      </c>
      <c r="M674" s="10">
        <v>1</v>
      </c>
      <c r="N674" s="10">
        <v>20</v>
      </c>
      <c r="O674" s="10">
        <v>20</v>
      </c>
    </row>
    <row r="675" spans="1:15" x14ac:dyDescent="0.2">
      <c r="A675" s="10" t="s">
        <v>581</v>
      </c>
      <c r="B675" s="10" t="s">
        <v>172</v>
      </c>
      <c r="C675" s="10" t="s">
        <v>44</v>
      </c>
      <c r="D675" s="10" t="s">
        <v>45</v>
      </c>
      <c r="E675" s="10" t="s">
        <v>46</v>
      </c>
      <c r="F675" s="10" t="s">
        <v>79</v>
      </c>
      <c r="G675" s="10" t="b">
        <f>FALSE()</f>
        <v>0</v>
      </c>
      <c r="H675" s="10">
        <v>1</v>
      </c>
      <c r="I675" s="10">
        <v>0</v>
      </c>
      <c r="J675" s="10">
        <v>3</v>
      </c>
      <c r="K675" s="10">
        <v>110</v>
      </c>
      <c r="L675" s="10">
        <v>81</v>
      </c>
      <c r="M675" s="10">
        <v>0</v>
      </c>
      <c r="N675" s="10">
        <v>0</v>
      </c>
      <c r="O675" s="10">
        <v>0</v>
      </c>
    </row>
    <row r="676" spans="1:15" x14ac:dyDescent="0.2">
      <c r="A676" s="10" t="s">
        <v>221</v>
      </c>
      <c r="B676" s="10" t="s">
        <v>136</v>
      </c>
      <c r="C676" s="10" t="s">
        <v>73</v>
      </c>
      <c r="D676" s="10" t="s">
        <v>45</v>
      </c>
      <c r="E676" s="10" t="s">
        <v>46</v>
      </c>
      <c r="F676" s="10" t="s">
        <v>75</v>
      </c>
      <c r="G676" s="10" t="b">
        <f>FALSE()</f>
        <v>0</v>
      </c>
      <c r="H676" s="10">
        <v>1</v>
      </c>
      <c r="I676" s="10">
        <v>0</v>
      </c>
      <c r="J676" s="10">
        <v>2</v>
      </c>
      <c r="K676" s="10">
        <v>106</v>
      </c>
      <c r="L676" s="10">
        <v>81</v>
      </c>
      <c r="M676" s="10">
        <v>0</v>
      </c>
      <c r="N676" s="10">
        <v>0</v>
      </c>
      <c r="O676" s="10">
        <v>0</v>
      </c>
    </row>
    <row r="677" spans="1:15" x14ac:dyDescent="0.2">
      <c r="A677" s="10" t="s">
        <v>582</v>
      </c>
      <c r="B677" s="10" t="s">
        <v>146</v>
      </c>
      <c r="C677" s="10" t="s">
        <v>105</v>
      </c>
      <c r="D677" s="10" t="s">
        <v>45</v>
      </c>
      <c r="E677" s="10" t="s">
        <v>46</v>
      </c>
      <c r="F677" s="10" t="s">
        <v>94</v>
      </c>
      <c r="G677" s="10" t="b">
        <f>FALSE()</f>
        <v>0</v>
      </c>
      <c r="H677" s="10">
        <v>1</v>
      </c>
      <c r="I677" s="10">
        <v>0</v>
      </c>
      <c r="J677" s="10">
        <v>4</v>
      </c>
      <c r="K677" s="10">
        <v>98</v>
      </c>
      <c r="L677" s="10">
        <v>81</v>
      </c>
      <c r="M677" s="10">
        <v>0</v>
      </c>
      <c r="N677" s="10">
        <v>0</v>
      </c>
      <c r="O677" s="10">
        <v>0</v>
      </c>
    </row>
    <row r="678" spans="1:15" x14ac:dyDescent="0.2">
      <c r="A678" s="10" t="s">
        <v>583</v>
      </c>
      <c r="B678" s="10" t="s">
        <v>136</v>
      </c>
      <c r="C678" s="10" t="s">
        <v>73</v>
      </c>
      <c r="D678" s="10" t="s">
        <v>45</v>
      </c>
      <c r="E678" s="10" t="s">
        <v>46</v>
      </c>
      <c r="F678" s="10" t="s">
        <v>53</v>
      </c>
      <c r="G678" s="10" t="b">
        <f>FALSE()</f>
        <v>0</v>
      </c>
      <c r="H678" s="10">
        <v>1</v>
      </c>
      <c r="I678" s="10">
        <v>0</v>
      </c>
      <c r="J678" s="10">
        <v>1</v>
      </c>
      <c r="K678" s="10">
        <v>81</v>
      </c>
      <c r="L678" s="10">
        <v>81</v>
      </c>
      <c r="M678" s="10">
        <v>0</v>
      </c>
      <c r="N678" s="10">
        <v>0</v>
      </c>
      <c r="O678" s="10">
        <v>0</v>
      </c>
    </row>
    <row r="679" spans="1:15" x14ac:dyDescent="0.2">
      <c r="A679" s="10" t="s">
        <v>584</v>
      </c>
      <c r="B679" s="10" t="s">
        <v>247</v>
      </c>
      <c r="C679" s="10" t="s">
        <v>245</v>
      </c>
      <c r="D679" s="10" t="s">
        <v>51</v>
      </c>
      <c r="E679" s="10" t="s">
        <v>52</v>
      </c>
      <c r="F679" s="10" t="s">
        <v>113</v>
      </c>
      <c r="G679" s="10" t="b">
        <f>TRUE()</f>
        <v>1</v>
      </c>
      <c r="H679" s="10">
        <v>1</v>
      </c>
      <c r="I679" s="10">
        <v>0</v>
      </c>
      <c r="J679" s="10">
        <v>3</v>
      </c>
      <c r="K679" s="10">
        <v>112</v>
      </c>
      <c r="L679" s="10">
        <v>81</v>
      </c>
      <c r="M679" s="10">
        <v>0</v>
      </c>
      <c r="N679" s="10">
        <v>0</v>
      </c>
      <c r="O679" s="10">
        <v>0</v>
      </c>
    </row>
    <row r="680" spans="1:15" x14ac:dyDescent="0.2">
      <c r="A680" s="10" t="s">
        <v>585</v>
      </c>
      <c r="B680" s="10" t="s">
        <v>172</v>
      </c>
      <c r="C680" s="10" t="s">
        <v>44</v>
      </c>
      <c r="D680" s="10" t="s">
        <v>45</v>
      </c>
      <c r="E680" s="10" t="s">
        <v>46</v>
      </c>
      <c r="F680" s="10" t="s">
        <v>132</v>
      </c>
      <c r="G680" s="10" t="b">
        <f>FALSE()</f>
        <v>0</v>
      </c>
      <c r="H680" s="10">
        <v>1</v>
      </c>
      <c r="I680" s="10">
        <v>0</v>
      </c>
      <c r="J680" s="10">
        <v>1</v>
      </c>
      <c r="K680" s="10">
        <v>86</v>
      </c>
      <c r="L680" s="10">
        <v>81</v>
      </c>
      <c r="M680" s="10">
        <v>0</v>
      </c>
      <c r="N680" s="10">
        <v>0</v>
      </c>
      <c r="O680" s="10">
        <v>0</v>
      </c>
    </row>
    <row r="681" spans="1:15" x14ac:dyDescent="0.2">
      <c r="A681" s="10" t="s">
        <v>537</v>
      </c>
      <c r="B681" s="10" t="s">
        <v>538</v>
      </c>
      <c r="C681" s="10" t="s">
        <v>90</v>
      </c>
      <c r="D681" s="10" t="s">
        <v>51</v>
      </c>
      <c r="E681" s="10" t="s">
        <v>52</v>
      </c>
      <c r="F681" s="10" t="s">
        <v>113</v>
      </c>
      <c r="G681" s="10" t="b">
        <f>TRUE()</f>
        <v>1</v>
      </c>
      <c r="H681" s="10">
        <v>1</v>
      </c>
      <c r="I681" s="10">
        <v>1</v>
      </c>
      <c r="J681" s="10">
        <v>2</v>
      </c>
      <c r="K681" s="10">
        <v>80</v>
      </c>
      <c r="L681" s="10">
        <v>80</v>
      </c>
      <c r="M681" s="10">
        <v>1</v>
      </c>
      <c r="N681" s="10">
        <v>228</v>
      </c>
      <c r="O681" s="10">
        <v>227</v>
      </c>
    </row>
    <row r="682" spans="1:15" x14ac:dyDescent="0.2">
      <c r="A682" s="10" t="s">
        <v>586</v>
      </c>
      <c r="B682" s="10" t="s">
        <v>587</v>
      </c>
      <c r="C682" s="10" t="s">
        <v>50</v>
      </c>
      <c r="D682" s="10" t="s">
        <v>51</v>
      </c>
      <c r="E682" s="10" t="s">
        <v>52</v>
      </c>
      <c r="F682" s="10" t="s">
        <v>552</v>
      </c>
      <c r="G682" s="10" t="b">
        <f>FALSE()</f>
        <v>0</v>
      </c>
      <c r="H682" s="10">
        <v>1</v>
      </c>
      <c r="I682" s="10">
        <v>0</v>
      </c>
      <c r="J682" s="10">
        <v>1</v>
      </c>
      <c r="K682" s="10">
        <v>72</v>
      </c>
      <c r="L682" s="10">
        <v>80</v>
      </c>
      <c r="M682" s="10">
        <v>0</v>
      </c>
      <c r="N682" s="10">
        <v>0</v>
      </c>
      <c r="O682" s="10">
        <v>0</v>
      </c>
    </row>
    <row r="683" spans="1:15" x14ac:dyDescent="0.2">
      <c r="A683" s="10" t="s">
        <v>264</v>
      </c>
      <c r="B683" s="10" t="s">
        <v>265</v>
      </c>
      <c r="C683" s="10" t="s">
        <v>245</v>
      </c>
      <c r="D683" s="10" t="s">
        <v>51</v>
      </c>
      <c r="E683" s="10" t="s">
        <v>52</v>
      </c>
      <c r="F683" s="10" t="s">
        <v>92</v>
      </c>
      <c r="G683" s="10" t="b">
        <f>FALSE()</f>
        <v>0</v>
      </c>
      <c r="H683" s="10">
        <v>1</v>
      </c>
      <c r="I683" s="10">
        <v>0</v>
      </c>
      <c r="J683" s="10">
        <v>1</v>
      </c>
      <c r="K683" s="10">
        <v>71</v>
      </c>
      <c r="L683" s="10">
        <v>80</v>
      </c>
      <c r="M683" s="10">
        <v>0</v>
      </c>
      <c r="N683" s="10">
        <v>0</v>
      </c>
      <c r="O683" s="10">
        <v>0</v>
      </c>
    </row>
    <row r="684" spans="1:15" x14ac:dyDescent="0.2">
      <c r="A684" s="10" t="s">
        <v>255</v>
      </c>
      <c r="B684" s="10" t="s">
        <v>116</v>
      </c>
      <c r="C684" s="10" t="s">
        <v>117</v>
      </c>
      <c r="D684" s="10" t="s">
        <v>51</v>
      </c>
      <c r="E684" s="10" t="s">
        <v>52</v>
      </c>
      <c r="F684" s="10" t="s">
        <v>58</v>
      </c>
      <c r="G684" s="10" t="b">
        <f>FALSE()</f>
        <v>0</v>
      </c>
      <c r="H684" s="10">
        <v>1</v>
      </c>
      <c r="I684" s="10">
        <v>0</v>
      </c>
      <c r="J684" s="10">
        <v>1</v>
      </c>
      <c r="K684" s="10">
        <v>81</v>
      </c>
      <c r="L684" s="10">
        <v>80</v>
      </c>
      <c r="M684" s="10">
        <v>0</v>
      </c>
      <c r="N684" s="10">
        <v>0</v>
      </c>
      <c r="O684" s="10">
        <v>0</v>
      </c>
    </row>
    <row r="685" spans="1:15" x14ac:dyDescent="0.2">
      <c r="A685" s="10" t="s">
        <v>143</v>
      </c>
      <c r="B685" s="10" t="s">
        <v>55</v>
      </c>
      <c r="C685" s="10" t="s">
        <v>56</v>
      </c>
      <c r="D685" s="10" t="s">
        <v>45</v>
      </c>
      <c r="E685" s="10" t="s">
        <v>46</v>
      </c>
      <c r="F685" s="10" t="s">
        <v>92</v>
      </c>
      <c r="G685" s="10" t="b">
        <f>FALSE()</f>
        <v>0</v>
      </c>
      <c r="H685" s="10">
        <v>1</v>
      </c>
      <c r="I685" s="10">
        <v>0</v>
      </c>
      <c r="J685" s="10">
        <v>2</v>
      </c>
      <c r="K685" s="10">
        <v>84</v>
      </c>
      <c r="L685" s="10">
        <v>80</v>
      </c>
      <c r="M685" s="10">
        <v>0</v>
      </c>
      <c r="N685" s="10">
        <v>0</v>
      </c>
      <c r="O685" s="10">
        <v>0</v>
      </c>
    </row>
    <row r="686" spans="1:15" x14ac:dyDescent="0.2">
      <c r="A686" s="10" t="s">
        <v>313</v>
      </c>
      <c r="B686" s="10" t="s">
        <v>96</v>
      </c>
      <c r="C686" s="10" t="s">
        <v>50</v>
      </c>
      <c r="D686" s="10" t="s">
        <v>51</v>
      </c>
      <c r="E686" s="10" t="s">
        <v>52</v>
      </c>
      <c r="F686" s="10" t="s">
        <v>61</v>
      </c>
      <c r="G686" s="10" t="b">
        <f>FALSE()</f>
        <v>0</v>
      </c>
      <c r="H686" s="10">
        <v>1</v>
      </c>
      <c r="I686" s="10">
        <v>0</v>
      </c>
      <c r="J686" s="10">
        <v>1</v>
      </c>
      <c r="K686" s="10">
        <v>80</v>
      </c>
      <c r="L686" s="10">
        <v>80</v>
      </c>
      <c r="M686" s="10">
        <v>0</v>
      </c>
      <c r="N686" s="10">
        <v>0</v>
      </c>
      <c r="O686" s="10">
        <v>0</v>
      </c>
    </row>
    <row r="687" spans="1:15" x14ac:dyDescent="0.2">
      <c r="A687" s="10" t="s">
        <v>564</v>
      </c>
      <c r="B687" s="10" t="s">
        <v>562</v>
      </c>
      <c r="C687" s="10" t="s">
        <v>245</v>
      </c>
      <c r="D687" s="10" t="s">
        <v>51</v>
      </c>
      <c r="E687" s="10" t="s">
        <v>52</v>
      </c>
      <c r="F687" s="10" t="s">
        <v>61</v>
      </c>
      <c r="G687" s="10" t="b">
        <f>FALSE()</f>
        <v>0</v>
      </c>
      <c r="H687" s="10">
        <v>1</v>
      </c>
      <c r="I687" s="10">
        <v>0</v>
      </c>
      <c r="J687" s="10">
        <v>4</v>
      </c>
      <c r="K687" s="10">
        <v>91</v>
      </c>
      <c r="L687" s="10">
        <v>80</v>
      </c>
      <c r="M687" s="10">
        <v>0</v>
      </c>
      <c r="N687" s="10">
        <v>0</v>
      </c>
      <c r="O687" s="10">
        <v>0</v>
      </c>
    </row>
    <row r="688" spans="1:15" x14ac:dyDescent="0.2">
      <c r="A688" s="10" t="s">
        <v>366</v>
      </c>
      <c r="B688" s="10" t="s">
        <v>78</v>
      </c>
      <c r="C688" s="10" t="s">
        <v>50</v>
      </c>
      <c r="D688" s="10" t="s">
        <v>51</v>
      </c>
      <c r="E688" s="10" t="s">
        <v>52</v>
      </c>
      <c r="F688" s="10" t="s">
        <v>588</v>
      </c>
      <c r="G688" s="10" t="b">
        <f>TRUE()</f>
        <v>1</v>
      </c>
      <c r="H688" s="10">
        <v>1</v>
      </c>
      <c r="I688" s="10">
        <v>0</v>
      </c>
      <c r="J688" s="10">
        <v>1</v>
      </c>
      <c r="K688" s="10">
        <v>80</v>
      </c>
      <c r="L688" s="10">
        <v>80</v>
      </c>
      <c r="M688" s="10">
        <v>0</v>
      </c>
      <c r="N688" s="10">
        <v>0</v>
      </c>
      <c r="O688" s="10">
        <v>0</v>
      </c>
    </row>
    <row r="689" spans="1:15" x14ac:dyDescent="0.2">
      <c r="A689" s="10" t="s">
        <v>589</v>
      </c>
      <c r="B689" s="10" t="s">
        <v>160</v>
      </c>
      <c r="C689" s="10" t="s">
        <v>56</v>
      </c>
      <c r="D689" s="10" t="s">
        <v>45</v>
      </c>
      <c r="E689" s="10" t="s">
        <v>46</v>
      </c>
      <c r="F689" s="10" t="s">
        <v>79</v>
      </c>
      <c r="G689" s="10" t="b">
        <f>FALSE()</f>
        <v>0</v>
      </c>
      <c r="H689" s="10">
        <v>1</v>
      </c>
      <c r="I689" s="10">
        <v>0</v>
      </c>
      <c r="J689" s="10">
        <v>2</v>
      </c>
      <c r="K689" s="10">
        <v>128</v>
      </c>
      <c r="L689" s="10">
        <v>80</v>
      </c>
      <c r="M689" s="10">
        <v>0</v>
      </c>
      <c r="N689" s="10">
        <v>0</v>
      </c>
      <c r="O689" s="10">
        <v>0</v>
      </c>
    </row>
    <row r="690" spans="1:15" x14ac:dyDescent="0.2">
      <c r="A690" s="10" t="s">
        <v>140</v>
      </c>
      <c r="B690" s="10" t="s">
        <v>119</v>
      </c>
      <c r="C690" s="10" t="s">
        <v>56</v>
      </c>
      <c r="D690" s="10" t="s">
        <v>45</v>
      </c>
      <c r="E690" s="10" t="s">
        <v>46</v>
      </c>
      <c r="F690" s="10" t="s">
        <v>212</v>
      </c>
      <c r="G690" s="10" t="b">
        <f>FALSE()</f>
        <v>0</v>
      </c>
      <c r="H690" s="10">
        <v>1</v>
      </c>
      <c r="I690" s="10">
        <v>0</v>
      </c>
      <c r="J690" s="10">
        <v>1</v>
      </c>
      <c r="K690" s="10">
        <v>109</v>
      </c>
      <c r="L690" s="10">
        <v>80</v>
      </c>
      <c r="M690" s="10">
        <v>0</v>
      </c>
      <c r="N690" s="10">
        <v>0</v>
      </c>
      <c r="O690" s="10">
        <v>0</v>
      </c>
    </row>
    <row r="691" spans="1:15" x14ac:dyDescent="0.2">
      <c r="A691" s="10" t="s">
        <v>590</v>
      </c>
      <c r="B691" s="10" t="s">
        <v>262</v>
      </c>
      <c r="C691" s="10" t="s">
        <v>105</v>
      </c>
      <c r="D691" s="10" t="s">
        <v>45</v>
      </c>
      <c r="E691" s="10" t="s">
        <v>46</v>
      </c>
      <c r="F691" s="10" t="s">
        <v>113</v>
      </c>
      <c r="G691" s="10" t="b">
        <f>TRUE()</f>
        <v>1</v>
      </c>
      <c r="H691" s="10">
        <v>1</v>
      </c>
      <c r="I691" s="10">
        <v>0</v>
      </c>
      <c r="J691" s="10">
        <v>2</v>
      </c>
      <c r="K691" s="10">
        <v>43</v>
      </c>
      <c r="L691" s="10">
        <v>80</v>
      </c>
      <c r="M691" s="10">
        <v>0</v>
      </c>
      <c r="N691" s="10">
        <v>0</v>
      </c>
      <c r="O691" s="10">
        <v>0</v>
      </c>
    </row>
    <row r="692" spans="1:15" x14ac:dyDescent="0.2">
      <c r="A692" s="10" t="s">
        <v>184</v>
      </c>
      <c r="B692" s="10" t="s">
        <v>70</v>
      </c>
      <c r="C692" s="10" t="s">
        <v>70</v>
      </c>
      <c r="D692" s="10" t="s">
        <v>45</v>
      </c>
      <c r="E692" s="10" t="s">
        <v>46</v>
      </c>
      <c r="F692" s="10" t="s">
        <v>190</v>
      </c>
      <c r="G692" s="10" t="b">
        <f>TRUE()</f>
        <v>1</v>
      </c>
      <c r="H692" s="10">
        <v>1</v>
      </c>
      <c r="I692" s="10">
        <v>0</v>
      </c>
      <c r="J692" s="10">
        <v>2</v>
      </c>
      <c r="K692" s="10">
        <v>117</v>
      </c>
      <c r="L692" s="10">
        <v>80</v>
      </c>
      <c r="M692" s="10">
        <v>0</v>
      </c>
      <c r="N692" s="10">
        <v>0</v>
      </c>
      <c r="O692" s="10">
        <v>0</v>
      </c>
    </row>
    <row r="693" spans="1:15" x14ac:dyDescent="0.2">
      <c r="A693" s="10" t="s">
        <v>591</v>
      </c>
      <c r="B693" s="10" t="s">
        <v>262</v>
      </c>
      <c r="C693" s="10" t="s">
        <v>105</v>
      </c>
      <c r="D693" s="10" t="s">
        <v>45</v>
      </c>
      <c r="E693" s="10" t="s">
        <v>46</v>
      </c>
      <c r="F693" s="10" t="s">
        <v>102</v>
      </c>
      <c r="G693" s="10" t="b">
        <f>TRUE()</f>
        <v>1</v>
      </c>
      <c r="H693" s="10">
        <v>1</v>
      </c>
      <c r="I693" s="10">
        <v>0</v>
      </c>
      <c r="J693" s="10">
        <v>1</v>
      </c>
      <c r="K693" s="10">
        <v>81</v>
      </c>
      <c r="L693" s="10">
        <v>80</v>
      </c>
      <c r="M693" s="10">
        <v>0</v>
      </c>
      <c r="N693" s="10">
        <v>0</v>
      </c>
      <c r="O693" s="10">
        <v>0</v>
      </c>
    </row>
    <row r="694" spans="1:15" x14ac:dyDescent="0.2">
      <c r="A694" s="10" t="s">
        <v>592</v>
      </c>
      <c r="B694" s="10" t="s">
        <v>405</v>
      </c>
      <c r="C694" s="10" t="s">
        <v>117</v>
      </c>
      <c r="D694" s="10" t="s">
        <v>51</v>
      </c>
      <c r="E694" s="10" t="s">
        <v>52</v>
      </c>
      <c r="F694" s="10" t="s">
        <v>153</v>
      </c>
      <c r="G694" s="10" t="b">
        <f>FALSE()</f>
        <v>0</v>
      </c>
      <c r="H694" s="10">
        <v>1</v>
      </c>
      <c r="I694" s="10">
        <v>1</v>
      </c>
      <c r="J694" s="10">
        <v>1</v>
      </c>
      <c r="K694" s="10">
        <v>49</v>
      </c>
      <c r="L694" s="10">
        <v>79</v>
      </c>
      <c r="M694" s="10">
        <v>1</v>
      </c>
      <c r="N694" s="10">
        <v>138</v>
      </c>
      <c r="O694" s="10">
        <v>132</v>
      </c>
    </row>
    <row r="695" spans="1:15" x14ac:dyDescent="0.2">
      <c r="A695" s="10" t="s">
        <v>593</v>
      </c>
      <c r="B695" s="10" t="s">
        <v>368</v>
      </c>
      <c r="C695" s="10" t="s">
        <v>50</v>
      </c>
      <c r="D695" s="10" t="s">
        <v>51</v>
      </c>
      <c r="E695" s="10" t="s">
        <v>52</v>
      </c>
      <c r="F695" s="10" t="s">
        <v>94</v>
      </c>
      <c r="G695" s="10" t="b">
        <f>FALSE()</f>
        <v>0</v>
      </c>
      <c r="H695" s="10">
        <v>1</v>
      </c>
      <c r="I695" s="10">
        <v>1</v>
      </c>
      <c r="J695" s="10">
        <v>3</v>
      </c>
      <c r="K695" s="10">
        <v>81</v>
      </c>
      <c r="L695" s="10">
        <v>79</v>
      </c>
      <c r="M695" s="10">
        <v>1</v>
      </c>
      <c r="N695" s="10">
        <v>40</v>
      </c>
      <c r="O695" s="10">
        <v>40</v>
      </c>
    </row>
    <row r="696" spans="1:15" x14ac:dyDescent="0.2">
      <c r="A696" s="10" t="s">
        <v>264</v>
      </c>
      <c r="B696" s="10" t="s">
        <v>265</v>
      </c>
      <c r="C696" s="10" t="s">
        <v>245</v>
      </c>
      <c r="D696" s="10" t="s">
        <v>51</v>
      </c>
      <c r="E696" s="10" t="s">
        <v>52</v>
      </c>
      <c r="F696" s="10" t="s">
        <v>183</v>
      </c>
      <c r="G696" s="10" t="b">
        <f>FALSE()</f>
        <v>0</v>
      </c>
      <c r="H696" s="10">
        <v>1</v>
      </c>
      <c r="I696" s="10">
        <v>0</v>
      </c>
      <c r="J696" s="10">
        <v>1</v>
      </c>
      <c r="K696" s="10">
        <v>42</v>
      </c>
      <c r="L696" s="10">
        <v>79</v>
      </c>
      <c r="M696" s="10">
        <v>0</v>
      </c>
      <c r="N696" s="10">
        <v>0</v>
      </c>
      <c r="O696" s="10">
        <v>0</v>
      </c>
    </row>
    <row r="697" spans="1:15" x14ac:dyDescent="0.2">
      <c r="A697" s="10" t="s">
        <v>594</v>
      </c>
      <c r="B697" s="10" t="s">
        <v>55</v>
      </c>
      <c r="C697" s="10" t="s">
        <v>56</v>
      </c>
      <c r="D697" s="10" t="s">
        <v>45</v>
      </c>
      <c r="E697" s="10" t="s">
        <v>46</v>
      </c>
      <c r="F697" s="10" t="s">
        <v>92</v>
      </c>
      <c r="G697" s="10" t="b">
        <f>FALSE()</f>
        <v>0</v>
      </c>
      <c r="H697" s="10">
        <v>1</v>
      </c>
      <c r="I697" s="10">
        <v>0</v>
      </c>
      <c r="J697" s="10">
        <v>2</v>
      </c>
      <c r="K697" s="10">
        <v>100</v>
      </c>
      <c r="L697" s="10">
        <v>79</v>
      </c>
      <c r="M697" s="10">
        <v>0</v>
      </c>
      <c r="N697" s="10">
        <v>0</v>
      </c>
      <c r="O697" s="10">
        <v>0</v>
      </c>
    </row>
    <row r="698" spans="1:15" x14ac:dyDescent="0.2">
      <c r="A698" s="10" t="s">
        <v>595</v>
      </c>
      <c r="B698" s="10" t="s">
        <v>116</v>
      </c>
      <c r="C698" s="10" t="s">
        <v>117</v>
      </c>
      <c r="D698" s="10" t="s">
        <v>51</v>
      </c>
      <c r="E698" s="10" t="s">
        <v>52</v>
      </c>
      <c r="F698" s="10" t="s">
        <v>126</v>
      </c>
      <c r="G698" s="10" t="b">
        <f>FALSE()</f>
        <v>0</v>
      </c>
      <c r="H698" s="10">
        <v>1</v>
      </c>
      <c r="I698" s="10">
        <v>0</v>
      </c>
      <c r="J698" s="10">
        <v>2</v>
      </c>
      <c r="K698" s="10">
        <v>60</v>
      </c>
      <c r="L698" s="10">
        <v>79</v>
      </c>
      <c r="M698" s="10">
        <v>0</v>
      </c>
      <c r="N698" s="10">
        <v>0</v>
      </c>
      <c r="O698" s="10">
        <v>0</v>
      </c>
    </row>
    <row r="699" spans="1:15" x14ac:dyDescent="0.2">
      <c r="A699" s="10" t="s">
        <v>304</v>
      </c>
      <c r="B699" s="10" t="s">
        <v>43</v>
      </c>
      <c r="C699" s="10" t="s">
        <v>44</v>
      </c>
      <c r="D699" s="10" t="s">
        <v>45</v>
      </c>
      <c r="E699" s="10" t="s">
        <v>46</v>
      </c>
      <c r="F699" s="10" t="s">
        <v>79</v>
      </c>
      <c r="G699" s="10" t="b">
        <f>FALSE()</f>
        <v>0</v>
      </c>
      <c r="H699" s="10">
        <v>1</v>
      </c>
      <c r="I699" s="10">
        <v>1</v>
      </c>
      <c r="J699" s="10">
        <v>2</v>
      </c>
      <c r="K699" s="10">
        <v>101</v>
      </c>
      <c r="L699" s="10">
        <v>78</v>
      </c>
      <c r="M699" s="10">
        <v>1</v>
      </c>
      <c r="N699" s="10">
        <v>35</v>
      </c>
      <c r="O699" s="10">
        <v>34</v>
      </c>
    </row>
    <row r="700" spans="1:15" x14ac:dyDescent="0.2">
      <c r="A700" s="10" t="s">
        <v>455</v>
      </c>
      <c r="B700" s="10" t="s">
        <v>456</v>
      </c>
      <c r="C700" s="10" t="s">
        <v>245</v>
      </c>
      <c r="D700" s="10" t="s">
        <v>51</v>
      </c>
      <c r="E700" s="10" t="s">
        <v>52</v>
      </c>
      <c r="F700" s="10" t="s">
        <v>61</v>
      </c>
      <c r="G700" s="10" t="b">
        <f>FALSE()</f>
        <v>0</v>
      </c>
      <c r="H700" s="10">
        <v>1</v>
      </c>
      <c r="I700" s="10">
        <v>0</v>
      </c>
      <c r="J700" s="10">
        <v>2</v>
      </c>
      <c r="K700" s="10">
        <v>74</v>
      </c>
      <c r="L700" s="10">
        <v>78</v>
      </c>
      <c r="M700" s="10">
        <v>0</v>
      </c>
      <c r="N700" s="10">
        <v>0</v>
      </c>
      <c r="O700" s="10">
        <v>0</v>
      </c>
    </row>
    <row r="701" spans="1:15" x14ac:dyDescent="0.2">
      <c r="A701" s="10" t="s">
        <v>255</v>
      </c>
      <c r="B701" s="10" t="s">
        <v>116</v>
      </c>
      <c r="C701" s="10" t="s">
        <v>117</v>
      </c>
      <c r="D701" s="10" t="s">
        <v>51</v>
      </c>
      <c r="E701" s="10" t="s">
        <v>52</v>
      </c>
      <c r="F701" s="10" t="s">
        <v>183</v>
      </c>
      <c r="G701" s="10" t="b">
        <f>FALSE()</f>
        <v>0</v>
      </c>
      <c r="H701" s="10">
        <v>1</v>
      </c>
      <c r="I701" s="10">
        <v>0</v>
      </c>
      <c r="J701" s="10">
        <v>1</v>
      </c>
      <c r="K701" s="10">
        <v>81</v>
      </c>
      <c r="L701" s="10">
        <v>78</v>
      </c>
      <c r="M701" s="10">
        <v>0</v>
      </c>
      <c r="N701" s="10">
        <v>0</v>
      </c>
      <c r="O701" s="10">
        <v>0</v>
      </c>
    </row>
    <row r="702" spans="1:15" x14ac:dyDescent="0.2">
      <c r="A702" s="10" t="s">
        <v>596</v>
      </c>
      <c r="B702" s="10" t="s">
        <v>262</v>
      </c>
      <c r="C702" s="10" t="s">
        <v>105</v>
      </c>
      <c r="D702" s="10" t="s">
        <v>45</v>
      </c>
      <c r="E702" s="10" t="s">
        <v>46</v>
      </c>
      <c r="F702" s="10" t="s">
        <v>61</v>
      </c>
      <c r="G702" s="10" t="b">
        <f>FALSE()</f>
        <v>0</v>
      </c>
      <c r="H702" s="10">
        <v>1</v>
      </c>
      <c r="I702" s="10">
        <v>0</v>
      </c>
      <c r="J702" s="10">
        <v>1</v>
      </c>
      <c r="K702" s="10">
        <v>34</v>
      </c>
      <c r="L702" s="10">
        <v>78</v>
      </c>
      <c r="M702" s="10">
        <v>0</v>
      </c>
      <c r="N702" s="10">
        <v>0</v>
      </c>
      <c r="O702" s="10">
        <v>0</v>
      </c>
    </row>
    <row r="703" spans="1:15" x14ac:dyDescent="0.2">
      <c r="A703" s="10" t="s">
        <v>564</v>
      </c>
      <c r="B703" s="10" t="s">
        <v>562</v>
      </c>
      <c r="C703" s="10" t="s">
        <v>245</v>
      </c>
      <c r="D703" s="10" t="s">
        <v>51</v>
      </c>
      <c r="E703" s="10" t="s">
        <v>52</v>
      </c>
      <c r="F703" s="10" t="s">
        <v>331</v>
      </c>
      <c r="G703" s="10" t="b">
        <f>FALSE()</f>
        <v>0</v>
      </c>
      <c r="H703" s="10">
        <v>1</v>
      </c>
      <c r="I703" s="10">
        <v>0</v>
      </c>
      <c r="J703" s="10">
        <v>1</v>
      </c>
      <c r="K703" s="10">
        <v>14</v>
      </c>
      <c r="L703" s="10">
        <v>78</v>
      </c>
      <c r="M703" s="10">
        <v>0</v>
      </c>
      <c r="N703" s="10">
        <v>0</v>
      </c>
      <c r="O703" s="10">
        <v>0</v>
      </c>
    </row>
    <row r="704" spans="1:15" x14ac:dyDescent="0.2">
      <c r="A704" s="10" t="s">
        <v>597</v>
      </c>
      <c r="B704" s="10" t="s">
        <v>262</v>
      </c>
      <c r="C704" s="10" t="s">
        <v>105</v>
      </c>
      <c r="D704" s="10" t="s">
        <v>45</v>
      </c>
      <c r="E704" s="10" t="s">
        <v>46</v>
      </c>
      <c r="F704" s="10" t="s">
        <v>92</v>
      </c>
      <c r="G704" s="10" t="b">
        <f>FALSE()</f>
        <v>0</v>
      </c>
      <c r="H704" s="10">
        <v>1</v>
      </c>
      <c r="I704" s="10">
        <v>0</v>
      </c>
      <c r="J704" s="10">
        <v>2</v>
      </c>
      <c r="K704" s="10">
        <v>37</v>
      </c>
      <c r="L704" s="10">
        <v>78</v>
      </c>
      <c r="M704" s="10">
        <v>0</v>
      </c>
      <c r="N704" s="10">
        <v>0</v>
      </c>
      <c r="O704" s="10">
        <v>0</v>
      </c>
    </row>
    <row r="705" spans="1:15" x14ac:dyDescent="0.2">
      <c r="A705" s="10" t="s">
        <v>598</v>
      </c>
      <c r="B705" s="10" t="s">
        <v>267</v>
      </c>
      <c r="C705" s="10" t="s">
        <v>112</v>
      </c>
      <c r="D705" s="10" t="s">
        <v>51</v>
      </c>
      <c r="E705" s="10" t="s">
        <v>52</v>
      </c>
      <c r="F705" s="10" t="s">
        <v>214</v>
      </c>
      <c r="G705" s="10" t="b">
        <f>FALSE()</f>
        <v>0</v>
      </c>
      <c r="H705" s="10">
        <v>1</v>
      </c>
      <c r="I705" s="10">
        <v>0</v>
      </c>
      <c r="J705" s="10">
        <v>1</v>
      </c>
      <c r="K705" s="10">
        <v>86</v>
      </c>
      <c r="L705" s="10">
        <v>78</v>
      </c>
      <c r="M705" s="10">
        <v>0</v>
      </c>
      <c r="N705" s="10">
        <v>0</v>
      </c>
      <c r="O705" s="10">
        <v>0</v>
      </c>
    </row>
    <row r="706" spans="1:15" x14ac:dyDescent="0.2">
      <c r="A706" s="10" t="s">
        <v>573</v>
      </c>
      <c r="B706" s="10" t="s">
        <v>104</v>
      </c>
      <c r="C706" s="10" t="s">
        <v>105</v>
      </c>
      <c r="D706" s="10" t="s">
        <v>45</v>
      </c>
      <c r="E706" s="10" t="s">
        <v>46</v>
      </c>
      <c r="F706" s="10" t="s">
        <v>113</v>
      </c>
      <c r="G706" s="10" t="b">
        <f>TRUE()</f>
        <v>1</v>
      </c>
      <c r="H706" s="10">
        <v>1</v>
      </c>
      <c r="I706" s="10">
        <v>0</v>
      </c>
      <c r="J706" s="10">
        <v>1</v>
      </c>
      <c r="K706" s="10">
        <v>82</v>
      </c>
      <c r="L706" s="10">
        <v>78</v>
      </c>
      <c r="M706" s="10">
        <v>0</v>
      </c>
      <c r="N706" s="10">
        <v>0</v>
      </c>
      <c r="O706" s="10">
        <v>0</v>
      </c>
    </row>
    <row r="707" spans="1:15" x14ac:dyDescent="0.2">
      <c r="A707" s="10" t="s">
        <v>599</v>
      </c>
      <c r="B707" s="10" t="s">
        <v>60</v>
      </c>
      <c r="C707" s="10" t="s">
        <v>50</v>
      </c>
      <c r="D707" s="10" t="s">
        <v>51</v>
      </c>
      <c r="E707" s="10" t="s">
        <v>52</v>
      </c>
      <c r="F707" s="10" t="s">
        <v>79</v>
      </c>
      <c r="G707" s="10" t="b">
        <f>FALSE()</f>
        <v>0</v>
      </c>
      <c r="H707" s="10">
        <v>1</v>
      </c>
      <c r="I707" s="10">
        <v>0</v>
      </c>
      <c r="J707" s="10">
        <v>2</v>
      </c>
      <c r="K707" s="10">
        <v>119</v>
      </c>
      <c r="L707" s="10">
        <v>78</v>
      </c>
      <c r="M707" s="10">
        <v>0</v>
      </c>
      <c r="N707" s="10">
        <v>0</v>
      </c>
      <c r="O707" s="10">
        <v>0</v>
      </c>
    </row>
    <row r="708" spans="1:15" x14ac:dyDescent="0.2">
      <c r="A708" s="10" t="s">
        <v>263</v>
      </c>
      <c r="B708" s="10" t="s">
        <v>67</v>
      </c>
      <c r="C708" s="10" t="s">
        <v>64</v>
      </c>
      <c r="D708" s="10" t="s">
        <v>45</v>
      </c>
      <c r="E708" s="10" t="s">
        <v>46</v>
      </c>
      <c r="F708" s="10" t="s">
        <v>91</v>
      </c>
      <c r="G708" s="10" t="b">
        <f>TRUE()</f>
        <v>1</v>
      </c>
      <c r="H708" s="10">
        <v>1</v>
      </c>
      <c r="I708" s="10">
        <v>1</v>
      </c>
      <c r="J708" s="10">
        <v>2</v>
      </c>
      <c r="K708" s="10">
        <v>102</v>
      </c>
      <c r="L708" s="10">
        <v>77</v>
      </c>
      <c r="M708" s="10">
        <v>1</v>
      </c>
      <c r="N708" s="10">
        <v>325</v>
      </c>
      <c r="O708" s="10">
        <v>316</v>
      </c>
    </row>
    <row r="709" spans="1:15" x14ac:dyDescent="0.2">
      <c r="A709" s="10" t="s">
        <v>600</v>
      </c>
      <c r="B709" s="10" t="s">
        <v>193</v>
      </c>
      <c r="C709" s="10" t="s">
        <v>117</v>
      </c>
      <c r="D709" s="10" t="s">
        <v>51</v>
      </c>
      <c r="E709" s="10" t="s">
        <v>52</v>
      </c>
      <c r="F709" s="10" t="s">
        <v>601</v>
      </c>
      <c r="G709" s="10" t="b">
        <f>FALSE()</f>
        <v>0</v>
      </c>
      <c r="H709" s="10">
        <v>1</v>
      </c>
      <c r="I709" s="10">
        <v>1</v>
      </c>
      <c r="J709" s="10">
        <v>1</v>
      </c>
      <c r="K709" s="10">
        <v>55</v>
      </c>
      <c r="L709" s="10">
        <v>77</v>
      </c>
      <c r="M709" s="10">
        <v>1</v>
      </c>
      <c r="N709" s="10">
        <v>152</v>
      </c>
      <c r="O709" s="10">
        <v>144</v>
      </c>
    </row>
    <row r="710" spans="1:15" x14ac:dyDescent="0.2">
      <c r="A710" s="10" t="s">
        <v>449</v>
      </c>
      <c r="B710" s="10" t="s">
        <v>70</v>
      </c>
      <c r="C710" s="10" t="s">
        <v>70</v>
      </c>
      <c r="D710" s="10" t="s">
        <v>45</v>
      </c>
      <c r="E710" s="10" t="s">
        <v>46</v>
      </c>
      <c r="F710" s="10" t="s">
        <v>153</v>
      </c>
      <c r="G710" s="10" t="b">
        <f>FALSE()</f>
        <v>0</v>
      </c>
      <c r="H710" s="10">
        <v>1</v>
      </c>
      <c r="I710" s="10">
        <v>1</v>
      </c>
      <c r="J710" s="10">
        <v>1</v>
      </c>
      <c r="K710" s="10">
        <v>83</v>
      </c>
      <c r="L710" s="10">
        <v>77</v>
      </c>
      <c r="M710" s="10">
        <v>1</v>
      </c>
      <c r="N710" s="10">
        <v>89</v>
      </c>
      <c r="O710" s="10">
        <v>89</v>
      </c>
    </row>
    <row r="711" spans="1:15" x14ac:dyDescent="0.2">
      <c r="A711" s="10" t="s">
        <v>602</v>
      </c>
      <c r="B711" s="10" t="s">
        <v>130</v>
      </c>
      <c r="C711" s="10" t="s">
        <v>56</v>
      </c>
      <c r="D711" s="10" t="s">
        <v>45</v>
      </c>
      <c r="E711" s="10" t="s">
        <v>46</v>
      </c>
      <c r="F711" s="10" t="s">
        <v>94</v>
      </c>
      <c r="G711" s="10" t="b">
        <f>FALSE()</f>
        <v>0</v>
      </c>
      <c r="H711" s="10">
        <v>1</v>
      </c>
      <c r="I711" s="10">
        <v>0</v>
      </c>
      <c r="J711" s="10">
        <v>1</v>
      </c>
      <c r="K711" s="10">
        <v>48</v>
      </c>
      <c r="L711" s="10">
        <v>77</v>
      </c>
      <c r="M711" s="10">
        <v>0</v>
      </c>
      <c r="N711" s="10">
        <v>0</v>
      </c>
      <c r="O711" s="10">
        <v>0</v>
      </c>
    </row>
    <row r="712" spans="1:15" x14ac:dyDescent="0.2">
      <c r="A712" s="10" t="s">
        <v>603</v>
      </c>
      <c r="B712" s="10" t="s">
        <v>43</v>
      </c>
      <c r="C712" s="10" t="s">
        <v>44</v>
      </c>
      <c r="D712" s="10" t="s">
        <v>45</v>
      </c>
      <c r="E712" s="10" t="s">
        <v>46</v>
      </c>
      <c r="F712" s="10" t="s">
        <v>47</v>
      </c>
      <c r="G712" s="10" t="b">
        <f>FALSE()</f>
        <v>0</v>
      </c>
      <c r="H712" s="10">
        <v>1</v>
      </c>
      <c r="I712" s="10">
        <v>0</v>
      </c>
      <c r="J712" s="10">
        <v>2</v>
      </c>
      <c r="K712" s="10">
        <v>54</v>
      </c>
      <c r="L712" s="10">
        <v>77</v>
      </c>
      <c r="M712" s="10">
        <v>0</v>
      </c>
      <c r="N712" s="10">
        <v>0</v>
      </c>
      <c r="O712" s="10">
        <v>0</v>
      </c>
    </row>
    <row r="713" spans="1:15" x14ac:dyDescent="0.2">
      <c r="A713" s="10" t="s">
        <v>604</v>
      </c>
      <c r="B713" s="10" t="s">
        <v>70</v>
      </c>
      <c r="C713" s="10" t="s">
        <v>70</v>
      </c>
      <c r="D713" s="10" t="s">
        <v>45</v>
      </c>
      <c r="E713" s="10" t="s">
        <v>46</v>
      </c>
      <c r="F713" s="10" t="s">
        <v>190</v>
      </c>
      <c r="G713" s="10" t="b">
        <f>TRUE()</f>
        <v>1</v>
      </c>
      <c r="H713" s="10">
        <v>1</v>
      </c>
      <c r="I713" s="10">
        <v>1</v>
      </c>
      <c r="J713" s="10">
        <v>1</v>
      </c>
      <c r="K713" s="10">
        <v>25</v>
      </c>
      <c r="L713" s="10">
        <v>76</v>
      </c>
      <c r="M713" s="10">
        <v>1</v>
      </c>
      <c r="N713" s="10">
        <v>82</v>
      </c>
      <c r="O713" s="10">
        <v>82</v>
      </c>
    </row>
    <row r="714" spans="1:15" x14ac:dyDescent="0.2">
      <c r="A714" s="10" t="s">
        <v>263</v>
      </c>
      <c r="B714" s="10" t="s">
        <v>67</v>
      </c>
      <c r="C714" s="10" t="s">
        <v>64</v>
      </c>
      <c r="D714" s="10" t="s">
        <v>45</v>
      </c>
      <c r="E714" s="10" t="s">
        <v>46</v>
      </c>
      <c r="F714" s="10" t="s">
        <v>373</v>
      </c>
      <c r="G714" s="10" t="b">
        <f>FALSE()</f>
        <v>0</v>
      </c>
      <c r="H714" s="10">
        <v>1</v>
      </c>
      <c r="I714" s="10">
        <v>1</v>
      </c>
      <c r="J714" s="10">
        <v>2</v>
      </c>
      <c r="K714" s="10">
        <v>83</v>
      </c>
      <c r="L714" s="10">
        <v>76</v>
      </c>
      <c r="M714" s="10">
        <v>1</v>
      </c>
      <c r="N714" s="10">
        <v>81</v>
      </c>
      <c r="O714" s="10">
        <v>80</v>
      </c>
    </row>
    <row r="715" spans="1:15" x14ac:dyDescent="0.2">
      <c r="A715" s="10" t="s">
        <v>455</v>
      </c>
      <c r="B715" s="10" t="s">
        <v>456</v>
      </c>
      <c r="C715" s="10" t="s">
        <v>245</v>
      </c>
      <c r="D715" s="10" t="s">
        <v>51</v>
      </c>
      <c r="E715" s="10" t="s">
        <v>52</v>
      </c>
      <c r="F715" s="10" t="s">
        <v>91</v>
      </c>
      <c r="G715" s="10" t="b">
        <f>TRUE()</f>
        <v>1</v>
      </c>
      <c r="H715" s="10">
        <v>1</v>
      </c>
      <c r="I715" s="10">
        <v>0</v>
      </c>
      <c r="J715" s="10">
        <v>2</v>
      </c>
      <c r="K715" s="10">
        <v>51</v>
      </c>
      <c r="L715" s="10">
        <v>76</v>
      </c>
      <c r="M715" s="10">
        <v>0</v>
      </c>
      <c r="N715" s="10">
        <v>0</v>
      </c>
      <c r="O715" s="10">
        <v>0</v>
      </c>
    </row>
    <row r="716" spans="1:15" x14ac:dyDescent="0.2">
      <c r="A716" s="10" t="s">
        <v>574</v>
      </c>
      <c r="B716" s="10" t="s">
        <v>234</v>
      </c>
      <c r="C716" s="10" t="s">
        <v>90</v>
      </c>
      <c r="D716" s="10" t="s">
        <v>51</v>
      </c>
      <c r="E716" s="10" t="s">
        <v>52</v>
      </c>
      <c r="F716" s="10" t="s">
        <v>102</v>
      </c>
      <c r="G716" s="10" t="b">
        <f>TRUE()</f>
        <v>1</v>
      </c>
      <c r="H716" s="10">
        <v>1</v>
      </c>
      <c r="I716" s="10">
        <v>0</v>
      </c>
      <c r="J716" s="10">
        <v>1</v>
      </c>
      <c r="K716" s="10">
        <v>76</v>
      </c>
      <c r="L716" s="10">
        <v>76</v>
      </c>
      <c r="M716" s="10">
        <v>0</v>
      </c>
      <c r="N716" s="10">
        <v>0</v>
      </c>
      <c r="O716" s="10">
        <v>0</v>
      </c>
    </row>
    <row r="717" spans="1:15" x14ac:dyDescent="0.2">
      <c r="A717" s="10" t="s">
        <v>605</v>
      </c>
      <c r="B717" s="10" t="s">
        <v>606</v>
      </c>
      <c r="C717" s="10" t="s">
        <v>64</v>
      </c>
      <c r="D717" s="10" t="s">
        <v>45</v>
      </c>
      <c r="E717" s="10" t="s">
        <v>46</v>
      </c>
      <c r="F717" s="10" t="s">
        <v>65</v>
      </c>
      <c r="G717" s="10" t="b">
        <f>FALSE()</f>
        <v>0</v>
      </c>
      <c r="H717" s="10">
        <v>1</v>
      </c>
      <c r="I717" s="10">
        <v>0</v>
      </c>
      <c r="J717" s="10">
        <v>2</v>
      </c>
      <c r="K717" s="10">
        <v>86</v>
      </c>
      <c r="L717" s="10">
        <v>76</v>
      </c>
      <c r="M717" s="10">
        <v>0</v>
      </c>
      <c r="N717" s="10">
        <v>0</v>
      </c>
      <c r="O717" s="10">
        <v>0</v>
      </c>
    </row>
    <row r="718" spans="1:15" x14ac:dyDescent="0.2">
      <c r="A718" s="10" t="s">
        <v>607</v>
      </c>
      <c r="B718" s="10" t="s">
        <v>70</v>
      </c>
      <c r="C718" s="10" t="s">
        <v>70</v>
      </c>
      <c r="D718" s="10" t="s">
        <v>45</v>
      </c>
      <c r="E718" s="10" t="s">
        <v>46</v>
      </c>
      <c r="F718" s="10" t="s">
        <v>153</v>
      </c>
      <c r="G718" s="10" t="b">
        <f>FALSE()</f>
        <v>0</v>
      </c>
      <c r="H718" s="10">
        <v>1</v>
      </c>
      <c r="I718" s="10">
        <v>0</v>
      </c>
      <c r="J718" s="10">
        <v>2</v>
      </c>
      <c r="K718" s="10">
        <v>83</v>
      </c>
      <c r="L718" s="10">
        <v>76</v>
      </c>
      <c r="M718" s="10">
        <v>0</v>
      </c>
      <c r="N718" s="10">
        <v>0</v>
      </c>
      <c r="O718" s="10">
        <v>0</v>
      </c>
    </row>
    <row r="719" spans="1:15" x14ac:dyDescent="0.2">
      <c r="A719" s="10" t="s">
        <v>529</v>
      </c>
      <c r="B719" s="10" t="s">
        <v>172</v>
      </c>
      <c r="C719" s="10" t="s">
        <v>44</v>
      </c>
      <c r="D719" s="10" t="s">
        <v>45</v>
      </c>
      <c r="E719" s="10" t="s">
        <v>46</v>
      </c>
      <c r="F719" s="10" t="s">
        <v>65</v>
      </c>
      <c r="G719" s="10" t="b">
        <f>FALSE()</f>
        <v>0</v>
      </c>
      <c r="H719" s="10">
        <v>1</v>
      </c>
      <c r="I719" s="10">
        <v>1</v>
      </c>
      <c r="J719" s="10">
        <v>5</v>
      </c>
      <c r="K719" s="10">
        <v>1701</v>
      </c>
      <c r="L719" s="10">
        <v>75</v>
      </c>
      <c r="M719" s="10">
        <v>1</v>
      </c>
      <c r="N719" s="10">
        <v>1988</v>
      </c>
      <c r="O719" s="10">
        <v>1975</v>
      </c>
    </row>
    <row r="720" spans="1:15" x14ac:dyDescent="0.2">
      <c r="A720" s="10" t="s">
        <v>429</v>
      </c>
      <c r="B720" s="10" t="s">
        <v>169</v>
      </c>
      <c r="C720" s="10" t="s">
        <v>117</v>
      </c>
      <c r="D720" s="10" t="s">
        <v>51</v>
      </c>
      <c r="E720" s="10" t="s">
        <v>52</v>
      </c>
      <c r="F720" s="10" t="s">
        <v>153</v>
      </c>
      <c r="G720" s="10" t="b">
        <f>FALSE()</f>
        <v>0</v>
      </c>
      <c r="H720" s="10">
        <v>1</v>
      </c>
      <c r="I720" s="10">
        <v>1</v>
      </c>
      <c r="J720" s="10">
        <v>1</v>
      </c>
      <c r="K720" s="10">
        <v>51</v>
      </c>
      <c r="L720" s="10">
        <v>75</v>
      </c>
      <c r="M720" s="10">
        <v>1</v>
      </c>
      <c r="N720" s="10">
        <v>473</v>
      </c>
      <c r="O720" s="10">
        <v>471</v>
      </c>
    </row>
    <row r="721" spans="1:15" x14ac:dyDescent="0.2">
      <c r="A721" s="10" t="s">
        <v>325</v>
      </c>
      <c r="B721" s="10" t="s">
        <v>89</v>
      </c>
      <c r="C721" s="10" t="s">
        <v>90</v>
      </c>
      <c r="D721" s="10" t="s">
        <v>51</v>
      </c>
      <c r="E721" s="10" t="s">
        <v>52</v>
      </c>
      <c r="F721" s="10" t="s">
        <v>190</v>
      </c>
      <c r="G721" s="10" t="b">
        <f>TRUE()</f>
        <v>1</v>
      </c>
      <c r="H721" s="10">
        <v>1</v>
      </c>
      <c r="I721" s="10">
        <v>1</v>
      </c>
      <c r="J721" s="10">
        <v>2</v>
      </c>
      <c r="K721" s="10">
        <v>75</v>
      </c>
      <c r="L721" s="10">
        <v>75</v>
      </c>
      <c r="M721" s="10">
        <v>1</v>
      </c>
      <c r="N721" s="10">
        <v>378</v>
      </c>
      <c r="O721" s="10">
        <v>374</v>
      </c>
    </row>
    <row r="722" spans="1:15" x14ac:dyDescent="0.2">
      <c r="A722" s="10" t="s">
        <v>608</v>
      </c>
      <c r="B722" s="10" t="s">
        <v>480</v>
      </c>
      <c r="C722" s="10" t="s">
        <v>245</v>
      </c>
      <c r="D722" s="10" t="s">
        <v>51</v>
      </c>
      <c r="E722" s="10" t="s">
        <v>52</v>
      </c>
      <c r="F722" s="10" t="s">
        <v>61</v>
      </c>
      <c r="G722" s="10" t="b">
        <f>FALSE()</f>
        <v>0</v>
      </c>
      <c r="H722" s="10">
        <v>1</v>
      </c>
      <c r="I722" s="10">
        <v>1</v>
      </c>
      <c r="J722" s="10">
        <v>1</v>
      </c>
      <c r="K722" s="10">
        <v>76</v>
      </c>
      <c r="L722" s="10">
        <v>75</v>
      </c>
      <c r="M722" s="10">
        <v>1</v>
      </c>
      <c r="N722" s="10">
        <v>150</v>
      </c>
      <c r="O722" s="10">
        <v>155</v>
      </c>
    </row>
    <row r="723" spans="1:15" x14ac:dyDescent="0.2">
      <c r="A723" s="10" t="s">
        <v>609</v>
      </c>
      <c r="B723" s="10" t="s">
        <v>136</v>
      </c>
      <c r="C723" s="10" t="s">
        <v>73</v>
      </c>
      <c r="D723" s="10" t="s">
        <v>45</v>
      </c>
      <c r="E723" s="10" t="s">
        <v>46</v>
      </c>
      <c r="F723" s="10" t="s">
        <v>91</v>
      </c>
      <c r="G723" s="10" t="b">
        <f>TRUE()</f>
        <v>1</v>
      </c>
      <c r="H723" s="10">
        <v>1</v>
      </c>
      <c r="I723" s="10">
        <v>1</v>
      </c>
      <c r="J723" s="10">
        <v>1</v>
      </c>
      <c r="K723" s="10">
        <v>25</v>
      </c>
      <c r="L723" s="10">
        <v>75</v>
      </c>
      <c r="M723" s="10">
        <v>1</v>
      </c>
      <c r="N723" s="10">
        <v>147</v>
      </c>
      <c r="O723" s="10">
        <v>147</v>
      </c>
    </row>
    <row r="724" spans="1:15" x14ac:dyDescent="0.2">
      <c r="A724" s="10" t="s">
        <v>569</v>
      </c>
      <c r="B724" s="10" t="s">
        <v>130</v>
      </c>
      <c r="C724" s="10" t="s">
        <v>56</v>
      </c>
      <c r="D724" s="10" t="s">
        <v>45</v>
      </c>
      <c r="E724" s="10" t="s">
        <v>46</v>
      </c>
      <c r="F724" s="10" t="s">
        <v>153</v>
      </c>
      <c r="G724" s="10" t="b">
        <f>FALSE()</f>
        <v>0</v>
      </c>
      <c r="H724" s="10">
        <v>1</v>
      </c>
      <c r="I724" s="10">
        <v>1</v>
      </c>
      <c r="J724" s="10">
        <v>1</v>
      </c>
      <c r="K724" s="10">
        <v>58</v>
      </c>
      <c r="L724" s="10">
        <v>75</v>
      </c>
      <c r="M724" s="10">
        <v>1</v>
      </c>
      <c r="N724" s="10">
        <v>85</v>
      </c>
      <c r="O724" s="10">
        <v>85</v>
      </c>
    </row>
    <row r="725" spans="1:15" x14ac:dyDescent="0.2">
      <c r="A725" s="10" t="s">
        <v>557</v>
      </c>
      <c r="B725" s="10" t="s">
        <v>70</v>
      </c>
      <c r="C725" s="10" t="s">
        <v>70</v>
      </c>
      <c r="D725" s="10" t="s">
        <v>45</v>
      </c>
      <c r="E725" s="10" t="s">
        <v>46</v>
      </c>
      <c r="F725" s="10" t="s">
        <v>530</v>
      </c>
      <c r="G725" s="10" t="b">
        <f>TRUE()</f>
        <v>1</v>
      </c>
      <c r="H725" s="10">
        <v>1</v>
      </c>
      <c r="I725" s="10">
        <v>1</v>
      </c>
      <c r="J725" s="10">
        <v>1</v>
      </c>
      <c r="K725" s="10">
        <v>98</v>
      </c>
      <c r="L725" s="10">
        <v>75</v>
      </c>
      <c r="M725" s="10">
        <v>1</v>
      </c>
      <c r="N725" s="10">
        <v>56</v>
      </c>
      <c r="O725" s="10">
        <v>56</v>
      </c>
    </row>
    <row r="726" spans="1:15" x14ac:dyDescent="0.2">
      <c r="A726" s="10" t="s">
        <v>316</v>
      </c>
      <c r="B726" s="10" t="s">
        <v>317</v>
      </c>
      <c r="C726" s="10" t="s">
        <v>90</v>
      </c>
      <c r="D726" s="10" t="s">
        <v>51</v>
      </c>
      <c r="E726" s="10" t="s">
        <v>52</v>
      </c>
      <c r="F726" s="10" t="s">
        <v>345</v>
      </c>
      <c r="G726" s="10" t="b">
        <f>FALSE()</f>
        <v>0</v>
      </c>
      <c r="H726" s="10">
        <v>1</v>
      </c>
      <c r="I726" s="10">
        <v>0</v>
      </c>
      <c r="J726" s="10">
        <v>3</v>
      </c>
      <c r="K726" s="10">
        <v>75</v>
      </c>
      <c r="L726" s="10">
        <v>75</v>
      </c>
      <c r="M726" s="10">
        <v>0</v>
      </c>
      <c r="N726" s="10">
        <v>0</v>
      </c>
      <c r="O726" s="10">
        <v>0</v>
      </c>
    </row>
    <row r="727" spans="1:15" x14ac:dyDescent="0.2">
      <c r="A727" s="10" t="s">
        <v>610</v>
      </c>
      <c r="B727" s="10" t="s">
        <v>89</v>
      </c>
      <c r="C727" s="10" t="s">
        <v>90</v>
      </c>
      <c r="D727" s="10" t="s">
        <v>51</v>
      </c>
      <c r="E727" s="10" t="s">
        <v>52</v>
      </c>
      <c r="F727" s="10" t="s">
        <v>345</v>
      </c>
      <c r="G727" s="10" t="b">
        <f>FALSE()</f>
        <v>0</v>
      </c>
      <c r="H727" s="10">
        <v>1</v>
      </c>
      <c r="I727" s="10">
        <v>0</v>
      </c>
      <c r="J727" s="10">
        <v>3</v>
      </c>
      <c r="K727" s="10">
        <v>75</v>
      </c>
      <c r="L727" s="10">
        <v>75</v>
      </c>
      <c r="M727" s="10">
        <v>0</v>
      </c>
      <c r="N727" s="10">
        <v>0</v>
      </c>
      <c r="O727" s="10">
        <v>0</v>
      </c>
    </row>
    <row r="728" spans="1:15" x14ac:dyDescent="0.2">
      <c r="A728" s="10" t="s">
        <v>611</v>
      </c>
      <c r="B728" s="10" t="s">
        <v>89</v>
      </c>
      <c r="C728" s="10" t="s">
        <v>90</v>
      </c>
      <c r="D728" s="10" t="s">
        <v>51</v>
      </c>
      <c r="E728" s="10" t="s">
        <v>52</v>
      </c>
      <c r="F728" s="10" t="s">
        <v>345</v>
      </c>
      <c r="G728" s="10" t="b">
        <f>FALSE()</f>
        <v>0</v>
      </c>
      <c r="H728" s="10">
        <v>1</v>
      </c>
      <c r="I728" s="10">
        <v>0</v>
      </c>
      <c r="J728" s="10">
        <v>2</v>
      </c>
      <c r="K728" s="10">
        <v>75</v>
      </c>
      <c r="L728" s="10">
        <v>75</v>
      </c>
      <c r="M728" s="10">
        <v>0</v>
      </c>
      <c r="N728" s="10">
        <v>0</v>
      </c>
      <c r="O728" s="10">
        <v>0</v>
      </c>
    </row>
    <row r="729" spans="1:15" x14ac:dyDescent="0.2">
      <c r="A729" s="10" t="s">
        <v>458</v>
      </c>
      <c r="B729" s="10" t="s">
        <v>109</v>
      </c>
      <c r="C729" s="10" t="s">
        <v>90</v>
      </c>
      <c r="D729" s="10" t="s">
        <v>51</v>
      </c>
      <c r="E729" s="10" t="s">
        <v>52</v>
      </c>
      <c r="F729" s="10" t="s">
        <v>345</v>
      </c>
      <c r="G729" s="10" t="b">
        <f>FALSE()</f>
        <v>0</v>
      </c>
      <c r="H729" s="10">
        <v>1</v>
      </c>
      <c r="I729" s="10">
        <v>0</v>
      </c>
      <c r="J729" s="10">
        <v>2</v>
      </c>
      <c r="K729" s="10">
        <v>75</v>
      </c>
      <c r="L729" s="10">
        <v>75</v>
      </c>
      <c r="M729" s="10">
        <v>0</v>
      </c>
      <c r="N729" s="10">
        <v>0</v>
      </c>
      <c r="O729" s="10">
        <v>0</v>
      </c>
    </row>
    <row r="730" spans="1:15" x14ac:dyDescent="0.2">
      <c r="A730" s="10" t="s">
        <v>612</v>
      </c>
      <c r="B730" s="10" t="s">
        <v>249</v>
      </c>
      <c r="C730" s="10" t="s">
        <v>90</v>
      </c>
      <c r="D730" s="10" t="s">
        <v>51</v>
      </c>
      <c r="E730" s="10" t="s">
        <v>52</v>
      </c>
      <c r="F730" s="10" t="s">
        <v>180</v>
      </c>
      <c r="G730" s="10" t="b">
        <f>FALSE()</f>
        <v>0</v>
      </c>
      <c r="H730" s="10">
        <v>1</v>
      </c>
      <c r="I730" s="10">
        <v>0</v>
      </c>
      <c r="J730" s="10">
        <v>1</v>
      </c>
      <c r="K730" s="10">
        <v>25</v>
      </c>
      <c r="L730" s="10">
        <v>75</v>
      </c>
      <c r="M730" s="10">
        <v>0</v>
      </c>
      <c r="N730" s="10">
        <v>0</v>
      </c>
      <c r="O730" s="10">
        <v>0</v>
      </c>
    </row>
    <row r="731" spans="1:15" x14ac:dyDescent="0.2">
      <c r="A731" s="10" t="s">
        <v>290</v>
      </c>
      <c r="B731" s="10" t="s">
        <v>260</v>
      </c>
      <c r="C731" s="10" t="s">
        <v>64</v>
      </c>
      <c r="D731" s="10" t="s">
        <v>45</v>
      </c>
      <c r="E731" s="10" t="s">
        <v>46</v>
      </c>
      <c r="F731" s="10" t="s">
        <v>113</v>
      </c>
      <c r="G731" s="10" t="b">
        <f>TRUE()</f>
        <v>1</v>
      </c>
      <c r="H731" s="10">
        <v>1</v>
      </c>
      <c r="I731" s="10">
        <v>0</v>
      </c>
      <c r="J731" s="10">
        <v>1</v>
      </c>
      <c r="K731" s="10">
        <v>38</v>
      </c>
      <c r="L731" s="10">
        <v>75</v>
      </c>
      <c r="M731" s="10">
        <v>0</v>
      </c>
      <c r="N731" s="10">
        <v>0</v>
      </c>
      <c r="O731" s="10">
        <v>0</v>
      </c>
    </row>
    <row r="732" spans="1:15" x14ac:dyDescent="0.2">
      <c r="A732" s="10" t="s">
        <v>455</v>
      </c>
      <c r="B732" s="10" t="s">
        <v>456</v>
      </c>
      <c r="C732" s="10" t="s">
        <v>245</v>
      </c>
      <c r="D732" s="10" t="s">
        <v>51</v>
      </c>
      <c r="E732" s="10" t="s">
        <v>52</v>
      </c>
      <c r="F732" s="10" t="s">
        <v>92</v>
      </c>
      <c r="G732" s="10" t="b">
        <f>FALSE()</f>
        <v>0</v>
      </c>
      <c r="H732" s="10">
        <v>1</v>
      </c>
      <c r="I732" s="10">
        <v>0</v>
      </c>
      <c r="J732" s="10">
        <v>1</v>
      </c>
      <c r="K732" s="10">
        <v>41</v>
      </c>
      <c r="L732" s="10">
        <v>75</v>
      </c>
      <c r="M732" s="10">
        <v>0</v>
      </c>
      <c r="N732" s="10">
        <v>0</v>
      </c>
      <c r="O732" s="10">
        <v>0</v>
      </c>
    </row>
    <row r="733" spans="1:15" x14ac:dyDescent="0.2">
      <c r="A733" s="10" t="s">
        <v>292</v>
      </c>
      <c r="B733" s="10" t="s">
        <v>119</v>
      </c>
      <c r="C733" s="10" t="s">
        <v>56</v>
      </c>
      <c r="D733" s="10" t="s">
        <v>45</v>
      </c>
      <c r="E733" s="10" t="s">
        <v>46</v>
      </c>
      <c r="F733" s="10" t="s">
        <v>153</v>
      </c>
      <c r="G733" s="10" t="b">
        <f>FALSE()</f>
        <v>0</v>
      </c>
      <c r="H733" s="10">
        <v>1</v>
      </c>
      <c r="I733" s="10">
        <v>0</v>
      </c>
      <c r="J733" s="10">
        <v>1</v>
      </c>
      <c r="K733" s="10">
        <v>75</v>
      </c>
      <c r="L733" s="10">
        <v>75</v>
      </c>
      <c r="M733" s="10">
        <v>0</v>
      </c>
      <c r="N733" s="10">
        <v>0</v>
      </c>
      <c r="O733" s="10">
        <v>0</v>
      </c>
    </row>
    <row r="734" spans="1:15" x14ac:dyDescent="0.2">
      <c r="A734" s="10" t="s">
        <v>613</v>
      </c>
      <c r="B734" s="10" t="s">
        <v>456</v>
      </c>
      <c r="C734" s="10" t="s">
        <v>245</v>
      </c>
      <c r="D734" s="10" t="s">
        <v>51</v>
      </c>
      <c r="E734" s="10" t="s">
        <v>52</v>
      </c>
      <c r="F734" s="10" t="s">
        <v>61</v>
      </c>
      <c r="G734" s="10" t="b">
        <f>FALSE()</f>
        <v>0</v>
      </c>
      <c r="H734" s="10">
        <v>1</v>
      </c>
      <c r="I734" s="10">
        <v>0</v>
      </c>
      <c r="J734" s="10">
        <v>2</v>
      </c>
      <c r="K734" s="10">
        <v>41</v>
      </c>
      <c r="L734" s="10">
        <v>75</v>
      </c>
      <c r="M734" s="10">
        <v>0</v>
      </c>
      <c r="N734" s="10">
        <v>0</v>
      </c>
      <c r="O734" s="10">
        <v>0</v>
      </c>
    </row>
    <row r="735" spans="1:15" x14ac:dyDescent="0.2">
      <c r="A735" s="10" t="s">
        <v>614</v>
      </c>
      <c r="B735" s="10" t="s">
        <v>522</v>
      </c>
      <c r="C735" s="10" t="s">
        <v>90</v>
      </c>
      <c r="D735" s="10" t="s">
        <v>51</v>
      </c>
      <c r="E735" s="10" t="s">
        <v>52</v>
      </c>
      <c r="F735" s="10" t="s">
        <v>61</v>
      </c>
      <c r="G735" s="10" t="b">
        <f>FALSE()</f>
        <v>0</v>
      </c>
      <c r="H735" s="10">
        <v>1</v>
      </c>
      <c r="I735" s="10">
        <v>0</v>
      </c>
      <c r="J735" s="10">
        <v>1</v>
      </c>
      <c r="K735" s="10">
        <v>75</v>
      </c>
      <c r="L735" s="10">
        <v>75</v>
      </c>
      <c r="M735" s="10">
        <v>0</v>
      </c>
      <c r="N735" s="10">
        <v>0</v>
      </c>
      <c r="O735" s="10">
        <v>0</v>
      </c>
    </row>
    <row r="736" spans="1:15" x14ac:dyDescent="0.2">
      <c r="A736" s="10" t="s">
        <v>614</v>
      </c>
      <c r="B736" s="10" t="s">
        <v>522</v>
      </c>
      <c r="C736" s="10" t="s">
        <v>90</v>
      </c>
      <c r="D736" s="10" t="s">
        <v>51</v>
      </c>
      <c r="E736" s="10" t="s">
        <v>52</v>
      </c>
      <c r="F736" s="10" t="s">
        <v>74</v>
      </c>
      <c r="G736" s="10" t="b">
        <f>FALSE()</f>
        <v>0</v>
      </c>
      <c r="H736" s="10">
        <v>1</v>
      </c>
      <c r="I736" s="10">
        <v>0</v>
      </c>
      <c r="J736" s="10">
        <v>1</v>
      </c>
      <c r="K736" s="10">
        <v>75</v>
      </c>
      <c r="L736" s="10">
        <v>75</v>
      </c>
      <c r="M736" s="10">
        <v>0</v>
      </c>
      <c r="N736" s="10">
        <v>0</v>
      </c>
      <c r="O736" s="10">
        <v>0</v>
      </c>
    </row>
    <row r="737" spans="1:15" x14ac:dyDescent="0.2">
      <c r="A737" s="10" t="s">
        <v>615</v>
      </c>
      <c r="B737" s="10" t="s">
        <v>456</v>
      </c>
      <c r="C737" s="10" t="s">
        <v>245</v>
      </c>
      <c r="D737" s="10" t="s">
        <v>51</v>
      </c>
      <c r="E737" s="10" t="s">
        <v>52</v>
      </c>
      <c r="F737" s="10" t="s">
        <v>94</v>
      </c>
      <c r="G737" s="10" t="b">
        <f>FALSE()</f>
        <v>0</v>
      </c>
      <c r="H737" s="10">
        <v>1</v>
      </c>
      <c r="I737" s="10">
        <v>0</v>
      </c>
      <c r="J737" s="10">
        <v>0</v>
      </c>
      <c r="K737" s="10">
        <v>0</v>
      </c>
      <c r="L737" s="10">
        <v>75</v>
      </c>
      <c r="M737" s="10">
        <v>0</v>
      </c>
      <c r="N737" s="10">
        <v>0</v>
      </c>
      <c r="O737" s="10">
        <v>0</v>
      </c>
    </row>
    <row r="738" spans="1:15" x14ac:dyDescent="0.2">
      <c r="A738" s="10" t="s">
        <v>616</v>
      </c>
      <c r="B738" s="10" t="s">
        <v>285</v>
      </c>
      <c r="C738" s="10" t="s">
        <v>105</v>
      </c>
      <c r="D738" s="10" t="s">
        <v>45</v>
      </c>
      <c r="E738" s="10" t="s">
        <v>46</v>
      </c>
      <c r="F738" s="10" t="s">
        <v>94</v>
      </c>
      <c r="G738" s="10" t="b">
        <f>FALSE()</f>
        <v>0</v>
      </c>
      <c r="H738" s="10">
        <v>1</v>
      </c>
      <c r="I738" s="10">
        <v>0</v>
      </c>
      <c r="J738" s="10">
        <v>2</v>
      </c>
      <c r="K738" s="10">
        <v>125</v>
      </c>
      <c r="L738" s="10">
        <v>75</v>
      </c>
      <c r="M738" s="10">
        <v>0</v>
      </c>
      <c r="N738" s="10">
        <v>0</v>
      </c>
      <c r="O738" s="10">
        <v>0</v>
      </c>
    </row>
    <row r="739" spans="1:15" x14ac:dyDescent="0.2">
      <c r="A739" s="10" t="s">
        <v>617</v>
      </c>
      <c r="B739" s="10" t="s">
        <v>122</v>
      </c>
      <c r="C739" s="10" t="s">
        <v>112</v>
      </c>
      <c r="D739" s="10" t="s">
        <v>51</v>
      </c>
      <c r="E739" s="10" t="s">
        <v>52</v>
      </c>
      <c r="F739" s="10" t="s">
        <v>94</v>
      </c>
      <c r="G739" s="10" t="b">
        <f>FALSE()</f>
        <v>0</v>
      </c>
      <c r="H739" s="10">
        <v>1</v>
      </c>
      <c r="I739" s="10">
        <v>0</v>
      </c>
      <c r="J739" s="10">
        <v>1</v>
      </c>
      <c r="K739" s="10">
        <v>11</v>
      </c>
      <c r="L739" s="10">
        <v>75</v>
      </c>
      <c r="M739" s="10">
        <v>0</v>
      </c>
      <c r="N739" s="10">
        <v>0</v>
      </c>
      <c r="O739" s="10">
        <v>0</v>
      </c>
    </row>
    <row r="740" spans="1:15" x14ac:dyDescent="0.2">
      <c r="A740" s="10" t="s">
        <v>426</v>
      </c>
      <c r="B740" s="10" t="s">
        <v>70</v>
      </c>
      <c r="C740" s="10" t="s">
        <v>70</v>
      </c>
      <c r="D740" s="10" t="s">
        <v>45</v>
      </c>
      <c r="E740" s="10" t="s">
        <v>46</v>
      </c>
      <c r="F740" s="10" t="s">
        <v>153</v>
      </c>
      <c r="G740" s="10" t="b">
        <f>FALSE()</f>
        <v>0</v>
      </c>
      <c r="H740" s="10">
        <v>1</v>
      </c>
      <c r="I740" s="10">
        <v>0</v>
      </c>
      <c r="J740" s="10">
        <v>1</v>
      </c>
      <c r="K740" s="10">
        <v>83</v>
      </c>
      <c r="L740" s="10">
        <v>75</v>
      </c>
      <c r="M740" s="10">
        <v>0</v>
      </c>
      <c r="N740" s="10">
        <v>0</v>
      </c>
      <c r="O740" s="10">
        <v>0</v>
      </c>
    </row>
    <row r="741" spans="1:15" x14ac:dyDescent="0.2">
      <c r="A741" s="10" t="s">
        <v>399</v>
      </c>
      <c r="B741" s="10" t="s">
        <v>139</v>
      </c>
      <c r="C741" s="10" t="s">
        <v>64</v>
      </c>
      <c r="D741" s="10" t="s">
        <v>45</v>
      </c>
      <c r="E741" s="10" t="s">
        <v>46</v>
      </c>
      <c r="F741" s="10" t="s">
        <v>212</v>
      </c>
      <c r="G741" s="10" t="b">
        <f>FALSE()</f>
        <v>0</v>
      </c>
      <c r="H741" s="10">
        <v>1</v>
      </c>
      <c r="I741" s="10">
        <v>0</v>
      </c>
      <c r="J741" s="10">
        <v>3</v>
      </c>
      <c r="K741" s="10">
        <v>75</v>
      </c>
      <c r="L741" s="10">
        <v>75</v>
      </c>
      <c r="M741" s="10">
        <v>0</v>
      </c>
      <c r="N741" s="10">
        <v>0</v>
      </c>
      <c r="O741" s="10">
        <v>0</v>
      </c>
    </row>
    <row r="742" spans="1:15" x14ac:dyDescent="0.2">
      <c r="A742" s="10" t="s">
        <v>618</v>
      </c>
      <c r="B742" s="10" t="s">
        <v>109</v>
      </c>
      <c r="C742" s="10" t="s">
        <v>90</v>
      </c>
      <c r="D742" s="10" t="s">
        <v>51</v>
      </c>
      <c r="E742" s="10" t="s">
        <v>52</v>
      </c>
      <c r="F742" s="10" t="s">
        <v>97</v>
      </c>
      <c r="G742" s="10" t="b">
        <f>TRUE()</f>
        <v>1</v>
      </c>
      <c r="H742" s="10">
        <v>1</v>
      </c>
      <c r="I742" s="10">
        <v>0</v>
      </c>
      <c r="J742" s="10">
        <v>3</v>
      </c>
      <c r="K742" s="10">
        <v>109</v>
      </c>
      <c r="L742" s="10">
        <v>75</v>
      </c>
      <c r="M742" s="10">
        <v>0</v>
      </c>
      <c r="N742" s="10">
        <v>0</v>
      </c>
      <c r="O742" s="10">
        <v>0</v>
      </c>
    </row>
    <row r="743" spans="1:15" x14ac:dyDescent="0.2">
      <c r="A743" s="10" t="s">
        <v>293</v>
      </c>
      <c r="B743" s="10" t="s">
        <v>116</v>
      </c>
      <c r="C743" s="10" t="s">
        <v>117</v>
      </c>
      <c r="D743" s="10" t="s">
        <v>51</v>
      </c>
      <c r="E743" s="10" t="s">
        <v>52</v>
      </c>
      <c r="F743" s="10" t="s">
        <v>75</v>
      </c>
      <c r="G743" s="10" t="b">
        <f>FALSE()</f>
        <v>0</v>
      </c>
      <c r="H743" s="10">
        <v>1</v>
      </c>
      <c r="I743" s="10">
        <v>0</v>
      </c>
      <c r="J743" s="10">
        <v>2</v>
      </c>
      <c r="K743" s="10">
        <v>75</v>
      </c>
      <c r="L743" s="10">
        <v>75</v>
      </c>
      <c r="M743" s="10">
        <v>0</v>
      </c>
      <c r="N743" s="10">
        <v>0</v>
      </c>
      <c r="O743" s="10">
        <v>0</v>
      </c>
    </row>
    <row r="744" spans="1:15" x14ac:dyDescent="0.2">
      <c r="A744" s="10" t="s">
        <v>311</v>
      </c>
      <c r="B744" s="10" t="s">
        <v>312</v>
      </c>
      <c r="C744" s="10" t="s">
        <v>50</v>
      </c>
      <c r="D744" s="10" t="s">
        <v>51</v>
      </c>
      <c r="E744" s="10" t="s">
        <v>52</v>
      </c>
      <c r="F744" s="10" t="s">
        <v>79</v>
      </c>
      <c r="G744" s="10" t="b">
        <f>FALSE()</f>
        <v>0</v>
      </c>
      <c r="H744" s="10">
        <v>1</v>
      </c>
      <c r="I744" s="10">
        <v>1</v>
      </c>
      <c r="J744" s="10">
        <v>3</v>
      </c>
      <c r="K744" s="10">
        <v>83</v>
      </c>
      <c r="L744" s="10">
        <v>74</v>
      </c>
      <c r="M744" s="10">
        <v>1</v>
      </c>
      <c r="N744" s="10">
        <v>464</v>
      </c>
      <c r="O744" s="10">
        <v>453</v>
      </c>
    </row>
    <row r="745" spans="1:15" x14ac:dyDescent="0.2">
      <c r="A745" s="10" t="s">
        <v>619</v>
      </c>
      <c r="B745" s="10" t="s">
        <v>146</v>
      </c>
      <c r="C745" s="10" t="s">
        <v>105</v>
      </c>
      <c r="D745" s="10" t="s">
        <v>45</v>
      </c>
      <c r="E745" s="10" t="s">
        <v>46</v>
      </c>
      <c r="F745" s="10" t="s">
        <v>58</v>
      </c>
      <c r="G745" s="10" t="b">
        <f>FALSE()</f>
        <v>0</v>
      </c>
      <c r="H745" s="10">
        <v>1</v>
      </c>
      <c r="I745" s="10">
        <v>1</v>
      </c>
      <c r="J745" s="10">
        <v>1</v>
      </c>
      <c r="K745" s="10">
        <v>79</v>
      </c>
      <c r="L745" s="10">
        <v>74</v>
      </c>
      <c r="M745" s="10">
        <v>1</v>
      </c>
      <c r="N745" s="10">
        <v>256</v>
      </c>
      <c r="O745" s="10">
        <v>247</v>
      </c>
    </row>
    <row r="746" spans="1:15" x14ac:dyDescent="0.2">
      <c r="A746" s="10" t="s">
        <v>474</v>
      </c>
      <c r="B746" s="10" t="s">
        <v>385</v>
      </c>
      <c r="C746" s="10" t="s">
        <v>90</v>
      </c>
      <c r="D746" s="10" t="s">
        <v>51</v>
      </c>
      <c r="E746" s="10" t="s">
        <v>52</v>
      </c>
      <c r="F746" s="10" t="s">
        <v>345</v>
      </c>
      <c r="G746" s="10" t="b">
        <f>FALSE()</f>
        <v>0</v>
      </c>
      <c r="H746" s="10">
        <v>1</v>
      </c>
      <c r="I746" s="10">
        <v>0</v>
      </c>
      <c r="J746" s="10">
        <v>2</v>
      </c>
      <c r="K746" s="10">
        <v>75</v>
      </c>
      <c r="L746" s="10">
        <v>74</v>
      </c>
      <c r="M746" s="10">
        <v>0</v>
      </c>
      <c r="N746" s="10">
        <v>0</v>
      </c>
      <c r="O746" s="10">
        <v>0</v>
      </c>
    </row>
    <row r="747" spans="1:15" x14ac:dyDescent="0.2">
      <c r="A747" s="10" t="s">
        <v>620</v>
      </c>
      <c r="B747" s="10" t="s">
        <v>116</v>
      </c>
      <c r="C747" s="10" t="s">
        <v>117</v>
      </c>
      <c r="D747" s="10" t="s">
        <v>51</v>
      </c>
      <c r="E747" s="10" t="s">
        <v>52</v>
      </c>
      <c r="F747" s="10" t="s">
        <v>92</v>
      </c>
      <c r="G747" s="10" t="b">
        <f>FALSE()</f>
        <v>0</v>
      </c>
      <c r="H747" s="10">
        <v>1</v>
      </c>
      <c r="I747" s="10">
        <v>0</v>
      </c>
      <c r="J747" s="10">
        <v>1</v>
      </c>
      <c r="K747" s="10">
        <v>100</v>
      </c>
      <c r="L747" s="10">
        <v>74</v>
      </c>
      <c r="M747" s="10">
        <v>0</v>
      </c>
      <c r="N747" s="10">
        <v>0</v>
      </c>
      <c r="O747" s="10">
        <v>0</v>
      </c>
    </row>
    <row r="748" spans="1:15" x14ac:dyDescent="0.2">
      <c r="A748" s="10" t="s">
        <v>507</v>
      </c>
      <c r="B748" s="10" t="s">
        <v>508</v>
      </c>
      <c r="C748" s="10" t="s">
        <v>90</v>
      </c>
      <c r="D748" s="10" t="s">
        <v>51</v>
      </c>
      <c r="E748" s="10" t="s">
        <v>52</v>
      </c>
      <c r="F748" s="10" t="s">
        <v>92</v>
      </c>
      <c r="G748" s="10" t="b">
        <f>FALSE()</f>
        <v>0</v>
      </c>
      <c r="H748" s="10">
        <v>1</v>
      </c>
      <c r="I748" s="10">
        <v>0</v>
      </c>
      <c r="J748" s="10">
        <v>2</v>
      </c>
      <c r="K748" s="10">
        <v>76</v>
      </c>
      <c r="L748" s="10">
        <v>74</v>
      </c>
      <c r="M748" s="10">
        <v>0</v>
      </c>
      <c r="N748" s="10">
        <v>0</v>
      </c>
      <c r="O748" s="10">
        <v>0</v>
      </c>
    </row>
    <row r="749" spans="1:15" x14ac:dyDescent="0.2">
      <c r="A749" s="10" t="s">
        <v>621</v>
      </c>
      <c r="B749" s="10" t="s">
        <v>622</v>
      </c>
      <c r="C749" s="10" t="s">
        <v>117</v>
      </c>
      <c r="D749" s="10" t="s">
        <v>51</v>
      </c>
      <c r="E749" s="10" t="s">
        <v>52</v>
      </c>
      <c r="F749" s="10" t="s">
        <v>61</v>
      </c>
      <c r="G749" s="10" t="b">
        <f>FALSE()</f>
        <v>0</v>
      </c>
      <c r="H749" s="10">
        <v>1</v>
      </c>
      <c r="I749" s="10">
        <v>0</v>
      </c>
      <c r="J749" s="10">
        <v>2</v>
      </c>
      <c r="K749" s="10">
        <v>74</v>
      </c>
      <c r="L749" s="10">
        <v>74</v>
      </c>
      <c r="M749" s="10">
        <v>0</v>
      </c>
      <c r="N749" s="10">
        <v>0</v>
      </c>
      <c r="O749" s="10">
        <v>0</v>
      </c>
    </row>
    <row r="750" spans="1:15" x14ac:dyDescent="0.2">
      <c r="A750" s="10" t="s">
        <v>623</v>
      </c>
      <c r="B750" s="10" t="s">
        <v>119</v>
      </c>
      <c r="C750" s="10" t="s">
        <v>56</v>
      </c>
      <c r="D750" s="10" t="s">
        <v>45</v>
      </c>
      <c r="E750" s="10" t="s">
        <v>46</v>
      </c>
      <c r="F750" s="10" t="s">
        <v>61</v>
      </c>
      <c r="G750" s="10" t="b">
        <f>FALSE()</f>
        <v>0</v>
      </c>
      <c r="H750" s="10">
        <v>1</v>
      </c>
      <c r="I750" s="10">
        <v>0</v>
      </c>
      <c r="J750" s="10">
        <v>1</v>
      </c>
      <c r="K750" s="10">
        <v>77</v>
      </c>
      <c r="L750" s="10">
        <v>74</v>
      </c>
      <c r="M750" s="10">
        <v>0</v>
      </c>
      <c r="N750" s="10">
        <v>0</v>
      </c>
      <c r="O750" s="10">
        <v>0</v>
      </c>
    </row>
    <row r="751" spans="1:15" x14ac:dyDescent="0.2">
      <c r="A751" s="10" t="s">
        <v>624</v>
      </c>
      <c r="B751" s="10" t="s">
        <v>116</v>
      </c>
      <c r="C751" s="10" t="s">
        <v>117</v>
      </c>
      <c r="D751" s="10" t="s">
        <v>51</v>
      </c>
      <c r="E751" s="10" t="s">
        <v>52</v>
      </c>
      <c r="F751" s="10" t="s">
        <v>94</v>
      </c>
      <c r="G751" s="10" t="b">
        <f>FALSE()</f>
        <v>0</v>
      </c>
      <c r="H751" s="10">
        <v>1</v>
      </c>
      <c r="I751" s="10">
        <v>0</v>
      </c>
      <c r="J751" s="10">
        <v>1</v>
      </c>
      <c r="K751" s="10">
        <v>89</v>
      </c>
      <c r="L751" s="10">
        <v>74</v>
      </c>
      <c r="M751" s="10">
        <v>0</v>
      </c>
      <c r="N751" s="10">
        <v>0</v>
      </c>
      <c r="O751" s="10">
        <v>0</v>
      </c>
    </row>
    <row r="752" spans="1:15" x14ac:dyDescent="0.2">
      <c r="A752" s="10" t="s">
        <v>478</v>
      </c>
      <c r="B752" s="10" t="s">
        <v>157</v>
      </c>
      <c r="C752" s="10" t="s">
        <v>64</v>
      </c>
      <c r="D752" s="10" t="s">
        <v>45</v>
      </c>
      <c r="E752" s="10" t="s">
        <v>46</v>
      </c>
      <c r="F752" s="10" t="s">
        <v>214</v>
      </c>
      <c r="G752" s="10" t="b">
        <f>FALSE()</f>
        <v>0</v>
      </c>
      <c r="H752" s="10">
        <v>1</v>
      </c>
      <c r="I752" s="10">
        <v>0</v>
      </c>
      <c r="J752" s="10">
        <v>1</v>
      </c>
      <c r="K752" s="10">
        <v>77</v>
      </c>
      <c r="L752" s="10">
        <v>74</v>
      </c>
      <c r="M752" s="10">
        <v>0</v>
      </c>
      <c r="N752" s="10">
        <v>0</v>
      </c>
      <c r="O752" s="10">
        <v>0</v>
      </c>
    </row>
    <row r="753" spans="1:15" x14ac:dyDescent="0.2">
      <c r="A753" s="10" t="s">
        <v>625</v>
      </c>
      <c r="B753" s="10" t="s">
        <v>232</v>
      </c>
      <c r="C753" s="10" t="s">
        <v>90</v>
      </c>
      <c r="D753" s="10" t="s">
        <v>51</v>
      </c>
      <c r="E753" s="10" t="s">
        <v>52</v>
      </c>
      <c r="F753" s="10" t="s">
        <v>74</v>
      </c>
      <c r="G753" s="10" t="b">
        <f>FALSE()</f>
        <v>0</v>
      </c>
      <c r="H753" s="10">
        <v>1</v>
      </c>
      <c r="I753" s="10">
        <v>0</v>
      </c>
      <c r="J753" s="10">
        <v>2</v>
      </c>
      <c r="K753" s="10">
        <v>75</v>
      </c>
      <c r="L753" s="10">
        <v>74</v>
      </c>
      <c r="M753" s="10">
        <v>0</v>
      </c>
      <c r="N753" s="10">
        <v>0</v>
      </c>
      <c r="O753" s="10">
        <v>0</v>
      </c>
    </row>
    <row r="754" spans="1:15" x14ac:dyDescent="0.2">
      <c r="A754" s="10" t="s">
        <v>304</v>
      </c>
      <c r="B754" s="10" t="s">
        <v>43</v>
      </c>
      <c r="C754" s="10" t="s">
        <v>44</v>
      </c>
      <c r="D754" s="10" t="s">
        <v>45</v>
      </c>
      <c r="E754" s="10" t="s">
        <v>46</v>
      </c>
      <c r="F754" s="10" t="s">
        <v>212</v>
      </c>
      <c r="G754" s="10" t="b">
        <f>FALSE()</f>
        <v>0</v>
      </c>
      <c r="H754" s="10">
        <v>1</v>
      </c>
      <c r="I754" s="10">
        <v>1</v>
      </c>
      <c r="J754" s="10">
        <v>3</v>
      </c>
      <c r="K754" s="10">
        <v>101</v>
      </c>
      <c r="L754" s="10">
        <v>73</v>
      </c>
      <c r="M754" s="10">
        <v>1</v>
      </c>
      <c r="N754" s="10">
        <v>43</v>
      </c>
      <c r="O754" s="10">
        <v>27</v>
      </c>
    </row>
    <row r="755" spans="1:15" x14ac:dyDescent="0.2">
      <c r="A755" s="10" t="s">
        <v>278</v>
      </c>
      <c r="B755" s="10" t="s">
        <v>43</v>
      </c>
      <c r="C755" s="10" t="s">
        <v>44</v>
      </c>
      <c r="D755" s="10" t="s">
        <v>45</v>
      </c>
      <c r="E755" s="10" t="s">
        <v>46</v>
      </c>
      <c r="F755" s="10" t="s">
        <v>183</v>
      </c>
      <c r="G755" s="10" t="b">
        <f>FALSE()</f>
        <v>0</v>
      </c>
      <c r="H755" s="10">
        <v>1</v>
      </c>
      <c r="I755" s="10">
        <v>1</v>
      </c>
      <c r="J755" s="10">
        <v>2</v>
      </c>
      <c r="K755" s="10">
        <v>81</v>
      </c>
      <c r="L755" s="10">
        <v>73</v>
      </c>
      <c r="M755" s="10">
        <v>1</v>
      </c>
      <c r="N755" s="10">
        <v>15</v>
      </c>
      <c r="O755" s="10">
        <v>2</v>
      </c>
    </row>
    <row r="756" spans="1:15" x14ac:dyDescent="0.2">
      <c r="A756" s="10" t="s">
        <v>310</v>
      </c>
      <c r="B756" s="10" t="s">
        <v>116</v>
      </c>
      <c r="C756" s="10" t="s">
        <v>117</v>
      </c>
      <c r="D756" s="10" t="s">
        <v>51</v>
      </c>
      <c r="E756" s="10" t="s">
        <v>52</v>
      </c>
      <c r="F756" s="10" t="s">
        <v>345</v>
      </c>
      <c r="G756" s="10" t="b">
        <f>FALSE()</f>
        <v>0</v>
      </c>
      <c r="H756" s="10">
        <v>1</v>
      </c>
      <c r="I756" s="10">
        <v>0</v>
      </c>
      <c r="J756" s="10">
        <v>1</v>
      </c>
      <c r="K756" s="10">
        <v>53</v>
      </c>
      <c r="L756" s="10">
        <v>73</v>
      </c>
      <c r="M756" s="10">
        <v>0</v>
      </c>
      <c r="N756" s="10">
        <v>0</v>
      </c>
      <c r="O756" s="10">
        <v>0</v>
      </c>
    </row>
    <row r="757" spans="1:15" x14ac:dyDescent="0.2">
      <c r="A757" s="10" t="s">
        <v>626</v>
      </c>
      <c r="B757" s="10" t="s">
        <v>477</v>
      </c>
      <c r="C757" s="10" t="s">
        <v>50</v>
      </c>
      <c r="D757" s="10" t="s">
        <v>51</v>
      </c>
      <c r="E757" s="10" t="s">
        <v>52</v>
      </c>
      <c r="F757" s="10" t="s">
        <v>331</v>
      </c>
      <c r="G757" s="10" t="b">
        <f>FALSE()</f>
        <v>0</v>
      </c>
      <c r="H757" s="10">
        <v>1</v>
      </c>
      <c r="I757" s="10">
        <v>0</v>
      </c>
      <c r="J757" s="10">
        <v>2</v>
      </c>
      <c r="K757" s="10">
        <v>79</v>
      </c>
      <c r="L757" s="10">
        <v>73</v>
      </c>
      <c r="M757" s="10">
        <v>0</v>
      </c>
      <c r="N757" s="10">
        <v>0</v>
      </c>
      <c r="O757" s="10">
        <v>0</v>
      </c>
    </row>
    <row r="758" spans="1:15" x14ac:dyDescent="0.2">
      <c r="A758" s="10" t="s">
        <v>627</v>
      </c>
      <c r="B758" s="10" t="s">
        <v>63</v>
      </c>
      <c r="C758" s="10" t="s">
        <v>64</v>
      </c>
      <c r="D758" s="10" t="s">
        <v>45</v>
      </c>
      <c r="E758" s="10" t="s">
        <v>46</v>
      </c>
      <c r="F758" s="10" t="s">
        <v>61</v>
      </c>
      <c r="G758" s="10" t="b">
        <f>FALSE()</f>
        <v>0</v>
      </c>
      <c r="H758" s="10">
        <v>1</v>
      </c>
      <c r="I758" s="10">
        <v>0</v>
      </c>
      <c r="J758" s="10">
        <v>2</v>
      </c>
      <c r="K758" s="10">
        <v>73</v>
      </c>
      <c r="L758" s="10">
        <v>73</v>
      </c>
      <c r="M758" s="10">
        <v>0</v>
      </c>
      <c r="N758" s="10">
        <v>0</v>
      </c>
      <c r="O758" s="10">
        <v>0</v>
      </c>
    </row>
    <row r="759" spans="1:15" x14ac:dyDescent="0.2">
      <c r="A759" s="10" t="s">
        <v>443</v>
      </c>
      <c r="B759" s="10" t="s">
        <v>407</v>
      </c>
      <c r="C759" s="10" t="s">
        <v>112</v>
      </c>
      <c r="D759" s="10" t="s">
        <v>51</v>
      </c>
      <c r="E759" s="10" t="s">
        <v>52</v>
      </c>
      <c r="F759" s="10" t="s">
        <v>113</v>
      </c>
      <c r="G759" s="10" t="b">
        <f>TRUE()</f>
        <v>1</v>
      </c>
      <c r="H759" s="10">
        <v>1</v>
      </c>
      <c r="I759" s="10">
        <v>0</v>
      </c>
      <c r="J759" s="10">
        <v>1</v>
      </c>
      <c r="K759" s="10">
        <v>73</v>
      </c>
      <c r="L759" s="10">
        <v>73</v>
      </c>
      <c r="M759" s="10">
        <v>0</v>
      </c>
      <c r="N759" s="10">
        <v>0</v>
      </c>
      <c r="O759" s="10">
        <v>0</v>
      </c>
    </row>
    <row r="760" spans="1:15" x14ac:dyDescent="0.2">
      <c r="A760" s="10" t="s">
        <v>628</v>
      </c>
      <c r="B760" s="10" t="s">
        <v>398</v>
      </c>
      <c r="C760" s="10" t="s">
        <v>112</v>
      </c>
      <c r="D760" s="10" t="s">
        <v>51</v>
      </c>
      <c r="E760" s="10" t="s">
        <v>52</v>
      </c>
      <c r="F760" s="10" t="s">
        <v>126</v>
      </c>
      <c r="G760" s="10" t="b">
        <f>FALSE()</f>
        <v>0</v>
      </c>
      <c r="H760" s="10">
        <v>1</v>
      </c>
      <c r="I760" s="10">
        <v>1</v>
      </c>
      <c r="J760" s="10">
        <v>2</v>
      </c>
      <c r="K760" s="10">
        <v>66</v>
      </c>
      <c r="L760" s="10">
        <v>72</v>
      </c>
      <c r="M760" s="10">
        <v>1</v>
      </c>
      <c r="N760" s="10">
        <v>107</v>
      </c>
      <c r="O760" s="10">
        <v>107</v>
      </c>
    </row>
    <row r="761" spans="1:15" x14ac:dyDescent="0.2">
      <c r="A761" s="10" t="s">
        <v>560</v>
      </c>
      <c r="B761" s="10" t="s">
        <v>96</v>
      </c>
      <c r="C761" s="10" t="s">
        <v>50</v>
      </c>
      <c r="D761" s="10" t="s">
        <v>51</v>
      </c>
      <c r="E761" s="10" t="s">
        <v>52</v>
      </c>
      <c r="F761" s="10" t="s">
        <v>113</v>
      </c>
      <c r="G761" s="10" t="b">
        <f>TRUE()</f>
        <v>1</v>
      </c>
      <c r="H761" s="10">
        <v>1</v>
      </c>
      <c r="I761" s="10">
        <v>0</v>
      </c>
      <c r="J761" s="10">
        <v>1</v>
      </c>
      <c r="K761" s="10">
        <v>74</v>
      </c>
      <c r="L761" s="10">
        <v>72</v>
      </c>
      <c r="M761" s="10">
        <v>0</v>
      </c>
      <c r="N761" s="10">
        <v>0</v>
      </c>
      <c r="O761" s="10">
        <v>0</v>
      </c>
    </row>
    <row r="762" spans="1:15" x14ac:dyDescent="0.2">
      <c r="A762" s="10" t="s">
        <v>629</v>
      </c>
      <c r="B762" s="10" t="s">
        <v>96</v>
      </c>
      <c r="C762" s="10" t="s">
        <v>50</v>
      </c>
      <c r="D762" s="10" t="s">
        <v>51</v>
      </c>
      <c r="E762" s="10" t="s">
        <v>52</v>
      </c>
      <c r="F762" s="10" t="s">
        <v>47</v>
      </c>
      <c r="G762" s="10" t="b">
        <f>FALSE()</f>
        <v>0</v>
      </c>
      <c r="H762" s="10">
        <v>1</v>
      </c>
      <c r="I762" s="10">
        <v>0</v>
      </c>
      <c r="J762" s="10">
        <v>1</v>
      </c>
      <c r="K762" s="10">
        <v>72</v>
      </c>
      <c r="L762" s="10">
        <v>72</v>
      </c>
      <c r="M762" s="10">
        <v>0</v>
      </c>
      <c r="N762" s="10">
        <v>0</v>
      </c>
      <c r="O762" s="10">
        <v>0</v>
      </c>
    </row>
    <row r="763" spans="1:15" x14ac:dyDescent="0.2">
      <c r="A763" s="10" t="s">
        <v>627</v>
      </c>
      <c r="B763" s="10" t="s">
        <v>63</v>
      </c>
      <c r="C763" s="10" t="s">
        <v>64</v>
      </c>
      <c r="D763" s="10" t="s">
        <v>45</v>
      </c>
      <c r="E763" s="10" t="s">
        <v>46</v>
      </c>
      <c r="F763" s="10" t="s">
        <v>92</v>
      </c>
      <c r="G763" s="10" t="b">
        <f>FALSE()</f>
        <v>0</v>
      </c>
      <c r="H763" s="10">
        <v>1</v>
      </c>
      <c r="I763" s="10">
        <v>0</v>
      </c>
      <c r="J763" s="10">
        <v>2</v>
      </c>
      <c r="K763" s="10">
        <v>106</v>
      </c>
      <c r="L763" s="10">
        <v>72</v>
      </c>
      <c r="M763" s="10">
        <v>0</v>
      </c>
      <c r="N763" s="10">
        <v>0</v>
      </c>
      <c r="O763" s="10">
        <v>0</v>
      </c>
    </row>
    <row r="764" spans="1:15" x14ac:dyDescent="0.2">
      <c r="A764" s="10" t="s">
        <v>489</v>
      </c>
      <c r="B764" s="10" t="s">
        <v>477</v>
      </c>
      <c r="C764" s="10" t="s">
        <v>50</v>
      </c>
      <c r="D764" s="10" t="s">
        <v>51</v>
      </c>
      <c r="E764" s="10" t="s">
        <v>52</v>
      </c>
      <c r="F764" s="10" t="s">
        <v>92</v>
      </c>
      <c r="G764" s="10" t="b">
        <f>FALSE()</f>
        <v>0</v>
      </c>
      <c r="H764" s="10">
        <v>1</v>
      </c>
      <c r="I764" s="10">
        <v>0</v>
      </c>
      <c r="J764" s="10">
        <v>4</v>
      </c>
      <c r="K764" s="10">
        <v>156</v>
      </c>
      <c r="L764" s="10">
        <v>72</v>
      </c>
      <c r="M764" s="10">
        <v>0</v>
      </c>
      <c r="N764" s="10">
        <v>0</v>
      </c>
      <c r="O764" s="10">
        <v>0</v>
      </c>
    </row>
    <row r="765" spans="1:15" x14ac:dyDescent="0.2">
      <c r="A765" s="10" t="s">
        <v>598</v>
      </c>
      <c r="B765" s="10" t="s">
        <v>267</v>
      </c>
      <c r="C765" s="10" t="s">
        <v>112</v>
      </c>
      <c r="D765" s="10" t="s">
        <v>51</v>
      </c>
      <c r="E765" s="10" t="s">
        <v>52</v>
      </c>
      <c r="F765" s="10" t="s">
        <v>74</v>
      </c>
      <c r="G765" s="10" t="b">
        <f>FALSE()</f>
        <v>0</v>
      </c>
      <c r="H765" s="10">
        <v>1</v>
      </c>
      <c r="I765" s="10">
        <v>0</v>
      </c>
      <c r="J765" s="10">
        <v>1</v>
      </c>
      <c r="K765" s="10">
        <v>72</v>
      </c>
      <c r="L765" s="10">
        <v>72</v>
      </c>
      <c r="M765" s="10">
        <v>0</v>
      </c>
      <c r="N765" s="10">
        <v>0</v>
      </c>
      <c r="O765" s="10">
        <v>0</v>
      </c>
    </row>
    <row r="766" spans="1:15" x14ac:dyDescent="0.2">
      <c r="A766" s="10" t="s">
        <v>571</v>
      </c>
      <c r="B766" s="10" t="s">
        <v>572</v>
      </c>
      <c r="C766" s="10" t="s">
        <v>112</v>
      </c>
      <c r="D766" s="10" t="s">
        <v>51</v>
      </c>
      <c r="E766" s="10" t="s">
        <v>52</v>
      </c>
      <c r="F766" s="10" t="s">
        <v>74</v>
      </c>
      <c r="G766" s="10" t="b">
        <f>FALSE()</f>
        <v>0</v>
      </c>
      <c r="H766" s="10">
        <v>1</v>
      </c>
      <c r="I766" s="10">
        <v>0</v>
      </c>
      <c r="J766" s="10">
        <v>1</v>
      </c>
      <c r="K766" s="10">
        <v>84</v>
      </c>
      <c r="L766" s="10">
        <v>72</v>
      </c>
      <c r="M766" s="10">
        <v>0</v>
      </c>
      <c r="N766" s="10">
        <v>0</v>
      </c>
      <c r="O766" s="10">
        <v>0</v>
      </c>
    </row>
    <row r="767" spans="1:15" x14ac:dyDescent="0.2">
      <c r="A767" s="10" t="s">
        <v>383</v>
      </c>
      <c r="B767" s="10" t="s">
        <v>384</v>
      </c>
      <c r="C767" s="10" t="s">
        <v>50</v>
      </c>
      <c r="D767" s="10" t="s">
        <v>51</v>
      </c>
      <c r="E767" s="10" t="s">
        <v>52</v>
      </c>
      <c r="F767" s="10" t="s">
        <v>212</v>
      </c>
      <c r="G767" s="10" t="b">
        <f>FALSE()</f>
        <v>0</v>
      </c>
      <c r="H767" s="10">
        <v>1</v>
      </c>
      <c r="I767" s="10">
        <v>1</v>
      </c>
      <c r="J767" s="10">
        <v>2</v>
      </c>
      <c r="K767" s="10">
        <v>71</v>
      </c>
      <c r="L767" s="10">
        <v>71</v>
      </c>
      <c r="M767" s="10">
        <v>1</v>
      </c>
      <c r="N767" s="10">
        <v>131</v>
      </c>
      <c r="O767" s="10">
        <v>116</v>
      </c>
    </row>
    <row r="768" spans="1:15" x14ac:dyDescent="0.2">
      <c r="A768" s="10" t="s">
        <v>630</v>
      </c>
      <c r="B768" s="10" t="s">
        <v>104</v>
      </c>
      <c r="C768" s="10" t="s">
        <v>105</v>
      </c>
      <c r="D768" s="10" t="s">
        <v>45</v>
      </c>
      <c r="E768" s="10" t="s">
        <v>46</v>
      </c>
      <c r="F768" s="10" t="s">
        <v>47</v>
      </c>
      <c r="G768" s="10" t="b">
        <f>FALSE()</f>
        <v>0</v>
      </c>
      <c r="H768" s="10">
        <v>1</v>
      </c>
      <c r="I768" s="10">
        <v>0</v>
      </c>
      <c r="J768" s="10">
        <v>2</v>
      </c>
      <c r="K768" s="10">
        <v>50</v>
      </c>
      <c r="L768" s="10">
        <v>71</v>
      </c>
      <c r="M768" s="10">
        <v>0</v>
      </c>
      <c r="N768" s="10">
        <v>0</v>
      </c>
      <c r="O768" s="10">
        <v>0</v>
      </c>
    </row>
    <row r="769" spans="1:15" x14ac:dyDescent="0.2">
      <c r="A769" s="10" t="s">
        <v>631</v>
      </c>
      <c r="B769" s="10" t="s">
        <v>285</v>
      </c>
      <c r="C769" s="10" t="s">
        <v>105</v>
      </c>
      <c r="D769" s="10" t="s">
        <v>45</v>
      </c>
      <c r="E769" s="10" t="s">
        <v>46</v>
      </c>
      <c r="F769" s="10" t="s">
        <v>85</v>
      </c>
      <c r="G769" s="10" t="b">
        <f>FALSE()</f>
        <v>0</v>
      </c>
      <c r="H769" s="10">
        <v>1</v>
      </c>
      <c r="I769" s="10">
        <v>1</v>
      </c>
      <c r="J769" s="10">
        <v>1</v>
      </c>
      <c r="K769" s="10">
        <v>71</v>
      </c>
      <c r="L769" s="10">
        <v>70</v>
      </c>
      <c r="M769" s="10">
        <v>1</v>
      </c>
      <c r="N769" s="10">
        <v>92</v>
      </c>
      <c r="O769" s="10">
        <v>89</v>
      </c>
    </row>
    <row r="770" spans="1:15" x14ac:dyDescent="0.2">
      <c r="A770" s="10" t="s">
        <v>502</v>
      </c>
      <c r="B770" s="10" t="s">
        <v>302</v>
      </c>
      <c r="C770" s="10" t="s">
        <v>117</v>
      </c>
      <c r="D770" s="10" t="s">
        <v>51</v>
      </c>
      <c r="E770" s="10" t="s">
        <v>52</v>
      </c>
      <c r="F770" s="10" t="s">
        <v>434</v>
      </c>
      <c r="G770" s="10" t="b">
        <f>FALSE()</f>
        <v>0</v>
      </c>
      <c r="H770" s="10">
        <v>1</v>
      </c>
      <c r="I770" s="10">
        <v>1</v>
      </c>
      <c r="J770" s="10">
        <v>2</v>
      </c>
      <c r="K770" s="10">
        <v>167</v>
      </c>
      <c r="L770" s="10">
        <v>70</v>
      </c>
      <c r="M770" s="10">
        <v>1</v>
      </c>
      <c r="N770" s="10">
        <v>80</v>
      </c>
      <c r="O770" s="10">
        <v>74</v>
      </c>
    </row>
    <row r="771" spans="1:15" x14ac:dyDescent="0.2">
      <c r="A771" s="10" t="s">
        <v>620</v>
      </c>
      <c r="B771" s="10" t="s">
        <v>116</v>
      </c>
      <c r="C771" s="10" t="s">
        <v>117</v>
      </c>
      <c r="D771" s="10" t="s">
        <v>51</v>
      </c>
      <c r="E771" s="10" t="s">
        <v>52</v>
      </c>
      <c r="F771" s="10" t="s">
        <v>61</v>
      </c>
      <c r="G771" s="10" t="b">
        <f>FALSE()</f>
        <v>0</v>
      </c>
      <c r="H771" s="10">
        <v>1</v>
      </c>
      <c r="I771" s="10">
        <v>0</v>
      </c>
      <c r="J771" s="10">
        <v>1</v>
      </c>
      <c r="K771" s="10">
        <v>72</v>
      </c>
      <c r="L771" s="10">
        <v>70</v>
      </c>
      <c r="M771" s="10">
        <v>0</v>
      </c>
      <c r="N771" s="10">
        <v>0</v>
      </c>
      <c r="O771" s="10">
        <v>0</v>
      </c>
    </row>
    <row r="772" spans="1:15" x14ac:dyDescent="0.2">
      <c r="A772" s="10" t="s">
        <v>476</v>
      </c>
      <c r="B772" s="10" t="s">
        <v>477</v>
      </c>
      <c r="C772" s="10" t="s">
        <v>50</v>
      </c>
      <c r="D772" s="10" t="s">
        <v>51</v>
      </c>
      <c r="E772" s="10" t="s">
        <v>52</v>
      </c>
      <c r="F772" s="10" t="s">
        <v>153</v>
      </c>
      <c r="G772" s="10" t="b">
        <f>FALSE()</f>
        <v>0</v>
      </c>
      <c r="H772" s="10">
        <v>1</v>
      </c>
      <c r="I772" s="10">
        <v>0</v>
      </c>
      <c r="J772" s="10">
        <v>3</v>
      </c>
      <c r="K772" s="10">
        <v>107</v>
      </c>
      <c r="L772" s="10">
        <v>70</v>
      </c>
      <c r="M772" s="10">
        <v>0</v>
      </c>
      <c r="N772" s="10">
        <v>0</v>
      </c>
      <c r="O772" s="10">
        <v>0</v>
      </c>
    </row>
    <row r="773" spans="1:15" x14ac:dyDescent="0.2">
      <c r="A773" s="10" t="s">
        <v>630</v>
      </c>
      <c r="B773" s="10" t="s">
        <v>104</v>
      </c>
      <c r="C773" s="10" t="s">
        <v>105</v>
      </c>
      <c r="D773" s="10" t="s">
        <v>45</v>
      </c>
      <c r="E773" s="10" t="s">
        <v>46</v>
      </c>
      <c r="F773" s="10" t="s">
        <v>92</v>
      </c>
      <c r="G773" s="10" t="b">
        <f>FALSE()</f>
        <v>0</v>
      </c>
      <c r="H773" s="10">
        <v>1</v>
      </c>
      <c r="I773" s="10">
        <v>0</v>
      </c>
      <c r="J773" s="10">
        <v>0</v>
      </c>
      <c r="K773" s="10">
        <v>0</v>
      </c>
      <c r="L773" s="10">
        <v>70</v>
      </c>
      <c r="M773" s="10">
        <v>0</v>
      </c>
      <c r="N773" s="10">
        <v>0</v>
      </c>
      <c r="O773" s="10">
        <v>0</v>
      </c>
    </row>
    <row r="774" spans="1:15" x14ac:dyDescent="0.2">
      <c r="A774" s="10" t="s">
        <v>632</v>
      </c>
      <c r="B774" s="10" t="s">
        <v>633</v>
      </c>
      <c r="C774" s="10" t="s">
        <v>90</v>
      </c>
      <c r="D774" s="10" t="s">
        <v>51</v>
      </c>
      <c r="E774" s="10" t="s">
        <v>52</v>
      </c>
      <c r="F774" s="10" t="s">
        <v>61</v>
      </c>
      <c r="G774" s="10" t="b">
        <f>FALSE()</f>
        <v>0</v>
      </c>
      <c r="H774" s="10">
        <v>1</v>
      </c>
      <c r="I774" s="10">
        <v>0</v>
      </c>
      <c r="J774" s="10">
        <v>2</v>
      </c>
      <c r="K774" s="10">
        <v>76</v>
      </c>
      <c r="L774" s="10">
        <v>70</v>
      </c>
      <c r="M774" s="10">
        <v>0</v>
      </c>
      <c r="N774" s="10">
        <v>0</v>
      </c>
      <c r="O774" s="10">
        <v>0</v>
      </c>
    </row>
    <row r="775" spans="1:15" x14ac:dyDescent="0.2">
      <c r="A775" s="10" t="s">
        <v>634</v>
      </c>
      <c r="B775" s="10" t="s">
        <v>321</v>
      </c>
      <c r="C775" s="10" t="s">
        <v>245</v>
      </c>
      <c r="D775" s="10" t="s">
        <v>51</v>
      </c>
      <c r="E775" s="10" t="s">
        <v>52</v>
      </c>
      <c r="F775" s="10" t="s">
        <v>212</v>
      </c>
      <c r="G775" s="10" t="b">
        <f>FALSE()</f>
        <v>0</v>
      </c>
      <c r="H775" s="10">
        <v>1</v>
      </c>
      <c r="I775" s="10">
        <v>0</v>
      </c>
      <c r="J775" s="10">
        <v>1</v>
      </c>
      <c r="K775" s="10">
        <v>136</v>
      </c>
      <c r="L775" s="10">
        <v>70</v>
      </c>
      <c r="M775" s="10">
        <v>0</v>
      </c>
      <c r="N775" s="10">
        <v>0</v>
      </c>
      <c r="O775" s="10">
        <v>0</v>
      </c>
    </row>
    <row r="776" spans="1:15" x14ac:dyDescent="0.2">
      <c r="A776" s="10" t="s">
        <v>417</v>
      </c>
      <c r="B776" s="10" t="s">
        <v>456</v>
      </c>
      <c r="C776" s="10" t="s">
        <v>245</v>
      </c>
      <c r="D776" s="10" t="s">
        <v>51</v>
      </c>
      <c r="E776" s="10" t="s">
        <v>52</v>
      </c>
      <c r="F776" s="10" t="s">
        <v>79</v>
      </c>
      <c r="G776" s="10" t="b">
        <f>FALSE()</f>
        <v>0</v>
      </c>
      <c r="H776" s="10">
        <v>1</v>
      </c>
      <c r="I776" s="10">
        <v>0</v>
      </c>
      <c r="J776" s="10">
        <v>2</v>
      </c>
      <c r="K776" s="10">
        <v>70</v>
      </c>
      <c r="L776" s="10">
        <v>70</v>
      </c>
      <c r="M776" s="10">
        <v>0</v>
      </c>
      <c r="N776" s="10">
        <v>0</v>
      </c>
      <c r="O776" s="10">
        <v>0</v>
      </c>
    </row>
    <row r="777" spans="1:15" x14ac:dyDescent="0.2">
      <c r="A777" s="10" t="s">
        <v>484</v>
      </c>
      <c r="B777" s="10" t="s">
        <v>485</v>
      </c>
      <c r="C777" s="10" t="s">
        <v>245</v>
      </c>
      <c r="D777" s="10" t="s">
        <v>51</v>
      </c>
      <c r="E777" s="10" t="s">
        <v>52</v>
      </c>
      <c r="F777" s="10" t="s">
        <v>153</v>
      </c>
      <c r="G777" s="10" t="b">
        <f>FALSE()</f>
        <v>0</v>
      </c>
      <c r="H777" s="10">
        <v>1</v>
      </c>
      <c r="I777" s="10">
        <v>0</v>
      </c>
      <c r="J777" s="10">
        <v>2</v>
      </c>
      <c r="K777" s="10">
        <v>623</v>
      </c>
      <c r="L777" s="10">
        <v>70</v>
      </c>
      <c r="M777" s="10">
        <v>0</v>
      </c>
      <c r="N777" s="10">
        <v>0</v>
      </c>
      <c r="O777" s="10">
        <v>0</v>
      </c>
    </row>
    <row r="778" spans="1:15" x14ac:dyDescent="0.2">
      <c r="A778" s="10" t="s">
        <v>635</v>
      </c>
      <c r="B778" s="10" t="s">
        <v>407</v>
      </c>
      <c r="C778" s="10" t="s">
        <v>112</v>
      </c>
      <c r="D778" s="10" t="s">
        <v>51</v>
      </c>
      <c r="E778" s="10" t="s">
        <v>52</v>
      </c>
      <c r="F778" s="10" t="s">
        <v>126</v>
      </c>
      <c r="G778" s="10" t="b">
        <f>FALSE()</f>
        <v>0</v>
      </c>
      <c r="H778" s="10">
        <v>1</v>
      </c>
      <c r="I778" s="10">
        <v>0</v>
      </c>
      <c r="J778" s="10">
        <v>1</v>
      </c>
      <c r="K778" s="10">
        <v>60</v>
      </c>
      <c r="L778" s="10">
        <v>70</v>
      </c>
      <c r="M778" s="10">
        <v>0</v>
      </c>
      <c r="N778" s="10">
        <v>0</v>
      </c>
      <c r="O778" s="10">
        <v>0</v>
      </c>
    </row>
    <row r="779" spans="1:15" x14ac:dyDescent="0.2">
      <c r="A779" s="10" t="s">
        <v>410</v>
      </c>
      <c r="B779" s="10" t="s">
        <v>321</v>
      </c>
      <c r="C779" s="10" t="s">
        <v>245</v>
      </c>
      <c r="D779" s="10" t="s">
        <v>51</v>
      </c>
      <c r="E779" s="10" t="s">
        <v>52</v>
      </c>
      <c r="F779" s="10" t="s">
        <v>75</v>
      </c>
      <c r="G779" s="10" t="b">
        <f>FALSE()</f>
        <v>0</v>
      </c>
      <c r="H779" s="10">
        <v>1</v>
      </c>
      <c r="I779" s="10">
        <v>1</v>
      </c>
      <c r="J779" s="10">
        <v>3</v>
      </c>
      <c r="K779" s="10">
        <v>83</v>
      </c>
      <c r="L779" s="10">
        <v>69</v>
      </c>
      <c r="M779" s="10">
        <v>1</v>
      </c>
      <c r="N779" s="10">
        <v>179</v>
      </c>
      <c r="O779" s="10">
        <v>179</v>
      </c>
    </row>
    <row r="780" spans="1:15" x14ac:dyDescent="0.2">
      <c r="A780" s="10" t="s">
        <v>636</v>
      </c>
      <c r="B780" s="10" t="s">
        <v>165</v>
      </c>
      <c r="C780" s="10" t="s">
        <v>112</v>
      </c>
      <c r="D780" s="10" t="s">
        <v>51</v>
      </c>
      <c r="E780" s="10" t="s">
        <v>52</v>
      </c>
      <c r="F780" s="10" t="s">
        <v>61</v>
      </c>
      <c r="G780" s="10" t="b">
        <f>FALSE()</f>
        <v>0</v>
      </c>
      <c r="H780" s="10">
        <v>1</v>
      </c>
      <c r="I780" s="10">
        <v>1</v>
      </c>
      <c r="J780" s="10">
        <v>2</v>
      </c>
      <c r="K780" s="10">
        <v>52</v>
      </c>
      <c r="L780" s="10">
        <v>69</v>
      </c>
      <c r="M780" s="10">
        <v>1</v>
      </c>
      <c r="N780" s="10">
        <v>132</v>
      </c>
      <c r="O780" s="10">
        <v>132</v>
      </c>
    </row>
    <row r="781" spans="1:15" x14ac:dyDescent="0.2">
      <c r="A781" s="10" t="s">
        <v>176</v>
      </c>
      <c r="B781" s="10" t="s">
        <v>104</v>
      </c>
      <c r="C781" s="10" t="s">
        <v>105</v>
      </c>
      <c r="D781" s="10" t="s">
        <v>45</v>
      </c>
      <c r="E781" s="10" t="s">
        <v>46</v>
      </c>
      <c r="F781" s="10" t="s">
        <v>251</v>
      </c>
      <c r="G781" s="10" t="b">
        <f>FALSE()</f>
        <v>0</v>
      </c>
      <c r="H781" s="10">
        <v>1</v>
      </c>
      <c r="I781" s="10">
        <v>1</v>
      </c>
      <c r="J781" s="10">
        <v>2</v>
      </c>
      <c r="K781" s="10">
        <v>72</v>
      </c>
      <c r="L781" s="10">
        <v>69</v>
      </c>
      <c r="M781" s="10">
        <v>1</v>
      </c>
      <c r="N781" s="10">
        <v>67</v>
      </c>
      <c r="O781" s="10">
        <v>67</v>
      </c>
    </row>
    <row r="782" spans="1:15" x14ac:dyDescent="0.2">
      <c r="A782" s="10" t="s">
        <v>580</v>
      </c>
      <c r="B782" s="10" t="s">
        <v>78</v>
      </c>
      <c r="C782" s="10" t="s">
        <v>50</v>
      </c>
      <c r="D782" s="10" t="s">
        <v>51</v>
      </c>
      <c r="E782" s="10" t="s">
        <v>52</v>
      </c>
      <c r="F782" s="10" t="s">
        <v>83</v>
      </c>
      <c r="G782" s="10" t="b">
        <f>TRUE()</f>
        <v>1</v>
      </c>
      <c r="H782" s="10">
        <v>1</v>
      </c>
      <c r="I782" s="10">
        <v>1</v>
      </c>
      <c r="J782" s="10">
        <v>1</v>
      </c>
      <c r="K782" s="10">
        <v>44</v>
      </c>
      <c r="L782" s="10">
        <v>69</v>
      </c>
      <c r="M782" s="10">
        <v>1</v>
      </c>
      <c r="N782" s="10">
        <v>51</v>
      </c>
      <c r="O782" s="10">
        <v>51</v>
      </c>
    </row>
    <row r="783" spans="1:15" x14ac:dyDescent="0.2">
      <c r="A783" s="10" t="s">
        <v>463</v>
      </c>
      <c r="B783" s="10" t="s">
        <v>72</v>
      </c>
      <c r="C783" s="10" t="s">
        <v>73</v>
      </c>
      <c r="D783" s="10" t="s">
        <v>45</v>
      </c>
      <c r="E783" s="10" t="s">
        <v>46</v>
      </c>
      <c r="F783" s="10" t="s">
        <v>53</v>
      </c>
      <c r="G783" s="10" t="b">
        <f>FALSE()</f>
        <v>0</v>
      </c>
      <c r="H783" s="10">
        <v>1</v>
      </c>
      <c r="I783" s="10">
        <v>0</v>
      </c>
      <c r="J783" s="10">
        <v>1</v>
      </c>
      <c r="K783" s="10">
        <v>69</v>
      </c>
      <c r="L783" s="10">
        <v>69</v>
      </c>
      <c r="M783" s="10">
        <v>0</v>
      </c>
      <c r="N783" s="10">
        <v>0</v>
      </c>
      <c r="O783" s="10">
        <v>0</v>
      </c>
    </row>
    <row r="784" spans="1:15" x14ac:dyDescent="0.2">
      <c r="A784" s="10" t="s">
        <v>630</v>
      </c>
      <c r="B784" s="10" t="s">
        <v>104</v>
      </c>
      <c r="C784" s="10" t="s">
        <v>105</v>
      </c>
      <c r="D784" s="10" t="s">
        <v>45</v>
      </c>
      <c r="E784" s="10" t="s">
        <v>46</v>
      </c>
      <c r="F784" s="10" t="s">
        <v>61</v>
      </c>
      <c r="G784" s="10" t="b">
        <f>FALSE()</f>
        <v>0</v>
      </c>
      <c r="H784" s="10">
        <v>1</v>
      </c>
      <c r="I784" s="10">
        <v>0</v>
      </c>
      <c r="J784" s="10">
        <v>2</v>
      </c>
      <c r="K784" s="10">
        <v>75</v>
      </c>
      <c r="L784" s="10">
        <v>69</v>
      </c>
      <c r="M784" s="10">
        <v>0</v>
      </c>
      <c r="N784" s="10">
        <v>0</v>
      </c>
      <c r="O784" s="10">
        <v>0</v>
      </c>
    </row>
    <row r="785" spans="1:15" x14ac:dyDescent="0.2">
      <c r="A785" s="10" t="s">
        <v>554</v>
      </c>
      <c r="B785" s="10" t="s">
        <v>555</v>
      </c>
      <c r="C785" s="10" t="s">
        <v>245</v>
      </c>
      <c r="D785" s="10" t="s">
        <v>51</v>
      </c>
      <c r="E785" s="10" t="s">
        <v>52</v>
      </c>
      <c r="F785" s="10" t="s">
        <v>113</v>
      </c>
      <c r="G785" s="10" t="b">
        <f>TRUE()</f>
        <v>1</v>
      </c>
      <c r="H785" s="10">
        <v>1</v>
      </c>
      <c r="I785" s="10">
        <v>0</v>
      </c>
      <c r="J785" s="10">
        <v>1</v>
      </c>
      <c r="K785" s="10">
        <v>54</v>
      </c>
      <c r="L785" s="10">
        <v>69</v>
      </c>
      <c r="M785" s="10">
        <v>0</v>
      </c>
      <c r="N785" s="10">
        <v>0</v>
      </c>
      <c r="O785" s="10">
        <v>0</v>
      </c>
    </row>
    <row r="786" spans="1:15" x14ac:dyDescent="0.2">
      <c r="A786" s="10" t="s">
        <v>637</v>
      </c>
      <c r="B786" s="10" t="s">
        <v>63</v>
      </c>
      <c r="C786" s="10" t="s">
        <v>64</v>
      </c>
      <c r="D786" s="10" t="s">
        <v>45</v>
      </c>
      <c r="E786" s="10" t="s">
        <v>46</v>
      </c>
      <c r="F786" s="10" t="s">
        <v>94</v>
      </c>
      <c r="G786" s="10" t="b">
        <f>FALSE()</f>
        <v>0</v>
      </c>
      <c r="H786" s="10">
        <v>1</v>
      </c>
      <c r="I786" s="10">
        <v>0</v>
      </c>
      <c r="J786" s="10">
        <v>2</v>
      </c>
      <c r="K786" s="10">
        <v>99</v>
      </c>
      <c r="L786" s="10">
        <v>69</v>
      </c>
      <c r="M786" s="10">
        <v>0</v>
      </c>
      <c r="N786" s="10">
        <v>0</v>
      </c>
      <c r="O786" s="10">
        <v>0</v>
      </c>
    </row>
    <row r="787" spans="1:15" x14ac:dyDescent="0.2">
      <c r="A787" s="10" t="s">
        <v>638</v>
      </c>
      <c r="B787" s="10" t="s">
        <v>477</v>
      </c>
      <c r="C787" s="10" t="s">
        <v>50</v>
      </c>
      <c r="D787" s="10" t="s">
        <v>51</v>
      </c>
      <c r="E787" s="10" t="s">
        <v>52</v>
      </c>
      <c r="F787" s="10" t="s">
        <v>53</v>
      </c>
      <c r="G787" s="10" t="b">
        <f>FALSE()</f>
        <v>0</v>
      </c>
      <c r="H787" s="10">
        <v>1</v>
      </c>
      <c r="I787" s="10">
        <v>0</v>
      </c>
      <c r="J787" s="10">
        <v>1</v>
      </c>
      <c r="K787" s="10">
        <v>76</v>
      </c>
      <c r="L787" s="10">
        <v>69</v>
      </c>
      <c r="M787" s="10">
        <v>0</v>
      </c>
      <c r="N787" s="10">
        <v>0</v>
      </c>
      <c r="O787" s="10">
        <v>0</v>
      </c>
    </row>
    <row r="788" spans="1:15" x14ac:dyDescent="0.2">
      <c r="A788" s="10" t="s">
        <v>490</v>
      </c>
      <c r="B788" s="10" t="s">
        <v>172</v>
      </c>
      <c r="C788" s="10" t="s">
        <v>44</v>
      </c>
      <c r="D788" s="10" t="s">
        <v>45</v>
      </c>
      <c r="E788" s="10" t="s">
        <v>46</v>
      </c>
      <c r="F788" s="10" t="s">
        <v>94</v>
      </c>
      <c r="G788" s="10" t="b">
        <f>FALSE()</f>
        <v>0</v>
      </c>
      <c r="H788" s="10">
        <v>1</v>
      </c>
      <c r="I788" s="10">
        <v>1</v>
      </c>
      <c r="J788" s="10">
        <v>2</v>
      </c>
      <c r="K788" s="10">
        <v>69</v>
      </c>
      <c r="L788" s="10">
        <v>68</v>
      </c>
      <c r="M788" s="10">
        <v>1</v>
      </c>
      <c r="N788" s="10">
        <v>65</v>
      </c>
      <c r="O788" s="10">
        <v>65</v>
      </c>
    </row>
    <row r="789" spans="1:15" x14ac:dyDescent="0.2">
      <c r="A789" s="10" t="s">
        <v>639</v>
      </c>
      <c r="B789" s="10" t="s">
        <v>163</v>
      </c>
      <c r="C789" s="10" t="s">
        <v>90</v>
      </c>
      <c r="D789" s="10" t="s">
        <v>51</v>
      </c>
      <c r="E789" s="10" t="s">
        <v>52</v>
      </c>
      <c r="F789" s="10" t="s">
        <v>345</v>
      </c>
      <c r="G789" s="10" t="b">
        <f>FALSE()</f>
        <v>0</v>
      </c>
      <c r="H789" s="10">
        <v>1</v>
      </c>
      <c r="I789" s="10">
        <v>0</v>
      </c>
      <c r="J789" s="10">
        <v>2</v>
      </c>
      <c r="K789" s="10">
        <v>75</v>
      </c>
      <c r="L789" s="10">
        <v>68</v>
      </c>
      <c r="M789" s="10">
        <v>0</v>
      </c>
      <c r="N789" s="10">
        <v>0</v>
      </c>
      <c r="O789" s="10">
        <v>0</v>
      </c>
    </row>
    <row r="790" spans="1:15" x14ac:dyDescent="0.2">
      <c r="A790" s="10" t="s">
        <v>594</v>
      </c>
      <c r="B790" s="10" t="s">
        <v>55</v>
      </c>
      <c r="C790" s="10" t="s">
        <v>56</v>
      </c>
      <c r="D790" s="10" t="s">
        <v>45</v>
      </c>
      <c r="E790" s="10" t="s">
        <v>46</v>
      </c>
      <c r="F790" s="10" t="s">
        <v>61</v>
      </c>
      <c r="G790" s="10" t="b">
        <f>FALSE()</f>
        <v>0</v>
      </c>
      <c r="H790" s="10">
        <v>1</v>
      </c>
      <c r="I790" s="10">
        <v>0</v>
      </c>
      <c r="J790" s="10">
        <v>3</v>
      </c>
      <c r="K790" s="10">
        <v>77</v>
      </c>
      <c r="L790" s="10">
        <v>68</v>
      </c>
      <c r="M790" s="10">
        <v>0</v>
      </c>
      <c r="N790" s="10">
        <v>0</v>
      </c>
      <c r="O790" s="10">
        <v>0</v>
      </c>
    </row>
    <row r="791" spans="1:15" x14ac:dyDescent="0.2">
      <c r="A791" s="10" t="s">
        <v>594</v>
      </c>
      <c r="B791" s="10" t="s">
        <v>55</v>
      </c>
      <c r="C791" s="10" t="s">
        <v>56</v>
      </c>
      <c r="D791" s="10" t="s">
        <v>45</v>
      </c>
      <c r="E791" s="10" t="s">
        <v>46</v>
      </c>
      <c r="F791" s="10" t="s">
        <v>640</v>
      </c>
      <c r="G791" s="10" t="b">
        <f>FALSE()</f>
        <v>0</v>
      </c>
      <c r="H791" s="10">
        <v>1</v>
      </c>
      <c r="I791" s="10">
        <v>0</v>
      </c>
      <c r="J791" s="10">
        <v>1</v>
      </c>
      <c r="K791" s="10">
        <v>76</v>
      </c>
      <c r="L791" s="10">
        <v>68</v>
      </c>
      <c r="M791" s="10">
        <v>0</v>
      </c>
      <c r="N791" s="10">
        <v>0</v>
      </c>
      <c r="O791" s="10">
        <v>0</v>
      </c>
    </row>
    <row r="792" spans="1:15" x14ac:dyDescent="0.2">
      <c r="A792" s="10" t="s">
        <v>641</v>
      </c>
      <c r="B792" s="10" t="s">
        <v>89</v>
      </c>
      <c r="C792" s="10" t="s">
        <v>90</v>
      </c>
      <c r="D792" s="10" t="s">
        <v>51</v>
      </c>
      <c r="E792" s="10" t="s">
        <v>52</v>
      </c>
      <c r="F792" s="10" t="s">
        <v>94</v>
      </c>
      <c r="G792" s="10" t="b">
        <f>FALSE()</f>
        <v>0</v>
      </c>
      <c r="H792" s="10">
        <v>1</v>
      </c>
      <c r="I792" s="10">
        <v>0</v>
      </c>
      <c r="J792" s="10">
        <v>1</v>
      </c>
      <c r="K792" s="10">
        <v>71</v>
      </c>
      <c r="L792" s="10">
        <v>68</v>
      </c>
      <c r="M792" s="10">
        <v>0</v>
      </c>
      <c r="N792" s="10">
        <v>0</v>
      </c>
      <c r="O792" s="10">
        <v>0</v>
      </c>
    </row>
    <row r="793" spans="1:15" x14ac:dyDescent="0.2">
      <c r="A793" s="10" t="s">
        <v>642</v>
      </c>
      <c r="B793" s="10" t="s">
        <v>55</v>
      </c>
      <c r="C793" s="10" t="s">
        <v>56</v>
      </c>
      <c r="D793" s="10" t="s">
        <v>45</v>
      </c>
      <c r="E793" s="10" t="s">
        <v>46</v>
      </c>
      <c r="F793" s="10" t="s">
        <v>47</v>
      </c>
      <c r="G793" s="10" t="b">
        <f>FALSE()</f>
        <v>0</v>
      </c>
      <c r="H793" s="10">
        <v>1</v>
      </c>
      <c r="I793" s="10">
        <v>0</v>
      </c>
      <c r="J793" s="10">
        <v>1</v>
      </c>
      <c r="K793" s="10">
        <v>147</v>
      </c>
      <c r="L793" s="10">
        <v>68</v>
      </c>
      <c r="M793" s="10">
        <v>0</v>
      </c>
      <c r="N793" s="10">
        <v>0</v>
      </c>
      <c r="O793" s="10">
        <v>0</v>
      </c>
    </row>
    <row r="794" spans="1:15" x14ac:dyDescent="0.2">
      <c r="A794" s="10" t="s">
        <v>492</v>
      </c>
      <c r="B794" s="10" t="s">
        <v>493</v>
      </c>
      <c r="C794" s="10" t="s">
        <v>117</v>
      </c>
      <c r="D794" s="10" t="s">
        <v>51</v>
      </c>
      <c r="E794" s="10" t="s">
        <v>52</v>
      </c>
      <c r="F794" s="10" t="s">
        <v>47</v>
      </c>
      <c r="G794" s="10" t="b">
        <f>FALSE()</f>
        <v>0</v>
      </c>
      <c r="H794" s="10">
        <v>1</v>
      </c>
      <c r="I794" s="10">
        <v>0</v>
      </c>
      <c r="J794" s="10">
        <v>1</v>
      </c>
      <c r="K794" s="10">
        <v>36</v>
      </c>
      <c r="L794" s="10">
        <v>68</v>
      </c>
      <c r="M794" s="10">
        <v>0</v>
      </c>
      <c r="N794" s="10">
        <v>0</v>
      </c>
      <c r="O794" s="10">
        <v>0</v>
      </c>
    </row>
    <row r="795" spans="1:15" x14ac:dyDescent="0.2">
      <c r="A795" s="10" t="s">
        <v>643</v>
      </c>
      <c r="B795" s="10" t="s">
        <v>72</v>
      </c>
      <c r="C795" s="10" t="s">
        <v>73</v>
      </c>
      <c r="D795" s="10" t="s">
        <v>45</v>
      </c>
      <c r="E795" s="10" t="s">
        <v>46</v>
      </c>
      <c r="F795" s="10" t="s">
        <v>74</v>
      </c>
      <c r="G795" s="10" t="b">
        <f>FALSE()</f>
        <v>0</v>
      </c>
      <c r="H795" s="10">
        <v>1</v>
      </c>
      <c r="I795" s="10">
        <v>0</v>
      </c>
      <c r="J795" s="10">
        <v>2</v>
      </c>
      <c r="K795" s="10">
        <v>70</v>
      </c>
      <c r="L795" s="10">
        <v>68</v>
      </c>
      <c r="M795" s="10">
        <v>0</v>
      </c>
      <c r="N795" s="10">
        <v>0</v>
      </c>
      <c r="O795" s="10">
        <v>0</v>
      </c>
    </row>
    <row r="796" spans="1:15" x14ac:dyDescent="0.2">
      <c r="A796" s="10" t="s">
        <v>644</v>
      </c>
      <c r="B796" s="10" t="s">
        <v>96</v>
      </c>
      <c r="C796" s="10" t="s">
        <v>50</v>
      </c>
      <c r="D796" s="10" t="s">
        <v>51</v>
      </c>
      <c r="E796" s="10" t="s">
        <v>52</v>
      </c>
      <c r="F796" s="10" t="s">
        <v>113</v>
      </c>
      <c r="G796" s="10" t="b">
        <f>TRUE()</f>
        <v>1</v>
      </c>
      <c r="H796" s="10">
        <v>1</v>
      </c>
      <c r="I796" s="10">
        <v>0</v>
      </c>
      <c r="J796" s="10">
        <v>2</v>
      </c>
      <c r="K796" s="10">
        <v>68</v>
      </c>
      <c r="L796" s="10">
        <v>68</v>
      </c>
      <c r="M796" s="10">
        <v>0</v>
      </c>
      <c r="N796" s="10">
        <v>0</v>
      </c>
      <c r="O796" s="10">
        <v>0</v>
      </c>
    </row>
    <row r="797" spans="1:15" x14ac:dyDescent="0.2">
      <c r="A797" s="10" t="s">
        <v>299</v>
      </c>
      <c r="B797" s="10" t="s">
        <v>89</v>
      </c>
      <c r="C797" s="10" t="s">
        <v>90</v>
      </c>
      <c r="D797" s="10" t="s">
        <v>51</v>
      </c>
      <c r="E797" s="10" t="s">
        <v>52</v>
      </c>
      <c r="F797" s="10" t="s">
        <v>186</v>
      </c>
      <c r="G797" s="10" t="b">
        <f>TRUE()</f>
        <v>1</v>
      </c>
      <c r="H797" s="10">
        <v>1</v>
      </c>
      <c r="I797" s="10">
        <v>0</v>
      </c>
      <c r="J797" s="10">
        <v>2</v>
      </c>
      <c r="K797" s="10">
        <v>68</v>
      </c>
      <c r="L797" s="10">
        <v>68</v>
      </c>
      <c r="M797" s="10">
        <v>0</v>
      </c>
      <c r="N797" s="10">
        <v>0</v>
      </c>
      <c r="O797" s="10">
        <v>0</v>
      </c>
    </row>
    <row r="798" spans="1:15" x14ac:dyDescent="0.2">
      <c r="A798" s="10" t="s">
        <v>645</v>
      </c>
      <c r="B798" s="10" t="s">
        <v>122</v>
      </c>
      <c r="C798" s="10" t="s">
        <v>112</v>
      </c>
      <c r="D798" s="10" t="s">
        <v>51</v>
      </c>
      <c r="E798" s="10" t="s">
        <v>52</v>
      </c>
      <c r="F798" s="10" t="s">
        <v>123</v>
      </c>
      <c r="G798" s="10" t="b">
        <f>FALSE()</f>
        <v>0</v>
      </c>
      <c r="H798" s="10">
        <v>1</v>
      </c>
      <c r="I798" s="10">
        <v>1</v>
      </c>
      <c r="J798" s="10">
        <v>3</v>
      </c>
      <c r="K798" s="10">
        <v>63</v>
      </c>
      <c r="L798" s="10">
        <v>67</v>
      </c>
      <c r="M798" s="10">
        <v>1</v>
      </c>
      <c r="N798" s="10">
        <v>65</v>
      </c>
      <c r="O798" s="10">
        <v>56</v>
      </c>
    </row>
    <row r="799" spans="1:15" x14ac:dyDescent="0.2">
      <c r="A799" s="10" t="s">
        <v>103</v>
      </c>
      <c r="B799" s="10" t="s">
        <v>104</v>
      </c>
      <c r="C799" s="10" t="s">
        <v>105</v>
      </c>
      <c r="D799" s="10" t="s">
        <v>45</v>
      </c>
      <c r="E799" s="10" t="s">
        <v>46</v>
      </c>
      <c r="F799" s="10" t="s">
        <v>646</v>
      </c>
      <c r="G799" s="10" t="b">
        <f>TRUE()</f>
        <v>1</v>
      </c>
      <c r="H799" s="10">
        <v>1</v>
      </c>
      <c r="I799" s="10">
        <v>1</v>
      </c>
      <c r="J799" s="10">
        <v>2</v>
      </c>
      <c r="K799" s="10">
        <v>81</v>
      </c>
      <c r="L799" s="10">
        <v>67</v>
      </c>
      <c r="M799" s="10">
        <v>1</v>
      </c>
      <c r="N799" s="10">
        <v>46</v>
      </c>
      <c r="O799" s="10">
        <v>46</v>
      </c>
    </row>
    <row r="800" spans="1:15" x14ac:dyDescent="0.2">
      <c r="A800" s="10" t="s">
        <v>290</v>
      </c>
      <c r="B800" s="10" t="s">
        <v>260</v>
      </c>
      <c r="C800" s="10" t="s">
        <v>64</v>
      </c>
      <c r="D800" s="10" t="s">
        <v>45</v>
      </c>
      <c r="E800" s="10" t="s">
        <v>46</v>
      </c>
      <c r="F800" s="10" t="s">
        <v>219</v>
      </c>
      <c r="G800" s="10" t="b">
        <f>FALSE()</f>
        <v>0</v>
      </c>
      <c r="H800" s="10">
        <v>1</v>
      </c>
      <c r="I800" s="10">
        <v>0</v>
      </c>
      <c r="J800" s="10">
        <v>1</v>
      </c>
      <c r="K800" s="10">
        <v>72</v>
      </c>
      <c r="L800" s="10">
        <v>67</v>
      </c>
      <c r="M800" s="10">
        <v>0</v>
      </c>
      <c r="N800" s="10">
        <v>0</v>
      </c>
      <c r="O800" s="10">
        <v>0</v>
      </c>
    </row>
    <row r="801" spans="1:15" x14ac:dyDescent="0.2">
      <c r="A801" s="10" t="s">
        <v>647</v>
      </c>
      <c r="B801" s="10" t="s">
        <v>262</v>
      </c>
      <c r="C801" s="10" t="s">
        <v>105</v>
      </c>
      <c r="D801" s="10" t="s">
        <v>45</v>
      </c>
      <c r="E801" s="10" t="s">
        <v>46</v>
      </c>
      <c r="F801" s="10" t="s">
        <v>47</v>
      </c>
      <c r="G801" s="10" t="b">
        <f>FALSE()</f>
        <v>0</v>
      </c>
      <c r="H801" s="10">
        <v>1</v>
      </c>
      <c r="I801" s="10">
        <v>0</v>
      </c>
      <c r="J801" s="10">
        <v>1</v>
      </c>
      <c r="K801" s="10">
        <v>20</v>
      </c>
      <c r="L801" s="10">
        <v>67</v>
      </c>
      <c r="M801" s="10">
        <v>0</v>
      </c>
      <c r="N801" s="10">
        <v>0</v>
      </c>
      <c r="O801" s="10">
        <v>0</v>
      </c>
    </row>
    <row r="802" spans="1:15" x14ac:dyDescent="0.2">
      <c r="A802" s="10" t="s">
        <v>309</v>
      </c>
      <c r="B802" s="10" t="s">
        <v>146</v>
      </c>
      <c r="C802" s="10" t="s">
        <v>105</v>
      </c>
      <c r="D802" s="10" t="s">
        <v>45</v>
      </c>
      <c r="E802" s="10" t="s">
        <v>46</v>
      </c>
      <c r="F802" s="10" t="s">
        <v>79</v>
      </c>
      <c r="G802" s="10" t="b">
        <f>FALSE()</f>
        <v>0</v>
      </c>
      <c r="H802" s="10">
        <v>1</v>
      </c>
      <c r="I802" s="10">
        <v>0</v>
      </c>
      <c r="J802" s="10">
        <v>1</v>
      </c>
      <c r="K802" s="10">
        <v>67</v>
      </c>
      <c r="L802" s="10">
        <v>67</v>
      </c>
      <c r="M802" s="10">
        <v>0</v>
      </c>
      <c r="N802" s="10">
        <v>0</v>
      </c>
      <c r="O802" s="10">
        <v>0</v>
      </c>
    </row>
    <row r="803" spans="1:15" x14ac:dyDescent="0.2">
      <c r="A803" s="10" t="s">
        <v>648</v>
      </c>
      <c r="B803" s="10" t="s">
        <v>517</v>
      </c>
      <c r="C803" s="10" t="s">
        <v>90</v>
      </c>
      <c r="D803" s="10" t="s">
        <v>51</v>
      </c>
      <c r="E803" s="10" t="s">
        <v>52</v>
      </c>
      <c r="F803" s="10" t="s">
        <v>47</v>
      </c>
      <c r="G803" s="10" t="b">
        <f>FALSE()</f>
        <v>0</v>
      </c>
      <c r="H803" s="10">
        <v>1</v>
      </c>
      <c r="I803" s="10">
        <v>0</v>
      </c>
      <c r="J803" s="10">
        <v>2</v>
      </c>
      <c r="K803" s="10">
        <v>94</v>
      </c>
      <c r="L803" s="10">
        <v>67</v>
      </c>
      <c r="M803" s="10">
        <v>0</v>
      </c>
      <c r="N803" s="10">
        <v>0</v>
      </c>
      <c r="O803" s="10">
        <v>0</v>
      </c>
    </row>
    <row r="804" spans="1:15" x14ac:dyDescent="0.2">
      <c r="A804" s="10" t="s">
        <v>470</v>
      </c>
      <c r="B804" s="10" t="s">
        <v>136</v>
      </c>
      <c r="C804" s="10" t="s">
        <v>73</v>
      </c>
      <c r="D804" s="10" t="s">
        <v>45</v>
      </c>
      <c r="E804" s="10" t="s">
        <v>46</v>
      </c>
      <c r="F804" s="10" t="s">
        <v>47</v>
      </c>
      <c r="G804" s="10" t="b">
        <f>FALSE()</f>
        <v>0</v>
      </c>
      <c r="H804" s="10">
        <v>1</v>
      </c>
      <c r="I804" s="10">
        <v>0</v>
      </c>
      <c r="J804" s="10">
        <v>1</v>
      </c>
      <c r="K804" s="10">
        <v>16</v>
      </c>
      <c r="L804" s="10">
        <v>67</v>
      </c>
      <c r="M804" s="10">
        <v>0</v>
      </c>
      <c r="N804" s="10">
        <v>0</v>
      </c>
      <c r="O804" s="10">
        <v>0</v>
      </c>
    </row>
    <row r="805" spans="1:15" x14ac:dyDescent="0.2">
      <c r="A805" s="10" t="s">
        <v>649</v>
      </c>
      <c r="B805" s="10" t="s">
        <v>193</v>
      </c>
      <c r="C805" s="10" t="s">
        <v>117</v>
      </c>
      <c r="D805" s="10" t="s">
        <v>51</v>
      </c>
      <c r="E805" s="10" t="s">
        <v>52</v>
      </c>
      <c r="F805" s="10" t="s">
        <v>53</v>
      </c>
      <c r="G805" s="10" t="b">
        <f>FALSE()</f>
        <v>0</v>
      </c>
      <c r="H805" s="10">
        <v>1</v>
      </c>
      <c r="I805" s="10">
        <v>0</v>
      </c>
      <c r="J805" s="10">
        <v>1</v>
      </c>
      <c r="K805" s="10">
        <v>53</v>
      </c>
      <c r="L805" s="10">
        <v>67</v>
      </c>
      <c r="M805" s="10">
        <v>0</v>
      </c>
      <c r="N805" s="10">
        <v>0</v>
      </c>
      <c r="O805" s="10">
        <v>0</v>
      </c>
    </row>
    <row r="806" spans="1:15" x14ac:dyDescent="0.2">
      <c r="A806" s="10" t="s">
        <v>650</v>
      </c>
      <c r="B806" s="10" t="s">
        <v>289</v>
      </c>
      <c r="C806" s="10" t="s">
        <v>50</v>
      </c>
      <c r="D806" s="10" t="s">
        <v>51</v>
      </c>
      <c r="E806" s="10" t="s">
        <v>52</v>
      </c>
      <c r="F806" s="10" t="s">
        <v>53</v>
      </c>
      <c r="G806" s="10" t="b">
        <f>FALSE()</f>
        <v>0</v>
      </c>
      <c r="H806" s="10">
        <v>1</v>
      </c>
      <c r="I806" s="10">
        <v>0</v>
      </c>
      <c r="J806" s="10">
        <v>2</v>
      </c>
      <c r="K806" s="10">
        <v>104</v>
      </c>
      <c r="L806" s="10">
        <v>67</v>
      </c>
      <c r="M806" s="10">
        <v>0</v>
      </c>
      <c r="N806" s="10">
        <v>0</v>
      </c>
      <c r="O806" s="10">
        <v>0</v>
      </c>
    </row>
    <row r="807" spans="1:15" x14ac:dyDescent="0.2">
      <c r="A807" s="10" t="s">
        <v>651</v>
      </c>
      <c r="B807" s="10" t="s">
        <v>652</v>
      </c>
      <c r="C807" s="10" t="s">
        <v>117</v>
      </c>
      <c r="D807" s="10" t="s">
        <v>51</v>
      </c>
      <c r="E807" s="10" t="s">
        <v>52</v>
      </c>
      <c r="F807" s="10" t="s">
        <v>102</v>
      </c>
      <c r="G807" s="10" t="b">
        <f>TRUE()</f>
        <v>1</v>
      </c>
      <c r="H807" s="10">
        <v>1</v>
      </c>
      <c r="I807" s="10">
        <v>0</v>
      </c>
      <c r="J807" s="10">
        <v>1</v>
      </c>
      <c r="K807" s="10">
        <v>68</v>
      </c>
      <c r="L807" s="10">
        <v>67</v>
      </c>
      <c r="M807" s="10">
        <v>0</v>
      </c>
      <c r="N807" s="10">
        <v>0</v>
      </c>
      <c r="O807" s="10">
        <v>0</v>
      </c>
    </row>
    <row r="808" spans="1:15" x14ac:dyDescent="0.2">
      <c r="A808" s="10" t="s">
        <v>653</v>
      </c>
      <c r="B808" s="10" t="s">
        <v>359</v>
      </c>
      <c r="C808" s="10" t="s">
        <v>117</v>
      </c>
      <c r="D808" s="10" t="s">
        <v>51</v>
      </c>
      <c r="E808" s="10" t="s">
        <v>52</v>
      </c>
      <c r="F808" s="10" t="s">
        <v>403</v>
      </c>
      <c r="G808" s="10" t="b">
        <f>TRUE()</f>
        <v>1</v>
      </c>
      <c r="H808" s="10">
        <v>1</v>
      </c>
      <c r="I808" s="10">
        <v>0</v>
      </c>
      <c r="J808" s="10">
        <v>1</v>
      </c>
      <c r="K808" s="10">
        <v>71</v>
      </c>
      <c r="L808" s="10">
        <v>67</v>
      </c>
      <c r="M808" s="10">
        <v>0</v>
      </c>
      <c r="N808" s="10">
        <v>0</v>
      </c>
      <c r="O808" s="10">
        <v>0</v>
      </c>
    </row>
    <row r="809" spans="1:15" x14ac:dyDescent="0.2">
      <c r="A809" s="10" t="s">
        <v>654</v>
      </c>
      <c r="B809" s="10" t="s">
        <v>289</v>
      </c>
      <c r="C809" s="10" t="s">
        <v>50</v>
      </c>
      <c r="D809" s="10" t="s">
        <v>51</v>
      </c>
      <c r="E809" s="10" t="s">
        <v>52</v>
      </c>
      <c r="F809" s="10" t="s">
        <v>190</v>
      </c>
      <c r="G809" s="10" t="b">
        <f>TRUE()</f>
        <v>1</v>
      </c>
      <c r="H809" s="10">
        <v>1</v>
      </c>
      <c r="I809" s="10">
        <v>0</v>
      </c>
      <c r="J809" s="10">
        <v>1</v>
      </c>
      <c r="K809" s="10">
        <v>67</v>
      </c>
      <c r="L809" s="10">
        <v>67</v>
      </c>
      <c r="M809" s="10">
        <v>0</v>
      </c>
      <c r="N809" s="10">
        <v>0</v>
      </c>
      <c r="O809" s="10">
        <v>0</v>
      </c>
    </row>
    <row r="810" spans="1:15" x14ac:dyDescent="0.2">
      <c r="A810" s="10" t="s">
        <v>354</v>
      </c>
      <c r="B810" s="10" t="s">
        <v>218</v>
      </c>
      <c r="C810" s="10" t="s">
        <v>73</v>
      </c>
      <c r="D810" s="10" t="s">
        <v>45</v>
      </c>
      <c r="E810" s="10" t="s">
        <v>46</v>
      </c>
      <c r="F810" s="10" t="s">
        <v>153</v>
      </c>
      <c r="G810" s="10" t="b">
        <f>FALSE()</f>
        <v>0</v>
      </c>
      <c r="H810" s="10">
        <v>1</v>
      </c>
      <c r="I810" s="10">
        <v>1</v>
      </c>
      <c r="J810" s="10">
        <v>1</v>
      </c>
      <c r="K810" s="10">
        <v>68</v>
      </c>
      <c r="L810" s="10">
        <v>66</v>
      </c>
      <c r="M810" s="10">
        <v>1</v>
      </c>
      <c r="N810" s="10">
        <v>45</v>
      </c>
      <c r="O810" s="10">
        <v>45</v>
      </c>
    </row>
    <row r="811" spans="1:15" x14ac:dyDescent="0.2">
      <c r="A811" s="10" t="s">
        <v>425</v>
      </c>
      <c r="B811" s="10" t="s">
        <v>178</v>
      </c>
      <c r="C811" s="10" t="s">
        <v>73</v>
      </c>
      <c r="D811" s="10" t="s">
        <v>45</v>
      </c>
      <c r="E811" s="10" t="s">
        <v>46</v>
      </c>
      <c r="F811" s="10" t="s">
        <v>91</v>
      </c>
      <c r="G811" s="10" t="b">
        <f>TRUE()</f>
        <v>1</v>
      </c>
      <c r="H811" s="10">
        <v>1</v>
      </c>
      <c r="I811" s="10">
        <v>1</v>
      </c>
      <c r="J811" s="10">
        <v>1</v>
      </c>
      <c r="K811" s="10">
        <v>91</v>
      </c>
      <c r="L811" s="10">
        <v>66</v>
      </c>
      <c r="M811" s="10">
        <v>1</v>
      </c>
      <c r="N811" s="10">
        <v>25</v>
      </c>
      <c r="O811" s="10">
        <v>25</v>
      </c>
    </row>
    <row r="812" spans="1:15" x14ac:dyDescent="0.2">
      <c r="A812" s="10" t="s">
        <v>655</v>
      </c>
      <c r="B812" s="10" t="s">
        <v>146</v>
      </c>
      <c r="C812" s="10" t="s">
        <v>105</v>
      </c>
      <c r="D812" s="10" t="s">
        <v>45</v>
      </c>
      <c r="E812" s="10" t="s">
        <v>46</v>
      </c>
      <c r="F812" s="10" t="s">
        <v>53</v>
      </c>
      <c r="G812" s="10" t="b">
        <f>FALSE()</f>
        <v>0</v>
      </c>
      <c r="H812" s="10">
        <v>1</v>
      </c>
      <c r="I812" s="10">
        <v>0</v>
      </c>
      <c r="J812" s="10">
        <v>2</v>
      </c>
      <c r="K812" s="10">
        <v>75</v>
      </c>
      <c r="L812" s="10">
        <v>66</v>
      </c>
      <c r="M812" s="10">
        <v>0</v>
      </c>
      <c r="N812" s="10">
        <v>0</v>
      </c>
      <c r="O812" s="10">
        <v>0</v>
      </c>
    </row>
    <row r="813" spans="1:15" x14ac:dyDescent="0.2">
      <c r="A813" s="10" t="s">
        <v>149</v>
      </c>
      <c r="B813" s="10" t="s">
        <v>136</v>
      </c>
      <c r="C813" s="10" t="s">
        <v>73</v>
      </c>
      <c r="D813" s="10" t="s">
        <v>45</v>
      </c>
      <c r="E813" s="10" t="s">
        <v>46</v>
      </c>
      <c r="F813" s="10" t="s">
        <v>53</v>
      </c>
      <c r="G813" s="10" t="b">
        <f>FALSE()</f>
        <v>0</v>
      </c>
      <c r="H813" s="10">
        <v>1</v>
      </c>
      <c r="I813" s="10">
        <v>0</v>
      </c>
      <c r="J813" s="10">
        <v>3</v>
      </c>
      <c r="K813" s="10">
        <v>159</v>
      </c>
      <c r="L813" s="10">
        <v>66</v>
      </c>
      <c r="M813" s="10">
        <v>0</v>
      </c>
      <c r="N813" s="10">
        <v>0</v>
      </c>
      <c r="O813" s="10">
        <v>0</v>
      </c>
    </row>
    <row r="814" spans="1:15" x14ac:dyDescent="0.2">
      <c r="A814" s="10" t="s">
        <v>524</v>
      </c>
      <c r="B814" s="10" t="s">
        <v>285</v>
      </c>
      <c r="C814" s="10" t="s">
        <v>105</v>
      </c>
      <c r="D814" s="10" t="s">
        <v>45</v>
      </c>
      <c r="E814" s="10" t="s">
        <v>46</v>
      </c>
      <c r="F814" s="10" t="s">
        <v>251</v>
      </c>
      <c r="G814" s="10" t="b">
        <f>FALSE()</f>
        <v>0</v>
      </c>
      <c r="H814" s="10">
        <v>1</v>
      </c>
      <c r="I814" s="10">
        <v>0</v>
      </c>
      <c r="J814" s="10">
        <v>0</v>
      </c>
      <c r="K814" s="10">
        <v>0</v>
      </c>
      <c r="L814" s="10">
        <v>66</v>
      </c>
      <c r="M814" s="10">
        <v>0</v>
      </c>
      <c r="N814" s="10">
        <v>0</v>
      </c>
      <c r="O814" s="10">
        <v>0</v>
      </c>
    </row>
    <row r="815" spans="1:15" x14ac:dyDescent="0.2">
      <c r="A815" s="10" t="s">
        <v>148</v>
      </c>
      <c r="B815" s="10" t="s">
        <v>139</v>
      </c>
      <c r="C815" s="10" t="s">
        <v>64</v>
      </c>
      <c r="D815" s="10" t="s">
        <v>45</v>
      </c>
      <c r="E815" s="10" t="s">
        <v>46</v>
      </c>
      <c r="F815" s="10" t="s">
        <v>373</v>
      </c>
      <c r="G815" s="10" t="b">
        <f>FALSE()</f>
        <v>0</v>
      </c>
      <c r="H815" s="10">
        <v>1</v>
      </c>
      <c r="I815" s="10">
        <v>0</v>
      </c>
      <c r="J815" s="10">
        <v>2</v>
      </c>
      <c r="K815" s="10">
        <v>72</v>
      </c>
      <c r="L815" s="10">
        <v>65</v>
      </c>
      <c r="M815" s="10">
        <v>0</v>
      </c>
      <c r="N815" s="10">
        <v>0</v>
      </c>
      <c r="O815" s="10">
        <v>0</v>
      </c>
    </row>
    <row r="816" spans="1:15" x14ac:dyDescent="0.2">
      <c r="A816" s="10" t="s">
        <v>296</v>
      </c>
      <c r="B816" s="10" t="s">
        <v>297</v>
      </c>
      <c r="C816" s="10" t="s">
        <v>117</v>
      </c>
      <c r="D816" s="10" t="s">
        <v>51</v>
      </c>
      <c r="E816" s="10" t="s">
        <v>52</v>
      </c>
      <c r="F816" s="10" t="s">
        <v>91</v>
      </c>
      <c r="G816" s="10" t="b">
        <f>TRUE()</f>
        <v>1</v>
      </c>
      <c r="H816" s="10">
        <v>1</v>
      </c>
      <c r="I816" s="10">
        <v>0</v>
      </c>
      <c r="J816" s="10">
        <v>1</v>
      </c>
      <c r="K816" s="10">
        <v>65</v>
      </c>
      <c r="L816" s="10">
        <v>65</v>
      </c>
      <c r="M816" s="10">
        <v>0</v>
      </c>
      <c r="N816" s="10">
        <v>0</v>
      </c>
      <c r="O816" s="10">
        <v>0</v>
      </c>
    </row>
    <row r="817" spans="1:15" x14ac:dyDescent="0.2">
      <c r="A817" s="10" t="s">
        <v>129</v>
      </c>
      <c r="B817" s="10" t="s">
        <v>130</v>
      </c>
      <c r="C817" s="10" t="s">
        <v>56</v>
      </c>
      <c r="D817" s="10" t="s">
        <v>45</v>
      </c>
      <c r="E817" s="10" t="s">
        <v>46</v>
      </c>
      <c r="F817" s="10" t="s">
        <v>251</v>
      </c>
      <c r="G817" s="10" t="b">
        <f>FALSE()</f>
        <v>0</v>
      </c>
      <c r="H817" s="10">
        <v>1</v>
      </c>
      <c r="I817" s="10">
        <v>0</v>
      </c>
      <c r="J817" s="10">
        <v>1</v>
      </c>
      <c r="K817" s="10">
        <v>40</v>
      </c>
      <c r="L817" s="10">
        <v>65</v>
      </c>
      <c r="M817" s="10">
        <v>0</v>
      </c>
      <c r="N817" s="10">
        <v>0</v>
      </c>
      <c r="O817" s="10">
        <v>0</v>
      </c>
    </row>
    <row r="818" spans="1:15" x14ac:dyDescent="0.2">
      <c r="A818" s="10" t="s">
        <v>510</v>
      </c>
      <c r="B818" s="10" t="s">
        <v>55</v>
      </c>
      <c r="C818" s="10" t="s">
        <v>56</v>
      </c>
      <c r="D818" s="10" t="s">
        <v>45</v>
      </c>
      <c r="E818" s="10" t="s">
        <v>46</v>
      </c>
      <c r="F818" s="10" t="s">
        <v>92</v>
      </c>
      <c r="G818" s="10" t="b">
        <f>FALSE()</f>
        <v>0</v>
      </c>
      <c r="H818" s="10">
        <v>1</v>
      </c>
      <c r="I818" s="10">
        <v>0</v>
      </c>
      <c r="J818" s="10">
        <v>2</v>
      </c>
      <c r="K818" s="10">
        <v>90</v>
      </c>
      <c r="L818" s="10">
        <v>65</v>
      </c>
      <c r="M818" s="10">
        <v>0</v>
      </c>
      <c r="N818" s="10">
        <v>0</v>
      </c>
      <c r="O818" s="10">
        <v>0</v>
      </c>
    </row>
    <row r="819" spans="1:15" x14ac:dyDescent="0.2">
      <c r="A819" s="10" t="s">
        <v>656</v>
      </c>
      <c r="B819" s="10" t="s">
        <v>477</v>
      </c>
      <c r="C819" s="10" t="s">
        <v>50</v>
      </c>
      <c r="D819" s="10" t="s">
        <v>51</v>
      </c>
      <c r="E819" s="10" t="s">
        <v>52</v>
      </c>
      <c r="F819" s="10" t="s">
        <v>132</v>
      </c>
      <c r="G819" s="10" t="b">
        <f>FALSE()</f>
        <v>0</v>
      </c>
      <c r="H819" s="10">
        <v>1</v>
      </c>
      <c r="I819" s="10">
        <v>0</v>
      </c>
      <c r="J819" s="10">
        <v>1</v>
      </c>
      <c r="K819" s="10">
        <v>107</v>
      </c>
      <c r="L819" s="10">
        <v>65</v>
      </c>
      <c r="M819" s="10">
        <v>0</v>
      </c>
      <c r="N819" s="10">
        <v>0</v>
      </c>
      <c r="O819" s="10">
        <v>0</v>
      </c>
    </row>
    <row r="820" spans="1:15" x14ac:dyDescent="0.2">
      <c r="A820" s="10" t="s">
        <v>502</v>
      </c>
      <c r="B820" s="10" t="s">
        <v>302</v>
      </c>
      <c r="C820" s="10" t="s">
        <v>117</v>
      </c>
      <c r="D820" s="10" t="s">
        <v>51</v>
      </c>
      <c r="E820" s="10" t="s">
        <v>52</v>
      </c>
      <c r="F820" s="10" t="s">
        <v>363</v>
      </c>
      <c r="G820" s="10" t="b">
        <f>FALSE()</f>
        <v>0</v>
      </c>
      <c r="H820" s="10">
        <v>1</v>
      </c>
      <c r="I820" s="10">
        <v>0</v>
      </c>
      <c r="J820" s="10">
        <v>1</v>
      </c>
      <c r="K820" s="10">
        <v>124</v>
      </c>
      <c r="L820" s="10">
        <v>64</v>
      </c>
      <c r="M820" s="10">
        <v>0</v>
      </c>
      <c r="N820" s="10">
        <v>0</v>
      </c>
      <c r="O820" s="10">
        <v>0</v>
      </c>
    </row>
    <row r="821" spans="1:15" x14ac:dyDescent="0.2">
      <c r="A821" s="10" t="s">
        <v>596</v>
      </c>
      <c r="B821" s="10" t="s">
        <v>262</v>
      </c>
      <c r="C821" s="10" t="s">
        <v>105</v>
      </c>
      <c r="D821" s="10" t="s">
        <v>45</v>
      </c>
      <c r="E821" s="10" t="s">
        <v>46</v>
      </c>
      <c r="F821" s="10" t="s">
        <v>92</v>
      </c>
      <c r="G821" s="10" t="b">
        <f>FALSE()</f>
        <v>0</v>
      </c>
      <c r="H821" s="10">
        <v>1</v>
      </c>
      <c r="I821" s="10">
        <v>0</v>
      </c>
      <c r="J821" s="10">
        <v>2</v>
      </c>
      <c r="K821" s="10">
        <v>42</v>
      </c>
      <c r="L821" s="10">
        <v>64</v>
      </c>
      <c r="M821" s="10">
        <v>0</v>
      </c>
      <c r="N821" s="10">
        <v>0</v>
      </c>
      <c r="O821" s="10">
        <v>0</v>
      </c>
    </row>
    <row r="822" spans="1:15" x14ac:dyDescent="0.2">
      <c r="A822" s="10" t="s">
        <v>657</v>
      </c>
      <c r="B822" s="10" t="s">
        <v>405</v>
      </c>
      <c r="C822" s="10" t="s">
        <v>112</v>
      </c>
      <c r="D822" s="10" t="s">
        <v>51</v>
      </c>
      <c r="E822" s="10" t="s">
        <v>52</v>
      </c>
      <c r="F822" s="10" t="s">
        <v>183</v>
      </c>
      <c r="G822" s="10" t="b">
        <f>FALSE()</f>
        <v>0</v>
      </c>
      <c r="H822" s="10">
        <v>1</v>
      </c>
      <c r="I822" s="10">
        <v>0</v>
      </c>
      <c r="J822" s="10">
        <v>2</v>
      </c>
      <c r="K822" s="10">
        <v>150</v>
      </c>
      <c r="L822" s="10">
        <v>64</v>
      </c>
      <c r="M822" s="10">
        <v>0</v>
      </c>
      <c r="N822" s="10">
        <v>0</v>
      </c>
      <c r="O822" s="10">
        <v>0</v>
      </c>
    </row>
    <row r="823" spans="1:15" x14ac:dyDescent="0.2">
      <c r="A823" s="10" t="s">
        <v>658</v>
      </c>
      <c r="B823" s="10" t="s">
        <v>136</v>
      </c>
      <c r="C823" s="10" t="s">
        <v>73</v>
      </c>
      <c r="D823" s="10" t="s">
        <v>45</v>
      </c>
      <c r="E823" s="10" t="s">
        <v>46</v>
      </c>
      <c r="F823" s="10" t="s">
        <v>61</v>
      </c>
      <c r="G823" s="10" t="b">
        <f>FALSE()</f>
        <v>0</v>
      </c>
      <c r="H823" s="10">
        <v>1</v>
      </c>
      <c r="I823" s="10">
        <v>0</v>
      </c>
      <c r="J823" s="10">
        <v>1</v>
      </c>
      <c r="K823" s="10">
        <v>64</v>
      </c>
      <c r="L823" s="10">
        <v>64</v>
      </c>
      <c r="M823" s="10">
        <v>0</v>
      </c>
      <c r="N823" s="10">
        <v>0</v>
      </c>
      <c r="O823" s="10">
        <v>0</v>
      </c>
    </row>
    <row r="824" spans="1:15" x14ac:dyDescent="0.2">
      <c r="A824" s="10" t="s">
        <v>546</v>
      </c>
      <c r="B824" s="10" t="s">
        <v>547</v>
      </c>
      <c r="C824" s="10" t="s">
        <v>112</v>
      </c>
      <c r="D824" s="10" t="s">
        <v>51</v>
      </c>
      <c r="E824" s="10" t="s">
        <v>52</v>
      </c>
      <c r="F824" s="10" t="s">
        <v>91</v>
      </c>
      <c r="G824" s="10" t="b">
        <f>TRUE()</f>
        <v>1</v>
      </c>
      <c r="H824" s="10">
        <v>1</v>
      </c>
      <c r="I824" s="10">
        <v>0</v>
      </c>
      <c r="J824" s="10">
        <v>2</v>
      </c>
      <c r="K824" s="10">
        <v>85</v>
      </c>
      <c r="L824" s="10">
        <v>64</v>
      </c>
      <c r="M824" s="10">
        <v>0</v>
      </c>
      <c r="N824" s="10">
        <v>0</v>
      </c>
      <c r="O824" s="10">
        <v>0</v>
      </c>
    </row>
    <row r="825" spans="1:15" x14ac:dyDescent="0.2">
      <c r="A825" s="10" t="s">
        <v>659</v>
      </c>
      <c r="B825" s="10" t="s">
        <v>172</v>
      </c>
      <c r="C825" s="10" t="s">
        <v>44</v>
      </c>
      <c r="D825" s="10" t="s">
        <v>45</v>
      </c>
      <c r="E825" s="10" t="s">
        <v>46</v>
      </c>
      <c r="F825" s="10" t="s">
        <v>132</v>
      </c>
      <c r="G825" s="10" t="b">
        <f>FALSE()</f>
        <v>0</v>
      </c>
      <c r="H825" s="10">
        <v>1</v>
      </c>
      <c r="I825" s="10">
        <v>1</v>
      </c>
      <c r="J825" s="10">
        <v>3</v>
      </c>
      <c r="K825" s="10">
        <v>65</v>
      </c>
      <c r="L825" s="10">
        <v>63</v>
      </c>
      <c r="M825" s="10">
        <v>1</v>
      </c>
      <c r="N825" s="10">
        <v>55</v>
      </c>
      <c r="O825" s="10">
        <v>55</v>
      </c>
    </row>
    <row r="826" spans="1:15" x14ac:dyDescent="0.2">
      <c r="A826" s="10" t="s">
        <v>106</v>
      </c>
      <c r="B826" s="10" t="s">
        <v>70</v>
      </c>
      <c r="C826" s="10" t="s">
        <v>70</v>
      </c>
      <c r="D826" s="10" t="s">
        <v>45</v>
      </c>
      <c r="E826" s="10" t="s">
        <v>46</v>
      </c>
      <c r="F826" s="10" t="s">
        <v>393</v>
      </c>
      <c r="G826" s="10" t="b">
        <f>FALSE()</f>
        <v>0</v>
      </c>
      <c r="H826" s="10">
        <v>1</v>
      </c>
      <c r="I826" s="10">
        <v>0</v>
      </c>
      <c r="J826" s="10">
        <v>2</v>
      </c>
      <c r="K826" s="10">
        <v>113</v>
      </c>
      <c r="L826" s="10">
        <v>63</v>
      </c>
      <c r="M826" s="10">
        <v>0</v>
      </c>
      <c r="N826" s="10">
        <v>0</v>
      </c>
      <c r="O826" s="10">
        <v>0</v>
      </c>
    </row>
    <row r="827" spans="1:15" x14ac:dyDescent="0.2">
      <c r="A827" s="10" t="s">
        <v>175</v>
      </c>
      <c r="B827" s="10" t="s">
        <v>122</v>
      </c>
      <c r="C827" s="10" t="s">
        <v>112</v>
      </c>
      <c r="D827" s="10" t="s">
        <v>51</v>
      </c>
      <c r="E827" s="10" t="s">
        <v>52</v>
      </c>
      <c r="F827" s="10" t="s">
        <v>660</v>
      </c>
      <c r="G827" s="10" t="b">
        <f>FALSE()</f>
        <v>0</v>
      </c>
      <c r="H827" s="10">
        <v>1</v>
      </c>
      <c r="I827" s="10">
        <v>0</v>
      </c>
      <c r="J827" s="10">
        <v>2</v>
      </c>
      <c r="K827" s="10">
        <v>102</v>
      </c>
      <c r="L827" s="10">
        <v>63</v>
      </c>
      <c r="M827" s="10">
        <v>0</v>
      </c>
      <c r="N827" s="10">
        <v>0</v>
      </c>
      <c r="O827" s="10">
        <v>0</v>
      </c>
    </row>
    <row r="828" spans="1:15" x14ac:dyDescent="0.2">
      <c r="A828" s="10" t="s">
        <v>574</v>
      </c>
      <c r="B828" s="10" t="s">
        <v>234</v>
      </c>
      <c r="C828" s="10" t="s">
        <v>90</v>
      </c>
      <c r="D828" s="10" t="s">
        <v>51</v>
      </c>
      <c r="E828" s="10" t="s">
        <v>52</v>
      </c>
      <c r="F828" s="10" t="s">
        <v>155</v>
      </c>
      <c r="G828" s="10" t="b">
        <f>TRUE()</f>
        <v>1</v>
      </c>
      <c r="H828" s="10">
        <v>1</v>
      </c>
      <c r="I828" s="10">
        <v>0</v>
      </c>
      <c r="J828" s="10">
        <v>2</v>
      </c>
      <c r="K828" s="10">
        <v>64</v>
      </c>
      <c r="L828" s="10">
        <v>63</v>
      </c>
      <c r="M828" s="10">
        <v>0</v>
      </c>
      <c r="N828" s="10">
        <v>0</v>
      </c>
      <c r="O828" s="10">
        <v>0</v>
      </c>
    </row>
    <row r="829" spans="1:15" x14ac:dyDescent="0.2">
      <c r="A829" s="10" t="s">
        <v>661</v>
      </c>
      <c r="B829" s="10" t="s">
        <v>72</v>
      </c>
      <c r="C829" s="10" t="s">
        <v>73</v>
      </c>
      <c r="D829" s="10" t="s">
        <v>45</v>
      </c>
      <c r="E829" s="10" t="s">
        <v>46</v>
      </c>
      <c r="F829" s="10" t="s">
        <v>92</v>
      </c>
      <c r="G829" s="10" t="b">
        <f>FALSE()</f>
        <v>0</v>
      </c>
      <c r="H829" s="10">
        <v>1</v>
      </c>
      <c r="I829" s="10">
        <v>1</v>
      </c>
      <c r="J829" s="10">
        <v>1</v>
      </c>
      <c r="K829" s="10">
        <v>63</v>
      </c>
      <c r="L829" s="10">
        <v>62</v>
      </c>
      <c r="M829" s="10">
        <v>1</v>
      </c>
      <c r="N829" s="10">
        <v>495</v>
      </c>
      <c r="O829" s="10">
        <v>495</v>
      </c>
    </row>
    <row r="830" spans="1:15" x14ac:dyDescent="0.2">
      <c r="A830" s="10" t="s">
        <v>542</v>
      </c>
      <c r="B830" s="10" t="s">
        <v>543</v>
      </c>
      <c r="C830" s="10" t="s">
        <v>90</v>
      </c>
      <c r="D830" s="10" t="s">
        <v>51</v>
      </c>
      <c r="E830" s="10" t="s">
        <v>52</v>
      </c>
      <c r="F830" s="10" t="s">
        <v>74</v>
      </c>
      <c r="G830" s="10" t="b">
        <f>FALSE()</f>
        <v>0</v>
      </c>
      <c r="H830" s="10">
        <v>1</v>
      </c>
      <c r="I830" s="10">
        <v>1</v>
      </c>
      <c r="J830" s="10">
        <v>2</v>
      </c>
      <c r="K830" s="10">
        <v>62</v>
      </c>
      <c r="L830" s="10">
        <v>62</v>
      </c>
      <c r="M830" s="10">
        <v>1</v>
      </c>
      <c r="N830" s="10">
        <v>161</v>
      </c>
      <c r="O830" s="10">
        <v>159</v>
      </c>
    </row>
    <row r="831" spans="1:15" x14ac:dyDescent="0.2">
      <c r="A831" s="10" t="s">
        <v>662</v>
      </c>
      <c r="B831" s="10" t="s">
        <v>70</v>
      </c>
      <c r="C831" s="10" t="s">
        <v>70</v>
      </c>
      <c r="D831" s="10" t="s">
        <v>45</v>
      </c>
      <c r="E831" s="10" t="s">
        <v>46</v>
      </c>
      <c r="F831" s="10" t="s">
        <v>223</v>
      </c>
      <c r="G831" s="10" t="b">
        <f>FALSE()</f>
        <v>0</v>
      </c>
      <c r="H831" s="10">
        <v>1</v>
      </c>
      <c r="I831" s="10">
        <v>1</v>
      </c>
      <c r="J831" s="10">
        <v>2</v>
      </c>
      <c r="K831" s="10">
        <v>70</v>
      </c>
      <c r="L831" s="10">
        <v>62</v>
      </c>
      <c r="M831" s="10">
        <v>1</v>
      </c>
      <c r="N831" s="10">
        <v>139</v>
      </c>
      <c r="O831" s="10">
        <v>137</v>
      </c>
    </row>
    <row r="832" spans="1:15" x14ac:dyDescent="0.2">
      <c r="A832" s="10" t="s">
        <v>131</v>
      </c>
      <c r="B832" s="10" t="s">
        <v>70</v>
      </c>
      <c r="C832" s="10" t="s">
        <v>70</v>
      </c>
      <c r="D832" s="10" t="s">
        <v>45</v>
      </c>
      <c r="E832" s="10" t="s">
        <v>46</v>
      </c>
      <c r="F832" s="10" t="s">
        <v>663</v>
      </c>
      <c r="G832" s="10" t="b">
        <f>FALSE()</f>
        <v>0</v>
      </c>
      <c r="H832" s="10">
        <v>1</v>
      </c>
      <c r="I832" s="10">
        <v>1</v>
      </c>
      <c r="J832" s="10">
        <v>2</v>
      </c>
      <c r="K832" s="10">
        <v>62</v>
      </c>
      <c r="L832" s="10">
        <v>62</v>
      </c>
      <c r="M832" s="10">
        <v>1</v>
      </c>
      <c r="N832" s="10">
        <v>28</v>
      </c>
      <c r="O832" s="10">
        <v>28</v>
      </c>
    </row>
    <row r="833" spans="1:15" x14ac:dyDescent="0.2">
      <c r="A833" s="10" t="s">
        <v>84</v>
      </c>
      <c r="B833" s="10" t="s">
        <v>43</v>
      </c>
      <c r="C833" s="10" t="s">
        <v>44</v>
      </c>
      <c r="D833" s="10" t="s">
        <v>45</v>
      </c>
      <c r="E833" s="10" t="s">
        <v>46</v>
      </c>
      <c r="F833" s="10" t="s">
        <v>363</v>
      </c>
      <c r="G833" s="10" t="b">
        <f>FALSE()</f>
        <v>0</v>
      </c>
      <c r="H833" s="10">
        <v>1</v>
      </c>
      <c r="I833" s="10">
        <v>1</v>
      </c>
      <c r="J833" s="10">
        <v>1</v>
      </c>
      <c r="K833" s="10">
        <v>116</v>
      </c>
      <c r="L833" s="10">
        <v>62</v>
      </c>
      <c r="M833" s="10">
        <v>1</v>
      </c>
      <c r="N833" s="10">
        <v>22</v>
      </c>
      <c r="O833" s="10">
        <v>22</v>
      </c>
    </row>
    <row r="834" spans="1:15" x14ac:dyDescent="0.2">
      <c r="A834" s="10" t="s">
        <v>664</v>
      </c>
      <c r="B834" s="10" t="s">
        <v>136</v>
      </c>
      <c r="C834" s="10" t="s">
        <v>73</v>
      </c>
      <c r="D834" s="10" t="s">
        <v>45</v>
      </c>
      <c r="E834" s="10" t="s">
        <v>46</v>
      </c>
      <c r="F834" s="10" t="s">
        <v>61</v>
      </c>
      <c r="G834" s="10" t="b">
        <f>FALSE()</f>
        <v>0</v>
      </c>
      <c r="H834" s="10">
        <v>1</v>
      </c>
      <c r="I834" s="10">
        <v>0</v>
      </c>
      <c r="J834" s="10">
        <v>1</v>
      </c>
      <c r="K834" s="10">
        <v>69</v>
      </c>
      <c r="L834" s="10">
        <v>62</v>
      </c>
      <c r="M834" s="10">
        <v>0</v>
      </c>
      <c r="N834" s="10">
        <v>0</v>
      </c>
      <c r="O834" s="10">
        <v>0</v>
      </c>
    </row>
    <row r="835" spans="1:15" x14ac:dyDescent="0.2">
      <c r="A835" s="10" t="s">
        <v>483</v>
      </c>
      <c r="B835" s="10" t="s">
        <v>321</v>
      </c>
      <c r="C835" s="10" t="s">
        <v>245</v>
      </c>
      <c r="D835" s="10" t="s">
        <v>51</v>
      </c>
      <c r="E835" s="10" t="s">
        <v>52</v>
      </c>
      <c r="F835" s="10" t="s">
        <v>58</v>
      </c>
      <c r="G835" s="10" t="b">
        <f>FALSE()</f>
        <v>0</v>
      </c>
      <c r="H835" s="10">
        <v>1</v>
      </c>
      <c r="I835" s="10">
        <v>0</v>
      </c>
      <c r="J835" s="10">
        <v>1</v>
      </c>
      <c r="K835" s="10">
        <v>64</v>
      </c>
      <c r="L835" s="10">
        <v>62</v>
      </c>
      <c r="M835" s="10">
        <v>0</v>
      </c>
      <c r="N835" s="10">
        <v>0</v>
      </c>
      <c r="O835" s="10">
        <v>0</v>
      </c>
    </row>
    <row r="836" spans="1:15" x14ac:dyDescent="0.2">
      <c r="A836" s="10" t="s">
        <v>665</v>
      </c>
      <c r="B836" s="10" t="s">
        <v>384</v>
      </c>
      <c r="C836" s="10" t="s">
        <v>50</v>
      </c>
      <c r="D836" s="10" t="s">
        <v>51</v>
      </c>
      <c r="E836" s="10" t="s">
        <v>52</v>
      </c>
      <c r="F836" s="10" t="s">
        <v>74</v>
      </c>
      <c r="G836" s="10" t="b">
        <f>FALSE()</f>
        <v>0</v>
      </c>
      <c r="H836" s="10">
        <v>1</v>
      </c>
      <c r="I836" s="10">
        <v>0</v>
      </c>
      <c r="J836" s="10">
        <v>2</v>
      </c>
      <c r="K836" s="10">
        <v>107</v>
      </c>
      <c r="L836" s="10">
        <v>62</v>
      </c>
      <c r="M836" s="10">
        <v>0</v>
      </c>
      <c r="N836" s="10">
        <v>0</v>
      </c>
      <c r="O836" s="10">
        <v>0</v>
      </c>
    </row>
    <row r="837" spans="1:15" x14ac:dyDescent="0.2">
      <c r="A837" s="10" t="s">
        <v>666</v>
      </c>
      <c r="B837" s="10" t="s">
        <v>109</v>
      </c>
      <c r="C837" s="10" t="s">
        <v>90</v>
      </c>
      <c r="D837" s="10" t="s">
        <v>51</v>
      </c>
      <c r="E837" s="10" t="s">
        <v>52</v>
      </c>
      <c r="F837" s="10" t="s">
        <v>94</v>
      </c>
      <c r="G837" s="10" t="b">
        <f>FALSE()</f>
        <v>0</v>
      </c>
      <c r="H837" s="10">
        <v>1</v>
      </c>
      <c r="I837" s="10">
        <v>0</v>
      </c>
      <c r="J837" s="10">
        <v>1</v>
      </c>
      <c r="K837" s="10">
        <v>45</v>
      </c>
      <c r="L837" s="10">
        <v>62</v>
      </c>
      <c r="M837" s="10">
        <v>0</v>
      </c>
      <c r="N837" s="10">
        <v>0</v>
      </c>
      <c r="O837" s="10">
        <v>0</v>
      </c>
    </row>
    <row r="838" spans="1:15" x14ac:dyDescent="0.2">
      <c r="A838" s="10" t="s">
        <v>192</v>
      </c>
      <c r="B838" s="10" t="s">
        <v>193</v>
      </c>
      <c r="C838" s="10" t="s">
        <v>117</v>
      </c>
      <c r="D838" s="10" t="s">
        <v>51</v>
      </c>
      <c r="E838" s="10" t="s">
        <v>52</v>
      </c>
      <c r="F838" s="10" t="s">
        <v>308</v>
      </c>
      <c r="G838" s="10" t="b">
        <f>TRUE()</f>
        <v>1</v>
      </c>
      <c r="H838" s="10">
        <v>1</v>
      </c>
      <c r="I838" s="10">
        <v>0</v>
      </c>
      <c r="J838" s="10">
        <v>1</v>
      </c>
      <c r="K838" s="10">
        <v>62</v>
      </c>
      <c r="L838" s="10">
        <v>62</v>
      </c>
      <c r="M838" s="10">
        <v>0</v>
      </c>
      <c r="N838" s="10">
        <v>0</v>
      </c>
      <c r="O838" s="10">
        <v>0</v>
      </c>
    </row>
    <row r="839" spans="1:15" x14ac:dyDescent="0.2">
      <c r="A839" s="10" t="s">
        <v>358</v>
      </c>
      <c r="B839" s="10" t="s">
        <v>359</v>
      </c>
      <c r="C839" s="10" t="s">
        <v>117</v>
      </c>
      <c r="D839" s="10" t="s">
        <v>51</v>
      </c>
      <c r="E839" s="10" t="s">
        <v>52</v>
      </c>
      <c r="F839" s="10" t="s">
        <v>223</v>
      </c>
      <c r="G839" s="10" t="b">
        <f>FALSE()</f>
        <v>0</v>
      </c>
      <c r="H839" s="10">
        <v>1</v>
      </c>
      <c r="I839" s="10">
        <v>1</v>
      </c>
      <c r="J839" s="10">
        <v>1</v>
      </c>
      <c r="K839" s="10">
        <v>63</v>
      </c>
      <c r="L839" s="10">
        <v>61</v>
      </c>
      <c r="M839" s="10">
        <v>1</v>
      </c>
      <c r="N839" s="10">
        <v>158</v>
      </c>
      <c r="O839" s="10">
        <v>149</v>
      </c>
    </row>
    <row r="840" spans="1:15" x14ac:dyDescent="0.2">
      <c r="A840" s="10" t="s">
        <v>667</v>
      </c>
      <c r="B840" s="10" t="s">
        <v>321</v>
      </c>
      <c r="C840" s="10" t="s">
        <v>245</v>
      </c>
      <c r="D840" s="10" t="s">
        <v>51</v>
      </c>
      <c r="E840" s="10" t="s">
        <v>52</v>
      </c>
      <c r="F840" s="10" t="s">
        <v>61</v>
      </c>
      <c r="G840" s="10" t="b">
        <f>FALSE()</f>
        <v>0</v>
      </c>
      <c r="H840" s="10">
        <v>1</v>
      </c>
      <c r="I840" s="10">
        <v>1</v>
      </c>
      <c r="J840" s="10">
        <v>1</v>
      </c>
      <c r="K840" s="10">
        <v>62</v>
      </c>
      <c r="L840" s="10">
        <v>61</v>
      </c>
      <c r="M840" s="10">
        <v>1</v>
      </c>
      <c r="N840" s="10">
        <v>50</v>
      </c>
      <c r="O840" s="10">
        <v>50</v>
      </c>
    </row>
    <row r="841" spans="1:15" x14ac:dyDescent="0.2">
      <c r="A841" s="10" t="s">
        <v>668</v>
      </c>
      <c r="B841" s="10" t="s">
        <v>669</v>
      </c>
      <c r="C841" s="10" t="s">
        <v>90</v>
      </c>
      <c r="D841" s="10" t="s">
        <v>51</v>
      </c>
      <c r="E841" s="10" t="s">
        <v>52</v>
      </c>
      <c r="F841" s="10" t="s">
        <v>207</v>
      </c>
      <c r="G841" s="10" t="b">
        <f>FALSE()</f>
        <v>0</v>
      </c>
      <c r="H841" s="10">
        <v>1</v>
      </c>
      <c r="I841" s="10">
        <v>0</v>
      </c>
      <c r="J841" s="10">
        <v>1</v>
      </c>
      <c r="K841" s="10">
        <v>61</v>
      </c>
      <c r="L841" s="10">
        <v>61</v>
      </c>
      <c r="M841" s="10">
        <v>0</v>
      </c>
      <c r="N841" s="10">
        <v>0</v>
      </c>
      <c r="O841" s="10">
        <v>0</v>
      </c>
    </row>
    <row r="842" spans="1:15" x14ac:dyDescent="0.2">
      <c r="A842" s="10" t="s">
        <v>570</v>
      </c>
      <c r="B842" s="10" t="s">
        <v>321</v>
      </c>
      <c r="C842" s="10" t="s">
        <v>245</v>
      </c>
      <c r="D842" s="10" t="s">
        <v>51</v>
      </c>
      <c r="E842" s="10" t="s">
        <v>52</v>
      </c>
      <c r="F842" s="10" t="s">
        <v>91</v>
      </c>
      <c r="G842" s="10" t="b">
        <f>TRUE()</f>
        <v>1</v>
      </c>
      <c r="H842" s="10">
        <v>1</v>
      </c>
      <c r="I842" s="10">
        <v>0</v>
      </c>
      <c r="J842" s="10">
        <v>1</v>
      </c>
      <c r="K842" s="10">
        <v>52</v>
      </c>
      <c r="L842" s="10">
        <v>61</v>
      </c>
      <c r="M842" s="10">
        <v>0</v>
      </c>
      <c r="N842" s="10">
        <v>0</v>
      </c>
      <c r="O842" s="10">
        <v>0</v>
      </c>
    </row>
    <row r="843" spans="1:15" x14ac:dyDescent="0.2">
      <c r="A843" s="10" t="s">
        <v>620</v>
      </c>
      <c r="B843" s="10" t="s">
        <v>116</v>
      </c>
      <c r="C843" s="10" t="s">
        <v>117</v>
      </c>
      <c r="D843" s="10" t="s">
        <v>51</v>
      </c>
      <c r="E843" s="10" t="s">
        <v>52</v>
      </c>
      <c r="F843" s="10" t="s">
        <v>153</v>
      </c>
      <c r="G843" s="10" t="b">
        <f>FALSE()</f>
        <v>0</v>
      </c>
      <c r="H843" s="10">
        <v>1</v>
      </c>
      <c r="I843" s="10">
        <v>0</v>
      </c>
      <c r="J843" s="10">
        <v>2</v>
      </c>
      <c r="K843" s="10">
        <v>62</v>
      </c>
      <c r="L843" s="10">
        <v>61</v>
      </c>
      <c r="M843" s="10">
        <v>0</v>
      </c>
      <c r="N843" s="10">
        <v>0</v>
      </c>
      <c r="O843" s="10">
        <v>0</v>
      </c>
    </row>
    <row r="844" spans="1:15" x14ac:dyDescent="0.2">
      <c r="A844" s="10" t="s">
        <v>670</v>
      </c>
      <c r="B844" s="10" t="s">
        <v>671</v>
      </c>
      <c r="C844" s="10" t="s">
        <v>117</v>
      </c>
      <c r="D844" s="10" t="s">
        <v>51</v>
      </c>
      <c r="E844" s="10" t="s">
        <v>52</v>
      </c>
      <c r="F844" s="10" t="s">
        <v>94</v>
      </c>
      <c r="G844" s="10" t="b">
        <f>FALSE()</f>
        <v>0</v>
      </c>
      <c r="H844" s="10">
        <v>1</v>
      </c>
      <c r="I844" s="10">
        <v>0</v>
      </c>
      <c r="J844" s="10">
        <v>1</v>
      </c>
      <c r="K844" s="10">
        <v>52</v>
      </c>
      <c r="L844" s="10">
        <v>61</v>
      </c>
      <c r="M844" s="10">
        <v>0</v>
      </c>
      <c r="N844" s="10">
        <v>0</v>
      </c>
      <c r="O844" s="10">
        <v>0</v>
      </c>
    </row>
    <row r="845" spans="1:15" x14ac:dyDescent="0.2">
      <c r="A845" s="10" t="s">
        <v>672</v>
      </c>
      <c r="B845" s="10" t="s">
        <v>265</v>
      </c>
      <c r="C845" s="10" t="s">
        <v>245</v>
      </c>
      <c r="D845" s="10" t="s">
        <v>51</v>
      </c>
      <c r="E845" s="10" t="s">
        <v>52</v>
      </c>
      <c r="F845" s="10" t="s">
        <v>61</v>
      </c>
      <c r="G845" s="10" t="b">
        <f>FALSE()</f>
        <v>0</v>
      </c>
      <c r="H845" s="10">
        <v>1</v>
      </c>
      <c r="I845" s="10">
        <v>0</v>
      </c>
      <c r="J845" s="10">
        <v>1</v>
      </c>
      <c r="K845" s="10">
        <v>61</v>
      </c>
      <c r="L845" s="10">
        <v>61</v>
      </c>
      <c r="M845" s="10">
        <v>0</v>
      </c>
      <c r="N845" s="10">
        <v>0</v>
      </c>
      <c r="O845" s="10">
        <v>0</v>
      </c>
    </row>
    <row r="846" spans="1:15" x14ac:dyDescent="0.2">
      <c r="A846" s="10" t="s">
        <v>600</v>
      </c>
      <c r="B846" s="10" t="s">
        <v>193</v>
      </c>
      <c r="C846" s="10" t="s">
        <v>117</v>
      </c>
      <c r="D846" s="10" t="s">
        <v>51</v>
      </c>
      <c r="E846" s="10" t="s">
        <v>52</v>
      </c>
      <c r="F846" s="10" t="s">
        <v>113</v>
      </c>
      <c r="G846" s="10" t="b">
        <f>TRUE()</f>
        <v>1</v>
      </c>
      <c r="H846" s="10">
        <v>1</v>
      </c>
      <c r="I846" s="10">
        <v>1</v>
      </c>
      <c r="J846" s="10">
        <v>1</v>
      </c>
      <c r="K846" s="10">
        <v>60</v>
      </c>
      <c r="L846" s="10">
        <v>60</v>
      </c>
      <c r="M846" s="10">
        <v>1</v>
      </c>
      <c r="N846" s="10">
        <v>211</v>
      </c>
      <c r="O846" s="10">
        <v>211</v>
      </c>
    </row>
    <row r="847" spans="1:15" x14ac:dyDescent="0.2">
      <c r="A847" s="10" t="s">
        <v>673</v>
      </c>
      <c r="B847" s="10" t="s">
        <v>122</v>
      </c>
      <c r="C847" s="10" t="s">
        <v>112</v>
      </c>
      <c r="D847" s="10" t="s">
        <v>51</v>
      </c>
      <c r="E847" s="10" t="s">
        <v>52</v>
      </c>
      <c r="F847" s="10" t="s">
        <v>91</v>
      </c>
      <c r="G847" s="10" t="b">
        <f>TRUE()</f>
        <v>1</v>
      </c>
      <c r="H847" s="10">
        <v>1</v>
      </c>
      <c r="I847" s="10">
        <v>1</v>
      </c>
      <c r="J847" s="10">
        <v>1</v>
      </c>
      <c r="K847" s="10">
        <v>60</v>
      </c>
      <c r="L847" s="10">
        <v>60</v>
      </c>
      <c r="M847" s="10">
        <v>1</v>
      </c>
      <c r="N847" s="10">
        <v>61</v>
      </c>
      <c r="O847" s="10">
        <v>61</v>
      </c>
    </row>
    <row r="848" spans="1:15" x14ac:dyDescent="0.2">
      <c r="A848" s="10" t="s">
        <v>550</v>
      </c>
      <c r="B848" s="10" t="s">
        <v>72</v>
      </c>
      <c r="C848" s="10" t="s">
        <v>73</v>
      </c>
      <c r="D848" s="10" t="s">
        <v>45</v>
      </c>
      <c r="E848" s="10" t="s">
        <v>46</v>
      </c>
      <c r="F848" s="10" t="s">
        <v>190</v>
      </c>
      <c r="G848" s="10" t="b">
        <f>TRUE()</f>
        <v>1</v>
      </c>
      <c r="H848" s="10">
        <v>1</v>
      </c>
      <c r="I848" s="10">
        <v>1</v>
      </c>
      <c r="J848" s="10">
        <v>2</v>
      </c>
      <c r="K848" s="10">
        <v>60</v>
      </c>
      <c r="L848" s="10">
        <v>60</v>
      </c>
      <c r="M848" s="10">
        <v>1</v>
      </c>
      <c r="N848" s="10">
        <v>29</v>
      </c>
      <c r="O848" s="10">
        <v>28</v>
      </c>
    </row>
    <row r="849" spans="1:15" x14ac:dyDescent="0.2">
      <c r="A849" s="10" t="s">
        <v>197</v>
      </c>
      <c r="B849" s="10" t="s">
        <v>116</v>
      </c>
      <c r="C849" s="10" t="s">
        <v>117</v>
      </c>
      <c r="D849" s="10" t="s">
        <v>51</v>
      </c>
      <c r="E849" s="10" t="s">
        <v>52</v>
      </c>
      <c r="F849" s="10" t="s">
        <v>107</v>
      </c>
      <c r="G849" s="10" t="b">
        <f>FALSE()</f>
        <v>0</v>
      </c>
      <c r="H849" s="10">
        <v>1</v>
      </c>
      <c r="I849" s="10">
        <v>0</v>
      </c>
      <c r="J849" s="10">
        <v>1</v>
      </c>
      <c r="K849" s="10">
        <v>64</v>
      </c>
      <c r="L849" s="10">
        <v>60</v>
      </c>
      <c r="M849" s="10">
        <v>0</v>
      </c>
      <c r="N849" s="10">
        <v>0</v>
      </c>
      <c r="O849" s="10">
        <v>0</v>
      </c>
    </row>
    <row r="850" spans="1:15" x14ac:dyDescent="0.2">
      <c r="A850" s="10" t="s">
        <v>203</v>
      </c>
      <c r="B850" s="10" t="s">
        <v>178</v>
      </c>
      <c r="C850" s="10" t="s">
        <v>73</v>
      </c>
      <c r="D850" s="10" t="s">
        <v>45</v>
      </c>
      <c r="E850" s="10" t="s">
        <v>46</v>
      </c>
      <c r="F850" s="10" t="s">
        <v>251</v>
      </c>
      <c r="G850" s="10" t="b">
        <f>FALSE()</f>
        <v>0</v>
      </c>
      <c r="H850" s="10">
        <v>1</v>
      </c>
      <c r="I850" s="10">
        <v>0</v>
      </c>
      <c r="J850" s="10">
        <v>0</v>
      </c>
      <c r="K850" s="10">
        <v>0</v>
      </c>
      <c r="L850" s="10">
        <v>60</v>
      </c>
      <c r="M850" s="10">
        <v>0</v>
      </c>
      <c r="N850" s="10">
        <v>0</v>
      </c>
      <c r="O850" s="10">
        <v>0</v>
      </c>
    </row>
    <row r="851" spans="1:15" x14ac:dyDescent="0.2">
      <c r="A851" s="10" t="s">
        <v>298</v>
      </c>
      <c r="B851" s="10" t="s">
        <v>273</v>
      </c>
      <c r="C851" s="10" t="s">
        <v>50</v>
      </c>
      <c r="D851" s="10" t="s">
        <v>51</v>
      </c>
      <c r="E851" s="10" t="s">
        <v>52</v>
      </c>
      <c r="F851" s="10" t="s">
        <v>251</v>
      </c>
      <c r="G851" s="10" t="b">
        <f>FALSE()</f>
        <v>0</v>
      </c>
      <c r="H851" s="10">
        <v>1</v>
      </c>
      <c r="I851" s="10">
        <v>0</v>
      </c>
      <c r="J851" s="10">
        <v>1</v>
      </c>
      <c r="K851" s="10">
        <v>34</v>
      </c>
      <c r="L851" s="10">
        <v>60</v>
      </c>
      <c r="M851" s="10">
        <v>0</v>
      </c>
      <c r="N851" s="10">
        <v>0</v>
      </c>
      <c r="O851" s="10">
        <v>0</v>
      </c>
    </row>
    <row r="852" spans="1:15" x14ac:dyDescent="0.2">
      <c r="A852" s="10" t="s">
        <v>674</v>
      </c>
      <c r="B852" s="10" t="s">
        <v>70</v>
      </c>
      <c r="C852" s="10" t="s">
        <v>70</v>
      </c>
      <c r="D852" s="10" t="s">
        <v>45</v>
      </c>
      <c r="E852" s="10" t="s">
        <v>46</v>
      </c>
      <c r="F852" s="10" t="s">
        <v>53</v>
      </c>
      <c r="G852" s="10" t="b">
        <f>FALSE()</f>
        <v>0</v>
      </c>
      <c r="H852" s="10">
        <v>1</v>
      </c>
      <c r="I852" s="10">
        <v>0</v>
      </c>
      <c r="J852" s="10">
        <v>1</v>
      </c>
      <c r="K852" s="10">
        <v>60</v>
      </c>
      <c r="L852" s="10">
        <v>60</v>
      </c>
      <c r="M852" s="10">
        <v>0</v>
      </c>
      <c r="N852" s="10">
        <v>0</v>
      </c>
      <c r="O852" s="10">
        <v>0</v>
      </c>
    </row>
    <row r="853" spans="1:15" x14ac:dyDescent="0.2">
      <c r="A853" s="10" t="s">
        <v>675</v>
      </c>
      <c r="B853" s="10" t="s">
        <v>130</v>
      </c>
      <c r="C853" s="10" t="s">
        <v>56</v>
      </c>
      <c r="D853" s="10" t="s">
        <v>45</v>
      </c>
      <c r="E853" s="10" t="s">
        <v>46</v>
      </c>
      <c r="F853" s="10" t="s">
        <v>219</v>
      </c>
      <c r="G853" s="10" t="b">
        <f>FALSE()</f>
        <v>0</v>
      </c>
      <c r="H853" s="10">
        <v>1</v>
      </c>
      <c r="I853" s="10">
        <v>0</v>
      </c>
      <c r="J853" s="10">
        <v>2</v>
      </c>
      <c r="K853" s="10">
        <v>64</v>
      </c>
      <c r="L853" s="10">
        <v>60</v>
      </c>
      <c r="M853" s="10">
        <v>0</v>
      </c>
      <c r="N853" s="10">
        <v>0</v>
      </c>
      <c r="O853" s="10">
        <v>0</v>
      </c>
    </row>
    <row r="854" spans="1:15" x14ac:dyDescent="0.2">
      <c r="A854" s="10" t="s">
        <v>676</v>
      </c>
      <c r="B854" s="10" t="s">
        <v>70</v>
      </c>
      <c r="C854" s="10" t="s">
        <v>70</v>
      </c>
      <c r="D854" s="10" t="s">
        <v>45</v>
      </c>
      <c r="E854" s="10" t="s">
        <v>46</v>
      </c>
      <c r="F854" s="10" t="s">
        <v>79</v>
      </c>
      <c r="G854" s="10" t="b">
        <f>FALSE()</f>
        <v>0</v>
      </c>
      <c r="H854" s="10">
        <v>1</v>
      </c>
      <c r="I854" s="10">
        <v>0</v>
      </c>
      <c r="J854" s="10">
        <v>1</v>
      </c>
      <c r="K854" s="10">
        <v>60</v>
      </c>
      <c r="L854" s="10">
        <v>60</v>
      </c>
      <c r="M854" s="10">
        <v>0</v>
      </c>
      <c r="N854" s="10">
        <v>0</v>
      </c>
      <c r="O854" s="10">
        <v>0</v>
      </c>
    </row>
    <row r="855" spans="1:15" x14ac:dyDescent="0.2">
      <c r="A855" s="10" t="s">
        <v>677</v>
      </c>
      <c r="B855" s="10" t="s">
        <v>136</v>
      </c>
      <c r="C855" s="10" t="s">
        <v>73</v>
      </c>
      <c r="D855" s="10" t="s">
        <v>45</v>
      </c>
      <c r="E855" s="10" t="s">
        <v>46</v>
      </c>
      <c r="F855" s="10" t="s">
        <v>79</v>
      </c>
      <c r="G855" s="10" t="b">
        <f>FALSE()</f>
        <v>0</v>
      </c>
      <c r="H855" s="10">
        <v>1</v>
      </c>
      <c r="I855" s="10">
        <v>0</v>
      </c>
      <c r="J855" s="10">
        <v>1</v>
      </c>
      <c r="K855" s="10">
        <v>61</v>
      </c>
      <c r="L855" s="10">
        <v>60</v>
      </c>
      <c r="M855" s="10">
        <v>0</v>
      </c>
      <c r="N855" s="10">
        <v>0</v>
      </c>
      <c r="O855" s="10">
        <v>0</v>
      </c>
    </row>
    <row r="856" spans="1:15" x14ac:dyDescent="0.2">
      <c r="A856" s="10" t="s">
        <v>174</v>
      </c>
      <c r="B856" s="10" t="s">
        <v>130</v>
      </c>
      <c r="C856" s="10" t="s">
        <v>56</v>
      </c>
      <c r="D856" s="10" t="s">
        <v>45</v>
      </c>
      <c r="E856" s="10" t="s">
        <v>46</v>
      </c>
      <c r="F856" s="10" t="s">
        <v>153</v>
      </c>
      <c r="G856" s="10" t="b">
        <f>FALSE()</f>
        <v>0</v>
      </c>
      <c r="H856" s="10">
        <v>1</v>
      </c>
      <c r="I856" s="10">
        <v>1</v>
      </c>
      <c r="J856" s="10">
        <v>1</v>
      </c>
      <c r="K856" s="10">
        <v>63</v>
      </c>
      <c r="L856" s="10">
        <v>59</v>
      </c>
      <c r="M856" s="10">
        <v>1</v>
      </c>
      <c r="N856" s="10">
        <v>291</v>
      </c>
      <c r="O856" s="10">
        <v>283</v>
      </c>
    </row>
    <row r="857" spans="1:15" x14ac:dyDescent="0.2">
      <c r="A857" s="10" t="s">
        <v>678</v>
      </c>
      <c r="B857" s="10" t="s">
        <v>122</v>
      </c>
      <c r="C857" s="10" t="s">
        <v>112</v>
      </c>
      <c r="D857" s="10" t="s">
        <v>51</v>
      </c>
      <c r="E857" s="10" t="s">
        <v>52</v>
      </c>
      <c r="F857" s="10" t="s">
        <v>65</v>
      </c>
      <c r="G857" s="10" t="b">
        <f>FALSE()</f>
        <v>0</v>
      </c>
      <c r="H857" s="10">
        <v>1</v>
      </c>
      <c r="I857" s="10">
        <v>1</v>
      </c>
      <c r="J857" s="10">
        <v>2</v>
      </c>
      <c r="K857" s="10">
        <v>64</v>
      </c>
      <c r="L857" s="10">
        <v>59</v>
      </c>
      <c r="M857" s="10">
        <v>1</v>
      </c>
      <c r="N857" s="10">
        <v>56</v>
      </c>
      <c r="O857" s="10">
        <v>56</v>
      </c>
    </row>
    <row r="858" spans="1:15" x14ac:dyDescent="0.2">
      <c r="A858" s="10" t="s">
        <v>134</v>
      </c>
      <c r="B858" s="10" t="s">
        <v>63</v>
      </c>
      <c r="C858" s="10" t="s">
        <v>64</v>
      </c>
      <c r="D858" s="10" t="s">
        <v>45</v>
      </c>
      <c r="E858" s="10" t="s">
        <v>46</v>
      </c>
      <c r="F858" s="10" t="s">
        <v>58</v>
      </c>
      <c r="G858" s="10" t="b">
        <f>FALSE()</f>
        <v>0</v>
      </c>
      <c r="H858" s="10">
        <v>1</v>
      </c>
      <c r="I858" s="10">
        <v>0</v>
      </c>
      <c r="J858" s="10">
        <v>2</v>
      </c>
      <c r="K858" s="10">
        <v>66</v>
      </c>
      <c r="L858" s="10">
        <v>59</v>
      </c>
      <c r="M858" s="10">
        <v>0</v>
      </c>
      <c r="N858" s="10">
        <v>0</v>
      </c>
      <c r="O858" s="10">
        <v>0</v>
      </c>
    </row>
    <row r="859" spans="1:15" x14ac:dyDescent="0.2">
      <c r="A859" s="10" t="s">
        <v>679</v>
      </c>
      <c r="B859" s="10" t="s">
        <v>130</v>
      </c>
      <c r="C859" s="10" t="s">
        <v>56</v>
      </c>
      <c r="D859" s="10" t="s">
        <v>45</v>
      </c>
      <c r="E859" s="10" t="s">
        <v>46</v>
      </c>
      <c r="F859" s="10" t="s">
        <v>53</v>
      </c>
      <c r="G859" s="10" t="b">
        <f>FALSE()</f>
        <v>0</v>
      </c>
      <c r="H859" s="10">
        <v>1</v>
      </c>
      <c r="I859" s="10">
        <v>0</v>
      </c>
      <c r="J859" s="10">
        <v>1</v>
      </c>
      <c r="K859" s="10">
        <v>59</v>
      </c>
      <c r="L859" s="10">
        <v>59</v>
      </c>
      <c r="M859" s="10">
        <v>0</v>
      </c>
      <c r="N859" s="10">
        <v>0</v>
      </c>
      <c r="O859" s="10">
        <v>0</v>
      </c>
    </row>
    <row r="860" spans="1:15" x14ac:dyDescent="0.2">
      <c r="A860" s="10" t="s">
        <v>584</v>
      </c>
      <c r="B860" s="10" t="s">
        <v>247</v>
      </c>
      <c r="C860" s="10" t="s">
        <v>245</v>
      </c>
      <c r="D860" s="10" t="s">
        <v>51</v>
      </c>
      <c r="E860" s="10" t="s">
        <v>52</v>
      </c>
      <c r="F860" s="10" t="s">
        <v>74</v>
      </c>
      <c r="G860" s="10" t="b">
        <f>FALSE()</f>
        <v>0</v>
      </c>
      <c r="H860" s="10">
        <v>1</v>
      </c>
      <c r="I860" s="10">
        <v>0</v>
      </c>
      <c r="J860" s="10">
        <v>1</v>
      </c>
      <c r="K860" s="10">
        <v>28</v>
      </c>
      <c r="L860" s="10">
        <v>59</v>
      </c>
      <c r="M860" s="10">
        <v>0</v>
      </c>
      <c r="N860" s="10">
        <v>0</v>
      </c>
      <c r="O860" s="10">
        <v>0</v>
      </c>
    </row>
    <row r="861" spans="1:15" x14ac:dyDescent="0.2">
      <c r="A861" s="10" t="s">
        <v>680</v>
      </c>
      <c r="B861" s="10" t="s">
        <v>193</v>
      </c>
      <c r="C861" s="10" t="s">
        <v>117</v>
      </c>
      <c r="D861" s="10" t="s">
        <v>51</v>
      </c>
      <c r="E861" s="10" t="s">
        <v>52</v>
      </c>
      <c r="F861" s="10" t="s">
        <v>91</v>
      </c>
      <c r="G861" s="10" t="b">
        <f>TRUE()</f>
        <v>1</v>
      </c>
      <c r="H861" s="10">
        <v>1</v>
      </c>
      <c r="I861" s="10">
        <v>0</v>
      </c>
      <c r="J861" s="10">
        <v>1</v>
      </c>
      <c r="K861" s="10">
        <v>60</v>
      </c>
      <c r="L861" s="10">
        <v>59</v>
      </c>
      <c r="M861" s="10">
        <v>0</v>
      </c>
      <c r="N861" s="10">
        <v>0</v>
      </c>
      <c r="O861" s="10">
        <v>0</v>
      </c>
    </row>
    <row r="862" spans="1:15" x14ac:dyDescent="0.2">
      <c r="A862" s="10" t="s">
        <v>681</v>
      </c>
      <c r="B862" s="10" t="s">
        <v>43</v>
      </c>
      <c r="C862" s="10" t="s">
        <v>44</v>
      </c>
      <c r="D862" s="10" t="s">
        <v>45</v>
      </c>
      <c r="E862" s="10" t="s">
        <v>46</v>
      </c>
      <c r="F862" s="10" t="s">
        <v>123</v>
      </c>
      <c r="G862" s="10" t="b">
        <f>FALSE()</f>
        <v>0</v>
      </c>
      <c r="H862" s="10">
        <v>1</v>
      </c>
      <c r="I862" s="10">
        <v>1</v>
      </c>
      <c r="J862" s="10">
        <v>1</v>
      </c>
      <c r="K862" s="10">
        <v>73</v>
      </c>
      <c r="L862" s="10">
        <v>58</v>
      </c>
      <c r="M862" s="10">
        <v>1</v>
      </c>
      <c r="N862" s="10">
        <v>405</v>
      </c>
      <c r="O862" s="10">
        <v>400</v>
      </c>
    </row>
    <row r="863" spans="1:15" x14ac:dyDescent="0.2">
      <c r="A863" s="10" t="s">
        <v>682</v>
      </c>
      <c r="B863" s="10" t="s">
        <v>104</v>
      </c>
      <c r="C863" s="10" t="s">
        <v>105</v>
      </c>
      <c r="D863" s="10" t="s">
        <v>45</v>
      </c>
      <c r="E863" s="10" t="s">
        <v>46</v>
      </c>
      <c r="F863" s="10" t="s">
        <v>223</v>
      </c>
      <c r="G863" s="10" t="b">
        <f>FALSE()</f>
        <v>0</v>
      </c>
      <c r="H863" s="10">
        <v>1</v>
      </c>
      <c r="I863" s="10">
        <v>0</v>
      </c>
      <c r="J863" s="10">
        <v>2</v>
      </c>
      <c r="K863" s="10">
        <v>27</v>
      </c>
      <c r="L863" s="10">
        <v>58</v>
      </c>
      <c r="M863" s="10">
        <v>0</v>
      </c>
      <c r="N863" s="10">
        <v>0</v>
      </c>
      <c r="O863" s="10">
        <v>0</v>
      </c>
    </row>
    <row r="864" spans="1:15" x14ac:dyDescent="0.2">
      <c r="A864" s="10" t="s">
        <v>683</v>
      </c>
      <c r="B864" s="10" t="s">
        <v>67</v>
      </c>
      <c r="C864" s="10" t="s">
        <v>64</v>
      </c>
      <c r="D864" s="10" t="s">
        <v>45</v>
      </c>
      <c r="E864" s="10" t="s">
        <v>46</v>
      </c>
      <c r="F864" s="10" t="s">
        <v>58</v>
      </c>
      <c r="G864" s="10" t="b">
        <f>FALSE()</f>
        <v>0</v>
      </c>
      <c r="H864" s="10">
        <v>1</v>
      </c>
      <c r="I864" s="10">
        <v>0</v>
      </c>
      <c r="J864" s="10">
        <v>2</v>
      </c>
      <c r="K864" s="10">
        <v>60</v>
      </c>
      <c r="L864" s="10">
        <v>58</v>
      </c>
      <c r="M864" s="10">
        <v>0</v>
      </c>
      <c r="N864" s="10">
        <v>0</v>
      </c>
      <c r="O864" s="10">
        <v>0</v>
      </c>
    </row>
    <row r="865" spans="1:15" x14ac:dyDescent="0.2">
      <c r="A865" s="10" t="s">
        <v>148</v>
      </c>
      <c r="B865" s="10" t="s">
        <v>139</v>
      </c>
      <c r="C865" s="10" t="s">
        <v>64</v>
      </c>
      <c r="D865" s="10" t="s">
        <v>45</v>
      </c>
      <c r="E865" s="10" t="s">
        <v>46</v>
      </c>
      <c r="F865" s="10" t="s">
        <v>65</v>
      </c>
      <c r="G865" s="10" t="b">
        <f>FALSE()</f>
        <v>0</v>
      </c>
      <c r="H865" s="10">
        <v>1</v>
      </c>
      <c r="I865" s="10">
        <v>0</v>
      </c>
      <c r="J865" s="10">
        <v>2</v>
      </c>
      <c r="K865" s="10">
        <v>58</v>
      </c>
      <c r="L865" s="10">
        <v>58</v>
      </c>
      <c r="M865" s="10">
        <v>0</v>
      </c>
      <c r="N865" s="10">
        <v>0</v>
      </c>
      <c r="O865" s="10">
        <v>0</v>
      </c>
    </row>
    <row r="866" spans="1:15" x14ac:dyDescent="0.2">
      <c r="A866" s="10" t="s">
        <v>684</v>
      </c>
      <c r="B866" s="10" t="s">
        <v>633</v>
      </c>
      <c r="C866" s="10" t="s">
        <v>90</v>
      </c>
      <c r="D866" s="10" t="s">
        <v>51</v>
      </c>
      <c r="E866" s="10" t="s">
        <v>52</v>
      </c>
      <c r="F866" s="10" t="s">
        <v>92</v>
      </c>
      <c r="G866" s="10" t="b">
        <f>FALSE()</f>
        <v>0</v>
      </c>
      <c r="H866" s="10">
        <v>1</v>
      </c>
      <c r="I866" s="10">
        <v>0</v>
      </c>
      <c r="J866" s="10">
        <v>1</v>
      </c>
      <c r="K866" s="10">
        <v>20</v>
      </c>
      <c r="L866" s="10">
        <v>58</v>
      </c>
      <c r="M866" s="10">
        <v>0</v>
      </c>
      <c r="N866" s="10">
        <v>0</v>
      </c>
      <c r="O866" s="10">
        <v>0</v>
      </c>
    </row>
    <row r="867" spans="1:15" x14ac:dyDescent="0.2">
      <c r="A867" s="10" t="s">
        <v>626</v>
      </c>
      <c r="B867" s="10" t="s">
        <v>477</v>
      </c>
      <c r="C867" s="10" t="s">
        <v>50</v>
      </c>
      <c r="D867" s="10" t="s">
        <v>51</v>
      </c>
      <c r="E867" s="10" t="s">
        <v>52</v>
      </c>
      <c r="F867" s="10" t="s">
        <v>113</v>
      </c>
      <c r="G867" s="10" t="b">
        <f>TRUE()</f>
        <v>1</v>
      </c>
      <c r="H867" s="10">
        <v>1</v>
      </c>
      <c r="I867" s="10">
        <v>0</v>
      </c>
      <c r="J867" s="10">
        <v>1</v>
      </c>
      <c r="K867" s="10">
        <v>89</v>
      </c>
      <c r="L867" s="10">
        <v>58</v>
      </c>
      <c r="M867" s="10">
        <v>0</v>
      </c>
      <c r="N867" s="10">
        <v>0</v>
      </c>
      <c r="O867" s="10">
        <v>0</v>
      </c>
    </row>
    <row r="868" spans="1:15" x14ac:dyDescent="0.2">
      <c r="A868" s="10" t="s">
        <v>685</v>
      </c>
      <c r="B868" s="10" t="s">
        <v>55</v>
      </c>
      <c r="C868" s="10" t="s">
        <v>56</v>
      </c>
      <c r="D868" s="10" t="s">
        <v>45</v>
      </c>
      <c r="E868" s="10" t="s">
        <v>46</v>
      </c>
      <c r="F868" s="10" t="s">
        <v>47</v>
      </c>
      <c r="G868" s="10" t="b">
        <f>FALSE()</f>
        <v>0</v>
      </c>
      <c r="H868" s="10">
        <v>1</v>
      </c>
      <c r="I868" s="10">
        <v>0</v>
      </c>
      <c r="J868" s="10">
        <v>1</v>
      </c>
      <c r="K868" s="10">
        <v>50</v>
      </c>
      <c r="L868" s="10">
        <v>58</v>
      </c>
      <c r="M868" s="10">
        <v>0</v>
      </c>
      <c r="N868" s="10">
        <v>0</v>
      </c>
      <c r="O868" s="10">
        <v>0</v>
      </c>
    </row>
    <row r="869" spans="1:15" x14ac:dyDescent="0.2">
      <c r="A869" s="10" t="s">
        <v>686</v>
      </c>
      <c r="B869" s="10" t="s">
        <v>119</v>
      </c>
      <c r="C869" s="10" t="s">
        <v>56</v>
      </c>
      <c r="D869" s="10" t="s">
        <v>45</v>
      </c>
      <c r="E869" s="10" t="s">
        <v>46</v>
      </c>
      <c r="F869" s="10" t="s">
        <v>92</v>
      </c>
      <c r="G869" s="10" t="b">
        <f>FALSE()</f>
        <v>0</v>
      </c>
      <c r="H869" s="10">
        <v>1</v>
      </c>
      <c r="I869" s="10">
        <v>0</v>
      </c>
      <c r="J869" s="10">
        <v>1</v>
      </c>
      <c r="K869" s="10">
        <v>59</v>
      </c>
      <c r="L869" s="10">
        <v>58</v>
      </c>
      <c r="M869" s="10">
        <v>0</v>
      </c>
      <c r="N869" s="10">
        <v>0</v>
      </c>
      <c r="O869" s="10">
        <v>0</v>
      </c>
    </row>
    <row r="870" spans="1:15" x14ac:dyDescent="0.2">
      <c r="A870" s="10" t="s">
        <v>687</v>
      </c>
      <c r="B870" s="10" t="s">
        <v>172</v>
      </c>
      <c r="C870" s="10" t="s">
        <v>44</v>
      </c>
      <c r="D870" s="10" t="s">
        <v>45</v>
      </c>
      <c r="E870" s="10" t="s">
        <v>46</v>
      </c>
      <c r="F870" s="10" t="s">
        <v>153</v>
      </c>
      <c r="G870" s="10" t="b">
        <f>FALSE()</f>
        <v>0</v>
      </c>
      <c r="H870" s="10">
        <v>1</v>
      </c>
      <c r="I870" s="10">
        <v>0</v>
      </c>
      <c r="J870" s="10">
        <v>1</v>
      </c>
      <c r="K870" s="10">
        <v>58</v>
      </c>
      <c r="L870" s="10">
        <v>58</v>
      </c>
      <c r="M870" s="10">
        <v>0</v>
      </c>
      <c r="N870" s="10">
        <v>0</v>
      </c>
      <c r="O870" s="10">
        <v>0</v>
      </c>
    </row>
    <row r="871" spans="1:15" x14ac:dyDescent="0.2">
      <c r="A871" s="10" t="s">
        <v>565</v>
      </c>
      <c r="B871" s="10" t="s">
        <v>493</v>
      </c>
      <c r="C871" s="10" t="s">
        <v>117</v>
      </c>
      <c r="D871" s="10" t="s">
        <v>51</v>
      </c>
      <c r="E871" s="10" t="s">
        <v>52</v>
      </c>
      <c r="F871" s="10" t="s">
        <v>58</v>
      </c>
      <c r="G871" s="10" t="b">
        <f>FALSE()</f>
        <v>0</v>
      </c>
      <c r="H871" s="10">
        <v>1</v>
      </c>
      <c r="I871" s="10">
        <v>1</v>
      </c>
      <c r="J871" s="10">
        <v>2</v>
      </c>
      <c r="K871" s="10">
        <v>123</v>
      </c>
      <c r="L871" s="10">
        <v>57</v>
      </c>
      <c r="M871" s="10">
        <v>1</v>
      </c>
      <c r="N871" s="10">
        <v>75</v>
      </c>
      <c r="O871" s="10">
        <v>75</v>
      </c>
    </row>
    <row r="872" spans="1:15" x14ac:dyDescent="0.2">
      <c r="A872" s="10" t="s">
        <v>661</v>
      </c>
      <c r="B872" s="10" t="s">
        <v>72</v>
      </c>
      <c r="C872" s="10" t="s">
        <v>73</v>
      </c>
      <c r="D872" s="10" t="s">
        <v>45</v>
      </c>
      <c r="E872" s="10" t="s">
        <v>46</v>
      </c>
      <c r="F872" s="10" t="s">
        <v>61</v>
      </c>
      <c r="G872" s="10" t="b">
        <f>FALSE()</f>
        <v>0</v>
      </c>
      <c r="H872" s="10">
        <v>1</v>
      </c>
      <c r="I872" s="10">
        <v>1</v>
      </c>
      <c r="J872" s="10">
        <v>2</v>
      </c>
      <c r="K872" s="10">
        <v>57</v>
      </c>
      <c r="L872" s="10">
        <v>57</v>
      </c>
      <c r="M872" s="10">
        <v>1</v>
      </c>
      <c r="N872" s="10">
        <v>25</v>
      </c>
      <c r="O872" s="10">
        <v>25</v>
      </c>
    </row>
    <row r="873" spans="1:15" x14ac:dyDescent="0.2">
      <c r="A873" s="10" t="s">
        <v>514</v>
      </c>
      <c r="B873" s="10" t="s">
        <v>238</v>
      </c>
      <c r="C873" s="10" t="s">
        <v>90</v>
      </c>
      <c r="D873" s="10" t="s">
        <v>51</v>
      </c>
      <c r="E873" s="10" t="s">
        <v>52</v>
      </c>
      <c r="F873" s="10" t="s">
        <v>190</v>
      </c>
      <c r="G873" s="10" t="b">
        <f>TRUE()</f>
        <v>1</v>
      </c>
      <c r="H873" s="10">
        <v>1</v>
      </c>
      <c r="I873" s="10">
        <v>0</v>
      </c>
      <c r="J873" s="10">
        <v>2</v>
      </c>
      <c r="K873" s="10">
        <v>62</v>
      </c>
      <c r="L873" s="10">
        <v>57</v>
      </c>
      <c r="M873" s="10">
        <v>0</v>
      </c>
      <c r="N873" s="10">
        <v>0</v>
      </c>
      <c r="O873" s="10">
        <v>0</v>
      </c>
    </row>
    <row r="874" spans="1:15" x14ac:dyDescent="0.2">
      <c r="A874" s="10" t="s">
        <v>239</v>
      </c>
      <c r="B874" s="10" t="s">
        <v>172</v>
      </c>
      <c r="C874" s="10" t="s">
        <v>44</v>
      </c>
      <c r="D874" s="10" t="s">
        <v>45</v>
      </c>
      <c r="E874" s="10" t="s">
        <v>46</v>
      </c>
      <c r="F874" s="10" t="s">
        <v>153</v>
      </c>
      <c r="G874" s="10" t="b">
        <f>FALSE()</f>
        <v>0</v>
      </c>
      <c r="H874" s="10">
        <v>1</v>
      </c>
      <c r="I874" s="10">
        <v>0</v>
      </c>
      <c r="J874" s="10">
        <v>1</v>
      </c>
      <c r="K874" s="10">
        <v>57</v>
      </c>
      <c r="L874" s="10">
        <v>57</v>
      </c>
      <c r="M874" s="10">
        <v>0</v>
      </c>
      <c r="N874" s="10">
        <v>0</v>
      </c>
      <c r="O874" s="10">
        <v>0</v>
      </c>
    </row>
    <row r="875" spans="1:15" x14ac:dyDescent="0.2">
      <c r="A875" s="10" t="s">
        <v>688</v>
      </c>
      <c r="B875" s="10" t="s">
        <v>407</v>
      </c>
      <c r="C875" s="10" t="s">
        <v>112</v>
      </c>
      <c r="D875" s="10" t="s">
        <v>51</v>
      </c>
      <c r="E875" s="10" t="s">
        <v>52</v>
      </c>
      <c r="F875" s="10" t="s">
        <v>91</v>
      </c>
      <c r="G875" s="10" t="b">
        <f>TRUE()</f>
        <v>1</v>
      </c>
      <c r="H875" s="10">
        <v>1</v>
      </c>
      <c r="I875" s="10">
        <v>0</v>
      </c>
      <c r="J875" s="10">
        <v>2</v>
      </c>
      <c r="K875" s="10">
        <v>59</v>
      </c>
      <c r="L875" s="10">
        <v>57</v>
      </c>
      <c r="M875" s="10">
        <v>0</v>
      </c>
      <c r="N875" s="10">
        <v>0</v>
      </c>
      <c r="O875" s="10">
        <v>0</v>
      </c>
    </row>
    <row r="876" spans="1:15" x14ac:dyDescent="0.2">
      <c r="A876" s="10" t="s">
        <v>689</v>
      </c>
      <c r="B876" s="10" t="s">
        <v>265</v>
      </c>
      <c r="C876" s="10" t="s">
        <v>245</v>
      </c>
      <c r="D876" s="10" t="s">
        <v>51</v>
      </c>
      <c r="E876" s="10" t="s">
        <v>52</v>
      </c>
      <c r="F876" s="10" t="s">
        <v>94</v>
      </c>
      <c r="G876" s="10" t="b">
        <f>FALSE()</f>
        <v>0</v>
      </c>
      <c r="H876" s="10">
        <v>1</v>
      </c>
      <c r="I876" s="10">
        <v>0</v>
      </c>
      <c r="J876" s="10">
        <v>1</v>
      </c>
      <c r="K876" s="10">
        <v>44</v>
      </c>
      <c r="L876" s="10">
        <v>57</v>
      </c>
      <c r="M876" s="10">
        <v>0</v>
      </c>
      <c r="N876" s="10">
        <v>0</v>
      </c>
      <c r="O876" s="10">
        <v>0</v>
      </c>
    </row>
    <row r="877" spans="1:15" x14ac:dyDescent="0.2">
      <c r="A877" s="10" t="s">
        <v>690</v>
      </c>
      <c r="B877" s="10" t="s">
        <v>285</v>
      </c>
      <c r="C877" s="10" t="s">
        <v>105</v>
      </c>
      <c r="D877" s="10" t="s">
        <v>45</v>
      </c>
      <c r="E877" s="10" t="s">
        <v>46</v>
      </c>
      <c r="F877" s="10" t="s">
        <v>47</v>
      </c>
      <c r="G877" s="10" t="b">
        <f>FALSE()</f>
        <v>0</v>
      </c>
      <c r="H877" s="10">
        <v>1</v>
      </c>
      <c r="I877" s="10">
        <v>0</v>
      </c>
      <c r="J877" s="10">
        <v>1</v>
      </c>
      <c r="K877" s="10">
        <v>29</v>
      </c>
      <c r="L877" s="10">
        <v>57</v>
      </c>
      <c r="M877" s="10">
        <v>0</v>
      </c>
      <c r="N877" s="10">
        <v>0</v>
      </c>
      <c r="O877" s="10">
        <v>0</v>
      </c>
    </row>
    <row r="878" spans="1:15" x14ac:dyDescent="0.2">
      <c r="A878" s="10" t="s">
        <v>691</v>
      </c>
      <c r="B878" s="10" t="s">
        <v>70</v>
      </c>
      <c r="C878" s="10" t="s">
        <v>70</v>
      </c>
      <c r="D878" s="10" t="s">
        <v>45</v>
      </c>
      <c r="E878" s="10" t="s">
        <v>46</v>
      </c>
      <c r="F878" s="10" t="s">
        <v>190</v>
      </c>
      <c r="G878" s="10" t="b">
        <f>TRUE()</f>
        <v>1</v>
      </c>
      <c r="H878" s="10">
        <v>1</v>
      </c>
      <c r="I878" s="10">
        <v>0</v>
      </c>
      <c r="J878" s="10">
        <v>1</v>
      </c>
      <c r="K878" s="10">
        <v>79</v>
      </c>
      <c r="L878" s="10">
        <v>57</v>
      </c>
      <c r="M878" s="10">
        <v>0</v>
      </c>
      <c r="N878" s="10">
        <v>0</v>
      </c>
      <c r="O878" s="10">
        <v>0</v>
      </c>
    </row>
    <row r="879" spans="1:15" x14ac:dyDescent="0.2">
      <c r="A879" s="10" t="s">
        <v>692</v>
      </c>
      <c r="B879" s="10" t="s">
        <v>55</v>
      </c>
      <c r="C879" s="10" t="s">
        <v>56</v>
      </c>
      <c r="D879" s="10" t="s">
        <v>45</v>
      </c>
      <c r="E879" s="10" t="s">
        <v>46</v>
      </c>
      <c r="F879" s="10" t="s">
        <v>153</v>
      </c>
      <c r="G879" s="10" t="b">
        <f>FALSE()</f>
        <v>0</v>
      </c>
      <c r="H879" s="10">
        <v>1</v>
      </c>
      <c r="I879" s="10">
        <v>0</v>
      </c>
      <c r="J879" s="10">
        <v>1</v>
      </c>
      <c r="K879" s="10">
        <v>62</v>
      </c>
      <c r="L879" s="10">
        <v>57</v>
      </c>
      <c r="M879" s="10">
        <v>0</v>
      </c>
      <c r="N879" s="10">
        <v>0</v>
      </c>
      <c r="O879" s="10">
        <v>0</v>
      </c>
    </row>
    <row r="880" spans="1:15" x14ac:dyDescent="0.2">
      <c r="A880" s="10" t="s">
        <v>693</v>
      </c>
      <c r="B880" s="10" t="s">
        <v>130</v>
      </c>
      <c r="C880" s="10" t="s">
        <v>56</v>
      </c>
      <c r="D880" s="10" t="s">
        <v>45</v>
      </c>
      <c r="E880" s="10" t="s">
        <v>46</v>
      </c>
      <c r="F880" s="10" t="s">
        <v>190</v>
      </c>
      <c r="G880" s="10" t="b">
        <f>TRUE()</f>
        <v>1</v>
      </c>
      <c r="H880" s="10">
        <v>1</v>
      </c>
      <c r="I880" s="10">
        <v>0</v>
      </c>
      <c r="J880" s="10">
        <v>1</v>
      </c>
      <c r="K880" s="10">
        <v>63</v>
      </c>
      <c r="L880" s="10">
        <v>57</v>
      </c>
      <c r="M880" s="10">
        <v>0</v>
      </c>
      <c r="N880" s="10">
        <v>0</v>
      </c>
      <c r="O880" s="10">
        <v>0</v>
      </c>
    </row>
    <row r="881" spans="1:15" x14ac:dyDescent="0.2">
      <c r="A881" s="10" t="s">
        <v>150</v>
      </c>
      <c r="B881" s="10" t="s">
        <v>151</v>
      </c>
      <c r="C881" s="10" t="s">
        <v>64</v>
      </c>
      <c r="D881" s="10" t="s">
        <v>45</v>
      </c>
      <c r="E881" s="10" t="s">
        <v>46</v>
      </c>
      <c r="F881" s="10" t="s">
        <v>251</v>
      </c>
      <c r="G881" s="10" t="b">
        <f>FALSE()</f>
        <v>0</v>
      </c>
      <c r="H881" s="10">
        <v>1</v>
      </c>
      <c r="I881" s="10">
        <v>1</v>
      </c>
      <c r="J881" s="10">
        <v>1</v>
      </c>
      <c r="K881" s="10">
        <v>54</v>
      </c>
      <c r="L881" s="10">
        <v>56</v>
      </c>
      <c r="M881" s="10">
        <v>1</v>
      </c>
      <c r="N881" s="10">
        <v>308</v>
      </c>
      <c r="O881" s="10">
        <v>308</v>
      </c>
    </row>
    <row r="882" spans="1:15" x14ac:dyDescent="0.2">
      <c r="A882" s="10" t="s">
        <v>694</v>
      </c>
      <c r="B882" s="10" t="s">
        <v>78</v>
      </c>
      <c r="C882" s="10" t="s">
        <v>50</v>
      </c>
      <c r="D882" s="10" t="s">
        <v>51</v>
      </c>
      <c r="E882" s="10" t="s">
        <v>52</v>
      </c>
      <c r="F882" s="10" t="s">
        <v>61</v>
      </c>
      <c r="G882" s="10" t="b">
        <f>FALSE()</f>
        <v>0</v>
      </c>
      <c r="H882" s="10">
        <v>1</v>
      </c>
      <c r="I882" s="10">
        <v>1</v>
      </c>
      <c r="J882" s="10">
        <v>3</v>
      </c>
      <c r="K882" s="10">
        <v>71</v>
      </c>
      <c r="L882" s="10">
        <v>56</v>
      </c>
      <c r="M882" s="10">
        <v>1</v>
      </c>
      <c r="N882" s="10">
        <v>188</v>
      </c>
      <c r="O882" s="10">
        <v>182</v>
      </c>
    </row>
    <row r="883" spans="1:15" x14ac:dyDescent="0.2">
      <c r="A883" s="10" t="s">
        <v>448</v>
      </c>
      <c r="B883" s="10" t="s">
        <v>289</v>
      </c>
      <c r="C883" s="10" t="s">
        <v>50</v>
      </c>
      <c r="D883" s="10" t="s">
        <v>51</v>
      </c>
      <c r="E883" s="10" t="s">
        <v>52</v>
      </c>
      <c r="F883" s="10" t="s">
        <v>207</v>
      </c>
      <c r="G883" s="10" t="b">
        <f>FALSE()</f>
        <v>0</v>
      </c>
      <c r="H883" s="10">
        <v>1</v>
      </c>
      <c r="I883" s="10">
        <v>1</v>
      </c>
      <c r="J883" s="10">
        <v>1</v>
      </c>
      <c r="K883" s="10">
        <v>64</v>
      </c>
      <c r="L883" s="10">
        <v>56</v>
      </c>
      <c r="M883" s="10">
        <v>1</v>
      </c>
      <c r="N883" s="10">
        <v>79</v>
      </c>
      <c r="O883" s="10">
        <v>84</v>
      </c>
    </row>
    <row r="884" spans="1:15" x14ac:dyDescent="0.2">
      <c r="A884" s="10" t="s">
        <v>695</v>
      </c>
      <c r="B884" s="10" t="s">
        <v>70</v>
      </c>
      <c r="C884" s="10" t="s">
        <v>70</v>
      </c>
      <c r="D884" s="10" t="s">
        <v>45</v>
      </c>
      <c r="E884" s="10" t="s">
        <v>46</v>
      </c>
      <c r="F884" s="10" t="s">
        <v>58</v>
      </c>
      <c r="G884" s="10" t="b">
        <f>FALSE()</f>
        <v>0</v>
      </c>
      <c r="H884" s="10">
        <v>1</v>
      </c>
      <c r="I884" s="10">
        <v>0</v>
      </c>
      <c r="J884" s="10">
        <v>2</v>
      </c>
      <c r="K884" s="10">
        <v>60</v>
      </c>
      <c r="L884" s="10">
        <v>56</v>
      </c>
      <c r="M884" s="10">
        <v>0</v>
      </c>
      <c r="N884" s="10">
        <v>0</v>
      </c>
      <c r="O884" s="10">
        <v>0</v>
      </c>
    </row>
    <row r="885" spans="1:15" x14ac:dyDescent="0.2">
      <c r="A885" s="10" t="s">
        <v>266</v>
      </c>
      <c r="B885" s="10" t="s">
        <v>267</v>
      </c>
      <c r="C885" s="10" t="s">
        <v>112</v>
      </c>
      <c r="D885" s="10" t="s">
        <v>51</v>
      </c>
      <c r="E885" s="10" t="s">
        <v>52</v>
      </c>
      <c r="F885" s="10" t="s">
        <v>183</v>
      </c>
      <c r="G885" s="10" t="b">
        <f>FALSE()</f>
        <v>0</v>
      </c>
      <c r="H885" s="10">
        <v>1</v>
      </c>
      <c r="I885" s="10">
        <v>0</v>
      </c>
      <c r="J885" s="10">
        <v>1</v>
      </c>
      <c r="K885" s="10">
        <v>75</v>
      </c>
      <c r="L885" s="10">
        <v>56</v>
      </c>
      <c r="M885" s="10">
        <v>0</v>
      </c>
      <c r="N885" s="10">
        <v>0</v>
      </c>
      <c r="O885" s="10">
        <v>0</v>
      </c>
    </row>
    <row r="886" spans="1:15" x14ac:dyDescent="0.2">
      <c r="A886" s="10" t="s">
        <v>696</v>
      </c>
      <c r="B886" s="10" t="s">
        <v>72</v>
      </c>
      <c r="C886" s="10" t="s">
        <v>73</v>
      </c>
      <c r="D886" s="10" t="s">
        <v>45</v>
      </c>
      <c r="E886" s="10" t="s">
        <v>46</v>
      </c>
      <c r="F886" s="10" t="s">
        <v>61</v>
      </c>
      <c r="G886" s="10" t="b">
        <f>FALSE()</f>
        <v>0</v>
      </c>
      <c r="H886" s="10">
        <v>1</v>
      </c>
      <c r="I886" s="10">
        <v>0</v>
      </c>
      <c r="J886" s="10">
        <v>1</v>
      </c>
      <c r="K886" s="10">
        <v>56</v>
      </c>
      <c r="L886" s="10">
        <v>56</v>
      </c>
      <c r="M886" s="10">
        <v>0</v>
      </c>
      <c r="N886" s="10">
        <v>0</v>
      </c>
      <c r="O886" s="10">
        <v>0</v>
      </c>
    </row>
    <row r="887" spans="1:15" x14ac:dyDescent="0.2">
      <c r="A887" s="10" t="s">
        <v>697</v>
      </c>
      <c r="B887" s="10" t="s">
        <v>157</v>
      </c>
      <c r="C887" s="10" t="s">
        <v>64</v>
      </c>
      <c r="D887" s="10" t="s">
        <v>45</v>
      </c>
      <c r="E887" s="10" t="s">
        <v>46</v>
      </c>
      <c r="F887" s="10" t="s">
        <v>206</v>
      </c>
      <c r="G887" s="10" t="b">
        <f>FALSE()</f>
        <v>0</v>
      </c>
      <c r="H887" s="10">
        <v>1</v>
      </c>
      <c r="I887" s="10">
        <v>0</v>
      </c>
      <c r="J887" s="10">
        <v>1</v>
      </c>
      <c r="K887" s="10">
        <v>56</v>
      </c>
      <c r="L887" s="10">
        <v>56</v>
      </c>
      <c r="M887" s="10">
        <v>0</v>
      </c>
      <c r="N887" s="10">
        <v>0</v>
      </c>
      <c r="O887" s="10">
        <v>0</v>
      </c>
    </row>
    <row r="888" spans="1:15" x14ac:dyDescent="0.2">
      <c r="A888" s="10" t="s">
        <v>59</v>
      </c>
      <c r="B888" s="10" t="s">
        <v>60</v>
      </c>
      <c r="C888" s="10" t="s">
        <v>50</v>
      </c>
      <c r="D888" s="10" t="s">
        <v>51</v>
      </c>
      <c r="E888" s="10" t="s">
        <v>52</v>
      </c>
      <c r="F888" s="10" t="s">
        <v>212</v>
      </c>
      <c r="G888" s="10" t="b">
        <f>FALSE()</f>
        <v>0</v>
      </c>
      <c r="H888" s="10">
        <v>1</v>
      </c>
      <c r="I888" s="10">
        <v>0</v>
      </c>
      <c r="J888" s="10">
        <v>2</v>
      </c>
      <c r="K888" s="10">
        <v>57</v>
      </c>
      <c r="L888" s="10">
        <v>56</v>
      </c>
      <c r="M888" s="10">
        <v>0</v>
      </c>
      <c r="N888" s="10">
        <v>0</v>
      </c>
      <c r="O888" s="10">
        <v>0</v>
      </c>
    </row>
    <row r="889" spans="1:15" x14ac:dyDescent="0.2">
      <c r="A889" s="10" t="s">
        <v>698</v>
      </c>
      <c r="B889" s="10" t="s">
        <v>157</v>
      </c>
      <c r="C889" s="10" t="s">
        <v>64</v>
      </c>
      <c r="D889" s="10" t="s">
        <v>45</v>
      </c>
      <c r="E889" s="10" t="s">
        <v>46</v>
      </c>
      <c r="F889" s="10" t="s">
        <v>47</v>
      </c>
      <c r="G889" s="10" t="b">
        <f>FALSE()</f>
        <v>0</v>
      </c>
      <c r="H889" s="10">
        <v>1</v>
      </c>
      <c r="I889" s="10">
        <v>0</v>
      </c>
      <c r="J889" s="10">
        <v>1</v>
      </c>
      <c r="K889" s="10">
        <v>56</v>
      </c>
      <c r="L889" s="10">
        <v>56</v>
      </c>
      <c r="M889" s="10">
        <v>0</v>
      </c>
      <c r="N889" s="10">
        <v>0</v>
      </c>
      <c r="O889" s="10">
        <v>0</v>
      </c>
    </row>
    <row r="890" spans="1:15" x14ac:dyDescent="0.2">
      <c r="A890" s="10" t="s">
        <v>691</v>
      </c>
      <c r="B890" s="10" t="s">
        <v>70</v>
      </c>
      <c r="C890" s="10" t="s">
        <v>70</v>
      </c>
      <c r="D890" s="10" t="s">
        <v>45</v>
      </c>
      <c r="E890" s="10" t="s">
        <v>46</v>
      </c>
      <c r="F890" s="10" t="s">
        <v>91</v>
      </c>
      <c r="G890" s="10" t="b">
        <f>TRUE()</f>
        <v>1</v>
      </c>
      <c r="H890" s="10">
        <v>1</v>
      </c>
      <c r="I890" s="10">
        <v>0</v>
      </c>
      <c r="J890" s="10">
        <v>1</v>
      </c>
      <c r="K890" s="10">
        <v>56</v>
      </c>
      <c r="L890" s="10">
        <v>56</v>
      </c>
      <c r="M890" s="10">
        <v>0</v>
      </c>
      <c r="N890" s="10">
        <v>0</v>
      </c>
      <c r="O890" s="10">
        <v>0</v>
      </c>
    </row>
    <row r="891" spans="1:15" x14ac:dyDescent="0.2">
      <c r="A891" s="10" t="s">
        <v>699</v>
      </c>
      <c r="B891" s="10" t="s">
        <v>555</v>
      </c>
      <c r="C891" s="10" t="s">
        <v>245</v>
      </c>
      <c r="D891" s="10" t="s">
        <v>51</v>
      </c>
      <c r="E891" s="10" t="s">
        <v>52</v>
      </c>
      <c r="F891" s="10" t="s">
        <v>190</v>
      </c>
      <c r="G891" s="10" t="b">
        <f>TRUE()</f>
        <v>1</v>
      </c>
      <c r="H891" s="10">
        <v>1</v>
      </c>
      <c r="I891" s="10">
        <v>0</v>
      </c>
      <c r="J891" s="10">
        <v>1</v>
      </c>
      <c r="K891" s="10">
        <v>59</v>
      </c>
      <c r="L891" s="10">
        <v>56</v>
      </c>
      <c r="M891" s="10">
        <v>0</v>
      </c>
      <c r="N891" s="10">
        <v>0</v>
      </c>
      <c r="O891" s="10">
        <v>0</v>
      </c>
    </row>
    <row r="892" spans="1:15" x14ac:dyDescent="0.2">
      <c r="A892" s="10" t="s">
        <v>700</v>
      </c>
      <c r="B892" s="10" t="s">
        <v>72</v>
      </c>
      <c r="C892" s="10" t="s">
        <v>73</v>
      </c>
      <c r="D892" s="10" t="s">
        <v>45</v>
      </c>
      <c r="E892" s="10" t="s">
        <v>46</v>
      </c>
      <c r="F892" s="10" t="s">
        <v>47</v>
      </c>
      <c r="G892" s="10" t="b">
        <f>FALSE()</f>
        <v>0</v>
      </c>
      <c r="H892" s="10">
        <v>1</v>
      </c>
      <c r="I892" s="10">
        <v>1</v>
      </c>
      <c r="J892" s="10">
        <v>2</v>
      </c>
      <c r="K892" s="10">
        <v>42</v>
      </c>
      <c r="L892" s="10">
        <v>55</v>
      </c>
      <c r="M892" s="10">
        <v>1</v>
      </c>
      <c r="N892" s="10">
        <v>168</v>
      </c>
      <c r="O892" s="10">
        <v>178</v>
      </c>
    </row>
    <row r="893" spans="1:15" x14ac:dyDescent="0.2">
      <c r="A893" s="10" t="s">
        <v>661</v>
      </c>
      <c r="B893" s="10" t="s">
        <v>72</v>
      </c>
      <c r="C893" s="10" t="s">
        <v>73</v>
      </c>
      <c r="D893" s="10" t="s">
        <v>45</v>
      </c>
      <c r="E893" s="10" t="s">
        <v>46</v>
      </c>
      <c r="F893" s="10" t="s">
        <v>91</v>
      </c>
      <c r="G893" s="10" t="b">
        <f>TRUE()</f>
        <v>1</v>
      </c>
      <c r="H893" s="10">
        <v>1</v>
      </c>
      <c r="I893" s="10">
        <v>1</v>
      </c>
      <c r="J893" s="10">
        <v>1</v>
      </c>
      <c r="K893" s="10">
        <v>56</v>
      </c>
      <c r="L893" s="10">
        <v>55</v>
      </c>
      <c r="M893" s="10">
        <v>1</v>
      </c>
      <c r="N893" s="10">
        <v>123</v>
      </c>
      <c r="O893" s="10">
        <v>123</v>
      </c>
    </row>
    <row r="894" spans="1:15" x14ac:dyDescent="0.2">
      <c r="A894" s="10" t="s">
        <v>448</v>
      </c>
      <c r="B894" s="10" t="s">
        <v>289</v>
      </c>
      <c r="C894" s="10" t="s">
        <v>50</v>
      </c>
      <c r="D894" s="10" t="s">
        <v>51</v>
      </c>
      <c r="E894" s="10" t="s">
        <v>52</v>
      </c>
      <c r="F894" s="10" t="s">
        <v>190</v>
      </c>
      <c r="G894" s="10" t="b">
        <f>TRUE()</f>
        <v>1</v>
      </c>
      <c r="H894" s="10">
        <v>1</v>
      </c>
      <c r="I894" s="10">
        <v>1</v>
      </c>
      <c r="J894" s="10">
        <v>1</v>
      </c>
      <c r="K894" s="10">
        <v>76</v>
      </c>
      <c r="L894" s="10">
        <v>55</v>
      </c>
      <c r="M894" s="10">
        <v>1</v>
      </c>
      <c r="N894" s="10">
        <v>66</v>
      </c>
      <c r="O894" s="10">
        <v>66</v>
      </c>
    </row>
    <row r="895" spans="1:15" x14ac:dyDescent="0.2">
      <c r="A895" s="10" t="s">
        <v>610</v>
      </c>
      <c r="B895" s="10" t="s">
        <v>89</v>
      </c>
      <c r="C895" s="10" t="s">
        <v>90</v>
      </c>
      <c r="D895" s="10" t="s">
        <v>51</v>
      </c>
      <c r="E895" s="10" t="s">
        <v>52</v>
      </c>
      <c r="F895" s="10" t="s">
        <v>318</v>
      </c>
      <c r="G895" s="10" t="b">
        <f>FALSE()</f>
        <v>0</v>
      </c>
      <c r="H895" s="10">
        <v>1</v>
      </c>
      <c r="I895" s="10">
        <v>0</v>
      </c>
      <c r="J895" s="10">
        <v>2</v>
      </c>
      <c r="K895" s="10">
        <v>55</v>
      </c>
      <c r="L895" s="10">
        <v>55</v>
      </c>
      <c r="M895" s="10">
        <v>0</v>
      </c>
      <c r="N895" s="10">
        <v>0</v>
      </c>
      <c r="O895" s="10">
        <v>0</v>
      </c>
    </row>
    <row r="896" spans="1:15" x14ac:dyDescent="0.2">
      <c r="A896" s="10" t="s">
        <v>203</v>
      </c>
      <c r="B896" s="10" t="s">
        <v>178</v>
      </c>
      <c r="C896" s="10" t="s">
        <v>73</v>
      </c>
      <c r="D896" s="10" t="s">
        <v>45</v>
      </c>
      <c r="E896" s="10" t="s">
        <v>46</v>
      </c>
      <c r="F896" s="10" t="s">
        <v>58</v>
      </c>
      <c r="G896" s="10" t="b">
        <f>FALSE()</f>
        <v>0</v>
      </c>
      <c r="H896" s="10">
        <v>1</v>
      </c>
      <c r="I896" s="10">
        <v>0</v>
      </c>
      <c r="J896" s="10">
        <v>0</v>
      </c>
      <c r="K896" s="10">
        <v>0</v>
      </c>
      <c r="L896" s="10">
        <v>55</v>
      </c>
      <c r="M896" s="10">
        <v>0</v>
      </c>
      <c r="N896" s="10">
        <v>0</v>
      </c>
      <c r="O896" s="10">
        <v>0</v>
      </c>
    </row>
    <row r="897" spans="1:15" x14ac:dyDescent="0.2">
      <c r="A897" s="10" t="s">
        <v>82</v>
      </c>
      <c r="B897" s="10" t="s">
        <v>70</v>
      </c>
      <c r="C897" s="10" t="s">
        <v>70</v>
      </c>
      <c r="D897" s="10" t="s">
        <v>45</v>
      </c>
      <c r="E897" s="10" t="s">
        <v>46</v>
      </c>
      <c r="F897" s="10" t="s">
        <v>207</v>
      </c>
      <c r="G897" s="10" t="b">
        <f>FALSE()</f>
        <v>0</v>
      </c>
      <c r="H897" s="10">
        <v>1</v>
      </c>
      <c r="I897" s="10">
        <v>0</v>
      </c>
      <c r="J897" s="10">
        <v>1</v>
      </c>
      <c r="K897" s="10">
        <v>95</v>
      </c>
      <c r="L897" s="10">
        <v>55</v>
      </c>
      <c r="M897" s="10">
        <v>0</v>
      </c>
      <c r="N897" s="10">
        <v>0</v>
      </c>
      <c r="O897" s="10">
        <v>0</v>
      </c>
    </row>
    <row r="898" spans="1:15" x14ac:dyDescent="0.2">
      <c r="A898" s="10" t="s">
        <v>647</v>
      </c>
      <c r="B898" s="10" t="s">
        <v>262</v>
      </c>
      <c r="C898" s="10" t="s">
        <v>105</v>
      </c>
      <c r="D898" s="10" t="s">
        <v>45</v>
      </c>
      <c r="E898" s="10" t="s">
        <v>46</v>
      </c>
      <c r="F898" s="10" t="s">
        <v>207</v>
      </c>
      <c r="G898" s="10" t="b">
        <f>FALSE()</f>
        <v>0</v>
      </c>
      <c r="H898" s="10">
        <v>1</v>
      </c>
      <c r="I898" s="10">
        <v>0</v>
      </c>
      <c r="J898" s="10">
        <v>0</v>
      </c>
      <c r="K898" s="10">
        <v>0</v>
      </c>
      <c r="L898" s="10">
        <v>55</v>
      </c>
      <c r="M898" s="10">
        <v>0</v>
      </c>
      <c r="N898" s="10">
        <v>0</v>
      </c>
      <c r="O898" s="10">
        <v>0</v>
      </c>
    </row>
    <row r="899" spans="1:15" x14ac:dyDescent="0.2">
      <c r="A899" s="10" t="s">
        <v>337</v>
      </c>
      <c r="B899" s="10" t="s">
        <v>70</v>
      </c>
      <c r="C899" s="10" t="s">
        <v>70</v>
      </c>
      <c r="D899" s="10" t="s">
        <v>45</v>
      </c>
      <c r="E899" s="10" t="s">
        <v>46</v>
      </c>
      <c r="F899" s="10" t="s">
        <v>365</v>
      </c>
      <c r="G899" s="10" t="b">
        <f>TRUE()</f>
        <v>1</v>
      </c>
      <c r="H899" s="10">
        <v>1</v>
      </c>
      <c r="I899" s="10">
        <v>0</v>
      </c>
      <c r="J899" s="10">
        <v>2</v>
      </c>
      <c r="K899" s="10">
        <v>55</v>
      </c>
      <c r="L899" s="10">
        <v>55</v>
      </c>
      <c r="M899" s="10">
        <v>0</v>
      </c>
      <c r="N899" s="10">
        <v>0</v>
      </c>
      <c r="O899" s="10">
        <v>0</v>
      </c>
    </row>
    <row r="900" spans="1:15" x14ac:dyDescent="0.2">
      <c r="A900" s="10" t="s">
        <v>701</v>
      </c>
      <c r="B900" s="10" t="s">
        <v>67</v>
      </c>
      <c r="C900" s="10" t="s">
        <v>64</v>
      </c>
      <c r="D900" s="10" t="s">
        <v>45</v>
      </c>
      <c r="E900" s="10" t="s">
        <v>46</v>
      </c>
      <c r="F900" s="10" t="s">
        <v>702</v>
      </c>
      <c r="G900" s="10" t="b">
        <f>FALSE()</f>
        <v>0</v>
      </c>
      <c r="H900" s="10">
        <v>1</v>
      </c>
      <c r="I900" s="10">
        <v>0</v>
      </c>
      <c r="J900" s="10">
        <v>1</v>
      </c>
      <c r="K900" s="10">
        <v>62</v>
      </c>
      <c r="L900" s="10">
        <v>55</v>
      </c>
      <c r="M900" s="10">
        <v>0</v>
      </c>
      <c r="N900" s="10">
        <v>0</v>
      </c>
      <c r="O900" s="10">
        <v>0</v>
      </c>
    </row>
    <row r="901" spans="1:15" x14ac:dyDescent="0.2">
      <c r="A901" s="10" t="s">
        <v>703</v>
      </c>
      <c r="B901" s="10" t="s">
        <v>167</v>
      </c>
      <c r="C901" s="10" t="s">
        <v>64</v>
      </c>
      <c r="D901" s="10" t="s">
        <v>45</v>
      </c>
      <c r="E901" s="10" t="s">
        <v>46</v>
      </c>
      <c r="F901" s="10" t="s">
        <v>79</v>
      </c>
      <c r="G901" s="10" t="b">
        <f>FALSE()</f>
        <v>0</v>
      </c>
      <c r="H901" s="10">
        <v>1</v>
      </c>
      <c r="I901" s="10">
        <v>1</v>
      </c>
      <c r="J901" s="10">
        <v>1</v>
      </c>
      <c r="K901" s="10">
        <v>54</v>
      </c>
      <c r="L901" s="10">
        <v>54</v>
      </c>
      <c r="M901" s="10">
        <v>1</v>
      </c>
      <c r="N901" s="10">
        <v>250</v>
      </c>
      <c r="O901" s="10">
        <v>250</v>
      </c>
    </row>
    <row r="902" spans="1:15" x14ac:dyDescent="0.2">
      <c r="A902" s="10" t="s">
        <v>84</v>
      </c>
      <c r="B902" s="10" t="s">
        <v>43</v>
      </c>
      <c r="C902" s="10" t="s">
        <v>44</v>
      </c>
      <c r="D902" s="10" t="s">
        <v>45</v>
      </c>
      <c r="E902" s="10" t="s">
        <v>46</v>
      </c>
      <c r="F902" s="10" t="s">
        <v>704</v>
      </c>
      <c r="G902" s="10" t="b">
        <f>FALSE()</f>
        <v>0</v>
      </c>
      <c r="H902" s="10">
        <v>1</v>
      </c>
      <c r="I902" s="10">
        <v>1</v>
      </c>
      <c r="J902" s="10">
        <v>0</v>
      </c>
      <c r="K902" s="10">
        <v>0</v>
      </c>
      <c r="L902" s="10">
        <v>54</v>
      </c>
      <c r="M902" s="10">
        <v>1</v>
      </c>
      <c r="N902" s="10">
        <v>25</v>
      </c>
      <c r="O902" s="10">
        <v>19</v>
      </c>
    </row>
    <row r="903" spans="1:15" x14ac:dyDescent="0.2">
      <c r="A903" s="10" t="s">
        <v>394</v>
      </c>
      <c r="B903" s="10" t="s">
        <v>157</v>
      </c>
      <c r="C903" s="10" t="s">
        <v>64</v>
      </c>
      <c r="D903" s="10" t="s">
        <v>45</v>
      </c>
      <c r="E903" s="10" t="s">
        <v>46</v>
      </c>
      <c r="F903" s="10" t="s">
        <v>58</v>
      </c>
      <c r="G903" s="10" t="b">
        <f>FALSE()</f>
        <v>0</v>
      </c>
      <c r="H903" s="10">
        <v>1</v>
      </c>
      <c r="I903" s="10">
        <v>0</v>
      </c>
      <c r="J903" s="10">
        <v>2</v>
      </c>
      <c r="K903" s="10">
        <v>54</v>
      </c>
      <c r="L903" s="10">
        <v>54</v>
      </c>
      <c r="M903" s="10">
        <v>0</v>
      </c>
      <c r="N903" s="10">
        <v>0</v>
      </c>
      <c r="O903" s="10">
        <v>0</v>
      </c>
    </row>
    <row r="904" spans="1:15" x14ac:dyDescent="0.2">
      <c r="A904" s="10" t="s">
        <v>315</v>
      </c>
      <c r="B904" s="10" t="s">
        <v>55</v>
      </c>
      <c r="C904" s="10" t="s">
        <v>56</v>
      </c>
      <c r="D904" s="10" t="s">
        <v>45</v>
      </c>
      <c r="E904" s="10" t="s">
        <v>46</v>
      </c>
      <c r="F904" s="10" t="s">
        <v>47</v>
      </c>
      <c r="G904" s="10" t="b">
        <f>FALSE()</f>
        <v>0</v>
      </c>
      <c r="H904" s="10">
        <v>1</v>
      </c>
      <c r="I904" s="10">
        <v>0</v>
      </c>
      <c r="J904" s="10">
        <v>1</v>
      </c>
      <c r="K904" s="10">
        <v>54</v>
      </c>
      <c r="L904" s="10">
        <v>54</v>
      </c>
      <c r="M904" s="10">
        <v>0</v>
      </c>
      <c r="N904" s="10">
        <v>0</v>
      </c>
      <c r="O904" s="10">
        <v>0</v>
      </c>
    </row>
    <row r="905" spans="1:15" x14ac:dyDescent="0.2">
      <c r="A905" s="10" t="s">
        <v>655</v>
      </c>
      <c r="B905" s="10" t="s">
        <v>146</v>
      </c>
      <c r="C905" s="10" t="s">
        <v>105</v>
      </c>
      <c r="D905" s="10" t="s">
        <v>45</v>
      </c>
      <c r="E905" s="10" t="s">
        <v>46</v>
      </c>
      <c r="F905" s="10" t="s">
        <v>79</v>
      </c>
      <c r="G905" s="10" t="b">
        <f>FALSE()</f>
        <v>0</v>
      </c>
      <c r="H905" s="10">
        <v>1</v>
      </c>
      <c r="I905" s="10">
        <v>0</v>
      </c>
      <c r="J905" s="10">
        <v>1</v>
      </c>
      <c r="K905" s="10">
        <v>54</v>
      </c>
      <c r="L905" s="10">
        <v>54</v>
      </c>
      <c r="M905" s="10">
        <v>0</v>
      </c>
      <c r="N905" s="10">
        <v>0</v>
      </c>
      <c r="O905" s="10">
        <v>0</v>
      </c>
    </row>
    <row r="906" spans="1:15" x14ac:dyDescent="0.2">
      <c r="A906" s="10" t="s">
        <v>427</v>
      </c>
      <c r="B906" s="10" t="s">
        <v>67</v>
      </c>
      <c r="C906" s="10" t="s">
        <v>64</v>
      </c>
      <c r="D906" s="10" t="s">
        <v>45</v>
      </c>
      <c r="E906" s="10" t="s">
        <v>46</v>
      </c>
      <c r="F906" s="10" t="s">
        <v>47</v>
      </c>
      <c r="G906" s="10" t="b">
        <f>FALSE()</f>
        <v>0</v>
      </c>
      <c r="H906" s="10">
        <v>1</v>
      </c>
      <c r="I906" s="10">
        <v>0</v>
      </c>
      <c r="J906" s="10">
        <v>1</v>
      </c>
      <c r="K906" s="10">
        <v>54</v>
      </c>
      <c r="L906" s="10">
        <v>54</v>
      </c>
      <c r="M906" s="10">
        <v>0</v>
      </c>
      <c r="N906" s="10">
        <v>0</v>
      </c>
      <c r="O906" s="10">
        <v>0</v>
      </c>
    </row>
    <row r="907" spans="1:15" x14ac:dyDescent="0.2">
      <c r="A907" s="10" t="s">
        <v>705</v>
      </c>
      <c r="B907" s="10" t="s">
        <v>119</v>
      </c>
      <c r="C907" s="10" t="s">
        <v>56</v>
      </c>
      <c r="D907" s="10" t="s">
        <v>45</v>
      </c>
      <c r="E907" s="10" t="s">
        <v>46</v>
      </c>
      <c r="F907" s="10" t="s">
        <v>92</v>
      </c>
      <c r="G907" s="10" t="b">
        <f>FALSE()</f>
        <v>0</v>
      </c>
      <c r="H907" s="10">
        <v>1</v>
      </c>
      <c r="I907" s="10">
        <v>0</v>
      </c>
      <c r="J907" s="10">
        <v>1</v>
      </c>
      <c r="K907" s="10">
        <v>54</v>
      </c>
      <c r="L907" s="10">
        <v>54</v>
      </c>
      <c r="M907" s="10">
        <v>0</v>
      </c>
      <c r="N907" s="10">
        <v>0</v>
      </c>
      <c r="O907" s="10">
        <v>0</v>
      </c>
    </row>
    <row r="908" spans="1:15" x14ac:dyDescent="0.2">
      <c r="A908" s="10" t="s">
        <v>705</v>
      </c>
      <c r="B908" s="10" t="s">
        <v>119</v>
      </c>
      <c r="C908" s="10" t="s">
        <v>56</v>
      </c>
      <c r="D908" s="10" t="s">
        <v>45</v>
      </c>
      <c r="E908" s="10" t="s">
        <v>46</v>
      </c>
      <c r="F908" s="10" t="s">
        <v>153</v>
      </c>
      <c r="G908" s="10" t="b">
        <f>FALSE()</f>
        <v>0</v>
      </c>
      <c r="H908" s="10">
        <v>1</v>
      </c>
      <c r="I908" s="10">
        <v>0</v>
      </c>
      <c r="J908" s="10">
        <v>1</v>
      </c>
      <c r="K908" s="10">
        <v>54</v>
      </c>
      <c r="L908" s="10">
        <v>54</v>
      </c>
      <c r="M908" s="10">
        <v>0</v>
      </c>
      <c r="N908" s="10">
        <v>0</v>
      </c>
      <c r="O908" s="10">
        <v>0</v>
      </c>
    </row>
    <row r="909" spans="1:15" x14ac:dyDescent="0.2">
      <c r="A909" s="10" t="s">
        <v>706</v>
      </c>
      <c r="B909" s="10" t="s">
        <v>477</v>
      </c>
      <c r="C909" s="10" t="s">
        <v>50</v>
      </c>
      <c r="D909" s="10" t="s">
        <v>51</v>
      </c>
      <c r="E909" s="10" t="s">
        <v>52</v>
      </c>
      <c r="F909" s="10" t="s">
        <v>446</v>
      </c>
      <c r="G909" s="10" t="b">
        <f>FALSE()</f>
        <v>0</v>
      </c>
      <c r="H909" s="10">
        <v>1</v>
      </c>
      <c r="I909" s="10">
        <v>1</v>
      </c>
      <c r="J909" s="10">
        <v>1</v>
      </c>
      <c r="K909" s="10">
        <v>65</v>
      </c>
      <c r="L909" s="10">
        <v>53</v>
      </c>
      <c r="M909" s="10">
        <v>1</v>
      </c>
      <c r="N909" s="10">
        <v>183</v>
      </c>
      <c r="O909" s="10">
        <v>181</v>
      </c>
    </row>
    <row r="910" spans="1:15" x14ac:dyDescent="0.2">
      <c r="A910" s="10" t="s">
        <v>329</v>
      </c>
      <c r="B910" s="10" t="s">
        <v>70</v>
      </c>
      <c r="C910" s="10" t="s">
        <v>70</v>
      </c>
      <c r="D910" s="10" t="s">
        <v>45</v>
      </c>
      <c r="E910" s="10" t="s">
        <v>46</v>
      </c>
      <c r="F910" s="10" t="s">
        <v>251</v>
      </c>
      <c r="G910" s="10" t="b">
        <f>FALSE()</f>
        <v>0</v>
      </c>
      <c r="H910" s="10">
        <v>1</v>
      </c>
      <c r="I910" s="10">
        <v>1</v>
      </c>
      <c r="J910" s="10">
        <v>2</v>
      </c>
      <c r="K910" s="10">
        <v>96</v>
      </c>
      <c r="L910" s="10">
        <v>53</v>
      </c>
      <c r="M910" s="10">
        <v>1</v>
      </c>
      <c r="N910" s="10">
        <v>162</v>
      </c>
      <c r="O910" s="10">
        <v>162</v>
      </c>
    </row>
    <row r="911" spans="1:15" x14ac:dyDescent="0.2">
      <c r="A911" s="10" t="s">
        <v>707</v>
      </c>
      <c r="B911" s="10" t="s">
        <v>136</v>
      </c>
      <c r="C911" s="10" t="s">
        <v>73</v>
      </c>
      <c r="D911" s="10" t="s">
        <v>45</v>
      </c>
      <c r="E911" s="10" t="s">
        <v>46</v>
      </c>
      <c r="F911" s="10" t="s">
        <v>251</v>
      </c>
      <c r="G911" s="10" t="b">
        <f>FALSE()</f>
        <v>0</v>
      </c>
      <c r="H911" s="10">
        <v>1</v>
      </c>
      <c r="I911" s="10">
        <v>1</v>
      </c>
      <c r="J911" s="10">
        <v>2</v>
      </c>
      <c r="K911" s="10">
        <v>53</v>
      </c>
      <c r="L911" s="10">
        <v>53</v>
      </c>
      <c r="M911" s="10">
        <v>1</v>
      </c>
      <c r="N911" s="10">
        <v>25</v>
      </c>
      <c r="O911" s="10">
        <v>25</v>
      </c>
    </row>
    <row r="912" spans="1:15" x14ac:dyDescent="0.2">
      <c r="A912" s="10" t="s">
        <v>281</v>
      </c>
      <c r="B912" s="10" t="s">
        <v>282</v>
      </c>
      <c r="C912" s="10" t="s">
        <v>50</v>
      </c>
      <c r="D912" s="10" t="s">
        <v>51</v>
      </c>
      <c r="E912" s="10" t="s">
        <v>52</v>
      </c>
      <c r="F912" s="10" t="s">
        <v>153</v>
      </c>
      <c r="G912" s="10" t="b">
        <f>FALSE()</f>
        <v>0</v>
      </c>
      <c r="H912" s="10">
        <v>1</v>
      </c>
      <c r="I912" s="10">
        <v>1</v>
      </c>
      <c r="J912" s="10">
        <v>1</v>
      </c>
      <c r="K912" s="10">
        <v>53</v>
      </c>
      <c r="L912" s="10">
        <v>53</v>
      </c>
      <c r="M912" s="10">
        <v>1</v>
      </c>
      <c r="N912" s="10">
        <v>24</v>
      </c>
      <c r="O912" s="10">
        <v>24</v>
      </c>
    </row>
    <row r="913" spans="1:15" x14ac:dyDescent="0.2">
      <c r="A913" s="10" t="s">
        <v>278</v>
      </c>
      <c r="B913" s="10" t="s">
        <v>43</v>
      </c>
      <c r="C913" s="10" t="s">
        <v>44</v>
      </c>
      <c r="D913" s="10" t="s">
        <v>45</v>
      </c>
      <c r="E913" s="10" t="s">
        <v>46</v>
      </c>
      <c r="F913" s="10" t="s">
        <v>94</v>
      </c>
      <c r="G913" s="10" t="b">
        <f>FALSE()</f>
        <v>0</v>
      </c>
      <c r="H913" s="10">
        <v>1</v>
      </c>
      <c r="I913" s="10">
        <v>0</v>
      </c>
      <c r="J913" s="10">
        <v>3</v>
      </c>
      <c r="K913" s="10">
        <v>83</v>
      </c>
      <c r="L913" s="10">
        <v>53</v>
      </c>
      <c r="M913" s="10">
        <v>0</v>
      </c>
      <c r="N913" s="10">
        <v>0</v>
      </c>
      <c r="O913" s="10">
        <v>0</v>
      </c>
    </row>
    <row r="914" spans="1:15" x14ac:dyDescent="0.2">
      <c r="A914" s="10" t="s">
        <v>284</v>
      </c>
      <c r="B914" s="10" t="s">
        <v>285</v>
      </c>
      <c r="C914" s="10" t="s">
        <v>105</v>
      </c>
      <c r="D914" s="10" t="s">
        <v>45</v>
      </c>
      <c r="E914" s="10" t="s">
        <v>46</v>
      </c>
      <c r="F914" s="10" t="s">
        <v>92</v>
      </c>
      <c r="G914" s="10" t="b">
        <f>FALSE()</f>
        <v>0</v>
      </c>
      <c r="H914" s="10">
        <v>1</v>
      </c>
      <c r="I914" s="10">
        <v>0</v>
      </c>
      <c r="J914" s="10">
        <v>1</v>
      </c>
      <c r="K914" s="10">
        <v>53</v>
      </c>
      <c r="L914" s="10">
        <v>53</v>
      </c>
      <c r="M914" s="10">
        <v>0</v>
      </c>
      <c r="N914" s="10">
        <v>0</v>
      </c>
      <c r="O914" s="10">
        <v>0</v>
      </c>
    </row>
    <row r="915" spans="1:15" x14ac:dyDescent="0.2">
      <c r="A915" s="10" t="s">
        <v>243</v>
      </c>
      <c r="B915" s="10" t="s">
        <v>244</v>
      </c>
      <c r="C915" s="10" t="s">
        <v>245</v>
      </c>
      <c r="D915" s="10" t="s">
        <v>51</v>
      </c>
      <c r="E915" s="10" t="s">
        <v>52</v>
      </c>
      <c r="F915" s="10" t="s">
        <v>91</v>
      </c>
      <c r="G915" s="10" t="b">
        <f>TRUE()</f>
        <v>1</v>
      </c>
      <c r="H915" s="10">
        <v>1</v>
      </c>
      <c r="I915" s="10">
        <v>0</v>
      </c>
      <c r="J915" s="10">
        <v>1</v>
      </c>
      <c r="K915" s="10">
        <v>60</v>
      </c>
      <c r="L915" s="10">
        <v>53</v>
      </c>
      <c r="M915" s="10">
        <v>0</v>
      </c>
      <c r="N915" s="10">
        <v>0</v>
      </c>
      <c r="O915" s="10">
        <v>0</v>
      </c>
    </row>
    <row r="916" spans="1:15" x14ac:dyDescent="0.2">
      <c r="A916" s="10" t="s">
        <v>501</v>
      </c>
      <c r="B916" s="10" t="s">
        <v>89</v>
      </c>
      <c r="C916" s="10" t="s">
        <v>90</v>
      </c>
      <c r="D916" s="10" t="s">
        <v>51</v>
      </c>
      <c r="E916" s="10" t="s">
        <v>52</v>
      </c>
      <c r="F916" s="10" t="s">
        <v>153</v>
      </c>
      <c r="G916" s="10" t="b">
        <f>FALSE()</f>
        <v>0</v>
      </c>
      <c r="H916" s="10">
        <v>1</v>
      </c>
      <c r="I916" s="10">
        <v>0</v>
      </c>
      <c r="J916" s="10">
        <v>1</v>
      </c>
      <c r="K916" s="10">
        <v>55</v>
      </c>
      <c r="L916" s="10">
        <v>53</v>
      </c>
      <c r="M916" s="10">
        <v>0</v>
      </c>
      <c r="N916" s="10">
        <v>0</v>
      </c>
      <c r="O916" s="10">
        <v>0</v>
      </c>
    </row>
    <row r="917" spans="1:15" x14ac:dyDescent="0.2">
      <c r="A917" s="10" t="s">
        <v>708</v>
      </c>
      <c r="B917" s="10" t="s">
        <v>178</v>
      </c>
      <c r="C917" s="10" t="s">
        <v>73</v>
      </c>
      <c r="D917" s="10" t="s">
        <v>45</v>
      </c>
      <c r="E917" s="10" t="s">
        <v>46</v>
      </c>
      <c r="F917" s="10" t="s">
        <v>47</v>
      </c>
      <c r="G917" s="10" t="b">
        <f>FALSE()</f>
        <v>0</v>
      </c>
      <c r="H917" s="10">
        <v>1</v>
      </c>
      <c r="I917" s="10">
        <v>0</v>
      </c>
      <c r="J917" s="10">
        <v>0</v>
      </c>
      <c r="K917" s="10">
        <v>0</v>
      </c>
      <c r="L917" s="10">
        <v>53</v>
      </c>
      <c r="M917" s="10">
        <v>0</v>
      </c>
      <c r="N917" s="10">
        <v>0</v>
      </c>
      <c r="O917" s="10">
        <v>0</v>
      </c>
    </row>
    <row r="918" spans="1:15" x14ac:dyDescent="0.2">
      <c r="A918" s="10" t="s">
        <v>709</v>
      </c>
      <c r="B918" s="10" t="s">
        <v>119</v>
      </c>
      <c r="C918" s="10" t="s">
        <v>56</v>
      </c>
      <c r="D918" s="10" t="s">
        <v>45</v>
      </c>
      <c r="E918" s="10" t="s">
        <v>46</v>
      </c>
      <c r="F918" s="10" t="s">
        <v>47</v>
      </c>
      <c r="G918" s="10" t="b">
        <f>FALSE()</f>
        <v>0</v>
      </c>
      <c r="H918" s="10">
        <v>1</v>
      </c>
      <c r="I918" s="10">
        <v>0</v>
      </c>
      <c r="J918" s="10">
        <v>1</v>
      </c>
      <c r="K918" s="10">
        <v>55</v>
      </c>
      <c r="L918" s="10">
        <v>53</v>
      </c>
      <c r="M918" s="10">
        <v>0</v>
      </c>
      <c r="N918" s="10">
        <v>0</v>
      </c>
      <c r="O918" s="10">
        <v>0</v>
      </c>
    </row>
    <row r="919" spans="1:15" x14ac:dyDescent="0.2">
      <c r="A919" s="10" t="s">
        <v>710</v>
      </c>
      <c r="B919" s="10" t="s">
        <v>128</v>
      </c>
      <c r="C919" s="10" t="s">
        <v>50</v>
      </c>
      <c r="D919" s="10" t="s">
        <v>51</v>
      </c>
      <c r="E919" s="10" t="s">
        <v>52</v>
      </c>
      <c r="F919" s="10" t="s">
        <v>53</v>
      </c>
      <c r="G919" s="10" t="b">
        <f>FALSE()</f>
        <v>0</v>
      </c>
      <c r="H919" s="10">
        <v>1</v>
      </c>
      <c r="I919" s="10">
        <v>0</v>
      </c>
      <c r="J919" s="10">
        <v>1</v>
      </c>
      <c r="K919" s="10">
        <v>76</v>
      </c>
      <c r="L919" s="10">
        <v>53</v>
      </c>
      <c r="M919" s="10">
        <v>0</v>
      </c>
      <c r="N919" s="10">
        <v>0</v>
      </c>
      <c r="O919" s="10">
        <v>0</v>
      </c>
    </row>
    <row r="920" spans="1:15" x14ac:dyDescent="0.2">
      <c r="A920" s="10" t="s">
        <v>711</v>
      </c>
      <c r="B920" s="10" t="s">
        <v>260</v>
      </c>
      <c r="C920" s="10" t="s">
        <v>64</v>
      </c>
      <c r="D920" s="10" t="s">
        <v>45</v>
      </c>
      <c r="E920" s="10" t="s">
        <v>46</v>
      </c>
      <c r="F920" s="10" t="s">
        <v>92</v>
      </c>
      <c r="G920" s="10" t="b">
        <f>FALSE()</f>
        <v>0</v>
      </c>
      <c r="H920" s="10">
        <v>1</v>
      </c>
      <c r="I920" s="10">
        <v>0</v>
      </c>
      <c r="J920" s="10">
        <v>1</v>
      </c>
      <c r="K920" s="10">
        <v>53</v>
      </c>
      <c r="L920" s="10">
        <v>53</v>
      </c>
      <c r="M920" s="10">
        <v>0</v>
      </c>
      <c r="N920" s="10">
        <v>0</v>
      </c>
      <c r="O920" s="10">
        <v>0</v>
      </c>
    </row>
    <row r="921" spans="1:15" x14ac:dyDescent="0.2">
      <c r="A921" s="10" t="s">
        <v>692</v>
      </c>
      <c r="B921" s="10" t="s">
        <v>55</v>
      </c>
      <c r="C921" s="10" t="s">
        <v>56</v>
      </c>
      <c r="D921" s="10" t="s">
        <v>45</v>
      </c>
      <c r="E921" s="10" t="s">
        <v>46</v>
      </c>
      <c r="F921" s="10" t="s">
        <v>251</v>
      </c>
      <c r="G921" s="10" t="b">
        <f>FALSE()</f>
        <v>0</v>
      </c>
      <c r="H921" s="10">
        <v>1</v>
      </c>
      <c r="I921" s="10">
        <v>0</v>
      </c>
      <c r="J921" s="10">
        <v>1</v>
      </c>
      <c r="K921" s="10">
        <v>56</v>
      </c>
      <c r="L921" s="10">
        <v>53</v>
      </c>
      <c r="M921" s="10">
        <v>0</v>
      </c>
      <c r="N921" s="10">
        <v>0</v>
      </c>
      <c r="O921" s="10">
        <v>0</v>
      </c>
    </row>
    <row r="922" spans="1:15" x14ac:dyDescent="0.2">
      <c r="A922" s="10" t="s">
        <v>712</v>
      </c>
      <c r="B922" s="10" t="s">
        <v>456</v>
      </c>
      <c r="C922" s="10" t="s">
        <v>245</v>
      </c>
      <c r="D922" s="10" t="s">
        <v>51</v>
      </c>
      <c r="E922" s="10" t="s">
        <v>52</v>
      </c>
      <c r="F922" s="10" t="s">
        <v>91</v>
      </c>
      <c r="G922" s="10" t="b">
        <f>TRUE()</f>
        <v>1</v>
      </c>
      <c r="H922" s="10">
        <v>1</v>
      </c>
      <c r="I922" s="10">
        <v>0</v>
      </c>
      <c r="J922" s="10">
        <v>1</v>
      </c>
      <c r="K922" s="10">
        <v>54</v>
      </c>
      <c r="L922" s="10">
        <v>53</v>
      </c>
      <c r="M922" s="10">
        <v>0</v>
      </c>
      <c r="N922" s="10">
        <v>0</v>
      </c>
      <c r="O922" s="10">
        <v>0</v>
      </c>
    </row>
    <row r="923" spans="1:15" x14ac:dyDescent="0.2">
      <c r="A923" s="10" t="s">
        <v>84</v>
      </c>
      <c r="B923" s="10" t="s">
        <v>43</v>
      </c>
      <c r="C923" s="10" t="s">
        <v>44</v>
      </c>
      <c r="D923" s="10" t="s">
        <v>45</v>
      </c>
      <c r="E923" s="10" t="s">
        <v>46</v>
      </c>
      <c r="F923" s="10" t="s">
        <v>94</v>
      </c>
      <c r="G923" s="10" t="b">
        <f>FALSE()</f>
        <v>0</v>
      </c>
      <c r="H923" s="10">
        <v>1</v>
      </c>
      <c r="I923" s="10">
        <v>1</v>
      </c>
      <c r="J923" s="10">
        <v>2</v>
      </c>
      <c r="K923" s="10">
        <v>52</v>
      </c>
      <c r="L923" s="10">
        <v>52</v>
      </c>
      <c r="M923" s="10">
        <v>1</v>
      </c>
      <c r="N923" s="10">
        <v>648</v>
      </c>
      <c r="O923" s="10">
        <v>646</v>
      </c>
    </row>
    <row r="924" spans="1:15" x14ac:dyDescent="0.2">
      <c r="A924" s="10" t="s">
        <v>84</v>
      </c>
      <c r="B924" s="10" t="s">
        <v>43</v>
      </c>
      <c r="C924" s="10" t="s">
        <v>44</v>
      </c>
      <c r="D924" s="10" t="s">
        <v>45</v>
      </c>
      <c r="E924" s="10" t="s">
        <v>46</v>
      </c>
      <c r="F924" s="10" t="s">
        <v>212</v>
      </c>
      <c r="G924" s="10" t="b">
        <f>FALSE()</f>
        <v>0</v>
      </c>
      <c r="H924" s="10">
        <v>1</v>
      </c>
      <c r="I924" s="10">
        <v>1</v>
      </c>
      <c r="J924" s="10">
        <v>2</v>
      </c>
      <c r="K924" s="10">
        <v>53</v>
      </c>
      <c r="L924" s="10">
        <v>52</v>
      </c>
      <c r="M924" s="10">
        <v>1</v>
      </c>
      <c r="N924" s="10">
        <v>117</v>
      </c>
      <c r="O924" s="10">
        <v>87</v>
      </c>
    </row>
    <row r="925" spans="1:15" x14ac:dyDescent="0.2">
      <c r="A925" s="10" t="s">
        <v>697</v>
      </c>
      <c r="B925" s="10" t="s">
        <v>157</v>
      </c>
      <c r="C925" s="10" t="s">
        <v>64</v>
      </c>
      <c r="D925" s="10" t="s">
        <v>45</v>
      </c>
      <c r="E925" s="10" t="s">
        <v>46</v>
      </c>
      <c r="F925" s="10" t="s">
        <v>61</v>
      </c>
      <c r="G925" s="10" t="b">
        <f>FALSE()</f>
        <v>0</v>
      </c>
      <c r="H925" s="10">
        <v>1</v>
      </c>
      <c r="I925" s="10">
        <v>1</v>
      </c>
      <c r="J925" s="10">
        <v>1</v>
      </c>
      <c r="K925" s="10">
        <v>52</v>
      </c>
      <c r="L925" s="10">
        <v>52</v>
      </c>
      <c r="M925" s="10">
        <v>1</v>
      </c>
      <c r="N925" s="10">
        <v>66</v>
      </c>
      <c r="O925" s="10">
        <v>66</v>
      </c>
    </row>
    <row r="926" spans="1:15" x14ac:dyDescent="0.2">
      <c r="A926" s="10" t="s">
        <v>713</v>
      </c>
      <c r="B926" s="10" t="s">
        <v>302</v>
      </c>
      <c r="C926" s="10" t="s">
        <v>117</v>
      </c>
      <c r="D926" s="10" t="s">
        <v>51</v>
      </c>
      <c r="E926" s="10" t="s">
        <v>52</v>
      </c>
      <c r="F926" s="10" t="s">
        <v>190</v>
      </c>
      <c r="G926" s="10" t="b">
        <f>TRUE()</f>
        <v>1</v>
      </c>
      <c r="H926" s="10">
        <v>1</v>
      </c>
      <c r="I926" s="10">
        <v>1</v>
      </c>
      <c r="J926" s="10">
        <v>1</v>
      </c>
      <c r="K926" s="10">
        <v>52</v>
      </c>
      <c r="L926" s="10">
        <v>52</v>
      </c>
      <c r="M926" s="10">
        <v>1</v>
      </c>
      <c r="N926" s="10">
        <v>61</v>
      </c>
      <c r="O926" s="10">
        <v>61</v>
      </c>
    </row>
    <row r="927" spans="1:15" x14ac:dyDescent="0.2">
      <c r="A927" s="10" t="s">
        <v>374</v>
      </c>
      <c r="B927" s="10" t="s">
        <v>375</v>
      </c>
      <c r="C927" s="10" t="s">
        <v>117</v>
      </c>
      <c r="D927" s="10" t="s">
        <v>51</v>
      </c>
      <c r="E927" s="10" t="s">
        <v>52</v>
      </c>
      <c r="F927" s="10" t="s">
        <v>58</v>
      </c>
      <c r="G927" s="10" t="b">
        <f>FALSE()</f>
        <v>0</v>
      </c>
      <c r="H927" s="10">
        <v>1</v>
      </c>
      <c r="I927" s="10">
        <v>1</v>
      </c>
      <c r="J927" s="10">
        <v>1</v>
      </c>
      <c r="K927" s="10">
        <v>53</v>
      </c>
      <c r="L927" s="10">
        <v>52</v>
      </c>
      <c r="M927" s="10">
        <v>1</v>
      </c>
      <c r="N927" s="10">
        <v>48</v>
      </c>
      <c r="O927" s="10">
        <v>48</v>
      </c>
    </row>
    <row r="928" spans="1:15" x14ac:dyDescent="0.2">
      <c r="A928" s="10" t="s">
        <v>370</v>
      </c>
      <c r="B928" s="10" t="s">
        <v>178</v>
      </c>
      <c r="C928" s="10" t="s">
        <v>73</v>
      </c>
      <c r="D928" s="10" t="s">
        <v>45</v>
      </c>
      <c r="E928" s="10" t="s">
        <v>46</v>
      </c>
      <c r="F928" s="10" t="s">
        <v>79</v>
      </c>
      <c r="G928" s="10" t="b">
        <f>FALSE()</f>
        <v>0</v>
      </c>
      <c r="H928" s="10">
        <v>1</v>
      </c>
      <c r="I928" s="10">
        <v>1</v>
      </c>
      <c r="J928" s="10">
        <v>2</v>
      </c>
      <c r="K928" s="10">
        <v>183</v>
      </c>
      <c r="L928" s="10">
        <v>52</v>
      </c>
      <c r="M928" s="10">
        <v>1</v>
      </c>
      <c r="N928" s="10">
        <v>45</v>
      </c>
      <c r="O928" s="10">
        <v>45</v>
      </c>
    </row>
    <row r="929" spans="1:15" x14ac:dyDescent="0.2">
      <c r="A929" s="10" t="s">
        <v>479</v>
      </c>
      <c r="B929" s="10" t="s">
        <v>480</v>
      </c>
      <c r="C929" s="10" t="s">
        <v>245</v>
      </c>
      <c r="D929" s="10" t="s">
        <v>51</v>
      </c>
      <c r="E929" s="10" t="s">
        <v>52</v>
      </c>
      <c r="F929" s="10" t="s">
        <v>403</v>
      </c>
      <c r="G929" s="10" t="b">
        <f>TRUE()</f>
        <v>1</v>
      </c>
      <c r="H929" s="10">
        <v>1</v>
      </c>
      <c r="I929" s="10">
        <v>1</v>
      </c>
      <c r="J929" s="10">
        <v>1</v>
      </c>
      <c r="K929" s="10">
        <v>66</v>
      </c>
      <c r="L929" s="10">
        <v>52</v>
      </c>
      <c r="M929" s="10">
        <v>1</v>
      </c>
      <c r="N929" s="10">
        <v>28</v>
      </c>
      <c r="O929" s="10">
        <v>28</v>
      </c>
    </row>
    <row r="930" spans="1:15" x14ac:dyDescent="0.2">
      <c r="A930" s="10" t="s">
        <v>557</v>
      </c>
      <c r="B930" s="10" t="s">
        <v>70</v>
      </c>
      <c r="C930" s="10" t="s">
        <v>70</v>
      </c>
      <c r="D930" s="10" t="s">
        <v>45</v>
      </c>
      <c r="E930" s="10" t="s">
        <v>46</v>
      </c>
      <c r="F930" s="10" t="s">
        <v>714</v>
      </c>
      <c r="G930" s="10" t="b">
        <f>TRUE()</f>
        <v>1</v>
      </c>
      <c r="H930" s="10">
        <v>1</v>
      </c>
      <c r="I930" s="10">
        <v>1</v>
      </c>
      <c r="J930" s="10">
        <v>2</v>
      </c>
      <c r="K930" s="10">
        <v>56</v>
      </c>
      <c r="L930" s="10">
        <v>52</v>
      </c>
      <c r="M930" s="10">
        <v>1</v>
      </c>
      <c r="N930" s="10">
        <v>23</v>
      </c>
      <c r="O930" s="10">
        <v>23</v>
      </c>
    </row>
    <row r="931" spans="1:15" x14ac:dyDescent="0.2">
      <c r="A931" s="10" t="s">
        <v>703</v>
      </c>
      <c r="B931" s="10" t="s">
        <v>167</v>
      </c>
      <c r="C931" s="10" t="s">
        <v>64</v>
      </c>
      <c r="D931" s="10" t="s">
        <v>45</v>
      </c>
      <c r="E931" s="10" t="s">
        <v>46</v>
      </c>
      <c r="F931" s="10" t="s">
        <v>212</v>
      </c>
      <c r="G931" s="10" t="b">
        <f>FALSE()</f>
        <v>0</v>
      </c>
      <c r="H931" s="10">
        <v>1</v>
      </c>
      <c r="I931" s="10">
        <v>1</v>
      </c>
      <c r="J931" s="10">
        <v>1</v>
      </c>
      <c r="K931" s="10">
        <v>56</v>
      </c>
      <c r="L931" s="10">
        <v>52</v>
      </c>
      <c r="M931" s="10">
        <v>1</v>
      </c>
      <c r="N931" s="10">
        <v>24</v>
      </c>
      <c r="O931" s="10">
        <v>19</v>
      </c>
    </row>
    <row r="932" spans="1:15" x14ac:dyDescent="0.2">
      <c r="A932" s="10" t="s">
        <v>310</v>
      </c>
      <c r="B932" s="10" t="s">
        <v>116</v>
      </c>
      <c r="C932" s="10" t="s">
        <v>117</v>
      </c>
      <c r="D932" s="10" t="s">
        <v>51</v>
      </c>
      <c r="E932" s="10" t="s">
        <v>52</v>
      </c>
      <c r="F932" s="10" t="s">
        <v>180</v>
      </c>
      <c r="G932" s="10" t="b">
        <f>FALSE()</f>
        <v>0</v>
      </c>
      <c r="H932" s="10">
        <v>1</v>
      </c>
      <c r="I932" s="10">
        <v>0</v>
      </c>
      <c r="J932" s="10">
        <v>1</v>
      </c>
      <c r="K932" s="10">
        <v>53</v>
      </c>
      <c r="L932" s="10">
        <v>52</v>
      </c>
      <c r="M932" s="10">
        <v>0</v>
      </c>
      <c r="N932" s="10">
        <v>0</v>
      </c>
      <c r="O932" s="10">
        <v>0</v>
      </c>
    </row>
    <row r="933" spans="1:15" x14ac:dyDescent="0.2">
      <c r="A933" s="10" t="s">
        <v>715</v>
      </c>
      <c r="B933" s="10" t="s">
        <v>193</v>
      </c>
      <c r="C933" s="10" t="s">
        <v>117</v>
      </c>
      <c r="D933" s="10" t="s">
        <v>51</v>
      </c>
      <c r="E933" s="10" t="s">
        <v>52</v>
      </c>
      <c r="F933" s="10" t="s">
        <v>132</v>
      </c>
      <c r="G933" s="10" t="b">
        <f>FALSE()</f>
        <v>0</v>
      </c>
      <c r="H933" s="10">
        <v>1</v>
      </c>
      <c r="I933" s="10">
        <v>0</v>
      </c>
      <c r="J933" s="10">
        <v>1</v>
      </c>
      <c r="K933" s="10">
        <v>36</v>
      </c>
      <c r="L933" s="10">
        <v>52</v>
      </c>
      <c r="M933" s="10">
        <v>0</v>
      </c>
      <c r="N933" s="10">
        <v>0</v>
      </c>
      <c r="O933" s="10">
        <v>0</v>
      </c>
    </row>
    <row r="934" spans="1:15" x14ac:dyDescent="0.2">
      <c r="A934" s="10" t="s">
        <v>716</v>
      </c>
      <c r="B934" s="10" t="s">
        <v>562</v>
      </c>
      <c r="C934" s="10" t="s">
        <v>245</v>
      </c>
      <c r="D934" s="10" t="s">
        <v>51</v>
      </c>
      <c r="E934" s="10" t="s">
        <v>52</v>
      </c>
      <c r="F934" s="10" t="s">
        <v>47</v>
      </c>
      <c r="G934" s="10" t="b">
        <f>FALSE()</f>
        <v>0</v>
      </c>
      <c r="H934" s="10">
        <v>1</v>
      </c>
      <c r="I934" s="10">
        <v>0</v>
      </c>
      <c r="J934" s="10">
        <v>1</v>
      </c>
      <c r="K934" s="10">
        <v>16</v>
      </c>
      <c r="L934" s="10">
        <v>52</v>
      </c>
      <c r="M934" s="10">
        <v>0</v>
      </c>
      <c r="N934" s="10">
        <v>0</v>
      </c>
      <c r="O934" s="10">
        <v>0</v>
      </c>
    </row>
    <row r="935" spans="1:15" x14ac:dyDescent="0.2">
      <c r="A935" s="10" t="s">
        <v>717</v>
      </c>
      <c r="B935" s="10" t="s">
        <v>398</v>
      </c>
      <c r="C935" s="10" t="s">
        <v>112</v>
      </c>
      <c r="D935" s="10" t="s">
        <v>51</v>
      </c>
      <c r="E935" s="10" t="s">
        <v>52</v>
      </c>
      <c r="F935" s="10" t="s">
        <v>183</v>
      </c>
      <c r="G935" s="10" t="b">
        <f>FALSE()</f>
        <v>0</v>
      </c>
      <c r="H935" s="10">
        <v>1</v>
      </c>
      <c r="I935" s="10">
        <v>0</v>
      </c>
      <c r="J935" s="10">
        <v>1</v>
      </c>
      <c r="K935" s="10">
        <v>56</v>
      </c>
      <c r="L935" s="10">
        <v>52</v>
      </c>
      <c r="M935" s="10">
        <v>0</v>
      </c>
      <c r="N935" s="10">
        <v>0</v>
      </c>
      <c r="O935" s="10">
        <v>0</v>
      </c>
    </row>
    <row r="936" spans="1:15" x14ac:dyDescent="0.2">
      <c r="A936" s="10" t="s">
        <v>80</v>
      </c>
      <c r="B936" s="10" t="s">
        <v>81</v>
      </c>
      <c r="C936" s="10" t="s">
        <v>50</v>
      </c>
      <c r="D936" s="10" t="s">
        <v>51</v>
      </c>
      <c r="E936" s="10" t="s">
        <v>52</v>
      </c>
      <c r="F936" s="10" t="s">
        <v>94</v>
      </c>
      <c r="G936" s="10" t="b">
        <f>FALSE()</f>
        <v>0</v>
      </c>
      <c r="H936" s="10">
        <v>1</v>
      </c>
      <c r="I936" s="10">
        <v>0</v>
      </c>
      <c r="J936" s="10">
        <v>3</v>
      </c>
      <c r="K936" s="10">
        <v>77</v>
      </c>
      <c r="L936" s="10">
        <v>52</v>
      </c>
      <c r="M936" s="10">
        <v>0</v>
      </c>
      <c r="N936" s="10">
        <v>0</v>
      </c>
      <c r="O936" s="10">
        <v>0</v>
      </c>
    </row>
    <row r="937" spans="1:15" x14ac:dyDescent="0.2">
      <c r="A937" s="10" t="s">
        <v>718</v>
      </c>
      <c r="B937" s="10" t="s">
        <v>719</v>
      </c>
      <c r="C937" s="10" t="s">
        <v>117</v>
      </c>
      <c r="D937" s="10" t="s">
        <v>51</v>
      </c>
      <c r="E937" s="10" t="s">
        <v>52</v>
      </c>
      <c r="F937" s="10" t="s">
        <v>113</v>
      </c>
      <c r="G937" s="10" t="b">
        <f>TRUE()</f>
        <v>1</v>
      </c>
      <c r="H937" s="10">
        <v>1</v>
      </c>
      <c r="I937" s="10">
        <v>0</v>
      </c>
      <c r="J937" s="10">
        <v>1</v>
      </c>
      <c r="K937" s="10">
        <v>52</v>
      </c>
      <c r="L937" s="10">
        <v>52</v>
      </c>
      <c r="M937" s="10">
        <v>0</v>
      </c>
      <c r="N937" s="10">
        <v>0</v>
      </c>
      <c r="O937" s="10">
        <v>0</v>
      </c>
    </row>
    <row r="938" spans="1:15" x14ac:dyDescent="0.2">
      <c r="A938" s="10" t="s">
        <v>516</v>
      </c>
      <c r="B938" s="10" t="s">
        <v>517</v>
      </c>
      <c r="C938" s="10" t="s">
        <v>90</v>
      </c>
      <c r="D938" s="10" t="s">
        <v>51</v>
      </c>
      <c r="E938" s="10" t="s">
        <v>52</v>
      </c>
      <c r="F938" s="10" t="s">
        <v>47</v>
      </c>
      <c r="G938" s="10" t="b">
        <f>FALSE()</f>
        <v>0</v>
      </c>
      <c r="H938" s="10">
        <v>1</v>
      </c>
      <c r="I938" s="10">
        <v>0</v>
      </c>
      <c r="J938" s="10">
        <v>2</v>
      </c>
      <c r="K938" s="10">
        <v>52</v>
      </c>
      <c r="L938" s="10">
        <v>52</v>
      </c>
      <c r="M938" s="10">
        <v>0</v>
      </c>
      <c r="N938" s="10">
        <v>0</v>
      </c>
      <c r="O938" s="10">
        <v>0</v>
      </c>
    </row>
    <row r="939" spans="1:15" x14ac:dyDescent="0.2">
      <c r="A939" s="10" t="s">
        <v>391</v>
      </c>
      <c r="B939" s="10" t="s">
        <v>146</v>
      </c>
      <c r="C939" s="10" t="s">
        <v>105</v>
      </c>
      <c r="D939" s="10" t="s">
        <v>45</v>
      </c>
      <c r="E939" s="10" t="s">
        <v>46</v>
      </c>
      <c r="F939" s="10" t="s">
        <v>53</v>
      </c>
      <c r="G939" s="10" t="b">
        <f>FALSE()</f>
        <v>0</v>
      </c>
      <c r="H939" s="10">
        <v>1</v>
      </c>
      <c r="I939" s="10">
        <v>0</v>
      </c>
      <c r="J939" s="10">
        <v>1</v>
      </c>
      <c r="K939" s="10">
        <v>52</v>
      </c>
      <c r="L939" s="10">
        <v>52</v>
      </c>
      <c r="M939" s="10">
        <v>0</v>
      </c>
      <c r="N939" s="10">
        <v>0</v>
      </c>
      <c r="O939" s="10">
        <v>0</v>
      </c>
    </row>
    <row r="940" spans="1:15" x14ac:dyDescent="0.2">
      <c r="A940" s="10" t="s">
        <v>503</v>
      </c>
      <c r="B940" s="10" t="s">
        <v>67</v>
      </c>
      <c r="C940" s="10" t="s">
        <v>64</v>
      </c>
      <c r="D940" s="10" t="s">
        <v>45</v>
      </c>
      <c r="E940" s="10" t="s">
        <v>46</v>
      </c>
      <c r="F940" s="10" t="s">
        <v>47</v>
      </c>
      <c r="G940" s="10" t="b">
        <f>FALSE()</f>
        <v>0</v>
      </c>
      <c r="H940" s="10">
        <v>1</v>
      </c>
      <c r="I940" s="10">
        <v>0</v>
      </c>
      <c r="J940" s="10">
        <v>1</v>
      </c>
      <c r="K940" s="10">
        <v>52</v>
      </c>
      <c r="L940" s="10">
        <v>52</v>
      </c>
      <c r="M940" s="10">
        <v>0</v>
      </c>
      <c r="N940" s="10">
        <v>0</v>
      </c>
      <c r="O940" s="10">
        <v>0</v>
      </c>
    </row>
    <row r="941" spans="1:15" x14ac:dyDescent="0.2">
      <c r="A941" s="10" t="s">
        <v>720</v>
      </c>
      <c r="B941" s="10" t="s">
        <v>72</v>
      </c>
      <c r="C941" s="10" t="s">
        <v>73</v>
      </c>
      <c r="D941" s="10" t="s">
        <v>45</v>
      </c>
      <c r="E941" s="10" t="s">
        <v>46</v>
      </c>
      <c r="F941" s="10" t="s">
        <v>47</v>
      </c>
      <c r="G941" s="10" t="b">
        <f>FALSE()</f>
        <v>0</v>
      </c>
      <c r="H941" s="10">
        <v>1</v>
      </c>
      <c r="I941" s="10">
        <v>0</v>
      </c>
      <c r="J941" s="10">
        <v>1</v>
      </c>
      <c r="K941" s="10">
        <v>138</v>
      </c>
      <c r="L941" s="10">
        <v>52</v>
      </c>
      <c r="M941" s="10">
        <v>0</v>
      </c>
      <c r="N941" s="10">
        <v>0</v>
      </c>
      <c r="O941" s="10">
        <v>0</v>
      </c>
    </row>
    <row r="942" spans="1:15" x14ac:dyDescent="0.2">
      <c r="A942" s="10" t="s">
        <v>721</v>
      </c>
      <c r="B942" s="10" t="s">
        <v>456</v>
      </c>
      <c r="C942" s="10" t="s">
        <v>245</v>
      </c>
      <c r="D942" s="10" t="s">
        <v>51</v>
      </c>
      <c r="E942" s="10" t="s">
        <v>52</v>
      </c>
      <c r="F942" s="10" t="s">
        <v>79</v>
      </c>
      <c r="G942" s="10" t="b">
        <f>FALSE()</f>
        <v>0</v>
      </c>
      <c r="H942" s="10">
        <v>1</v>
      </c>
      <c r="I942" s="10">
        <v>0</v>
      </c>
      <c r="J942" s="10">
        <v>1</v>
      </c>
      <c r="K942" s="10">
        <v>56</v>
      </c>
      <c r="L942" s="10">
        <v>52</v>
      </c>
      <c r="M942" s="10">
        <v>0</v>
      </c>
      <c r="N942" s="10">
        <v>0</v>
      </c>
      <c r="O942" s="10">
        <v>0</v>
      </c>
    </row>
    <row r="943" spans="1:15" x14ac:dyDescent="0.2">
      <c r="A943" s="10" t="s">
        <v>722</v>
      </c>
      <c r="B943" s="10" t="s">
        <v>70</v>
      </c>
      <c r="C943" s="10" t="s">
        <v>70</v>
      </c>
      <c r="D943" s="10" t="s">
        <v>45</v>
      </c>
      <c r="E943" s="10" t="s">
        <v>46</v>
      </c>
      <c r="F943" s="10" t="s">
        <v>75</v>
      </c>
      <c r="G943" s="10" t="b">
        <f>FALSE()</f>
        <v>0</v>
      </c>
      <c r="H943" s="10">
        <v>1</v>
      </c>
      <c r="I943" s="10">
        <v>0</v>
      </c>
      <c r="J943" s="10">
        <v>1</v>
      </c>
      <c r="K943" s="10">
        <v>52</v>
      </c>
      <c r="L943" s="10">
        <v>52</v>
      </c>
      <c r="M943" s="10">
        <v>0</v>
      </c>
      <c r="N943" s="10">
        <v>0</v>
      </c>
      <c r="O943" s="10">
        <v>0</v>
      </c>
    </row>
    <row r="944" spans="1:15" x14ac:dyDescent="0.2">
      <c r="A944" s="10" t="s">
        <v>723</v>
      </c>
      <c r="B944" s="10" t="s">
        <v>549</v>
      </c>
      <c r="C944" s="10" t="s">
        <v>117</v>
      </c>
      <c r="D944" s="10" t="s">
        <v>51</v>
      </c>
      <c r="E944" s="10" t="s">
        <v>52</v>
      </c>
      <c r="F944" s="10" t="s">
        <v>180</v>
      </c>
      <c r="G944" s="10" t="b">
        <f>FALSE()</f>
        <v>0</v>
      </c>
      <c r="H944" s="10">
        <v>1</v>
      </c>
      <c r="I944" s="10">
        <v>0</v>
      </c>
      <c r="J944" s="10">
        <v>1</v>
      </c>
      <c r="K944" s="10">
        <v>52</v>
      </c>
      <c r="L944" s="10">
        <v>52</v>
      </c>
      <c r="M944" s="10">
        <v>0</v>
      </c>
      <c r="N944" s="10">
        <v>0</v>
      </c>
      <c r="O944" s="10">
        <v>0</v>
      </c>
    </row>
    <row r="945" spans="1:15" x14ac:dyDescent="0.2">
      <c r="A945" s="10" t="s">
        <v>604</v>
      </c>
      <c r="B945" s="10" t="s">
        <v>70</v>
      </c>
      <c r="C945" s="10" t="s">
        <v>70</v>
      </c>
      <c r="D945" s="10" t="s">
        <v>45</v>
      </c>
      <c r="E945" s="10" t="s">
        <v>46</v>
      </c>
      <c r="F945" s="10" t="s">
        <v>91</v>
      </c>
      <c r="G945" s="10" t="b">
        <f>TRUE()</f>
        <v>1</v>
      </c>
      <c r="H945" s="10">
        <v>1</v>
      </c>
      <c r="I945" s="10">
        <v>1</v>
      </c>
      <c r="J945" s="10">
        <v>1</v>
      </c>
      <c r="K945" s="10">
        <v>51</v>
      </c>
      <c r="L945" s="10">
        <v>51</v>
      </c>
      <c r="M945" s="10">
        <v>1</v>
      </c>
      <c r="N945" s="10">
        <v>452</v>
      </c>
      <c r="O945" s="10">
        <v>445</v>
      </c>
    </row>
    <row r="946" spans="1:15" x14ac:dyDescent="0.2">
      <c r="A946" s="10" t="s">
        <v>724</v>
      </c>
      <c r="B946" s="10" t="s">
        <v>119</v>
      </c>
      <c r="C946" s="10" t="s">
        <v>56</v>
      </c>
      <c r="D946" s="10" t="s">
        <v>45</v>
      </c>
      <c r="E946" s="10" t="s">
        <v>46</v>
      </c>
      <c r="F946" s="10" t="s">
        <v>47</v>
      </c>
      <c r="G946" s="10" t="b">
        <f>FALSE()</f>
        <v>0</v>
      </c>
      <c r="H946" s="10">
        <v>1</v>
      </c>
      <c r="I946" s="10">
        <v>1</v>
      </c>
      <c r="J946" s="10">
        <v>2</v>
      </c>
      <c r="K946" s="10">
        <v>51</v>
      </c>
      <c r="L946" s="10">
        <v>51</v>
      </c>
      <c r="M946" s="10">
        <v>1</v>
      </c>
      <c r="N946" s="10">
        <v>374</v>
      </c>
      <c r="O946" s="10">
        <v>373</v>
      </c>
    </row>
    <row r="947" spans="1:15" x14ac:dyDescent="0.2">
      <c r="A947" s="10" t="s">
        <v>414</v>
      </c>
      <c r="B947" s="10" t="s">
        <v>70</v>
      </c>
      <c r="C947" s="10" t="s">
        <v>70</v>
      </c>
      <c r="D947" s="10" t="s">
        <v>45</v>
      </c>
      <c r="E947" s="10" t="s">
        <v>46</v>
      </c>
      <c r="F947" s="10" t="s">
        <v>91</v>
      </c>
      <c r="G947" s="10" t="b">
        <f>TRUE()</f>
        <v>1</v>
      </c>
      <c r="H947" s="10">
        <v>1</v>
      </c>
      <c r="I947" s="10">
        <v>1</v>
      </c>
      <c r="J947" s="10">
        <v>1</v>
      </c>
      <c r="K947" s="10">
        <v>56</v>
      </c>
      <c r="L947" s="10">
        <v>51</v>
      </c>
      <c r="M947" s="10">
        <v>1</v>
      </c>
      <c r="N947" s="10">
        <v>124</v>
      </c>
      <c r="O947" s="10">
        <v>123</v>
      </c>
    </row>
    <row r="948" spans="1:15" x14ac:dyDescent="0.2">
      <c r="A948" s="10" t="s">
        <v>414</v>
      </c>
      <c r="B948" s="10" t="s">
        <v>70</v>
      </c>
      <c r="C948" s="10" t="s">
        <v>70</v>
      </c>
      <c r="D948" s="10" t="s">
        <v>45</v>
      </c>
      <c r="E948" s="10" t="s">
        <v>46</v>
      </c>
      <c r="F948" s="10" t="s">
        <v>190</v>
      </c>
      <c r="G948" s="10" t="b">
        <f>TRUE()</f>
        <v>1</v>
      </c>
      <c r="H948" s="10">
        <v>1</v>
      </c>
      <c r="I948" s="10">
        <v>1</v>
      </c>
      <c r="J948" s="10">
        <v>1</v>
      </c>
      <c r="K948" s="10">
        <v>51</v>
      </c>
      <c r="L948" s="10">
        <v>51</v>
      </c>
      <c r="M948" s="10">
        <v>1</v>
      </c>
      <c r="N948" s="10">
        <v>110</v>
      </c>
      <c r="O948" s="10">
        <v>110</v>
      </c>
    </row>
    <row r="949" spans="1:15" x14ac:dyDescent="0.2">
      <c r="A949" s="10" t="s">
        <v>376</v>
      </c>
      <c r="B949" s="10" t="s">
        <v>377</v>
      </c>
      <c r="C949" s="10" t="s">
        <v>50</v>
      </c>
      <c r="D949" s="10" t="s">
        <v>51</v>
      </c>
      <c r="E949" s="10" t="s">
        <v>52</v>
      </c>
      <c r="F949" s="10" t="s">
        <v>79</v>
      </c>
      <c r="G949" s="10" t="b">
        <f>FALSE()</f>
        <v>0</v>
      </c>
      <c r="H949" s="10">
        <v>1</v>
      </c>
      <c r="I949" s="10">
        <v>1</v>
      </c>
      <c r="J949" s="10">
        <v>2</v>
      </c>
      <c r="K949" s="10">
        <v>91</v>
      </c>
      <c r="L949" s="10">
        <v>51</v>
      </c>
      <c r="M949" s="10">
        <v>1</v>
      </c>
      <c r="N949" s="10">
        <v>84</v>
      </c>
      <c r="O949" s="10">
        <v>84</v>
      </c>
    </row>
    <row r="950" spans="1:15" x14ac:dyDescent="0.2">
      <c r="A950" s="10" t="s">
        <v>414</v>
      </c>
      <c r="B950" s="10" t="s">
        <v>96</v>
      </c>
      <c r="C950" s="10" t="s">
        <v>50</v>
      </c>
      <c r="D950" s="10" t="s">
        <v>51</v>
      </c>
      <c r="E950" s="10" t="s">
        <v>52</v>
      </c>
      <c r="F950" s="10" t="s">
        <v>588</v>
      </c>
      <c r="G950" s="10" t="b">
        <f>TRUE()</f>
        <v>1</v>
      </c>
      <c r="H950" s="10">
        <v>1</v>
      </c>
      <c r="I950" s="10">
        <v>1</v>
      </c>
      <c r="J950" s="10">
        <v>2</v>
      </c>
      <c r="K950" s="10">
        <v>51</v>
      </c>
      <c r="L950" s="10">
        <v>51</v>
      </c>
      <c r="M950" s="10">
        <v>1</v>
      </c>
      <c r="N950" s="10">
        <v>72</v>
      </c>
      <c r="O950" s="10">
        <v>72</v>
      </c>
    </row>
    <row r="951" spans="1:15" x14ac:dyDescent="0.2">
      <c r="A951" s="10" t="s">
        <v>383</v>
      </c>
      <c r="B951" s="10" t="s">
        <v>384</v>
      </c>
      <c r="C951" s="10" t="s">
        <v>50</v>
      </c>
      <c r="D951" s="10" t="s">
        <v>51</v>
      </c>
      <c r="E951" s="10" t="s">
        <v>52</v>
      </c>
      <c r="F951" s="10" t="s">
        <v>331</v>
      </c>
      <c r="G951" s="10" t="b">
        <f>FALSE()</f>
        <v>0</v>
      </c>
      <c r="H951" s="10">
        <v>1</v>
      </c>
      <c r="I951" s="10">
        <v>1</v>
      </c>
      <c r="J951" s="10">
        <v>1</v>
      </c>
      <c r="K951" s="10">
        <v>42</v>
      </c>
      <c r="L951" s="10">
        <v>51</v>
      </c>
      <c r="M951" s="10">
        <v>1</v>
      </c>
      <c r="N951" s="10">
        <v>60</v>
      </c>
      <c r="O951" s="10">
        <v>59</v>
      </c>
    </row>
    <row r="952" spans="1:15" x14ac:dyDescent="0.2">
      <c r="A952" s="10" t="s">
        <v>725</v>
      </c>
      <c r="B952" s="10" t="s">
        <v>60</v>
      </c>
      <c r="C952" s="10" t="s">
        <v>50</v>
      </c>
      <c r="D952" s="10" t="s">
        <v>51</v>
      </c>
      <c r="E952" s="10" t="s">
        <v>52</v>
      </c>
      <c r="F952" s="10" t="s">
        <v>153</v>
      </c>
      <c r="G952" s="10" t="b">
        <f>FALSE()</f>
        <v>0</v>
      </c>
      <c r="H952" s="10">
        <v>1</v>
      </c>
      <c r="I952" s="10">
        <v>0</v>
      </c>
      <c r="J952" s="10">
        <v>2</v>
      </c>
      <c r="K952" s="10">
        <v>61</v>
      </c>
      <c r="L952" s="10">
        <v>51</v>
      </c>
      <c r="M952" s="10">
        <v>0</v>
      </c>
      <c r="N952" s="10">
        <v>0</v>
      </c>
      <c r="O952" s="10">
        <v>0</v>
      </c>
    </row>
    <row r="953" spans="1:15" x14ac:dyDescent="0.2">
      <c r="A953" s="10" t="s">
        <v>668</v>
      </c>
      <c r="B953" s="10" t="s">
        <v>669</v>
      </c>
      <c r="C953" s="10" t="s">
        <v>90</v>
      </c>
      <c r="D953" s="10" t="s">
        <v>51</v>
      </c>
      <c r="E953" s="10" t="s">
        <v>52</v>
      </c>
      <c r="F953" s="10" t="s">
        <v>113</v>
      </c>
      <c r="G953" s="10" t="b">
        <f>TRUE()</f>
        <v>1</v>
      </c>
      <c r="H953" s="10">
        <v>1</v>
      </c>
      <c r="I953" s="10">
        <v>0</v>
      </c>
      <c r="J953" s="10">
        <v>2</v>
      </c>
      <c r="K953" s="10">
        <v>71</v>
      </c>
      <c r="L953" s="10">
        <v>51</v>
      </c>
      <c r="M953" s="10">
        <v>0</v>
      </c>
      <c r="N953" s="10">
        <v>0</v>
      </c>
      <c r="O953" s="10">
        <v>0</v>
      </c>
    </row>
    <row r="954" spans="1:15" x14ac:dyDescent="0.2">
      <c r="A954" s="10" t="s">
        <v>726</v>
      </c>
      <c r="B954" s="10" t="s">
        <v>727</v>
      </c>
      <c r="C954" s="10" t="s">
        <v>112</v>
      </c>
      <c r="D954" s="10" t="s">
        <v>51</v>
      </c>
      <c r="E954" s="10" t="s">
        <v>52</v>
      </c>
      <c r="F954" s="10" t="s">
        <v>552</v>
      </c>
      <c r="G954" s="10" t="b">
        <f>FALSE()</f>
        <v>0</v>
      </c>
      <c r="H954" s="10">
        <v>1</v>
      </c>
      <c r="I954" s="10">
        <v>0</v>
      </c>
      <c r="J954" s="10">
        <v>1</v>
      </c>
      <c r="K954" s="10">
        <v>56</v>
      </c>
      <c r="L954" s="10">
        <v>51</v>
      </c>
      <c r="M954" s="10">
        <v>0</v>
      </c>
      <c r="N954" s="10">
        <v>0</v>
      </c>
      <c r="O954" s="10">
        <v>0</v>
      </c>
    </row>
    <row r="955" spans="1:15" x14ac:dyDescent="0.2">
      <c r="A955" s="10" t="s">
        <v>455</v>
      </c>
      <c r="B955" s="10" t="s">
        <v>456</v>
      </c>
      <c r="C955" s="10" t="s">
        <v>245</v>
      </c>
      <c r="D955" s="10" t="s">
        <v>51</v>
      </c>
      <c r="E955" s="10" t="s">
        <v>52</v>
      </c>
      <c r="F955" s="10" t="s">
        <v>190</v>
      </c>
      <c r="G955" s="10" t="b">
        <f>TRUE()</f>
        <v>1</v>
      </c>
      <c r="H955" s="10">
        <v>1</v>
      </c>
      <c r="I955" s="10">
        <v>0</v>
      </c>
      <c r="J955" s="10">
        <v>2</v>
      </c>
      <c r="K955" s="10">
        <v>54</v>
      </c>
      <c r="L955" s="10">
        <v>51</v>
      </c>
      <c r="M955" s="10">
        <v>0</v>
      </c>
      <c r="N955" s="10">
        <v>0</v>
      </c>
      <c r="O955" s="10">
        <v>0</v>
      </c>
    </row>
    <row r="956" spans="1:15" x14ac:dyDescent="0.2">
      <c r="A956" s="10" t="s">
        <v>203</v>
      </c>
      <c r="B956" s="10" t="s">
        <v>178</v>
      </c>
      <c r="C956" s="10" t="s">
        <v>73</v>
      </c>
      <c r="D956" s="10" t="s">
        <v>45</v>
      </c>
      <c r="E956" s="10" t="s">
        <v>46</v>
      </c>
      <c r="F956" s="10" t="s">
        <v>92</v>
      </c>
      <c r="G956" s="10" t="b">
        <f>FALSE()</f>
        <v>0</v>
      </c>
      <c r="H956" s="10">
        <v>1</v>
      </c>
      <c r="I956" s="10">
        <v>0</v>
      </c>
      <c r="J956" s="10">
        <v>2</v>
      </c>
      <c r="K956" s="10">
        <v>51</v>
      </c>
      <c r="L956" s="10">
        <v>51</v>
      </c>
      <c r="M956" s="10">
        <v>0</v>
      </c>
      <c r="N956" s="10">
        <v>0</v>
      </c>
      <c r="O956" s="10">
        <v>0</v>
      </c>
    </row>
    <row r="957" spans="1:15" x14ac:dyDescent="0.2">
      <c r="A957" s="10" t="s">
        <v>728</v>
      </c>
      <c r="B957" s="10" t="s">
        <v>70</v>
      </c>
      <c r="C957" s="10" t="s">
        <v>70</v>
      </c>
      <c r="D957" s="10" t="s">
        <v>45</v>
      </c>
      <c r="E957" s="10" t="s">
        <v>46</v>
      </c>
      <c r="F957" s="10" t="s">
        <v>183</v>
      </c>
      <c r="G957" s="10" t="b">
        <f>FALSE()</f>
        <v>0</v>
      </c>
      <c r="H957" s="10">
        <v>1</v>
      </c>
      <c r="I957" s="10">
        <v>0</v>
      </c>
      <c r="J957" s="10">
        <v>2</v>
      </c>
      <c r="K957" s="10">
        <v>54</v>
      </c>
      <c r="L957" s="10">
        <v>51</v>
      </c>
      <c r="M957" s="10">
        <v>0</v>
      </c>
      <c r="N957" s="10">
        <v>0</v>
      </c>
      <c r="O957" s="10">
        <v>0</v>
      </c>
    </row>
    <row r="958" spans="1:15" x14ac:dyDescent="0.2">
      <c r="A958" s="10" t="s">
        <v>509</v>
      </c>
      <c r="B958" s="10" t="s">
        <v>285</v>
      </c>
      <c r="C958" s="10" t="s">
        <v>105</v>
      </c>
      <c r="D958" s="10" t="s">
        <v>45</v>
      </c>
      <c r="E958" s="10" t="s">
        <v>46</v>
      </c>
      <c r="F958" s="10" t="s">
        <v>47</v>
      </c>
      <c r="G958" s="10" t="b">
        <f>FALSE()</f>
        <v>0</v>
      </c>
      <c r="H958" s="10">
        <v>1</v>
      </c>
      <c r="I958" s="10">
        <v>0</v>
      </c>
      <c r="J958" s="10">
        <v>1</v>
      </c>
      <c r="K958" s="10">
        <v>51</v>
      </c>
      <c r="L958" s="10">
        <v>51</v>
      </c>
      <c r="M958" s="10">
        <v>0</v>
      </c>
      <c r="N958" s="10">
        <v>0</v>
      </c>
      <c r="O958" s="10">
        <v>0</v>
      </c>
    </row>
    <row r="959" spans="1:15" x14ac:dyDescent="0.2">
      <c r="A959" s="10" t="s">
        <v>688</v>
      </c>
      <c r="B959" s="10" t="s">
        <v>407</v>
      </c>
      <c r="C959" s="10" t="s">
        <v>112</v>
      </c>
      <c r="D959" s="10" t="s">
        <v>51</v>
      </c>
      <c r="E959" s="10" t="s">
        <v>52</v>
      </c>
      <c r="F959" s="10" t="s">
        <v>190</v>
      </c>
      <c r="G959" s="10" t="b">
        <f>TRUE()</f>
        <v>1</v>
      </c>
      <c r="H959" s="10">
        <v>1</v>
      </c>
      <c r="I959" s="10">
        <v>0</v>
      </c>
      <c r="J959" s="10">
        <v>3</v>
      </c>
      <c r="K959" s="10">
        <v>54</v>
      </c>
      <c r="L959" s="10">
        <v>51</v>
      </c>
      <c r="M959" s="10">
        <v>0</v>
      </c>
      <c r="N959" s="10">
        <v>0</v>
      </c>
      <c r="O959" s="10">
        <v>0</v>
      </c>
    </row>
    <row r="960" spans="1:15" x14ac:dyDescent="0.2">
      <c r="A960" s="10" t="s">
        <v>729</v>
      </c>
      <c r="B960" s="10" t="s">
        <v>730</v>
      </c>
      <c r="C960" s="10" t="s">
        <v>90</v>
      </c>
      <c r="D960" s="10" t="s">
        <v>51</v>
      </c>
      <c r="E960" s="10" t="s">
        <v>52</v>
      </c>
      <c r="F960" s="10" t="s">
        <v>47</v>
      </c>
      <c r="G960" s="10" t="b">
        <f>FALSE()</f>
        <v>0</v>
      </c>
      <c r="H960" s="10">
        <v>1</v>
      </c>
      <c r="I960" s="10">
        <v>0</v>
      </c>
      <c r="J960" s="10">
        <v>1</v>
      </c>
      <c r="K960" s="10">
        <v>52</v>
      </c>
      <c r="L960" s="10">
        <v>51</v>
      </c>
      <c r="M960" s="10">
        <v>0</v>
      </c>
      <c r="N960" s="10">
        <v>0</v>
      </c>
      <c r="O960" s="10">
        <v>0</v>
      </c>
    </row>
    <row r="961" spans="1:15" x14ac:dyDescent="0.2">
      <c r="A961" s="10" t="s">
        <v>731</v>
      </c>
      <c r="B961" s="10" t="s">
        <v>136</v>
      </c>
      <c r="C961" s="10" t="s">
        <v>73</v>
      </c>
      <c r="D961" s="10" t="s">
        <v>45</v>
      </c>
      <c r="E961" s="10" t="s">
        <v>46</v>
      </c>
      <c r="F961" s="10" t="s">
        <v>53</v>
      </c>
      <c r="G961" s="10" t="b">
        <f>FALSE()</f>
        <v>0</v>
      </c>
      <c r="H961" s="10">
        <v>1</v>
      </c>
      <c r="I961" s="10">
        <v>0</v>
      </c>
      <c r="J961" s="10">
        <v>1</v>
      </c>
      <c r="K961" s="10">
        <v>56</v>
      </c>
      <c r="L961" s="10">
        <v>51</v>
      </c>
      <c r="M961" s="10">
        <v>0</v>
      </c>
      <c r="N961" s="10">
        <v>0</v>
      </c>
      <c r="O961" s="10">
        <v>0</v>
      </c>
    </row>
    <row r="962" spans="1:15" x14ac:dyDescent="0.2">
      <c r="A962" s="10" t="s">
        <v>732</v>
      </c>
      <c r="B962" s="10" t="s">
        <v>165</v>
      </c>
      <c r="C962" s="10" t="s">
        <v>112</v>
      </c>
      <c r="D962" s="10" t="s">
        <v>51</v>
      </c>
      <c r="E962" s="10" t="s">
        <v>52</v>
      </c>
      <c r="F962" s="10" t="s">
        <v>212</v>
      </c>
      <c r="G962" s="10" t="b">
        <f>FALSE()</f>
        <v>0</v>
      </c>
      <c r="H962" s="10">
        <v>1</v>
      </c>
      <c r="I962" s="10">
        <v>0</v>
      </c>
      <c r="J962" s="10">
        <v>2</v>
      </c>
      <c r="K962" s="10">
        <v>53</v>
      </c>
      <c r="L962" s="10">
        <v>51</v>
      </c>
      <c r="M962" s="10">
        <v>0</v>
      </c>
      <c r="N962" s="10">
        <v>0</v>
      </c>
      <c r="O962" s="10">
        <v>0</v>
      </c>
    </row>
    <row r="963" spans="1:15" x14ac:dyDescent="0.2">
      <c r="A963" s="10" t="s">
        <v>697</v>
      </c>
      <c r="B963" s="10" t="s">
        <v>172</v>
      </c>
      <c r="C963" s="10" t="s">
        <v>44</v>
      </c>
      <c r="D963" s="10" t="s">
        <v>45</v>
      </c>
      <c r="E963" s="10" t="s">
        <v>46</v>
      </c>
      <c r="F963" s="10" t="s">
        <v>206</v>
      </c>
      <c r="G963" s="10" t="b">
        <f>FALSE()</f>
        <v>0</v>
      </c>
      <c r="H963" s="10">
        <v>1</v>
      </c>
      <c r="I963" s="10">
        <v>0</v>
      </c>
      <c r="J963" s="10">
        <v>1</v>
      </c>
      <c r="K963" s="10">
        <v>51</v>
      </c>
      <c r="L963" s="10">
        <v>51</v>
      </c>
      <c r="M963" s="10">
        <v>0</v>
      </c>
      <c r="N963" s="10">
        <v>0</v>
      </c>
      <c r="O963" s="10">
        <v>0</v>
      </c>
    </row>
    <row r="964" spans="1:15" x14ac:dyDescent="0.2">
      <c r="A964" s="10" t="s">
        <v>693</v>
      </c>
      <c r="B964" s="10" t="s">
        <v>130</v>
      </c>
      <c r="C964" s="10" t="s">
        <v>56</v>
      </c>
      <c r="D964" s="10" t="s">
        <v>45</v>
      </c>
      <c r="E964" s="10" t="s">
        <v>46</v>
      </c>
      <c r="F964" s="10" t="s">
        <v>91</v>
      </c>
      <c r="G964" s="10" t="b">
        <f>TRUE()</f>
        <v>1</v>
      </c>
      <c r="H964" s="10">
        <v>1</v>
      </c>
      <c r="I964" s="10">
        <v>0</v>
      </c>
      <c r="J964" s="10">
        <v>1</v>
      </c>
      <c r="K964" s="10">
        <v>57</v>
      </c>
      <c r="L964" s="10">
        <v>51</v>
      </c>
      <c r="M964" s="10">
        <v>0</v>
      </c>
      <c r="N964" s="10">
        <v>0</v>
      </c>
      <c r="O964" s="10">
        <v>0</v>
      </c>
    </row>
    <row r="965" spans="1:15" x14ac:dyDescent="0.2">
      <c r="A965" s="10" t="s">
        <v>733</v>
      </c>
      <c r="B965" s="10" t="s">
        <v>89</v>
      </c>
      <c r="C965" s="10" t="s">
        <v>90</v>
      </c>
      <c r="D965" s="10" t="s">
        <v>51</v>
      </c>
      <c r="E965" s="10" t="s">
        <v>52</v>
      </c>
      <c r="F965" s="10" t="s">
        <v>153</v>
      </c>
      <c r="G965" s="10" t="b">
        <f>FALSE()</f>
        <v>0</v>
      </c>
      <c r="H965" s="10">
        <v>1</v>
      </c>
      <c r="I965" s="10">
        <v>1</v>
      </c>
      <c r="J965" s="10">
        <v>1</v>
      </c>
      <c r="K965" s="10">
        <v>50</v>
      </c>
      <c r="L965" s="10">
        <v>50</v>
      </c>
      <c r="M965" s="10">
        <v>1</v>
      </c>
      <c r="N965" s="10">
        <v>152</v>
      </c>
      <c r="O965" s="10">
        <v>152</v>
      </c>
    </row>
    <row r="966" spans="1:15" x14ac:dyDescent="0.2">
      <c r="A966" s="10" t="s">
        <v>411</v>
      </c>
      <c r="B966" s="10" t="s">
        <v>60</v>
      </c>
      <c r="C966" s="10" t="s">
        <v>50</v>
      </c>
      <c r="D966" s="10" t="s">
        <v>51</v>
      </c>
      <c r="E966" s="10" t="s">
        <v>52</v>
      </c>
      <c r="F966" s="10" t="s">
        <v>61</v>
      </c>
      <c r="G966" s="10" t="b">
        <f>FALSE()</f>
        <v>0</v>
      </c>
      <c r="H966" s="10">
        <v>1</v>
      </c>
      <c r="I966" s="10">
        <v>1</v>
      </c>
      <c r="J966" s="10">
        <v>2</v>
      </c>
      <c r="K966" s="10">
        <v>102</v>
      </c>
      <c r="L966" s="10">
        <v>50</v>
      </c>
      <c r="M966" s="10">
        <v>1</v>
      </c>
      <c r="N966" s="10">
        <v>131</v>
      </c>
      <c r="O966" s="10">
        <v>131</v>
      </c>
    </row>
    <row r="967" spans="1:15" x14ac:dyDescent="0.2">
      <c r="A967" s="10" t="s">
        <v>707</v>
      </c>
      <c r="B967" s="10" t="s">
        <v>136</v>
      </c>
      <c r="C967" s="10" t="s">
        <v>73</v>
      </c>
      <c r="D967" s="10" t="s">
        <v>45</v>
      </c>
      <c r="E967" s="10" t="s">
        <v>46</v>
      </c>
      <c r="F967" s="10" t="s">
        <v>61</v>
      </c>
      <c r="G967" s="10" t="b">
        <f>FALSE()</f>
        <v>0</v>
      </c>
      <c r="H967" s="10">
        <v>1</v>
      </c>
      <c r="I967" s="10">
        <v>1</v>
      </c>
      <c r="J967" s="10">
        <v>2</v>
      </c>
      <c r="K967" s="10">
        <v>50</v>
      </c>
      <c r="L967" s="10">
        <v>50</v>
      </c>
      <c r="M967" s="10">
        <v>1</v>
      </c>
      <c r="N967" s="10">
        <v>93</v>
      </c>
      <c r="O967" s="10">
        <v>93</v>
      </c>
    </row>
    <row r="968" spans="1:15" x14ac:dyDescent="0.2">
      <c r="A968" s="10" t="s">
        <v>325</v>
      </c>
      <c r="B968" s="10" t="s">
        <v>89</v>
      </c>
      <c r="C968" s="10" t="s">
        <v>90</v>
      </c>
      <c r="D968" s="10" t="s">
        <v>51</v>
      </c>
      <c r="E968" s="10" t="s">
        <v>52</v>
      </c>
      <c r="F968" s="10" t="s">
        <v>308</v>
      </c>
      <c r="G968" s="10" t="b">
        <f>TRUE()</f>
        <v>1</v>
      </c>
      <c r="H968" s="10">
        <v>1</v>
      </c>
      <c r="I968" s="10">
        <v>1</v>
      </c>
      <c r="J968" s="10">
        <v>1</v>
      </c>
      <c r="K968" s="10">
        <v>25</v>
      </c>
      <c r="L968" s="10">
        <v>50</v>
      </c>
      <c r="M968" s="10">
        <v>1</v>
      </c>
      <c r="N968" s="10">
        <v>88</v>
      </c>
      <c r="O968" s="10">
        <v>87</v>
      </c>
    </row>
    <row r="969" spans="1:15" x14ac:dyDescent="0.2">
      <c r="A969" s="10" t="s">
        <v>734</v>
      </c>
      <c r="B969" s="10" t="s">
        <v>89</v>
      </c>
      <c r="C969" s="10" t="s">
        <v>90</v>
      </c>
      <c r="D969" s="10" t="s">
        <v>51</v>
      </c>
      <c r="E969" s="10" t="s">
        <v>52</v>
      </c>
      <c r="F969" s="10" t="s">
        <v>47</v>
      </c>
      <c r="G969" s="10" t="b">
        <f>FALSE()</f>
        <v>0</v>
      </c>
      <c r="H969" s="10">
        <v>1</v>
      </c>
      <c r="I969" s="10">
        <v>1</v>
      </c>
      <c r="J969" s="10">
        <v>1</v>
      </c>
      <c r="K969" s="10">
        <v>50</v>
      </c>
      <c r="L969" s="10">
        <v>50</v>
      </c>
      <c r="M969" s="10">
        <v>1</v>
      </c>
      <c r="N969" s="10">
        <v>102</v>
      </c>
      <c r="O969" s="10">
        <v>73</v>
      </c>
    </row>
    <row r="970" spans="1:15" x14ac:dyDescent="0.2">
      <c r="A970" s="10" t="s">
        <v>713</v>
      </c>
      <c r="B970" s="10" t="s">
        <v>302</v>
      </c>
      <c r="C970" s="10" t="s">
        <v>117</v>
      </c>
      <c r="D970" s="10" t="s">
        <v>51</v>
      </c>
      <c r="E970" s="10" t="s">
        <v>52</v>
      </c>
      <c r="F970" s="10" t="s">
        <v>91</v>
      </c>
      <c r="G970" s="10" t="b">
        <f>TRUE()</f>
        <v>1</v>
      </c>
      <c r="H970" s="10">
        <v>1</v>
      </c>
      <c r="I970" s="10">
        <v>1</v>
      </c>
      <c r="J970" s="10">
        <v>1</v>
      </c>
      <c r="K970" s="10">
        <v>51</v>
      </c>
      <c r="L970" s="10">
        <v>50</v>
      </c>
      <c r="M970" s="10">
        <v>1</v>
      </c>
      <c r="N970" s="10">
        <v>47</v>
      </c>
      <c r="O970" s="10">
        <v>47</v>
      </c>
    </row>
    <row r="971" spans="1:15" x14ac:dyDescent="0.2">
      <c r="A971" s="10" t="s">
        <v>735</v>
      </c>
      <c r="B971" s="10" t="s">
        <v>172</v>
      </c>
      <c r="C971" s="10" t="s">
        <v>44</v>
      </c>
      <c r="D971" s="10" t="s">
        <v>45</v>
      </c>
      <c r="E971" s="10" t="s">
        <v>46</v>
      </c>
      <c r="F971" s="10" t="s">
        <v>75</v>
      </c>
      <c r="G971" s="10" t="b">
        <f>FALSE()</f>
        <v>0</v>
      </c>
      <c r="H971" s="10">
        <v>1</v>
      </c>
      <c r="I971" s="10">
        <v>1</v>
      </c>
      <c r="J971" s="10">
        <v>1</v>
      </c>
      <c r="K971" s="10">
        <v>50</v>
      </c>
      <c r="L971" s="10">
        <v>50</v>
      </c>
      <c r="M971" s="10">
        <v>1</v>
      </c>
      <c r="N971" s="10">
        <v>9</v>
      </c>
      <c r="O971" s="10">
        <v>9</v>
      </c>
    </row>
    <row r="972" spans="1:15" x14ac:dyDescent="0.2">
      <c r="A972" s="10" t="s">
        <v>736</v>
      </c>
      <c r="B972" s="10" t="s">
        <v>727</v>
      </c>
      <c r="C972" s="10" t="s">
        <v>112</v>
      </c>
      <c r="D972" s="10" t="s">
        <v>51</v>
      </c>
      <c r="E972" s="10" t="s">
        <v>52</v>
      </c>
      <c r="F972" s="10" t="s">
        <v>737</v>
      </c>
      <c r="G972" s="10" t="b">
        <f>FALSE()</f>
        <v>0</v>
      </c>
      <c r="H972" s="10">
        <v>1</v>
      </c>
      <c r="I972" s="10">
        <v>0</v>
      </c>
      <c r="J972" s="10">
        <v>2</v>
      </c>
      <c r="K972" s="10">
        <v>50</v>
      </c>
      <c r="L972" s="10">
        <v>50</v>
      </c>
      <c r="M972" s="10">
        <v>0</v>
      </c>
      <c r="N972" s="10">
        <v>0</v>
      </c>
      <c r="O972" s="10">
        <v>0</v>
      </c>
    </row>
    <row r="973" spans="1:15" x14ac:dyDescent="0.2">
      <c r="A973" s="10" t="s">
        <v>738</v>
      </c>
      <c r="B973" s="10" t="s">
        <v>234</v>
      </c>
      <c r="C973" s="10" t="s">
        <v>90</v>
      </c>
      <c r="D973" s="10" t="s">
        <v>51</v>
      </c>
      <c r="E973" s="10" t="s">
        <v>52</v>
      </c>
      <c r="F973" s="10" t="s">
        <v>180</v>
      </c>
      <c r="G973" s="10" t="b">
        <f>FALSE()</f>
        <v>0</v>
      </c>
      <c r="H973" s="10">
        <v>1</v>
      </c>
      <c r="I973" s="10">
        <v>0</v>
      </c>
      <c r="J973" s="10">
        <v>1</v>
      </c>
      <c r="K973" s="10">
        <v>50</v>
      </c>
      <c r="L973" s="10">
        <v>50</v>
      </c>
      <c r="M973" s="10">
        <v>0</v>
      </c>
      <c r="N973" s="10">
        <v>0</v>
      </c>
      <c r="O973" s="10">
        <v>0</v>
      </c>
    </row>
    <row r="974" spans="1:15" x14ac:dyDescent="0.2">
      <c r="A974" s="10" t="s">
        <v>739</v>
      </c>
      <c r="B974" s="10" t="s">
        <v>109</v>
      </c>
      <c r="C974" s="10" t="s">
        <v>90</v>
      </c>
      <c r="D974" s="10" t="s">
        <v>51</v>
      </c>
      <c r="E974" s="10" t="s">
        <v>52</v>
      </c>
      <c r="F974" s="10" t="s">
        <v>345</v>
      </c>
      <c r="G974" s="10" t="b">
        <f>FALSE()</f>
        <v>0</v>
      </c>
      <c r="H974" s="10">
        <v>1</v>
      </c>
      <c r="I974" s="10">
        <v>0</v>
      </c>
      <c r="J974" s="10">
        <v>1</v>
      </c>
      <c r="K974" s="10">
        <v>50</v>
      </c>
      <c r="L974" s="10">
        <v>50</v>
      </c>
      <c r="M974" s="10">
        <v>0</v>
      </c>
      <c r="N974" s="10">
        <v>0</v>
      </c>
      <c r="O974" s="10">
        <v>0</v>
      </c>
    </row>
    <row r="975" spans="1:15" x14ac:dyDescent="0.2">
      <c r="A975" s="10" t="s">
        <v>551</v>
      </c>
      <c r="B975" s="10" t="s">
        <v>419</v>
      </c>
      <c r="C975" s="10" t="s">
        <v>50</v>
      </c>
      <c r="D975" s="10" t="s">
        <v>51</v>
      </c>
      <c r="E975" s="10" t="s">
        <v>52</v>
      </c>
      <c r="F975" s="10" t="s">
        <v>180</v>
      </c>
      <c r="G975" s="10" t="b">
        <f>FALSE()</f>
        <v>0</v>
      </c>
      <c r="H975" s="10">
        <v>1</v>
      </c>
      <c r="I975" s="10">
        <v>0</v>
      </c>
      <c r="J975" s="10">
        <v>2</v>
      </c>
      <c r="K975" s="10">
        <v>50</v>
      </c>
      <c r="L975" s="10">
        <v>50</v>
      </c>
      <c r="M975" s="10">
        <v>0</v>
      </c>
      <c r="N975" s="10">
        <v>0</v>
      </c>
      <c r="O975" s="10">
        <v>0</v>
      </c>
    </row>
    <row r="976" spans="1:15" x14ac:dyDescent="0.2">
      <c r="A976" s="10" t="s">
        <v>250</v>
      </c>
      <c r="B976" s="10" t="s">
        <v>193</v>
      </c>
      <c r="C976" s="10" t="s">
        <v>117</v>
      </c>
      <c r="D976" s="10" t="s">
        <v>51</v>
      </c>
      <c r="E976" s="10" t="s">
        <v>52</v>
      </c>
      <c r="F976" s="10" t="s">
        <v>180</v>
      </c>
      <c r="G976" s="10" t="b">
        <f>FALSE()</f>
        <v>0</v>
      </c>
      <c r="H976" s="10">
        <v>1</v>
      </c>
      <c r="I976" s="10">
        <v>0</v>
      </c>
      <c r="J976" s="10">
        <v>1</v>
      </c>
      <c r="K976" s="10">
        <v>52</v>
      </c>
      <c r="L976" s="10">
        <v>50</v>
      </c>
      <c r="M976" s="10">
        <v>0</v>
      </c>
      <c r="N976" s="10">
        <v>0</v>
      </c>
      <c r="O976" s="10">
        <v>0</v>
      </c>
    </row>
    <row r="977" spans="1:15" x14ac:dyDescent="0.2">
      <c r="A977" s="10" t="s">
        <v>300</v>
      </c>
      <c r="B977" s="10" t="s">
        <v>172</v>
      </c>
      <c r="C977" s="10" t="s">
        <v>44</v>
      </c>
      <c r="D977" s="10" t="s">
        <v>45</v>
      </c>
      <c r="E977" s="10" t="s">
        <v>46</v>
      </c>
      <c r="F977" s="10" t="s">
        <v>214</v>
      </c>
      <c r="G977" s="10" t="b">
        <f>FALSE()</f>
        <v>0</v>
      </c>
      <c r="H977" s="10">
        <v>1</v>
      </c>
      <c r="I977" s="10">
        <v>0</v>
      </c>
      <c r="J977" s="10">
        <v>1</v>
      </c>
      <c r="K977" s="10">
        <v>50</v>
      </c>
      <c r="L977" s="10">
        <v>50</v>
      </c>
      <c r="M977" s="10">
        <v>0</v>
      </c>
      <c r="N977" s="10">
        <v>0</v>
      </c>
      <c r="O977" s="10">
        <v>0</v>
      </c>
    </row>
    <row r="978" spans="1:15" x14ac:dyDescent="0.2">
      <c r="A978" s="10" t="s">
        <v>201</v>
      </c>
      <c r="B978" s="10" t="s">
        <v>130</v>
      </c>
      <c r="C978" s="10" t="s">
        <v>56</v>
      </c>
      <c r="D978" s="10" t="s">
        <v>45</v>
      </c>
      <c r="E978" s="10" t="s">
        <v>46</v>
      </c>
      <c r="F978" s="10" t="s">
        <v>363</v>
      </c>
      <c r="G978" s="10" t="b">
        <f>FALSE()</f>
        <v>0</v>
      </c>
      <c r="H978" s="10">
        <v>1</v>
      </c>
      <c r="I978" s="10">
        <v>0</v>
      </c>
      <c r="J978" s="10">
        <v>1</v>
      </c>
      <c r="K978" s="10">
        <v>50</v>
      </c>
      <c r="L978" s="10">
        <v>50</v>
      </c>
      <c r="M978" s="10">
        <v>0</v>
      </c>
      <c r="N978" s="10">
        <v>0</v>
      </c>
      <c r="O978" s="10">
        <v>0</v>
      </c>
    </row>
    <row r="979" spans="1:15" x14ac:dyDescent="0.2">
      <c r="A979" s="10" t="s">
        <v>509</v>
      </c>
      <c r="B979" s="10" t="s">
        <v>285</v>
      </c>
      <c r="C979" s="10" t="s">
        <v>105</v>
      </c>
      <c r="D979" s="10" t="s">
        <v>45</v>
      </c>
      <c r="E979" s="10" t="s">
        <v>46</v>
      </c>
      <c r="F979" s="10" t="s">
        <v>92</v>
      </c>
      <c r="G979" s="10" t="b">
        <f>FALSE()</f>
        <v>0</v>
      </c>
      <c r="H979" s="10">
        <v>1</v>
      </c>
      <c r="I979" s="10">
        <v>0</v>
      </c>
      <c r="J979" s="10">
        <v>0</v>
      </c>
      <c r="K979" s="10">
        <v>0</v>
      </c>
      <c r="L979" s="10">
        <v>50</v>
      </c>
      <c r="M979" s="10">
        <v>0</v>
      </c>
      <c r="N979" s="10">
        <v>0</v>
      </c>
      <c r="O979" s="10">
        <v>0</v>
      </c>
    </row>
    <row r="980" spans="1:15" x14ac:dyDescent="0.2">
      <c r="A980" s="10" t="s">
        <v>626</v>
      </c>
      <c r="B980" s="10" t="s">
        <v>477</v>
      </c>
      <c r="C980" s="10" t="s">
        <v>50</v>
      </c>
      <c r="D980" s="10" t="s">
        <v>51</v>
      </c>
      <c r="E980" s="10" t="s">
        <v>52</v>
      </c>
      <c r="F980" s="10" t="s">
        <v>61</v>
      </c>
      <c r="G980" s="10" t="b">
        <f>FALSE()</f>
        <v>0</v>
      </c>
      <c r="H980" s="10">
        <v>1</v>
      </c>
      <c r="I980" s="10">
        <v>0</v>
      </c>
      <c r="J980" s="10">
        <v>1</v>
      </c>
      <c r="K980" s="10">
        <v>79</v>
      </c>
      <c r="L980" s="10">
        <v>50</v>
      </c>
      <c r="M980" s="10">
        <v>0</v>
      </c>
      <c r="N980" s="10">
        <v>0</v>
      </c>
      <c r="O980" s="10">
        <v>0</v>
      </c>
    </row>
    <row r="981" spans="1:15" x14ac:dyDescent="0.2">
      <c r="A981" s="10" t="s">
        <v>626</v>
      </c>
      <c r="B981" s="10" t="s">
        <v>477</v>
      </c>
      <c r="C981" s="10" t="s">
        <v>50</v>
      </c>
      <c r="D981" s="10" t="s">
        <v>51</v>
      </c>
      <c r="E981" s="10" t="s">
        <v>52</v>
      </c>
      <c r="F981" s="10" t="s">
        <v>153</v>
      </c>
      <c r="G981" s="10" t="b">
        <f>FALSE()</f>
        <v>0</v>
      </c>
      <c r="H981" s="10">
        <v>1</v>
      </c>
      <c r="I981" s="10">
        <v>0</v>
      </c>
      <c r="J981" s="10">
        <v>1</v>
      </c>
      <c r="K981" s="10">
        <v>77</v>
      </c>
      <c r="L981" s="10">
        <v>50</v>
      </c>
      <c r="M981" s="10">
        <v>0</v>
      </c>
      <c r="N981" s="10">
        <v>0</v>
      </c>
      <c r="O981" s="10">
        <v>0</v>
      </c>
    </row>
    <row r="982" spans="1:15" x14ac:dyDescent="0.2">
      <c r="A982" s="10" t="s">
        <v>516</v>
      </c>
      <c r="B982" s="10" t="s">
        <v>517</v>
      </c>
      <c r="C982" s="10" t="s">
        <v>90</v>
      </c>
      <c r="D982" s="10" t="s">
        <v>51</v>
      </c>
      <c r="E982" s="10" t="s">
        <v>52</v>
      </c>
      <c r="F982" s="10" t="s">
        <v>92</v>
      </c>
      <c r="G982" s="10" t="b">
        <f>FALSE()</f>
        <v>0</v>
      </c>
      <c r="H982" s="10">
        <v>1</v>
      </c>
      <c r="I982" s="10">
        <v>0</v>
      </c>
      <c r="J982" s="10">
        <v>2</v>
      </c>
      <c r="K982" s="10">
        <v>50</v>
      </c>
      <c r="L982" s="10">
        <v>50</v>
      </c>
      <c r="M982" s="10">
        <v>0</v>
      </c>
      <c r="N982" s="10">
        <v>0</v>
      </c>
      <c r="O982" s="10">
        <v>0</v>
      </c>
    </row>
    <row r="983" spans="1:15" x14ac:dyDescent="0.2">
      <c r="A983" s="10" t="s">
        <v>740</v>
      </c>
      <c r="B983" s="10" t="s">
        <v>238</v>
      </c>
      <c r="C983" s="10" t="s">
        <v>90</v>
      </c>
      <c r="D983" s="10" t="s">
        <v>51</v>
      </c>
      <c r="E983" s="10" t="s">
        <v>52</v>
      </c>
      <c r="F983" s="10" t="s">
        <v>61</v>
      </c>
      <c r="G983" s="10" t="b">
        <f>FALSE()</f>
        <v>0</v>
      </c>
      <c r="H983" s="10">
        <v>1</v>
      </c>
      <c r="I983" s="10">
        <v>0</v>
      </c>
      <c r="J983" s="10">
        <v>2</v>
      </c>
      <c r="K983" s="10">
        <v>50</v>
      </c>
      <c r="L983" s="10">
        <v>50</v>
      </c>
      <c r="M983" s="10">
        <v>0</v>
      </c>
      <c r="N983" s="10">
        <v>0</v>
      </c>
      <c r="O983" s="10">
        <v>0</v>
      </c>
    </row>
    <row r="984" spans="1:15" x14ac:dyDescent="0.2">
      <c r="A984" s="10" t="s">
        <v>741</v>
      </c>
      <c r="B984" s="10" t="s">
        <v>508</v>
      </c>
      <c r="C984" s="10" t="s">
        <v>90</v>
      </c>
      <c r="D984" s="10" t="s">
        <v>51</v>
      </c>
      <c r="E984" s="10" t="s">
        <v>52</v>
      </c>
      <c r="F984" s="10" t="s">
        <v>61</v>
      </c>
      <c r="G984" s="10" t="b">
        <f>FALSE()</f>
        <v>0</v>
      </c>
      <c r="H984" s="10">
        <v>1</v>
      </c>
      <c r="I984" s="10">
        <v>0</v>
      </c>
      <c r="J984" s="10">
        <v>2</v>
      </c>
      <c r="K984" s="10">
        <v>50</v>
      </c>
      <c r="L984" s="10">
        <v>50</v>
      </c>
      <c r="M984" s="10">
        <v>0</v>
      </c>
      <c r="N984" s="10">
        <v>0</v>
      </c>
      <c r="O984" s="10">
        <v>0</v>
      </c>
    </row>
    <row r="985" spans="1:15" x14ac:dyDescent="0.2">
      <c r="A985" s="10" t="s">
        <v>742</v>
      </c>
      <c r="B985" s="10" t="s">
        <v>43</v>
      </c>
      <c r="C985" s="10" t="s">
        <v>44</v>
      </c>
      <c r="D985" s="10" t="s">
        <v>45</v>
      </c>
      <c r="E985" s="10" t="s">
        <v>46</v>
      </c>
      <c r="F985" s="10" t="s">
        <v>61</v>
      </c>
      <c r="G985" s="10" t="b">
        <f>FALSE()</f>
        <v>0</v>
      </c>
      <c r="H985" s="10">
        <v>1</v>
      </c>
      <c r="I985" s="10">
        <v>0</v>
      </c>
      <c r="J985" s="10">
        <v>1</v>
      </c>
      <c r="K985" s="10">
        <v>51</v>
      </c>
      <c r="L985" s="10">
        <v>50</v>
      </c>
      <c r="M985" s="10">
        <v>0</v>
      </c>
      <c r="N985" s="10">
        <v>0</v>
      </c>
      <c r="O985" s="10">
        <v>0</v>
      </c>
    </row>
    <row r="986" spans="1:15" x14ac:dyDescent="0.2">
      <c r="A986" s="10" t="s">
        <v>743</v>
      </c>
      <c r="B986" s="10" t="s">
        <v>285</v>
      </c>
      <c r="C986" s="10" t="s">
        <v>105</v>
      </c>
      <c r="D986" s="10" t="s">
        <v>45</v>
      </c>
      <c r="E986" s="10" t="s">
        <v>46</v>
      </c>
      <c r="F986" s="10" t="s">
        <v>92</v>
      </c>
      <c r="G986" s="10" t="b">
        <f>FALSE()</f>
        <v>0</v>
      </c>
      <c r="H986" s="10">
        <v>1</v>
      </c>
      <c r="I986" s="10">
        <v>0</v>
      </c>
      <c r="J986" s="10">
        <v>1</v>
      </c>
      <c r="K986" s="10">
        <v>52</v>
      </c>
      <c r="L986" s="10">
        <v>50</v>
      </c>
      <c r="M986" s="10">
        <v>0</v>
      </c>
      <c r="N986" s="10">
        <v>0</v>
      </c>
      <c r="O986" s="10">
        <v>0</v>
      </c>
    </row>
    <row r="987" spans="1:15" x14ac:dyDescent="0.2">
      <c r="A987" s="10" t="s">
        <v>744</v>
      </c>
      <c r="B987" s="10" t="s">
        <v>163</v>
      </c>
      <c r="C987" s="10" t="s">
        <v>90</v>
      </c>
      <c r="D987" s="10" t="s">
        <v>51</v>
      </c>
      <c r="E987" s="10" t="s">
        <v>52</v>
      </c>
      <c r="F987" s="10" t="s">
        <v>61</v>
      </c>
      <c r="G987" s="10" t="b">
        <f>FALSE()</f>
        <v>0</v>
      </c>
      <c r="H987" s="10">
        <v>1</v>
      </c>
      <c r="I987" s="10">
        <v>0</v>
      </c>
      <c r="J987" s="10">
        <v>1</v>
      </c>
      <c r="K987" s="10">
        <v>50</v>
      </c>
      <c r="L987" s="10">
        <v>50</v>
      </c>
      <c r="M987" s="10">
        <v>0</v>
      </c>
      <c r="N987" s="10">
        <v>0</v>
      </c>
      <c r="O987" s="10">
        <v>0</v>
      </c>
    </row>
    <row r="988" spans="1:15" x14ac:dyDescent="0.2">
      <c r="A988" s="10" t="s">
        <v>745</v>
      </c>
      <c r="B988" s="10" t="s">
        <v>89</v>
      </c>
      <c r="C988" s="10" t="s">
        <v>90</v>
      </c>
      <c r="D988" s="10" t="s">
        <v>51</v>
      </c>
      <c r="E988" s="10" t="s">
        <v>52</v>
      </c>
      <c r="F988" s="10" t="s">
        <v>94</v>
      </c>
      <c r="G988" s="10" t="b">
        <f>FALSE()</f>
        <v>0</v>
      </c>
      <c r="H988" s="10">
        <v>1</v>
      </c>
      <c r="I988" s="10">
        <v>0</v>
      </c>
      <c r="J988" s="10">
        <v>2</v>
      </c>
      <c r="K988" s="10">
        <v>49</v>
      </c>
      <c r="L988" s="10">
        <v>50</v>
      </c>
      <c r="M988" s="10">
        <v>0</v>
      </c>
      <c r="N988" s="10">
        <v>0</v>
      </c>
      <c r="O988" s="10">
        <v>0</v>
      </c>
    </row>
    <row r="989" spans="1:15" x14ac:dyDescent="0.2">
      <c r="A989" s="10" t="s">
        <v>746</v>
      </c>
      <c r="B989" s="10" t="s">
        <v>146</v>
      </c>
      <c r="C989" s="10" t="s">
        <v>105</v>
      </c>
      <c r="D989" s="10" t="s">
        <v>45</v>
      </c>
      <c r="E989" s="10" t="s">
        <v>46</v>
      </c>
      <c r="F989" s="10" t="s">
        <v>94</v>
      </c>
      <c r="G989" s="10" t="b">
        <f>FALSE()</f>
        <v>0</v>
      </c>
      <c r="H989" s="10">
        <v>1</v>
      </c>
      <c r="I989" s="10">
        <v>0</v>
      </c>
      <c r="J989" s="10">
        <v>1</v>
      </c>
      <c r="K989" s="10">
        <v>55</v>
      </c>
      <c r="L989" s="10">
        <v>50</v>
      </c>
      <c r="M989" s="10">
        <v>0</v>
      </c>
      <c r="N989" s="10">
        <v>0</v>
      </c>
      <c r="O989" s="10">
        <v>0</v>
      </c>
    </row>
    <row r="990" spans="1:15" x14ac:dyDescent="0.2">
      <c r="A990" s="10" t="s">
        <v>747</v>
      </c>
      <c r="B990" s="10" t="s">
        <v>538</v>
      </c>
      <c r="C990" s="10" t="s">
        <v>90</v>
      </c>
      <c r="D990" s="10" t="s">
        <v>51</v>
      </c>
      <c r="E990" s="10" t="s">
        <v>52</v>
      </c>
      <c r="F990" s="10" t="s">
        <v>47</v>
      </c>
      <c r="G990" s="10" t="b">
        <f>FALSE()</f>
        <v>0</v>
      </c>
      <c r="H990" s="10">
        <v>1</v>
      </c>
      <c r="I990" s="10">
        <v>0</v>
      </c>
      <c r="J990" s="10">
        <v>2</v>
      </c>
      <c r="K990" s="10">
        <v>75</v>
      </c>
      <c r="L990" s="10">
        <v>50</v>
      </c>
      <c r="M990" s="10">
        <v>0</v>
      </c>
      <c r="N990" s="10">
        <v>0</v>
      </c>
      <c r="O990" s="10">
        <v>0</v>
      </c>
    </row>
    <row r="991" spans="1:15" x14ac:dyDescent="0.2">
      <c r="A991" s="10" t="s">
        <v>748</v>
      </c>
      <c r="B991" s="10" t="s">
        <v>109</v>
      </c>
      <c r="C991" s="10" t="s">
        <v>90</v>
      </c>
      <c r="D991" s="10" t="s">
        <v>51</v>
      </c>
      <c r="E991" s="10" t="s">
        <v>52</v>
      </c>
      <c r="F991" s="10" t="s">
        <v>91</v>
      </c>
      <c r="G991" s="10" t="b">
        <f>TRUE()</f>
        <v>1</v>
      </c>
      <c r="H991" s="10">
        <v>1</v>
      </c>
      <c r="I991" s="10">
        <v>0</v>
      </c>
      <c r="J991" s="10">
        <v>1</v>
      </c>
      <c r="K991" s="10">
        <v>50</v>
      </c>
      <c r="L991" s="10">
        <v>50</v>
      </c>
      <c r="M991" s="10">
        <v>0</v>
      </c>
      <c r="N991" s="10">
        <v>0</v>
      </c>
      <c r="O991" s="10">
        <v>0</v>
      </c>
    </row>
    <row r="992" spans="1:15" x14ac:dyDescent="0.2">
      <c r="A992" s="10" t="s">
        <v>322</v>
      </c>
      <c r="B992" s="10" t="s">
        <v>146</v>
      </c>
      <c r="C992" s="10" t="s">
        <v>105</v>
      </c>
      <c r="D992" s="10" t="s">
        <v>45</v>
      </c>
      <c r="E992" s="10" t="s">
        <v>46</v>
      </c>
      <c r="F992" s="10" t="s">
        <v>749</v>
      </c>
      <c r="G992" s="10" t="b">
        <f>TRUE()</f>
        <v>1</v>
      </c>
      <c r="H992" s="10">
        <v>1</v>
      </c>
      <c r="I992" s="10">
        <v>0</v>
      </c>
      <c r="J992" s="10">
        <v>1</v>
      </c>
      <c r="K992" s="10">
        <v>75</v>
      </c>
      <c r="L992" s="10">
        <v>50</v>
      </c>
      <c r="M992" s="10">
        <v>0</v>
      </c>
      <c r="N992" s="10">
        <v>0</v>
      </c>
      <c r="O992" s="10">
        <v>0</v>
      </c>
    </row>
    <row r="993" spans="1:15" x14ac:dyDescent="0.2">
      <c r="A993" s="10" t="s">
        <v>750</v>
      </c>
      <c r="B993" s="10" t="s">
        <v>70</v>
      </c>
      <c r="C993" s="10" t="s">
        <v>70</v>
      </c>
      <c r="D993" s="10" t="s">
        <v>45</v>
      </c>
      <c r="E993" s="10" t="s">
        <v>46</v>
      </c>
      <c r="F993" s="10" t="s">
        <v>153</v>
      </c>
      <c r="G993" s="10" t="b">
        <f>FALSE()</f>
        <v>0</v>
      </c>
      <c r="H993" s="10">
        <v>1</v>
      </c>
      <c r="I993" s="10">
        <v>0</v>
      </c>
      <c r="J993" s="10">
        <v>1</v>
      </c>
      <c r="K993" s="10">
        <v>63</v>
      </c>
      <c r="L993" s="10">
        <v>50</v>
      </c>
      <c r="M993" s="10">
        <v>0</v>
      </c>
      <c r="N993" s="10">
        <v>0</v>
      </c>
      <c r="O993" s="10">
        <v>0</v>
      </c>
    </row>
    <row r="994" spans="1:15" x14ac:dyDescent="0.2">
      <c r="A994" s="10" t="s">
        <v>751</v>
      </c>
      <c r="B994" s="10" t="s">
        <v>633</v>
      </c>
      <c r="C994" s="10" t="s">
        <v>90</v>
      </c>
      <c r="D994" s="10" t="s">
        <v>51</v>
      </c>
      <c r="E994" s="10" t="s">
        <v>52</v>
      </c>
      <c r="F994" s="10" t="s">
        <v>180</v>
      </c>
      <c r="G994" s="10" t="b">
        <f>FALSE()</f>
        <v>0</v>
      </c>
      <c r="H994" s="10">
        <v>1</v>
      </c>
      <c r="I994" s="10">
        <v>0</v>
      </c>
      <c r="J994" s="10">
        <v>2</v>
      </c>
      <c r="K994" s="10">
        <v>50</v>
      </c>
      <c r="L994" s="10">
        <v>50</v>
      </c>
      <c r="M994" s="10">
        <v>0</v>
      </c>
      <c r="N994" s="10">
        <v>0</v>
      </c>
      <c r="O994" s="10">
        <v>0</v>
      </c>
    </row>
    <row r="995" spans="1:15" x14ac:dyDescent="0.2">
      <c r="A995" s="10" t="s">
        <v>545</v>
      </c>
      <c r="B995" s="10" t="s">
        <v>146</v>
      </c>
      <c r="C995" s="10" t="s">
        <v>105</v>
      </c>
      <c r="D995" s="10" t="s">
        <v>45</v>
      </c>
      <c r="E995" s="10" t="s">
        <v>46</v>
      </c>
      <c r="F995" s="10" t="s">
        <v>153</v>
      </c>
      <c r="G995" s="10" t="b">
        <f>FALSE()</f>
        <v>0</v>
      </c>
      <c r="H995" s="10">
        <v>1</v>
      </c>
      <c r="I995" s="10">
        <v>1</v>
      </c>
      <c r="J995" s="10">
        <v>0</v>
      </c>
      <c r="K995" s="10">
        <v>0</v>
      </c>
      <c r="L995" s="10">
        <v>49</v>
      </c>
      <c r="M995" s="10">
        <v>1</v>
      </c>
      <c r="N995" s="10">
        <v>49</v>
      </c>
      <c r="O995" s="10">
        <v>49</v>
      </c>
    </row>
    <row r="996" spans="1:15" x14ac:dyDescent="0.2">
      <c r="A996" s="10" t="s">
        <v>176</v>
      </c>
      <c r="B996" s="10" t="s">
        <v>104</v>
      </c>
      <c r="C996" s="10" t="s">
        <v>105</v>
      </c>
      <c r="D996" s="10" t="s">
        <v>45</v>
      </c>
      <c r="E996" s="10" t="s">
        <v>46</v>
      </c>
      <c r="F996" s="10" t="s">
        <v>94</v>
      </c>
      <c r="G996" s="10" t="b">
        <f>FALSE()</f>
        <v>0</v>
      </c>
      <c r="H996" s="10">
        <v>1</v>
      </c>
      <c r="I996" s="10">
        <v>1</v>
      </c>
      <c r="J996" s="10">
        <v>2</v>
      </c>
      <c r="K996" s="10">
        <v>50</v>
      </c>
      <c r="L996" s="10">
        <v>49</v>
      </c>
      <c r="M996" s="10">
        <v>1</v>
      </c>
      <c r="N996" s="10">
        <v>48</v>
      </c>
      <c r="O996" s="10">
        <v>48</v>
      </c>
    </row>
    <row r="997" spans="1:15" x14ac:dyDescent="0.2">
      <c r="A997" s="10" t="s">
        <v>154</v>
      </c>
      <c r="B997" s="10" t="s">
        <v>104</v>
      </c>
      <c r="C997" s="10" t="s">
        <v>105</v>
      </c>
      <c r="D997" s="10" t="s">
        <v>45</v>
      </c>
      <c r="E997" s="10" t="s">
        <v>46</v>
      </c>
      <c r="F997" s="10" t="s">
        <v>291</v>
      </c>
      <c r="G997" s="10" t="b">
        <f>FALSE()</f>
        <v>0</v>
      </c>
      <c r="H997" s="10">
        <v>1</v>
      </c>
      <c r="I997" s="10">
        <v>1</v>
      </c>
      <c r="J997" s="10">
        <v>1</v>
      </c>
      <c r="K997" s="10">
        <v>51</v>
      </c>
      <c r="L997" s="10">
        <v>49</v>
      </c>
      <c r="M997" s="10">
        <v>1</v>
      </c>
      <c r="N997" s="10">
        <v>26</v>
      </c>
      <c r="O997" s="10">
        <v>26</v>
      </c>
    </row>
    <row r="998" spans="1:15" x14ac:dyDescent="0.2">
      <c r="A998" s="10" t="s">
        <v>560</v>
      </c>
      <c r="B998" s="10" t="s">
        <v>96</v>
      </c>
      <c r="C998" s="10" t="s">
        <v>50</v>
      </c>
      <c r="D998" s="10" t="s">
        <v>51</v>
      </c>
      <c r="E998" s="10" t="s">
        <v>52</v>
      </c>
      <c r="F998" s="10" t="s">
        <v>223</v>
      </c>
      <c r="G998" s="10" t="b">
        <f>FALSE()</f>
        <v>0</v>
      </c>
      <c r="H998" s="10">
        <v>1</v>
      </c>
      <c r="I998" s="10">
        <v>0</v>
      </c>
      <c r="J998" s="10">
        <v>2</v>
      </c>
      <c r="K998" s="10">
        <v>54</v>
      </c>
      <c r="L998" s="10">
        <v>49</v>
      </c>
      <c r="M998" s="10">
        <v>0</v>
      </c>
      <c r="N998" s="10">
        <v>0</v>
      </c>
      <c r="O998" s="10">
        <v>0</v>
      </c>
    </row>
    <row r="999" spans="1:15" x14ac:dyDescent="0.2">
      <c r="A999" s="10" t="s">
        <v>182</v>
      </c>
      <c r="B999" s="10" t="s">
        <v>104</v>
      </c>
      <c r="C999" s="10" t="s">
        <v>105</v>
      </c>
      <c r="D999" s="10" t="s">
        <v>45</v>
      </c>
      <c r="E999" s="10" t="s">
        <v>46</v>
      </c>
      <c r="F999" s="10" t="s">
        <v>212</v>
      </c>
      <c r="G999" s="10" t="b">
        <f>FALSE()</f>
        <v>0</v>
      </c>
      <c r="H999" s="10">
        <v>1</v>
      </c>
      <c r="I999" s="10">
        <v>0</v>
      </c>
      <c r="J999" s="10">
        <v>0</v>
      </c>
      <c r="K999" s="10">
        <v>0</v>
      </c>
      <c r="L999" s="10">
        <v>49</v>
      </c>
      <c r="M999" s="10">
        <v>0</v>
      </c>
      <c r="N999" s="10">
        <v>0</v>
      </c>
      <c r="O999" s="10">
        <v>0</v>
      </c>
    </row>
    <row r="1000" spans="1:15" x14ac:dyDescent="0.2">
      <c r="A1000" s="10" t="s">
        <v>664</v>
      </c>
      <c r="B1000" s="10" t="s">
        <v>136</v>
      </c>
      <c r="C1000" s="10" t="s">
        <v>73</v>
      </c>
      <c r="D1000" s="10" t="s">
        <v>45</v>
      </c>
      <c r="E1000" s="10" t="s">
        <v>46</v>
      </c>
      <c r="F1000" s="10" t="s">
        <v>94</v>
      </c>
      <c r="G1000" s="10" t="b">
        <f>FALSE()</f>
        <v>0</v>
      </c>
      <c r="H1000" s="10">
        <v>1</v>
      </c>
      <c r="I1000" s="10">
        <v>0</v>
      </c>
      <c r="J1000" s="10">
        <v>1</v>
      </c>
      <c r="K1000" s="10">
        <v>81</v>
      </c>
      <c r="L1000" s="10">
        <v>49</v>
      </c>
      <c r="M1000" s="10">
        <v>0</v>
      </c>
      <c r="N1000" s="10">
        <v>0</v>
      </c>
      <c r="O1000" s="10">
        <v>0</v>
      </c>
    </row>
    <row r="1001" spans="1:15" x14ac:dyDescent="0.2">
      <c r="A1001" s="10" t="s">
        <v>752</v>
      </c>
      <c r="B1001" s="10" t="s">
        <v>498</v>
      </c>
      <c r="C1001" s="10" t="s">
        <v>245</v>
      </c>
      <c r="D1001" s="10" t="s">
        <v>51</v>
      </c>
      <c r="E1001" s="10" t="s">
        <v>52</v>
      </c>
      <c r="F1001" s="10" t="s">
        <v>183</v>
      </c>
      <c r="G1001" s="10" t="b">
        <f>FALSE()</f>
        <v>0</v>
      </c>
      <c r="H1001" s="10">
        <v>1</v>
      </c>
      <c r="I1001" s="10">
        <v>0</v>
      </c>
      <c r="J1001" s="10">
        <v>1</v>
      </c>
      <c r="K1001" s="10">
        <v>49</v>
      </c>
      <c r="L1001" s="10">
        <v>49</v>
      </c>
      <c r="M1001" s="10">
        <v>0</v>
      </c>
      <c r="N1001" s="10">
        <v>0</v>
      </c>
      <c r="O1001" s="10">
        <v>0</v>
      </c>
    </row>
    <row r="1002" spans="1:15" x14ac:dyDescent="0.2">
      <c r="A1002" s="10" t="s">
        <v>753</v>
      </c>
      <c r="B1002" s="10" t="s">
        <v>262</v>
      </c>
      <c r="C1002" s="10" t="s">
        <v>105</v>
      </c>
      <c r="D1002" s="10" t="s">
        <v>45</v>
      </c>
      <c r="E1002" s="10" t="s">
        <v>46</v>
      </c>
      <c r="F1002" s="10" t="s">
        <v>212</v>
      </c>
      <c r="G1002" s="10" t="b">
        <f>FALSE()</f>
        <v>0</v>
      </c>
      <c r="H1002" s="10">
        <v>1</v>
      </c>
      <c r="I1002" s="10">
        <v>0</v>
      </c>
      <c r="J1002" s="10">
        <v>2</v>
      </c>
      <c r="K1002" s="10">
        <v>51</v>
      </c>
      <c r="L1002" s="10">
        <v>49</v>
      </c>
      <c r="M1002" s="10">
        <v>0</v>
      </c>
      <c r="N1002" s="10">
        <v>0</v>
      </c>
      <c r="O1002" s="10">
        <v>0</v>
      </c>
    </row>
    <row r="1003" spans="1:15" x14ac:dyDescent="0.2">
      <c r="A1003" s="10" t="s">
        <v>629</v>
      </c>
      <c r="B1003" s="10" t="s">
        <v>96</v>
      </c>
      <c r="C1003" s="10" t="s">
        <v>50</v>
      </c>
      <c r="D1003" s="10" t="s">
        <v>51</v>
      </c>
      <c r="E1003" s="10" t="s">
        <v>52</v>
      </c>
      <c r="F1003" s="10" t="s">
        <v>94</v>
      </c>
      <c r="G1003" s="10" t="b">
        <f>FALSE()</f>
        <v>0</v>
      </c>
      <c r="H1003" s="10">
        <v>1</v>
      </c>
      <c r="I1003" s="10">
        <v>0</v>
      </c>
      <c r="J1003" s="10">
        <v>2</v>
      </c>
      <c r="K1003" s="10">
        <v>99</v>
      </c>
      <c r="L1003" s="10">
        <v>49</v>
      </c>
      <c r="M1003" s="10">
        <v>0</v>
      </c>
      <c r="N1003" s="10">
        <v>0</v>
      </c>
      <c r="O1003" s="10">
        <v>0</v>
      </c>
    </row>
    <row r="1004" spans="1:15" x14ac:dyDescent="0.2">
      <c r="A1004" s="10" t="s">
        <v>754</v>
      </c>
      <c r="B1004" s="10" t="s">
        <v>260</v>
      </c>
      <c r="C1004" s="10" t="s">
        <v>64</v>
      </c>
      <c r="D1004" s="10" t="s">
        <v>45</v>
      </c>
      <c r="E1004" s="10" t="s">
        <v>46</v>
      </c>
      <c r="F1004" s="10" t="s">
        <v>61</v>
      </c>
      <c r="G1004" s="10" t="b">
        <f>FALSE()</f>
        <v>0</v>
      </c>
      <c r="H1004" s="10">
        <v>1</v>
      </c>
      <c r="I1004" s="10">
        <v>0</v>
      </c>
      <c r="J1004" s="10">
        <v>2</v>
      </c>
      <c r="K1004" s="10">
        <v>75</v>
      </c>
      <c r="L1004" s="10">
        <v>49</v>
      </c>
      <c r="M1004" s="10">
        <v>0</v>
      </c>
      <c r="N1004" s="10">
        <v>0</v>
      </c>
      <c r="O1004" s="10">
        <v>0</v>
      </c>
    </row>
    <row r="1005" spans="1:15" x14ac:dyDescent="0.2">
      <c r="A1005" s="10" t="s">
        <v>106</v>
      </c>
      <c r="B1005" s="10" t="s">
        <v>70</v>
      </c>
      <c r="C1005" s="10" t="s">
        <v>70</v>
      </c>
      <c r="D1005" s="10" t="s">
        <v>45</v>
      </c>
      <c r="E1005" s="10" t="s">
        <v>46</v>
      </c>
      <c r="F1005" s="10" t="s">
        <v>251</v>
      </c>
      <c r="G1005" s="10" t="b">
        <f>FALSE()</f>
        <v>0</v>
      </c>
      <c r="H1005" s="10">
        <v>1</v>
      </c>
      <c r="I1005" s="10">
        <v>0</v>
      </c>
      <c r="J1005" s="10">
        <v>1</v>
      </c>
      <c r="K1005" s="10">
        <v>49</v>
      </c>
      <c r="L1005" s="10">
        <v>49</v>
      </c>
      <c r="M1005" s="10">
        <v>0</v>
      </c>
      <c r="N1005" s="10">
        <v>0</v>
      </c>
      <c r="O1005" s="10">
        <v>0</v>
      </c>
    </row>
    <row r="1006" spans="1:15" x14ac:dyDescent="0.2">
      <c r="A1006" s="10" t="s">
        <v>755</v>
      </c>
      <c r="B1006" s="10" t="s">
        <v>756</v>
      </c>
      <c r="C1006" s="10" t="s">
        <v>245</v>
      </c>
      <c r="D1006" s="10" t="s">
        <v>51</v>
      </c>
      <c r="E1006" s="10" t="s">
        <v>52</v>
      </c>
      <c r="F1006" s="10" t="s">
        <v>61</v>
      </c>
      <c r="G1006" s="10" t="b">
        <f>FALSE()</f>
        <v>0</v>
      </c>
      <c r="H1006" s="10">
        <v>1</v>
      </c>
      <c r="I1006" s="10">
        <v>0</v>
      </c>
      <c r="J1006" s="10">
        <v>2</v>
      </c>
      <c r="K1006" s="10">
        <v>49</v>
      </c>
      <c r="L1006" s="10">
        <v>49</v>
      </c>
      <c r="M1006" s="10">
        <v>0</v>
      </c>
      <c r="N1006" s="10">
        <v>0</v>
      </c>
      <c r="O1006" s="10">
        <v>0</v>
      </c>
    </row>
    <row r="1007" spans="1:15" x14ac:dyDescent="0.2">
      <c r="A1007" s="10" t="s">
        <v>461</v>
      </c>
      <c r="B1007" s="10" t="s">
        <v>70</v>
      </c>
      <c r="C1007" s="10" t="s">
        <v>70</v>
      </c>
      <c r="D1007" s="10" t="s">
        <v>45</v>
      </c>
      <c r="E1007" s="10" t="s">
        <v>46</v>
      </c>
      <c r="F1007" s="10" t="s">
        <v>94</v>
      </c>
      <c r="G1007" s="10" t="b">
        <f>FALSE()</f>
        <v>0</v>
      </c>
      <c r="H1007" s="10">
        <v>1</v>
      </c>
      <c r="I1007" s="10">
        <v>0</v>
      </c>
      <c r="J1007" s="10">
        <v>1</v>
      </c>
      <c r="K1007" s="10">
        <v>24</v>
      </c>
      <c r="L1007" s="10">
        <v>49</v>
      </c>
      <c r="M1007" s="10">
        <v>0</v>
      </c>
      <c r="N1007" s="10">
        <v>0</v>
      </c>
      <c r="O1007" s="10">
        <v>0</v>
      </c>
    </row>
    <row r="1008" spans="1:15" x14ac:dyDescent="0.2">
      <c r="A1008" s="10" t="s">
        <v>757</v>
      </c>
      <c r="B1008" s="10" t="s">
        <v>456</v>
      </c>
      <c r="C1008" s="10" t="s">
        <v>245</v>
      </c>
      <c r="D1008" s="10" t="s">
        <v>51</v>
      </c>
      <c r="E1008" s="10" t="s">
        <v>52</v>
      </c>
      <c r="F1008" s="10" t="s">
        <v>123</v>
      </c>
      <c r="G1008" s="10" t="b">
        <f>FALSE()</f>
        <v>0</v>
      </c>
      <c r="H1008" s="10">
        <v>1</v>
      </c>
      <c r="I1008" s="10">
        <v>0</v>
      </c>
      <c r="J1008" s="10">
        <v>1</v>
      </c>
      <c r="K1008" s="10">
        <v>49</v>
      </c>
      <c r="L1008" s="10">
        <v>49</v>
      </c>
      <c r="M1008" s="10">
        <v>0</v>
      </c>
      <c r="N1008" s="10">
        <v>0</v>
      </c>
      <c r="O1008" s="10">
        <v>0</v>
      </c>
    </row>
    <row r="1009" spans="1:15" x14ac:dyDescent="0.2">
      <c r="A1009" s="10" t="s">
        <v>758</v>
      </c>
      <c r="B1009" s="10" t="s">
        <v>759</v>
      </c>
      <c r="C1009" s="10" t="s">
        <v>112</v>
      </c>
      <c r="D1009" s="10" t="s">
        <v>51</v>
      </c>
      <c r="E1009" s="10" t="s">
        <v>52</v>
      </c>
      <c r="F1009" s="10" t="s">
        <v>123</v>
      </c>
      <c r="G1009" s="10" t="b">
        <f>FALSE()</f>
        <v>0</v>
      </c>
      <c r="H1009" s="10">
        <v>1</v>
      </c>
      <c r="I1009" s="10">
        <v>0</v>
      </c>
      <c r="J1009" s="10">
        <v>1</v>
      </c>
      <c r="K1009" s="10">
        <v>59</v>
      </c>
      <c r="L1009" s="10">
        <v>49</v>
      </c>
      <c r="M1009" s="10">
        <v>0</v>
      </c>
      <c r="N1009" s="10">
        <v>0</v>
      </c>
      <c r="O1009" s="10">
        <v>0</v>
      </c>
    </row>
    <row r="1010" spans="1:15" x14ac:dyDescent="0.2">
      <c r="A1010" s="10" t="s">
        <v>431</v>
      </c>
      <c r="B1010" s="10" t="s">
        <v>432</v>
      </c>
      <c r="C1010" s="10" t="s">
        <v>117</v>
      </c>
      <c r="D1010" s="10" t="s">
        <v>51</v>
      </c>
      <c r="E1010" s="10" t="s">
        <v>52</v>
      </c>
      <c r="F1010" s="10" t="s">
        <v>92</v>
      </c>
      <c r="G1010" s="10" t="b">
        <f>FALSE()</f>
        <v>0</v>
      </c>
      <c r="H1010" s="10">
        <v>1</v>
      </c>
      <c r="I1010" s="10">
        <v>0</v>
      </c>
      <c r="J1010" s="10">
        <v>1</v>
      </c>
      <c r="K1010" s="10">
        <v>50</v>
      </c>
      <c r="L1010" s="10">
        <v>49</v>
      </c>
      <c r="M1010" s="10">
        <v>0</v>
      </c>
      <c r="N1010" s="10">
        <v>0</v>
      </c>
      <c r="O1010" s="10">
        <v>0</v>
      </c>
    </row>
    <row r="1011" spans="1:15" x14ac:dyDescent="0.2">
      <c r="A1011" s="10" t="s">
        <v>598</v>
      </c>
      <c r="B1011" s="10" t="s">
        <v>267</v>
      </c>
      <c r="C1011" s="10" t="s">
        <v>112</v>
      </c>
      <c r="D1011" s="10" t="s">
        <v>51</v>
      </c>
      <c r="E1011" s="10" t="s">
        <v>52</v>
      </c>
      <c r="F1011" s="10" t="s">
        <v>446</v>
      </c>
      <c r="G1011" s="10" t="b">
        <f>FALSE()</f>
        <v>0</v>
      </c>
      <c r="H1011" s="10">
        <v>1</v>
      </c>
      <c r="I1011" s="10">
        <v>0</v>
      </c>
      <c r="J1011" s="10">
        <v>1</v>
      </c>
      <c r="K1011" s="10">
        <v>49</v>
      </c>
      <c r="L1011" s="10">
        <v>49</v>
      </c>
      <c r="M1011" s="10">
        <v>0</v>
      </c>
      <c r="N1011" s="10">
        <v>0</v>
      </c>
      <c r="O1011" s="10">
        <v>0</v>
      </c>
    </row>
    <row r="1012" spans="1:15" x14ac:dyDescent="0.2">
      <c r="A1012" s="10" t="s">
        <v>691</v>
      </c>
      <c r="B1012" s="10" t="s">
        <v>70</v>
      </c>
      <c r="C1012" s="10" t="s">
        <v>70</v>
      </c>
      <c r="D1012" s="10" t="s">
        <v>45</v>
      </c>
      <c r="E1012" s="10" t="s">
        <v>46</v>
      </c>
      <c r="F1012" s="10" t="s">
        <v>113</v>
      </c>
      <c r="G1012" s="10" t="b">
        <f>TRUE()</f>
        <v>1</v>
      </c>
      <c r="H1012" s="10">
        <v>1</v>
      </c>
      <c r="I1012" s="10">
        <v>0</v>
      </c>
      <c r="J1012" s="10">
        <v>1</v>
      </c>
      <c r="K1012" s="10">
        <v>57</v>
      </c>
      <c r="L1012" s="10">
        <v>49</v>
      </c>
      <c r="M1012" s="10">
        <v>0</v>
      </c>
      <c r="N1012" s="10">
        <v>0</v>
      </c>
      <c r="O1012" s="10">
        <v>0</v>
      </c>
    </row>
    <row r="1013" spans="1:15" x14ac:dyDescent="0.2">
      <c r="A1013" s="10" t="s">
        <v>760</v>
      </c>
      <c r="B1013" s="10" t="s">
        <v>116</v>
      </c>
      <c r="C1013" s="10" t="s">
        <v>117</v>
      </c>
      <c r="D1013" s="10" t="s">
        <v>51</v>
      </c>
      <c r="E1013" s="10" t="s">
        <v>52</v>
      </c>
      <c r="F1013" s="10" t="s">
        <v>79</v>
      </c>
      <c r="G1013" s="10" t="b">
        <f>FALSE()</f>
        <v>0</v>
      </c>
      <c r="H1013" s="10">
        <v>1</v>
      </c>
      <c r="I1013" s="10">
        <v>0</v>
      </c>
      <c r="J1013" s="10">
        <v>1</v>
      </c>
      <c r="K1013" s="10">
        <v>50</v>
      </c>
      <c r="L1013" s="10">
        <v>49</v>
      </c>
      <c r="M1013" s="10">
        <v>0</v>
      </c>
      <c r="N1013" s="10">
        <v>0</v>
      </c>
      <c r="O1013" s="10">
        <v>0</v>
      </c>
    </row>
    <row r="1014" spans="1:15" x14ac:dyDescent="0.2">
      <c r="A1014" s="10" t="s">
        <v>761</v>
      </c>
      <c r="B1014" s="10" t="s">
        <v>762</v>
      </c>
      <c r="C1014" s="10" t="s">
        <v>117</v>
      </c>
      <c r="D1014" s="10" t="s">
        <v>51</v>
      </c>
      <c r="E1014" s="10" t="s">
        <v>52</v>
      </c>
      <c r="F1014" s="10" t="s">
        <v>113</v>
      </c>
      <c r="G1014" s="10" t="b">
        <f>TRUE()</f>
        <v>1</v>
      </c>
      <c r="H1014" s="10">
        <v>1</v>
      </c>
      <c r="I1014" s="10">
        <v>1</v>
      </c>
      <c r="J1014" s="10">
        <v>1</v>
      </c>
      <c r="K1014" s="10">
        <v>48</v>
      </c>
      <c r="L1014" s="10">
        <v>48</v>
      </c>
      <c r="M1014" s="10">
        <v>1</v>
      </c>
      <c r="N1014" s="10">
        <v>428</v>
      </c>
      <c r="O1014" s="10">
        <v>413</v>
      </c>
    </row>
    <row r="1015" spans="1:15" x14ac:dyDescent="0.2">
      <c r="A1015" s="10" t="s">
        <v>763</v>
      </c>
      <c r="B1015" s="10" t="s">
        <v>562</v>
      </c>
      <c r="C1015" s="10" t="s">
        <v>245</v>
      </c>
      <c r="D1015" s="10" t="s">
        <v>51</v>
      </c>
      <c r="E1015" s="10" t="s">
        <v>52</v>
      </c>
      <c r="F1015" s="10" t="s">
        <v>79</v>
      </c>
      <c r="G1015" s="10" t="b">
        <f>FALSE()</f>
        <v>0</v>
      </c>
      <c r="H1015" s="10">
        <v>1</v>
      </c>
      <c r="I1015" s="10">
        <v>1</v>
      </c>
      <c r="J1015" s="10">
        <v>2</v>
      </c>
      <c r="K1015" s="10">
        <v>52</v>
      </c>
      <c r="L1015" s="10">
        <v>48</v>
      </c>
      <c r="M1015" s="10">
        <v>1</v>
      </c>
      <c r="N1015" s="10">
        <v>176</v>
      </c>
      <c r="O1015" s="10">
        <v>155</v>
      </c>
    </row>
    <row r="1016" spans="1:15" x14ac:dyDescent="0.2">
      <c r="A1016" s="10" t="s">
        <v>383</v>
      </c>
      <c r="B1016" s="10" t="s">
        <v>384</v>
      </c>
      <c r="C1016" s="10" t="s">
        <v>50</v>
      </c>
      <c r="D1016" s="10" t="s">
        <v>51</v>
      </c>
      <c r="E1016" s="10" t="s">
        <v>52</v>
      </c>
      <c r="F1016" s="10" t="s">
        <v>190</v>
      </c>
      <c r="G1016" s="10" t="b">
        <f>TRUE()</f>
        <v>1</v>
      </c>
      <c r="H1016" s="10">
        <v>1</v>
      </c>
      <c r="I1016" s="10">
        <v>1</v>
      </c>
      <c r="J1016" s="10">
        <v>1</v>
      </c>
      <c r="K1016" s="10">
        <v>49</v>
      </c>
      <c r="L1016" s="10">
        <v>48</v>
      </c>
      <c r="M1016" s="10">
        <v>1</v>
      </c>
      <c r="N1016" s="10">
        <v>152</v>
      </c>
      <c r="O1016" s="10">
        <v>147</v>
      </c>
    </row>
    <row r="1017" spans="1:15" x14ac:dyDescent="0.2">
      <c r="A1017" s="10" t="s">
        <v>764</v>
      </c>
      <c r="B1017" s="10" t="s">
        <v>398</v>
      </c>
      <c r="C1017" s="10" t="s">
        <v>112</v>
      </c>
      <c r="D1017" s="10" t="s">
        <v>51</v>
      </c>
      <c r="E1017" s="10" t="s">
        <v>52</v>
      </c>
      <c r="F1017" s="10" t="s">
        <v>190</v>
      </c>
      <c r="G1017" s="10" t="b">
        <f>TRUE()</f>
        <v>1</v>
      </c>
      <c r="H1017" s="10">
        <v>1</v>
      </c>
      <c r="I1017" s="10">
        <v>1</v>
      </c>
      <c r="J1017" s="10">
        <v>1</v>
      </c>
      <c r="K1017" s="10">
        <v>48</v>
      </c>
      <c r="L1017" s="10">
        <v>48</v>
      </c>
      <c r="M1017" s="10">
        <v>1</v>
      </c>
      <c r="N1017" s="10">
        <v>67</v>
      </c>
      <c r="O1017" s="10">
        <v>67</v>
      </c>
    </row>
    <row r="1018" spans="1:15" x14ac:dyDescent="0.2">
      <c r="A1018" s="10" t="s">
        <v>765</v>
      </c>
      <c r="B1018" s="10" t="s">
        <v>146</v>
      </c>
      <c r="C1018" s="10" t="s">
        <v>105</v>
      </c>
      <c r="D1018" s="10" t="s">
        <v>45</v>
      </c>
      <c r="E1018" s="10" t="s">
        <v>46</v>
      </c>
      <c r="F1018" s="10" t="s">
        <v>85</v>
      </c>
      <c r="G1018" s="10" t="b">
        <f>FALSE()</f>
        <v>0</v>
      </c>
      <c r="H1018" s="10">
        <v>1</v>
      </c>
      <c r="I1018" s="10">
        <v>1</v>
      </c>
      <c r="J1018" s="10">
        <v>2</v>
      </c>
      <c r="K1018" s="10">
        <v>53</v>
      </c>
      <c r="L1018" s="10">
        <v>48</v>
      </c>
      <c r="M1018" s="10">
        <v>1</v>
      </c>
      <c r="N1018" s="10">
        <v>40</v>
      </c>
      <c r="O1018" s="10">
        <v>40</v>
      </c>
    </row>
    <row r="1019" spans="1:15" x14ac:dyDescent="0.2">
      <c r="A1019" s="10" t="s">
        <v>514</v>
      </c>
      <c r="B1019" s="10" t="s">
        <v>238</v>
      </c>
      <c r="C1019" s="10" t="s">
        <v>90</v>
      </c>
      <c r="D1019" s="10" t="s">
        <v>51</v>
      </c>
      <c r="E1019" s="10" t="s">
        <v>52</v>
      </c>
      <c r="F1019" s="10" t="s">
        <v>74</v>
      </c>
      <c r="G1019" s="10" t="b">
        <f>FALSE()</f>
        <v>0</v>
      </c>
      <c r="H1019" s="10">
        <v>1</v>
      </c>
      <c r="I1019" s="10">
        <v>0</v>
      </c>
      <c r="J1019" s="10">
        <v>1</v>
      </c>
      <c r="K1019" s="10">
        <v>49</v>
      </c>
      <c r="L1019" s="10">
        <v>48</v>
      </c>
      <c r="M1019" s="10">
        <v>0</v>
      </c>
      <c r="N1019" s="10">
        <v>0</v>
      </c>
      <c r="O1019" s="10">
        <v>0</v>
      </c>
    </row>
    <row r="1020" spans="1:15" x14ac:dyDescent="0.2">
      <c r="A1020" s="10" t="s">
        <v>250</v>
      </c>
      <c r="B1020" s="10" t="s">
        <v>193</v>
      </c>
      <c r="C1020" s="10" t="s">
        <v>117</v>
      </c>
      <c r="D1020" s="10" t="s">
        <v>51</v>
      </c>
      <c r="E1020" s="10" t="s">
        <v>52</v>
      </c>
      <c r="F1020" s="10" t="s">
        <v>207</v>
      </c>
      <c r="G1020" s="10" t="b">
        <f>FALSE()</f>
        <v>0</v>
      </c>
      <c r="H1020" s="10">
        <v>1</v>
      </c>
      <c r="I1020" s="10">
        <v>0</v>
      </c>
      <c r="J1020" s="10">
        <v>1</v>
      </c>
      <c r="K1020" s="10">
        <v>51</v>
      </c>
      <c r="L1020" s="10">
        <v>48</v>
      </c>
      <c r="M1020" s="10">
        <v>0</v>
      </c>
      <c r="N1020" s="10">
        <v>0</v>
      </c>
      <c r="O1020" s="10">
        <v>0</v>
      </c>
    </row>
    <row r="1021" spans="1:15" x14ac:dyDescent="0.2">
      <c r="A1021" s="10" t="s">
        <v>515</v>
      </c>
      <c r="B1021" s="10" t="s">
        <v>260</v>
      </c>
      <c r="C1021" s="10" t="s">
        <v>64</v>
      </c>
      <c r="D1021" s="10" t="s">
        <v>45</v>
      </c>
      <c r="E1021" s="10" t="s">
        <v>46</v>
      </c>
      <c r="F1021" s="10" t="s">
        <v>58</v>
      </c>
      <c r="G1021" s="10" t="b">
        <f>FALSE()</f>
        <v>0</v>
      </c>
      <c r="H1021" s="10">
        <v>1</v>
      </c>
      <c r="I1021" s="10">
        <v>0</v>
      </c>
      <c r="J1021" s="10">
        <v>3</v>
      </c>
      <c r="K1021" s="10">
        <v>102</v>
      </c>
      <c r="L1021" s="10">
        <v>48</v>
      </c>
      <c r="M1021" s="10">
        <v>0</v>
      </c>
      <c r="N1021" s="10">
        <v>0</v>
      </c>
      <c r="O1021" s="10">
        <v>0</v>
      </c>
    </row>
    <row r="1022" spans="1:15" x14ac:dyDescent="0.2">
      <c r="A1022" s="10" t="s">
        <v>239</v>
      </c>
      <c r="B1022" s="10" t="s">
        <v>172</v>
      </c>
      <c r="C1022" s="10" t="s">
        <v>44</v>
      </c>
      <c r="D1022" s="10" t="s">
        <v>45</v>
      </c>
      <c r="E1022" s="10" t="s">
        <v>46</v>
      </c>
      <c r="F1022" s="10" t="s">
        <v>363</v>
      </c>
      <c r="G1022" s="10" t="b">
        <f>FALSE()</f>
        <v>0</v>
      </c>
      <c r="H1022" s="10">
        <v>1</v>
      </c>
      <c r="I1022" s="10">
        <v>0</v>
      </c>
      <c r="J1022" s="10">
        <v>1</v>
      </c>
      <c r="K1022" s="10">
        <v>48</v>
      </c>
      <c r="L1022" s="10">
        <v>48</v>
      </c>
      <c r="M1022" s="10">
        <v>0</v>
      </c>
      <c r="N1022" s="10">
        <v>0</v>
      </c>
      <c r="O1022" s="10">
        <v>0</v>
      </c>
    </row>
    <row r="1023" spans="1:15" x14ac:dyDescent="0.2">
      <c r="A1023" s="10" t="s">
        <v>82</v>
      </c>
      <c r="B1023" s="10" t="s">
        <v>70</v>
      </c>
      <c r="C1023" s="10" t="s">
        <v>70</v>
      </c>
      <c r="D1023" s="10" t="s">
        <v>45</v>
      </c>
      <c r="E1023" s="10" t="s">
        <v>46</v>
      </c>
      <c r="F1023" s="10" t="s">
        <v>113</v>
      </c>
      <c r="G1023" s="10" t="b">
        <f>TRUE()</f>
        <v>1</v>
      </c>
      <c r="H1023" s="10">
        <v>1</v>
      </c>
      <c r="I1023" s="10">
        <v>0</v>
      </c>
      <c r="J1023" s="10">
        <v>1</v>
      </c>
      <c r="K1023" s="10">
        <v>49</v>
      </c>
      <c r="L1023" s="10">
        <v>48</v>
      </c>
      <c r="M1023" s="10">
        <v>0</v>
      </c>
      <c r="N1023" s="10">
        <v>0</v>
      </c>
      <c r="O1023" s="10">
        <v>0</v>
      </c>
    </row>
    <row r="1024" spans="1:15" x14ac:dyDescent="0.2">
      <c r="A1024" s="10" t="s">
        <v>716</v>
      </c>
      <c r="B1024" s="10" t="s">
        <v>562</v>
      </c>
      <c r="C1024" s="10" t="s">
        <v>245</v>
      </c>
      <c r="D1024" s="10" t="s">
        <v>51</v>
      </c>
      <c r="E1024" s="10" t="s">
        <v>52</v>
      </c>
      <c r="F1024" s="10" t="s">
        <v>79</v>
      </c>
      <c r="G1024" s="10" t="b">
        <f>FALSE()</f>
        <v>0</v>
      </c>
      <c r="H1024" s="10">
        <v>1</v>
      </c>
      <c r="I1024" s="10">
        <v>0</v>
      </c>
      <c r="J1024" s="10">
        <v>2</v>
      </c>
      <c r="K1024" s="10">
        <v>26</v>
      </c>
      <c r="L1024" s="10">
        <v>48</v>
      </c>
      <c r="M1024" s="10">
        <v>0</v>
      </c>
      <c r="N1024" s="10">
        <v>0</v>
      </c>
      <c r="O1024" s="10">
        <v>0</v>
      </c>
    </row>
    <row r="1025" spans="1:15" x14ac:dyDescent="0.2">
      <c r="A1025" s="10" t="s">
        <v>766</v>
      </c>
      <c r="B1025" s="10" t="s">
        <v>543</v>
      </c>
      <c r="C1025" s="10" t="s">
        <v>90</v>
      </c>
      <c r="D1025" s="10" t="s">
        <v>51</v>
      </c>
      <c r="E1025" s="10" t="s">
        <v>52</v>
      </c>
      <c r="F1025" s="10" t="s">
        <v>47</v>
      </c>
      <c r="G1025" s="10" t="b">
        <f>FALSE()</f>
        <v>0</v>
      </c>
      <c r="H1025" s="10">
        <v>1</v>
      </c>
      <c r="I1025" s="10">
        <v>0</v>
      </c>
      <c r="J1025" s="10">
        <v>2</v>
      </c>
      <c r="K1025" s="10">
        <v>50</v>
      </c>
      <c r="L1025" s="10">
        <v>48</v>
      </c>
      <c r="M1025" s="10">
        <v>0</v>
      </c>
      <c r="N1025" s="10">
        <v>0</v>
      </c>
      <c r="O1025" s="10">
        <v>0</v>
      </c>
    </row>
    <row r="1026" spans="1:15" x14ac:dyDescent="0.2">
      <c r="A1026" s="10" t="s">
        <v>440</v>
      </c>
      <c r="B1026" s="10" t="s">
        <v>72</v>
      </c>
      <c r="C1026" s="10" t="s">
        <v>73</v>
      </c>
      <c r="D1026" s="10" t="s">
        <v>45</v>
      </c>
      <c r="E1026" s="10" t="s">
        <v>46</v>
      </c>
      <c r="F1026" s="10" t="s">
        <v>79</v>
      </c>
      <c r="G1026" s="10" t="b">
        <f>FALSE()</f>
        <v>0</v>
      </c>
      <c r="H1026" s="10">
        <v>1</v>
      </c>
      <c r="I1026" s="10">
        <v>0</v>
      </c>
      <c r="J1026" s="10">
        <v>1</v>
      </c>
      <c r="K1026" s="10">
        <v>48</v>
      </c>
      <c r="L1026" s="10">
        <v>48</v>
      </c>
      <c r="M1026" s="10">
        <v>0</v>
      </c>
      <c r="N1026" s="10">
        <v>0</v>
      </c>
      <c r="O1026" s="10">
        <v>0</v>
      </c>
    </row>
    <row r="1027" spans="1:15" x14ac:dyDescent="0.2">
      <c r="A1027" s="10" t="s">
        <v>767</v>
      </c>
      <c r="B1027" s="10" t="s">
        <v>477</v>
      </c>
      <c r="C1027" s="10" t="s">
        <v>50</v>
      </c>
      <c r="D1027" s="10" t="s">
        <v>51</v>
      </c>
      <c r="E1027" s="10" t="s">
        <v>52</v>
      </c>
      <c r="F1027" s="10" t="s">
        <v>94</v>
      </c>
      <c r="G1027" s="10" t="b">
        <f>FALSE()</f>
        <v>0</v>
      </c>
      <c r="H1027" s="10">
        <v>1</v>
      </c>
      <c r="I1027" s="10">
        <v>0</v>
      </c>
      <c r="J1027" s="10">
        <v>1</v>
      </c>
      <c r="K1027" s="10">
        <v>122</v>
      </c>
      <c r="L1027" s="10">
        <v>48</v>
      </c>
      <c r="M1027" s="10">
        <v>0</v>
      </c>
      <c r="N1027" s="10">
        <v>0</v>
      </c>
      <c r="O1027" s="10">
        <v>0</v>
      </c>
    </row>
    <row r="1028" spans="1:15" x14ac:dyDescent="0.2">
      <c r="A1028" s="10" t="s">
        <v>708</v>
      </c>
      <c r="B1028" s="10" t="s">
        <v>178</v>
      </c>
      <c r="C1028" s="10" t="s">
        <v>73</v>
      </c>
      <c r="D1028" s="10" t="s">
        <v>45</v>
      </c>
      <c r="E1028" s="10" t="s">
        <v>46</v>
      </c>
      <c r="F1028" s="10" t="s">
        <v>79</v>
      </c>
      <c r="G1028" s="10" t="b">
        <f>FALSE()</f>
        <v>0</v>
      </c>
      <c r="H1028" s="10">
        <v>1</v>
      </c>
      <c r="I1028" s="10">
        <v>0</v>
      </c>
      <c r="J1028" s="10">
        <v>2</v>
      </c>
      <c r="K1028" s="10">
        <v>48</v>
      </c>
      <c r="L1028" s="10">
        <v>48</v>
      </c>
      <c r="M1028" s="10">
        <v>0</v>
      </c>
      <c r="N1028" s="10">
        <v>0</v>
      </c>
      <c r="O1028" s="10">
        <v>0</v>
      </c>
    </row>
    <row r="1029" spans="1:15" x14ac:dyDescent="0.2">
      <c r="A1029" s="10" t="s">
        <v>748</v>
      </c>
      <c r="B1029" s="10" t="s">
        <v>109</v>
      </c>
      <c r="C1029" s="10" t="s">
        <v>90</v>
      </c>
      <c r="D1029" s="10" t="s">
        <v>51</v>
      </c>
      <c r="E1029" s="10" t="s">
        <v>52</v>
      </c>
      <c r="F1029" s="10" t="s">
        <v>47</v>
      </c>
      <c r="G1029" s="10" t="b">
        <f>FALSE()</f>
        <v>0</v>
      </c>
      <c r="H1029" s="10">
        <v>1</v>
      </c>
      <c r="I1029" s="10">
        <v>0</v>
      </c>
      <c r="J1029" s="10">
        <v>1</v>
      </c>
      <c r="K1029" s="10">
        <v>49</v>
      </c>
      <c r="L1029" s="10">
        <v>48</v>
      </c>
      <c r="M1029" s="10">
        <v>0</v>
      </c>
      <c r="N1029" s="10">
        <v>0</v>
      </c>
      <c r="O1029" s="10">
        <v>0</v>
      </c>
    </row>
    <row r="1030" spans="1:15" x14ac:dyDescent="0.2">
      <c r="A1030" s="10" t="s">
        <v>578</v>
      </c>
      <c r="B1030" s="10" t="s">
        <v>178</v>
      </c>
      <c r="C1030" s="10" t="s">
        <v>73</v>
      </c>
      <c r="D1030" s="10" t="s">
        <v>45</v>
      </c>
      <c r="E1030" s="10" t="s">
        <v>46</v>
      </c>
      <c r="F1030" s="10" t="s">
        <v>190</v>
      </c>
      <c r="G1030" s="10" t="b">
        <f>TRUE()</f>
        <v>1</v>
      </c>
      <c r="H1030" s="10">
        <v>1</v>
      </c>
      <c r="I1030" s="10">
        <v>0</v>
      </c>
      <c r="J1030" s="10">
        <v>1</v>
      </c>
      <c r="K1030" s="10">
        <v>91</v>
      </c>
      <c r="L1030" s="10">
        <v>48</v>
      </c>
      <c r="M1030" s="10">
        <v>0</v>
      </c>
      <c r="N1030" s="10">
        <v>0</v>
      </c>
      <c r="O1030" s="10">
        <v>0</v>
      </c>
    </row>
    <row r="1031" spans="1:15" x14ac:dyDescent="0.2">
      <c r="A1031" s="10" t="s">
        <v>299</v>
      </c>
      <c r="B1031" s="10" t="s">
        <v>89</v>
      </c>
      <c r="C1031" s="10" t="s">
        <v>90</v>
      </c>
      <c r="D1031" s="10" t="s">
        <v>51</v>
      </c>
      <c r="E1031" s="10" t="s">
        <v>52</v>
      </c>
      <c r="F1031" s="10" t="s">
        <v>91</v>
      </c>
      <c r="G1031" s="10" t="b">
        <f>TRUE()</f>
        <v>1</v>
      </c>
      <c r="H1031" s="10">
        <v>1</v>
      </c>
      <c r="I1031" s="10">
        <v>0</v>
      </c>
      <c r="J1031" s="10">
        <v>2</v>
      </c>
      <c r="K1031" s="10">
        <v>49</v>
      </c>
      <c r="L1031" s="10">
        <v>48</v>
      </c>
      <c r="M1031" s="10">
        <v>0</v>
      </c>
      <c r="N1031" s="10">
        <v>0</v>
      </c>
      <c r="O1031" s="10">
        <v>0</v>
      </c>
    </row>
    <row r="1032" spans="1:15" x14ac:dyDescent="0.2">
      <c r="A1032" s="10" t="s">
        <v>768</v>
      </c>
      <c r="B1032" s="10" t="s">
        <v>72</v>
      </c>
      <c r="C1032" s="10" t="s">
        <v>73</v>
      </c>
      <c r="D1032" s="10" t="s">
        <v>45</v>
      </c>
      <c r="E1032" s="10" t="s">
        <v>46</v>
      </c>
      <c r="F1032" s="10" t="s">
        <v>190</v>
      </c>
      <c r="G1032" s="10" t="b">
        <f>TRUE()</f>
        <v>1</v>
      </c>
      <c r="H1032" s="10">
        <v>1</v>
      </c>
      <c r="I1032" s="10">
        <v>0</v>
      </c>
      <c r="J1032" s="10">
        <v>1</v>
      </c>
      <c r="K1032" s="10">
        <v>70</v>
      </c>
      <c r="L1032" s="10">
        <v>48</v>
      </c>
      <c r="M1032" s="10">
        <v>0</v>
      </c>
      <c r="N1032" s="10">
        <v>0</v>
      </c>
      <c r="O1032" s="10">
        <v>0</v>
      </c>
    </row>
    <row r="1033" spans="1:15" x14ac:dyDescent="0.2">
      <c r="A1033" s="10" t="s">
        <v>383</v>
      </c>
      <c r="B1033" s="10" t="s">
        <v>384</v>
      </c>
      <c r="C1033" s="10" t="s">
        <v>50</v>
      </c>
      <c r="D1033" s="10" t="s">
        <v>51</v>
      </c>
      <c r="E1033" s="10" t="s">
        <v>52</v>
      </c>
      <c r="F1033" s="10" t="s">
        <v>113</v>
      </c>
      <c r="G1033" s="10" t="b">
        <f>TRUE()</f>
        <v>1</v>
      </c>
      <c r="H1033" s="10">
        <v>1</v>
      </c>
      <c r="I1033" s="10">
        <v>1</v>
      </c>
      <c r="J1033" s="10">
        <v>1</v>
      </c>
      <c r="K1033" s="10">
        <v>49</v>
      </c>
      <c r="L1033" s="10">
        <v>47</v>
      </c>
      <c r="M1033" s="10">
        <v>1</v>
      </c>
      <c r="N1033" s="10">
        <v>413</v>
      </c>
      <c r="O1033" s="10">
        <v>387</v>
      </c>
    </row>
    <row r="1034" spans="1:15" x14ac:dyDescent="0.2">
      <c r="A1034" s="10" t="s">
        <v>174</v>
      </c>
      <c r="B1034" s="10" t="s">
        <v>130</v>
      </c>
      <c r="C1034" s="10" t="s">
        <v>56</v>
      </c>
      <c r="D1034" s="10" t="s">
        <v>45</v>
      </c>
      <c r="E1034" s="10" t="s">
        <v>46</v>
      </c>
      <c r="F1034" s="10" t="s">
        <v>251</v>
      </c>
      <c r="G1034" s="10" t="b">
        <f>FALSE()</f>
        <v>0</v>
      </c>
      <c r="H1034" s="10">
        <v>1</v>
      </c>
      <c r="I1034" s="10">
        <v>1</v>
      </c>
      <c r="J1034" s="10">
        <v>0</v>
      </c>
      <c r="K1034" s="10">
        <v>0</v>
      </c>
      <c r="L1034" s="10">
        <v>47</v>
      </c>
      <c r="M1034" s="10">
        <v>1</v>
      </c>
      <c r="N1034" s="10">
        <v>250</v>
      </c>
      <c r="O1034" s="10">
        <v>250</v>
      </c>
    </row>
    <row r="1035" spans="1:15" x14ac:dyDescent="0.2">
      <c r="A1035" s="10" t="s">
        <v>250</v>
      </c>
      <c r="B1035" s="10" t="s">
        <v>193</v>
      </c>
      <c r="C1035" s="10" t="s">
        <v>117</v>
      </c>
      <c r="D1035" s="10" t="s">
        <v>51</v>
      </c>
      <c r="E1035" s="10" t="s">
        <v>52</v>
      </c>
      <c r="F1035" s="10" t="s">
        <v>186</v>
      </c>
      <c r="G1035" s="10" t="b">
        <f>TRUE()</f>
        <v>1</v>
      </c>
      <c r="H1035" s="10">
        <v>1</v>
      </c>
      <c r="I1035" s="10">
        <v>0</v>
      </c>
      <c r="J1035" s="10">
        <v>2</v>
      </c>
      <c r="K1035" s="10">
        <v>56</v>
      </c>
      <c r="L1035" s="10">
        <v>47</v>
      </c>
      <c r="M1035" s="10">
        <v>0</v>
      </c>
      <c r="N1035" s="10">
        <v>0</v>
      </c>
      <c r="O1035" s="10">
        <v>0</v>
      </c>
    </row>
    <row r="1036" spans="1:15" x14ac:dyDescent="0.2">
      <c r="A1036" s="10" t="s">
        <v>203</v>
      </c>
      <c r="B1036" s="10" t="s">
        <v>178</v>
      </c>
      <c r="C1036" s="10" t="s">
        <v>73</v>
      </c>
      <c r="D1036" s="10" t="s">
        <v>45</v>
      </c>
      <c r="E1036" s="10" t="s">
        <v>46</v>
      </c>
      <c r="F1036" s="10" t="s">
        <v>190</v>
      </c>
      <c r="G1036" s="10" t="b">
        <f>TRUE()</f>
        <v>1</v>
      </c>
      <c r="H1036" s="10">
        <v>1</v>
      </c>
      <c r="I1036" s="10">
        <v>0</v>
      </c>
      <c r="J1036" s="10">
        <v>1</v>
      </c>
      <c r="K1036" s="10">
        <v>59</v>
      </c>
      <c r="L1036" s="10">
        <v>47</v>
      </c>
      <c r="M1036" s="10">
        <v>0</v>
      </c>
      <c r="N1036" s="10">
        <v>0</v>
      </c>
      <c r="O1036" s="10">
        <v>0</v>
      </c>
    </row>
    <row r="1037" spans="1:15" x14ac:dyDescent="0.2">
      <c r="A1037" s="10" t="s">
        <v>372</v>
      </c>
      <c r="B1037" s="10" t="s">
        <v>130</v>
      </c>
      <c r="C1037" s="10" t="s">
        <v>56</v>
      </c>
      <c r="D1037" s="10" t="s">
        <v>45</v>
      </c>
      <c r="E1037" s="10" t="s">
        <v>46</v>
      </c>
      <c r="F1037" s="10" t="s">
        <v>79</v>
      </c>
      <c r="G1037" s="10" t="b">
        <f>FALSE()</f>
        <v>0</v>
      </c>
      <c r="H1037" s="10">
        <v>1</v>
      </c>
      <c r="I1037" s="10">
        <v>0</v>
      </c>
      <c r="J1037" s="10">
        <v>1</v>
      </c>
      <c r="K1037" s="10">
        <v>55</v>
      </c>
      <c r="L1037" s="10">
        <v>47</v>
      </c>
      <c r="M1037" s="10">
        <v>0</v>
      </c>
      <c r="N1037" s="10">
        <v>0</v>
      </c>
      <c r="O1037" s="10">
        <v>0</v>
      </c>
    </row>
    <row r="1038" spans="1:15" x14ac:dyDescent="0.2">
      <c r="A1038" s="10" t="s">
        <v>390</v>
      </c>
      <c r="B1038" s="10" t="s">
        <v>72</v>
      </c>
      <c r="C1038" s="10" t="s">
        <v>73</v>
      </c>
      <c r="D1038" s="10" t="s">
        <v>45</v>
      </c>
      <c r="E1038" s="10" t="s">
        <v>46</v>
      </c>
      <c r="F1038" s="10" t="s">
        <v>61</v>
      </c>
      <c r="G1038" s="10" t="b">
        <f>FALSE()</f>
        <v>0</v>
      </c>
      <c r="H1038" s="10">
        <v>1</v>
      </c>
      <c r="I1038" s="10">
        <v>0</v>
      </c>
      <c r="J1038" s="10">
        <v>2</v>
      </c>
      <c r="K1038" s="10">
        <v>50</v>
      </c>
      <c r="L1038" s="10">
        <v>47</v>
      </c>
      <c r="M1038" s="10">
        <v>0</v>
      </c>
      <c r="N1038" s="10">
        <v>0</v>
      </c>
      <c r="O1038" s="10">
        <v>0</v>
      </c>
    </row>
    <row r="1039" spans="1:15" x14ac:dyDescent="0.2">
      <c r="A1039" s="10" t="s">
        <v>391</v>
      </c>
      <c r="B1039" s="10" t="s">
        <v>146</v>
      </c>
      <c r="C1039" s="10" t="s">
        <v>105</v>
      </c>
      <c r="D1039" s="10" t="s">
        <v>45</v>
      </c>
      <c r="E1039" s="10" t="s">
        <v>46</v>
      </c>
      <c r="F1039" s="10" t="s">
        <v>61</v>
      </c>
      <c r="G1039" s="10" t="b">
        <f>FALSE()</f>
        <v>0</v>
      </c>
      <c r="H1039" s="10">
        <v>1</v>
      </c>
      <c r="I1039" s="10">
        <v>0</v>
      </c>
      <c r="J1039" s="10">
        <v>1</v>
      </c>
      <c r="K1039" s="10">
        <v>49</v>
      </c>
      <c r="L1039" s="10">
        <v>47</v>
      </c>
      <c r="M1039" s="10">
        <v>0</v>
      </c>
      <c r="N1039" s="10">
        <v>0</v>
      </c>
      <c r="O1039" s="10">
        <v>0</v>
      </c>
    </row>
    <row r="1040" spans="1:15" x14ac:dyDescent="0.2">
      <c r="A1040" s="10" t="s">
        <v>589</v>
      </c>
      <c r="B1040" s="10" t="s">
        <v>160</v>
      </c>
      <c r="C1040" s="10" t="s">
        <v>56</v>
      </c>
      <c r="D1040" s="10" t="s">
        <v>45</v>
      </c>
      <c r="E1040" s="10" t="s">
        <v>46</v>
      </c>
      <c r="F1040" s="10" t="s">
        <v>107</v>
      </c>
      <c r="G1040" s="10" t="b">
        <f>FALSE()</f>
        <v>0</v>
      </c>
      <c r="H1040" s="10">
        <v>1</v>
      </c>
      <c r="I1040" s="10">
        <v>0</v>
      </c>
      <c r="J1040" s="10">
        <v>1</v>
      </c>
      <c r="K1040" s="10">
        <v>51</v>
      </c>
      <c r="L1040" s="10">
        <v>47</v>
      </c>
      <c r="M1040" s="10">
        <v>0</v>
      </c>
      <c r="N1040" s="10">
        <v>0</v>
      </c>
      <c r="O1040" s="10">
        <v>0</v>
      </c>
    </row>
    <row r="1041" spans="1:15" x14ac:dyDescent="0.2">
      <c r="A1041" s="10" t="s">
        <v>769</v>
      </c>
      <c r="B1041" s="10" t="s">
        <v>146</v>
      </c>
      <c r="C1041" s="10" t="s">
        <v>105</v>
      </c>
      <c r="D1041" s="10" t="s">
        <v>45</v>
      </c>
      <c r="E1041" s="10" t="s">
        <v>46</v>
      </c>
      <c r="F1041" s="10" t="s">
        <v>79</v>
      </c>
      <c r="G1041" s="10" t="b">
        <f>FALSE()</f>
        <v>0</v>
      </c>
      <c r="H1041" s="10">
        <v>1</v>
      </c>
      <c r="I1041" s="10">
        <v>0</v>
      </c>
      <c r="J1041" s="10">
        <v>1</v>
      </c>
      <c r="K1041" s="10">
        <v>47</v>
      </c>
      <c r="L1041" s="10">
        <v>47</v>
      </c>
      <c r="M1041" s="10">
        <v>0</v>
      </c>
      <c r="N1041" s="10">
        <v>0</v>
      </c>
      <c r="O1041" s="10">
        <v>0</v>
      </c>
    </row>
    <row r="1042" spans="1:15" x14ac:dyDescent="0.2">
      <c r="A1042" s="10" t="s">
        <v>322</v>
      </c>
      <c r="B1042" s="10" t="s">
        <v>146</v>
      </c>
      <c r="C1042" s="10" t="s">
        <v>105</v>
      </c>
      <c r="D1042" s="10" t="s">
        <v>45</v>
      </c>
      <c r="E1042" s="10" t="s">
        <v>46</v>
      </c>
      <c r="F1042" s="10" t="s">
        <v>365</v>
      </c>
      <c r="G1042" s="10" t="b">
        <f>TRUE()</f>
        <v>1</v>
      </c>
      <c r="H1042" s="10">
        <v>1</v>
      </c>
      <c r="I1042" s="10">
        <v>0</v>
      </c>
      <c r="J1042" s="10">
        <v>2</v>
      </c>
      <c r="K1042" s="10">
        <v>67</v>
      </c>
      <c r="L1042" s="10">
        <v>47</v>
      </c>
      <c r="M1042" s="10">
        <v>0</v>
      </c>
      <c r="N1042" s="10">
        <v>0</v>
      </c>
      <c r="O1042" s="10">
        <v>0</v>
      </c>
    </row>
    <row r="1043" spans="1:15" x14ac:dyDescent="0.2">
      <c r="A1043" s="10" t="s">
        <v>770</v>
      </c>
      <c r="B1043" s="10" t="s">
        <v>70</v>
      </c>
      <c r="C1043" s="10" t="s">
        <v>70</v>
      </c>
      <c r="D1043" s="10" t="s">
        <v>45</v>
      </c>
      <c r="E1043" s="10" t="s">
        <v>46</v>
      </c>
      <c r="F1043" s="10" t="s">
        <v>153</v>
      </c>
      <c r="G1043" s="10" t="b">
        <f>FALSE()</f>
        <v>0</v>
      </c>
      <c r="H1043" s="10">
        <v>1</v>
      </c>
      <c r="I1043" s="10">
        <v>0</v>
      </c>
      <c r="J1043" s="10">
        <v>1</v>
      </c>
      <c r="K1043" s="10">
        <v>51</v>
      </c>
      <c r="L1043" s="10">
        <v>47</v>
      </c>
      <c r="M1043" s="10">
        <v>0</v>
      </c>
      <c r="N1043" s="10">
        <v>0</v>
      </c>
      <c r="O1043" s="10">
        <v>0</v>
      </c>
    </row>
    <row r="1044" spans="1:15" x14ac:dyDescent="0.2">
      <c r="A1044" s="10" t="s">
        <v>529</v>
      </c>
      <c r="B1044" s="10" t="s">
        <v>172</v>
      </c>
      <c r="C1044" s="10" t="s">
        <v>44</v>
      </c>
      <c r="D1044" s="10" t="s">
        <v>45</v>
      </c>
      <c r="E1044" s="10" t="s">
        <v>46</v>
      </c>
      <c r="F1044" s="10" t="s">
        <v>251</v>
      </c>
      <c r="G1044" s="10" t="b">
        <f>FALSE()</f>
        <v>0</v>
      </c>
      <c r="H1044" s="10">
        <v>1</v>
      </c>
      <c r="I1044" s="10">
        <v>1</v>
      </c>
      <c r="J1044" s="10">
        <v>3</v>
      </c>
      <c r="K1044" s="10">
        <v>71</v>
      </c>
      <c r="L1044" s="10">
        <v>46</v>
      </c>
      <c r="M1044" s="10">
        <v>1</v>
      </c>
      <c r="N1044" s="10">
        <v>828</v>
      </c>
      <c r="O1044" s="10">
        <v>828</v>
      </c>
    </row>
    <row r="1045" spans="1:15" x14ac:dyDescent="0.2">
      <c r="A1045" s="10" t="s">
        <v>217</v>
      </c>
      <c r="B1045" s="10" t="s">
        <v>218</v>
      </c>
      <c r="C1045" s="10" t="s">
        <v>73</v>
      </c>
      <c r="D1045" s="10" t="s">
        <v>45</v>
      </c>
      <c r="E1045" s="10" t="s">
        <v>46</v>
      </c>
      <c r="F1045" s="10" t="s">
        <v>393</v>
      </c>
      <c r="G1045" s="10" t="b">
        <f>FALSE()</f>
        <v>0</v>
      </c>
      <c r="H1045" s="10">
        <v>1</v>
      </c>
      <c r="I1045" s="10">
        <v>1</v>
      </c>
      <c r="J1045" s="10">
        <v>1</v>
      </c>
      <c r="K1045" s="10">
        <v>51</v>
      </c>
      <c r="L1045" s="10">
        <v>46</v>
      </c>
      <c r="M1045" s="10">
        <v>1</v>
      </c>
      <c r="N1045" s="10">
        <v>24</v>
      </c>
      <c r="O1045" s="10">
        <v>24</v>
      </c>
    </row>
    <row r="1046" spans="1:15" x14ac:dyDescent="0.2">
      <c r="A1046" s="10" t="s">
        <v>771</v>
      </c>
      <c r="B1046" s="10" t="s">
        <v>116</v>
      </c>
      <c r="C1046" s="10" t="s">
        <v>117</v>
      </c>
      <c r="D1046" s="10" t="s">
        <v>51</v>
      </c>
      <c r="E1046" s="10" t="s">
        <v>52</v>
      </c>
      <c r="F1046" s="10" t="s">
        <v>61</v>
      </c>
      <c r="G1046" s="10" t="b">
        <f>FALSE()</f>
        <v>0</v>
      </c>
      <c r="H1046" s="10">
        <v>1</v>
      </c>
      <c r="I1046" s="10">
        <v>1</v>
      </c>
      <c r="J1046" s="10">
        <v>1</v>
      </c>
      <c r="K1046" s="10">
        <v>46</v>
      </c>
      <c r="L1046" s="10">
        <v>46</v>
      </c>
      <c r="M1046" s="10">
        <v>1</v>
      </c>
      <c r="N1046" s="10">
        <v>24</v>
      </c>
      <c r="O1046" s="10">
        <v>23</v>
      </c>
    </row>
    <row r="1047" spans="1:15" x14ac:dyDescent="0.2">
      <c r="A1047" s="10" t="s">
        <v>110</v>
      </c>
      <c r="B1047" s="10" t="s">
        <v>111</v>
      </c>
      <c r="C1047" s="10" t="s">
        <v>112</v>
      </c>
      <c r="D1047" s="10" t="s">
        <v>51</v>
      </c>
      <c r="E1047" s="10" t="s">
        <v>52</v>
      </c>
      <c r="F1047" s="10" t="s">
        <v>153</v>
      </c>
      <c r="G1047" s="10" t="b">
        <f>FALSE()</f>
        <v>0</v>
      </c>
      <c r="H1047" s="10">
        <v>1</v>
      </c>
      <c r="I1047" s="10">
        <v>0</v>
      </c>
      <c r="J1047" s="10">
        <v>2</v>
      </c>
      <c r="K1047" s="10">
        <v>47</v>
      </c>
      <c r="L1047" s="10">
        <v>46</v>
      </c>
      <c r="M1047" s="10">
        <v>0</v>
      </c>
      <c r="N1047" s="10">
        <v>0</v>
      </c>
      <c r="O1047" s="10">
        <v>0</v>
      </c>
    </row>
    <row r="1048" spans="1:15" x14ac:dyDescent="0.2">
      <c r="A1048" s="10" t="s">
        <v>367</v>
      </c>
      <c r="B1048" s="10" t="s">
        <v>368</v>
      </c>
      <c r="C1048" s="10" t="s">
        <v>50</v>
      </c>
      <c r="D1048" s="10" t="s">
        <v>51</v>
      </c>
      <c r="E1048" s="10" t="s">
        <v>52</v>
      </c>
      <c r="F1048" s="10" t="s">
        <v>393</v>
      </c>
      <c r="G1048" s="10" t="b">
        <f>FALSE()</f>
        <v>0</v>
      </c>
      <c r="H1048" s="10">
        <v>1</v>
      </c>
      <c r="I1048" s="10">
        <v>0</v>
      </c>
      <c r="J1048" s="10">
        <v>1</v>
      </c>
      <c r="K1048" s="10">
        <v>24</v>
      </c>
      <c r="L1048" s="10">
        <v>46</v>
      </c>
      <c r="M1048" s="10">
        <v>0</v>
      </c>
      <c r="N1048" s="10">
        <v>0</v>
      </c>
      <c r="O1048" s="10">
        <v>0</v>
      </c>
    </row>
    <row r="1049" spans="1:15" x14ac:dyDescent="0.2">
      <c r="A1049" s="10" t="s">
        <v>440</v>
      </c>
      <c r="B1049" s="10" t="s">
        <v>72</v>
      </c>
      <c r="C1049" s="10" t="s">
        <v>73</v>
      </c>
      <c r="D1049" s="10" t="s">
        <v>45</v>
      </c>
      <c r="E1049" s="10" t="s">
        <v>46</v>
      </c>
      <c r="F1049" s="10" t="s">
        <v>47</v>
      </c>
      <c r="G1049" s="10" t="b">
        <f>FALSE()</f>
        <v>0</v>
      </c>
      <c r="H1049" s="10">
        <v>1</v>
      </c>
      <c r="I1049" s="10">
        <v>0</v>
      </c>
      <c r="J1049" s="10">
        <v>1</v>
      </c>
      <c r="K1049" s="10">
        <v>47</v>
      </c>
      <c r="L1049" s="10">
        <v>46</v>
      </c>
      <c r="M1049" s="10">
        <v>0</v>
      </c>
      <c r="N1049" s="10">
        <v>0</v>
      </c>
      <c r="O1049" s="10">
        <v>0</v>
      </c>
    </row>
    <row r="1050" spans="1:15" x14ac:dyDescent="0.2">
      <c r="A1050" s="10" t="s">
        <v>772</v>
      </c>
      <c r="B1050" s="10" t="s">
        <v>55</v>
      </c>
      <c r="C1050" s="10" t="s">
        <v>56</v>
      </c>
      <c r="D1050" s="10" t="s">
        <v>45</v>
      </c>
      <c r="E1050" s="10" t="s">
        <v>46</v>
      </c>
      <c r="F1050" s="10" t="s">
        <v>53</v>
      </c>
      <c r="G1050" s="10" t="b">
        <f>FALSE()</f>
        <v>0</v>
      </c>
      <c r="H1050" s="10">
        <v>1</v>
      </c>
      <c r="I1050" s="10">
        <v>0</v>
      </c>
      <c r="J1050" s="10">
        <v>1</v>
      </c>
      <c r="K1050" s="10">
        <v>56</v>
      </c>
      <c r="L1050" s="10">
        <v>46</v>
      </c>
      <c r="M1050" s="10">
        <v>0</v>
      </c>
      <c r="N1050" s="10">
        <v>0</v>
      </c>
      <c r="O1050" s="10">
        <v>0</v>
      </c>
    </row>
    <row r="1051" spans="1:15" x14ac:dyDescent="0.2">
      <c r="A1051" s="10" t="s">
        <v>773</v>
      </c>
      <c r="B1051" s="10" t="s">
        <v>774</v>
      </c>
      <c r="C1051" s="10" t="s">
        <v>117</v>
      </c>
      <c r="D1051" s="10" t="s">
        <v>51</v>
      </c>
      <c r="E1051" s="10" t="s">
        <v>52</v>
      </c>
      <c r="F1051" s="10" t="s">
        <v>180</v>
      </c>
      <c r="G1051" s="10" t="b">
        <f>FALSE()</f>
        <v>0</v>
      </c>
      <c r="H1051" s="10">
        <v>1</v>
      </c>
      <c r="I1051" s="10">
        <v>0</v>
      </c>
      <c r="J1051" s="10">
        <v>1</v>
      </c>
      <c r="K1051" s="10">
        <v>28</v>
      </c>
      <c r="L1051" s="10">
        <v>46</v>
      </c>
      <c r="M1051" s="10">
        <v>0</v>
      </c>
      <c r="N1051" s="10">
        <v>0</v>
      </c>
      <c r="O1051" s="10">
        <v>0</v>
      </c>
    </row>
    <row r="1052" spans="1:15" x14ac:dyDescent="0.2">
      <c r="A1052" s="10" t="s">
        <v>208</v>
      </c>
      <c r="B1052" s="10" t="s">
        <v>172</v>
      </c>
      <c r="C1052" s="10" t="s">
        <v>44</v>
      </c>
      <c r="D1052" s="10" t="s">
        <v>45</v>
      </c>
      <c r="E1052" s="10" t="s">
        <v>46</v>
      </c>
      <c r="F1052" s="10" t="s">
        <v>251</v>
      </c>
      <c r="G1052" s="10" t="b">
        <f>FALSE()</f>
        <v>0</v>
      </c>
      <c r="H1052" s="10">
        <v>1</v>
      </c>
      <c r="I1052" s="10">
        <v>1</v>
      </c>
      <c r="J1052" s="10">
        <v>2</v>
      </c>
      <c r="K1052" s="10">
        <v>96</v>
      </c>
      <c r="L1052" s="10">
        <v>45</v>
      </c>
      <c r="M1052" s="10">
        <v>1</v>
      </c>
      <c r="N1052" s="10">
        <v>851</v>
      </c>
      <c r="O1052" s="10">
        <v>851</v>
      </c>
    </row>
    <row r="1053" spans="1:15" x14ac:dyDescent="0.2">
      <c r="A1053" s="10" t="s">
        <v>580</v>
      </c>
      <c r="B1053" s="10" t="s">
        <v>78</v>
      </c>
      <c r="C1053" s="10" t="s">
        <v>50</v>
      </c>
      <c r="D1053" s="10" t="s">
        <v>51</v>
      </c>
      <c r="E1053" s="10" t="s">
        <v>52</v>
      </c>
      <c r="F1053" s="10" t="s">
        <v>155</v>
      </c>
      <c r="G1053" s="10" t="b">
        <f>TRUE()</f>
        <v>1</v>
      </c>
      <c r="H1053" s="10">
        <v>1</v>
      </c>
      <c r="I1053" s="10">
        <v>1</v>
      </c>
      <c r="J1053" s="10">
        <v>2</v>
      </c>
      <c r="K1053" s="10">
        <v>45</v>
      </c>
      <c r="L1053" s="10">
        <v>45</v>
      </c>
      <c r="M1053" s="10">
        <v>1</v>
      </c>
      <c r="N1053" s="10">
        <v>25</v>
      </c>
      <c r="O1053" s="10">
        <v>25</v>
      </c>
    </row>
    <row r="1054" spans="1:15" x14ac:dyDescent="0.2">
      <c r="A1054" s="10" t="s">
        <v>775</v>
      </c>
      <c r="B1054" s="10" t="s">
        <v>188</v>
      </c>
      <c r="C1054" s="10" t="s">
        <v>112</v>
      </c>
      <c r="D1054" s="10" t="s">
        <v>51</v>
      </c>
      <c r="E1054" s="10" t="s">
        <v>52</v>
      </c>
      <c r="F1054" s="10" t="s">
        <v>183</v>
      </c>
      <c r="G1054" s="10" t="b">
        <f>FALSE()</f>
        <v>0</v>
      </c>
      <c r="H1054" s="10">
        <v>1</v>
      </c>
      <c r="I1054" s="10">
        <v>1</v>
      </c>
      <c r="J1054" s="10">
        <v>1</v>
      </c>
      <c r="K1054" s="10">
        <v>60</v>
      </c>
      <c r="L1054" s="10">
        <v>45</v>
      </c>
      <c r="M1054" s="10">
        <v>1</v>
      </c>
      <c r="N1054" s="10">
        <v>32</v>
      </c>
      <c r="O1054" s="10">
        <v>10</v>
      </c>
    </row>
    <row r="1055" spans="1:15" x14ac:dyDescent="0.2">
      <c r="A1055" s="10" t="s">
        <v>101</v>
      </c>
      <c r="B1055" s="10" t="s">
        <v>55</v>
      </c>
      <c r="C1055" s="10" t="s">
        <v>56</v>
      </c>
      <c r="D1055" s="10" t="s">
        <v>45</v>
      </c>
      <c r="E1055" s="10" t="s">
        <v>46</v>
      </c>
      <c r="F1055" s="10" t="s">
        <v>212</v>
      </c>
      <c r="G1055" s="10" t="b">
        <f>FALSE()</f>
        <v>0</v>
      </c>
      <c r="H1055" s="10">
        <v>1</v>
      </c>
      <c r="I1055" s="10">
        <v>1</v>
      </c>
      <c r="J1055" s="10">
        <v>2</v>
      </c>
      <c r="K1055" s="10">
        <v>95</v>
      </c>
      <c r="L1055" s="10">
        <v>45</v>
      </c>
      <c r="M1055" s="10">
        <v>1</v>
      </c>
      <c r="N1055" s="10">
        <v>15</v>
      </c>
      <c r="O1055" s="10">
        <v>9</v>
      </c>
    </row>
    <row r="1056" spans="1:15" x14ac:dyDescent="0.2">
      <c r="A1056" s="10" t="s">
        <v>736</v>
      </c>
      <c r="B1056" s="10" t="s">
        <v>727</v>
      </c>
      <c r="C1056" s="10" t="s">
        <v>112</v>
      </c>
      <c r="D1056" s="10" t="s">
        <v>51</v>
      </c>
      <c r="E1056" s="10" t="s">
        <v>52</v>
      </c>
      <c r="F1056" s="10" t="s">
        <v>318</v>
      </c>
      <c r="G1056" s="10" t="b">
        <f>FALSE()</f>
        <v>0</v>
      </c>
      <c r="H1056" s="10">
        <v>1</v>
      </c>
      <c r="I1056" s="10">
        <v>0</v>
      </c>
      <c r="J1056" s="10">
        <v>1</v>
      </c>
      <c r="K1056" s="10">
        <v>92</v>
      </c>
      <c r="L1056" s="10">
        <v>45</v>
      </c>
      <c r="M1056" s="10">
        <v>0</v>
      </c>
      <c r="N1056" s="10">
        <v>0</v>
      </c>
      <c r="O1056" s="10">
        <v>0</v>
      </c>
    </row>
    <row r="1057" spans="1:15" x14ac:dyDescent="0.2">
      <c r="A1057" s="10" t="s">
        <v>776</v>
      </c>
      <c r="B1057" s="10" t="s">
        <v>777</v>
      </c>
      <c r="C1057" s="10" t="s">
        <v>90</v>
      </c>
      <c r="D1057" s="10" t="s">
        <v>51</v>
      </c>
      <c r="E1057" s="10" t="s">
        <v>52</v>
      </c>
      <c r="F1057" s="10" t="s">
        <v>318</v>
      </c>
      <c r="G1057" s="10" t="b">
        <f>FALSE()</f>
        <v>0</v>
      </c>
      <c r="H1057" s="10">
        <v>1</v>
      </c>
      <c r="I1057" s="10">
        <v>0</v>
      </c>
      <c r="J1057" s="10">
        <v>3</v>
      </c>
      <c r="K1057" s="10">
        <v>67</v>
      </c>
      <c r="L1057" s="10">
        <v>45</v>
      </c>
      <c r="M1057" s="10">
        <v>0</v>
      </c>
      <c r="N1057" s="10">
        <v>0</v>
      </c>
      <c r="O1057" s="10">
        <v>0</v>
      </c>
    </row>
    <row r="1058" spans="1:15" x14ac:dyDescent="0.2">
      <c r="A1058" s="10" t="s">
        <v>611</v>
      </c>
      <c r="B1058" s="10" t="s">
        <v>89</v>
      </c>
      <c r="C1058" s="10" t="s">
        <v>90</v>
      </c>
      <c r="D1058" s="10" t="s">
        <v>51</v>
      </c>
      <c r="E1058" s="10" t="s">
        <v>52</v>
      </c>
      <c r="F1058" s="10" t="s">
        <v>318</v>
      </c>
      <c r="G1058" s="10" t="b">
        <f>FALSE()</f>
        <v>0</v>
      </c>
      <c r="H1058" s="10">
        <v>1</v>
      </c>
      <c r="I1058" s="10">
        <v>0</v>
      </c>
      <c r="J1058" s="10">
        <v>1</v>
      </c>
      <c r="K1058" s="10">
        <v>45</v>
      </c>
      <c r="L1058" s="10">
        <v>45</v>
      </c>
      <c r="M1058" s="10">
        <v>0</v>
      </c>
      <c r="N1058" s="10">
        <v>0</v>
      </c>
      <c r="O1058" s="10">
        <v>0</v>
      </c>
    </row>
    <row r="1059" spans="1:15" x14ac:dyDescent="0.2">
      <c r="A1059" s="10" t="s">
        <v>778</v>
      </c>
      <c r="B1059" s="10" t="s">
        <v>779</v>
      </c>
      <c r="C1059" s="10" t="s">
        <v>90</v>
      </c>
      <c r="D1059" s="10" t="s">
        <v>51</v>
      </c>
      <c r="E1059" s="10" t="s">
        <v>52</v>
      </c>
      <c r="F1059" s="10" t="s">
        <v>180</v>
      </c>
      <c r="G1059" s="10" t="b">
        <f>FALSE()</f>
        <v>0</v>
      </c>
      <c r="H1059" s="10">
        <v>1</v>
      </c>
      <c r="I1059" s="10">
        <v>0</v>
      </c>
      <c r="J1059" s="10">
        <v>1</v>
      </c>
      <c r="K1059" s="10">
        <v>45</v>
      </c>
      <c r="L1059" s="10">
        <v>45</v>
      </c>
      <c r="M1059" s="10">
        <v>0</v>
      </c>
      <c r="N1059" s="10">
        <v>0</v>
      </c>
      <c r="O1059" s="10">
        <v>0</v>
      </c>
    </row>
    <row r="1060" spans="1:15" x14ac:dyDescent="0.2">
      <c r="A1060" s="10" t="s">
        <v>570</v>
      </c>
      <c r="B1060" s="10" t="s">
        <v>321</v>
      </c>
      <c r="C1060" s="10" t="s">
        <v>245</v>
      </c>
      <c r="D1060" s="10" t="s">
        <v>51</v>
      </c>
      <c r="E1060" s="10" t="s">
        <v>52</v>
      </c>
      <c r="F1060" s="10" t="s">
        <v>331</v>
      </c>
      <c r="G1060" s="10" t="b">
        <f>FALSE()</f>
        <v>0</v>
      </c>
      <c r="H1060" s="10">
        <v>1</v>
      </c>
      <c r="I1060" s="10">
        <v>0</v>
      </c>
      <c r="J1060" s="10">
        <v>2</v>
      </c>
      <c r="K1060" s="10">
        <v>43</v>
      </c>
      <c r="L1060" s="10">
        <v>45</v>
      </c>
      <c r="M1060" s="10">
        <v>0</v>
      </c>
      <c r="N1060" s="10">
        <v>0</v>
      </c>
      <c r="O1060" s="10">
        <v>0</v>
      </c>
    </row>
    <row r="1061" spans="1:15" x14ac:dyDescent="0.2">
      <c r="A1061" s="10" t="s">
        <v>227</v>
      </c>
      <c r="B1061" s="10" t="s">
        <v>70</v>
      </c>
      <c r="C1061" s="10" t="s">
        <v>70</v>
      </c>
      <c r="D1061" s="10" t="s">
        <v>45</v>
      </c>
      <c r="E1061" s="10" t="s">
        <v>46</v>
      </c>
      <c r="F1061" s="10" t="s">
        <v>61</v>
      </c>
      <c r="G1061" s="10" t="b">
        <f>FALSE()</f>
        <v>0</v>
      </c>
      <c r="H1061" s="10">
        <v>1</v>
      </c>
      <c r="I1061" s="10">
        <v>0</v>
      </c>
      <c r="J1061" s="10">
        <v>1</v>
      </c>
      <c r="K1061" s="10">
        <v>45</v>
      </c>
      <c r="L1061" s="10">
        <v>45</v>
      </c>
      <c r="M1061" s="10">
        <v>0</v>
      </c>
      <c r="N1061" s="10">
        <v>0</v>
      </c>
      <c r="O1061" s="10">
        <v>0</v>
      </c>
    </row>
    <row r="1062" spans="1:15" x14ac:dyDescent="0.2">
      <c r="A1062" s="10" t="s">
        <v>463</v>
      </c>
      <c r="B1062" s="10" t="s">
        <v>72</v>
      </c>
      <c r="C1062" s="10" t="s">
        <v>73</v>
      </c>
      <c r="D1062" s="10" t="s">
        <v>45</v>
      </c>
      <c r="E1062" s="10" t="s">
        <v>46</v>
      </c>
      <c r="F1062" s="10" t="s">
        <v>363</v>
      </c>
      <c r="G1062" s="10" t="b">
        <f>FALSE()</f>
        <v>0</v>
      </c>
      <c r="H1062" s="10">
        <v>1</v>
      </c>
      <c r="I1062" s="10">
        <v>0</v>
      </c>
      <c r="J1062" s="10">
        <v>1</v>
      </c>
      <c r="K1062" s="10">
        <v>47</v>
      </c>
      <c r="L1062" s="10">
        <v>45</v>
      </c>
      <c r="M1062" s="10">
        <v>0</v>
      </c>
      <c r="N1062" s="10">
        <v>0</v>
      </c>
      <c r="O1062" s="10">
        <v>0</v>
      </c>
    </row>
    <row r="1063" spans="1:15" x14ac:dyDescent="0.2">
      <c r="A1063" s="10" t="s">
        <v>780</v>
      </c>
      <c r="B1063" s="10" t="s">
        <v>128</v>
      </c>
      <c r="C1063" s="10" t="s">
        <v>50</v>
      </c>
      <c r="D1063" s="10" t="s">
        <v>51</v>
      </c>
      <c r="E1063" s="10" t="s">
        <v>52</v>
      </c>
      <c r="F1063" s="10" t="s">
        <v>660</v>
      </c>
      <c r="G1063" s="10" t="b">
        <f>FALSE()</f>
        <v>0</v>
      </c>
      <c r="H1063" s="10">
        <v>1</v>
      </c>
      <c r="I1063" s="10">
        <v>0</v>
      </c>
      <c r="J1063" s="10">
        <v>1</v>
      </c>
      <c r="K1063" s="10">
        <v>25</v>
      </c>
      <c r="L1063" s="10">
        <v>45</v>
      </c>
      <c r="M1063" s="10">
        <v>0</v>
      </c>
      <c r="N1063" s="10">
        <v>0</v>
      </c>
      <c r="O1063" s="10">
        <v>0</v>
      </c>
    </row>
    <row r="1064" spans="1:15" x14ac:dyDescent="0.2">
      <c r="A1064" s="10" t="s">
        <v>781</v>
      </c>
      <c r="B1064" s="10" t="s">
        <v>146</v>
      </c>
      <c r="C1064" s="10" t="s">
        <v>105</v>
      </c>
      <c r="D1064" s="10" t="s">
        <v>45</v>
      </c>
      <c r="E1064" s="10" t="s">
        <v>46</v>
      </c>
      <c r="F1064" s="10" t="s">
        <v>53</v>
      </c>
      <c r="G1064" s="10" t="b">
        <f>FALSE()</f>
        <v>0</v>
      </c>
      <c r="H1064" s="10">
        <v>1</v>
      </c>
      <c r="I1064" s="10">
        <v>0</v>
      </c>
      <c r="J1064" s="10">
        <v>1</v>
      </c>
      <c r="K1064" s="10">
        <v>71</v>
      </c>
      <c r="L1064" s="10">
        <v>45</v>
      </c>
      <c r="M1064" s="10">
        <v>0</v>
      </c>
      <c r="N1064" s="10">
        <v>0</v>
      </c>
      <c r="O1064" s="10">
        <v>0</v>
      </c>
    </row>
    <row r="1065" spans="1:15" x14ac:dyDescent="0.2">
      <c r="A1065" s="10" t="s">
        <v>647</v>
      </c>
      <c r="B1065" s="10" t="s">
        <v>262</v>
      </c>
      <c r="C1065" s="10" t="s">
        <v>105</v>
      </c>
      <c r="D1065" s="10" t="s">
        <v>45</v>
      </c>
      <c r="E1065" s="10" t="s">
        <v>46</v>
      </c>
      <c r="F1065" s="10" t="s">
        <v>92</v>
      </c>
      <c r="G1065" s="10" t="b">
        <f>FALSE()</f>
        <v>0</v>
      </c>
      <c r="H1065" s="10">
        <v>1</v>
      </c>
      <c r="I1065" s="10">
        <v>0</v>
      </c>
      <c r="J1065" s="10">
        <v>0</v>
      </c>
      <c r="K1065" s="10">
        <v>0</v>
      </c>
      <c r="L1065" s="10">
        <v>45</v>
      </c>
      <c r="M1065" s="10">
        <v>0</v>
      </c>
      <c r="N1065" s="10">
        <v>0</v>
      </c>
      <c r="O1065" s="10">
        <v>0</v>
      </c>
    </row>
    <row r="1066" spans="1:15" x14ac:dyDescent="0.2">
      <c r="A1066" s="10" t="s">
        <v>531</v>
      </c>
      <c r="B1066" s="10" t="s">
        <v>146</v>
      </c>
      <c r="C1066" s="10" t="s">
        <v>105</v>
      </c>
      <c r="D1066" s="10" t="s">
        <v>45</v>
      </c>
      <c r="E1066" s="10" t="s">
        <v>46</v>
      </c>
      <c r="F1066" s="10" t="s">
        <v>47</v>
      </c>
      <c r="G1066" s="10" t="b">
        <f>FALSE()</f>
        <v>0</v>
      </c>
      <c r="H1066" s="10">
        <v>1</v>
      </c>
      <c r="I1066" s="10">
        <v>0</v>
      </c>
      <c r="J1066" s="10">
        <v>1</v>
      </c>
      <c r="K1066" s="10">
        <v>25</v>
      </c>
      <c r="L1066" s="10">
        <v>45</v>
      </c>
      <c r="M1066" s="10">
        <v>0</v>
      </c>
      <c r="N1066" s="10">
        <v>0</v>
      </c>
      <c r="O1066" s="10">
        <v>0</v>
      </c>
    </row>
    <row r="1067" spans="1:15" x14ac:dyDescent="0.2">
      <c r="A1067" s="10" t="s">
        <v>630</v>
      </c>
      <c r="B1067" s="10" t="s">
        <v>104</v>
      </c>
      <c r="C1067" s="10" t="s">
        <v>105</v>
      </c>
      <c r="D1067" s="10" t="s">
        <v>45</v>
      </c>
      <c r="E1067" s="10" t="s">
        <v>46</v>
      </c>
      <c r="F1067" s="10" t="s">
        <v>79</v>
      </c>
      <c r="G1067" s="10" t="b">
        <f>FALSE()</f>
        <v>0</v>
      </c>
      <c r="H1067" s="10">
        <v>1</v>
      </c>
      <c r="I1067" s="10">
        <v>0</v>
      </c>
      <c r="J1067" s="10">
        <v>1</v>
      </c>
      <c r="K1067" s="10">
        <v>103</v>
      </c>
      <c r="L1067" s="10">
        <v>45</v>
      </c>
      <c r="M1067" s="10">
        <v>0</v>
      </c>
      <c r="N1067" s="10">
        <v>0</v>
      </c>
      <c r="O1067" s="10">
        <v>0</v>
      </c>
    </row>
    <row r="1068" spans="1:15" x14ac:dyDescent="0.2">
      <c r="A1068" s="10" t="s">
        <v>509</v>
      </c>
      <c r="B1068" s="10" t="s">
        <v>285</v>
      </c>
      <c r="C1068" s="10" t="s">
        <v>105</v>
      </c>
      <c r="D1068" s="10" t="s">
        <v>45</v>
      </c>
      <c r="E1068" s="10" t="s">
        <v>46</v>
      </c>
      <c r="F1068" s="10" t="s">
        <v>113</v>
      </c>
      <c r="G1068" s="10" t="b">
        <f>TRUE()</f>
        <v>1</v>
      </c>
      <c r="H1068" s="10">
        <v>1</v>
      </c>
      <c r="I1068" s="10">
        <v>0</v>
      </c>
      <c r="J1068" s="10">
        <v>0</v>
      </c>
      <c r="K1068" s="10">
        <v>0</v>
      </c>
      <c r="L1068" s="10">
        <v>45</v>
      </c>
      <c r="M1068" s="10">
        <v>0</v>
      </c>
      <c r="N1068" s="10">
        <v>0</v>
      </c>
      <c r="O1068" s="10">
        <v>0</v>
      </c>
    </row>
    <row r="1069" spans="1:15" x14ac:dyDescent="0.2">
      <c r="A1069" s="10" t="s">
        <v>509</v>
      </c>
      <c r="B1069" s="10" t="s">
        <v>285</v>
      </c>
      <c r="C1069" s="10" t="s">
        <v>105</v>
      </c>
      <c r="D1069" s="10" t="s">
        <v>45</v>
      </c>
      <c r="E1069" s="10" t="s">
        <v>46</v>
      </c>
      <c r="F1069" s="10" t="s">
        <v>251</v>
      </c>
      <c r="G1069" s="10" t="b">
        <f>FALSE()</f>
        <v>0</v>
      </c>
      <c r="H1069" s="10">
        <v>1</v>
      </c>
      <c r="I1069" s="10">
        <v>0</v>
      </c>
      <c r="J1069" s="10">
        <v>0</v>
      </c>
      <c r="K1069" s="10">
        <v>0</v>
      </c>
      <c r="L1069" s="10">
        <v>45</v>
      </c>
      <c r="M1069" s="10">
        <v>0</v>
      </c>
      <c r="N1069" s="10">
        <v>0</v>
      </c>
      <c r="O1069" s="10">
        <v>0</v>
      </c>
    </row>
    <row r="1070" spans="1:15" x14ac:dyDescent="0.2">
      <c r="A1070" s="10" t="s">
        <v>782</v>
      </c>
      <c r="B1070" s="10" t="s">
        <v>513</v>
      </c>
      <c r="C1070" s="10" t="s">
        <v>64</v>
      </c>
      <c r="D1070" s="10" t="s">
        <v>45</v>
      </c>
      <c r="E1070" s="10" t="s">
        <v>46</v>
      </c>
      <c r="F1070" s="10" t="s">
        <v>94</v>
      </c>
      <c r="G1070" s="10" t="b">
        <f>FALSE()</f>
        <v>0</v>
      </c>
      <c r="H1070" s="10">
        <v>1</v>
      </c>
      <c r="I1070" s="10">
        <v>0</v>
      </c>
      <c r="J1070" s="10">
        <v>2</v>
      </c>
      <c r="K1070" s="10">
        <v>131</v>
      </c>
      <c r="L1070" s="10">
        <v>45</v>
      </c>
      <c r="M1070" s="10">
        <v>0</v>
      </c>
      <c r="N1070" s="10">
        <v>0</v>
      </c>
      <c r="O1070" s="10">
        <v>0</v>
      </c>
    </row>
    <row r="1071" spans="1:15" x14ac:dyDescent="0.2">
      <c r="A1071" s="10" t="s">
        <v>441</v>
      </c>
      <c r="B1071" s="10" t="s">
        <v>116</v>
      </c>
      <c r="C1071" s="10" t="s">
        <v>117</v>
      </c>
      <c r="D1071" s="10" t="s">
        <v>51</v>
      </c>
      <c r="E1071" s="10" t="s">
        <v>52</v>
      </c>
      <c r="F1071" s="10" t="s">
        <v>53</v>
      </c>
      <c r="G1071" s="10" t="b">
        <f>FALSE()</f>
        <v>0</v>
      </c>
      <c r="H1071" s="10">
        <v>1</v>
      </c>
      <c r="I1071" s="10">
        <v>0</v>
      </c>
      <c r="J1071" s="10">
        <v>1</v>
      </c>
      <c r="K1071" s="10">
        <v>52</v>
      </c>
      <c r="L1071" s="10">
        <v>45</v>
      </c>
      <c r="M1071" s="10">
        <v>0</v>
      </c>
      <c r="N1071" s="10">
        <v>0</v>
      </c>
      <c r="O1071" s="10">
        <v>0</v>
      </c>
    </row>
    <row r="1072" spans="1:15" x14ac:dyDescent="0.2">
      <c r="A1072" s="10" t="s">
        <v>783</v>
      </c>
      <c r="B1072" s="10" t="s">
        <v>762</v>
      </c>
      <c r="C1072" s="10" t="s">
        <v>117</v>
      </c>
      <c r="D1072" s="10" t="s">
        <v>51</v>
      </c>
      <c r="E1072" s="10" t="s">
        <v>52</v>
      </c>
      <c r="F1072" s="10" t="s">
        <v>113</v>
      </c>
      <c r="G1072" s="10" t="b">
        <f>TRUE()</f>
        <v>1</v>
      </c>
      <c r="H1072" s="10">
        <v>1</v>
      </c>
      <c r="I1072" s="10">
        <v>0</v>
      </c>
      <c r="J1072" s="10">
        <v>1</v>
      </c>
      <c r="K1072" s="10">
        <v>50</v>
      </c>
      <c r="L1072" s="10">
        <v>45</v>
      </c>
      <c r="M1072" s="10">
        <v>0</v>
      </c>
      <c r="N1072" s="10">
        <v>0</v>
      </c>
      <c r="O1072" s="10">
        <v>0</v>
      </c>
    </row>
    <row r="1073" spans="1:15" x14ac:dyDescent="0.2">
      <c r="A1073" s="10" t="s">
        <v>784</v>
      </c>
      <c r="B1073" s="10" t="s">
        <v>160</v>
      </c>
      <c r="C1073" s="10" t="s">
        <v>56</v>
      </c>
      <c r="D1073" s="10" t="s">
        <v>45</v>
      </c>
      <c r="E1073" s="10" t="s">
        <v>46</v>
      </c>
      <c r="F1073" s="10" t="s">
        <v>251</v>
      </c>
      <c r="G1073" s="10" t="b">
        <f>FALSE()</f>
        <v>0</v>
      </c>
      <c r="H1073" s="10">
        <v>1</v>
      </c>
      <c r="I1073" s="10">
        <v>0</v>
      </c>
      <c r="J1073" s="10">
        <v>1</v>
      </c>
      <c r="K1073" s="10">
        <v>47</v>
      </c>
      <c r="L1073" s="10">
        <v>45</v>
      </c>
      <c r="M1073" s="10">
        <v>0</v>
      </c>
      <c r="N1073" s="10">
        <v>0</v>
      </c>
      <c r="O1073" s="10">
        <v>0</v>
      </c>
    </row>
    <row r="1074" spans="1:15" x14ac:dyDescent="0.2">
      <c r="A1074" s="10" t="s">
        <v>785</v>
      </c>
      <c r="B1074" s="10" t="s">
        <v>43</v>
      </c>
      <c r="C1074" s="10" t="s">
        <v>44</v>
      </c>
      <c r="D1074" s="10" t="s">
        <v>45</v>
      </c>
      <c r="E1074" s="10" t="s">
        <v>46</v>
      </c>
      <c r="F1074" s="10" t="s">
        <v>153</v>
      </c>
      <c r="G1074" s="10" t="b">
        <f>FALSE()</f>
        <v>0</v>
      </c>
      <c r="H1074" s="10">
        <v>1</v>
      </c>
      <c r="I1074" s="10">
        <v>0</v>
      </c>
      <c r="J1074" s="10">
        <v>2</v>
      </c>
      <c r="K1074" s="10">
        <v>57</v>
      </c>
      <c r="L1074" s="10">
        <v>45</v>
      </c>
      <c r="M1074" s="10">
        <v>0</v>
      </c>
      <c r="N1074" s="10">
        <v>0</v>
      </c>
      <c r="O1074" s="10">
        <v>0</v>
      </c>
    </row>
    <row r="1075" spans="1:15" x14ac:dyDescent="0.2">
      <c r="A1075" s="10" t="s">
        <v>786</v>
      </c>
      <c r="B1075" s="10" t="s">
        <v>172</v>
      </c>
      <c r="C1075" s="10" t="s">
        <v>44</v>
      </c>
      <c r="D1075" s="10" t="s">
        <v>45</v>
      </c>
      <c r="E1075" s="10" t="s">
        <v>46</v>
      </c>
      <c r="F1075" s="10" t="s">
        <v>75</v>
      </c>
      <c r="G1075" s="10" t="b">
        <f>FALSE()</f>
        <v>0</v>
      </c>
      <c r="H1075" s="10">
        <v>1</v>
      </c>
      <c r="I1075" s="10">
        <v>0</v>
      </c>
      <c r="J1075" s="10">
        <v>1</v>
      </c>
      <c r="K1075" s="10">
        <v>47</v>
      </c>
      <c r="L1075" s="10">
        <v>45</v>
      </c>
      <c r="M1075" s="10">
        <v>0</v>
      </c>
      <c r="N1075" s="10">
        <v>0</v>
      </c>
      <c r="O1075" s="10">
        <v>0</v>
      </c>
    </row>
    <row r="1076" spans="1:15" x14ac:dyDescent="0.2">
      <c r="A1076" s="10" t="s">
        <v>787</v>
      </c>
      <c r="B1076" s="10" t="s">
        <v>165</v>
      </c>
      <c r="C1076" s="10" t="s">
        <v>112</v>
      </c>
      <c r="D1076" s="10" t="s">
        <v>51</v>
      </c>
      <c r="E1076" s="10" t="s">
        <v>52</v>
      </c>
      <c r="F1076" s="10" t="s">
        <v>75</v>
      </c>
      <c r="G1076" s="10" t="b">
        <f>FALSE()</f>
        <v>0</v>
      </c>
      <c r="H1076" s="10">
        <v>1</v>
      </c>
      <c r="I1076" s="10">
        <v>0</v>
      </c>
      <c r="J1076" s="10">
        <v>2</v>
      </c>
      <c r="K1076" s="10">
        <v>69</v>
      </c>
      <c r="L1076" s="10">
        <v>45</v>
      </c>
      <c r="M1076" s="10">
        <v>0</v>
      </c>
      <c r="N1076" s="10">
        <v>0</v>
      </c>
      <c r="O1076" s="10">
        <v>0</v>
      </c>
    </row>
    <row r="1077" spans="1:15" x14ac:dyDescent="0.2">
      <c r="A1077" s="10" t="s">
        <v>788</v>
      </c>
      <c r="B1077" s="10" t="s">
        <v>759</v>
      </c>
      <c r="C1077" s="10" t="s">
        <v>112</v>
      </c>
      <c r="D1077" s="10" t="s">
        <v>51</v>
      </c>
      <c r="E1077" s="10" t="s">
        <v>52</v>
      </c>
      <c r="F1077" s="10" t="s">
        <v>190</v>
      </c>
      <c r="G1077" s="10" t="b">
        <f>TRUE()</f>
        <v>1</v>
      </c>
      <c r="H1077" s="10">
        <v>1</v>
      </c>
      <c r="I1077" s="10">
        <v>0</v>
      </c>
      <c r="J1077" s="10">
        <v>1</v>
      </c>
      <c r="K1077" s="10">
        <v>34</v>
      </c>
      <c r="L1077" s="10">
        <v>45</v>
      </c>
      <c r="M1077" s="10">
        <v>0</v>
      </c>
      <c r="N1077" s="10">
        <v>0</v>
      </c>
      <c r="O1077" s="10">
        <v>0</v>
      </c>
    </row>
    <row r="1078" spans="1:15" x14ac:dyDescent="0.2">
      <c r="A1078" s="10" t="s">
        <v>789</v>
      </c>
      <c r="B1078" s="10" t="s">
        <v>759</v>
      </c>
      <c r="C1078" s="10" t="s">
        <v>112</v>
      </c>
      <c r="D1078" s="10" t="s">
        <v>51</v>
      </c>
      <c r="E1078" s="10" t="s">
        <v>52</v>
      </c>
      <c r="F1078" s="10" t="s">
        <v>65</v>
      </c>
      <c r="G1078" s="10" t="b">
        <f>FALSE()</f>
        <v>0</v>
      </c>
      <c r="H1078" s="10">
        <v>1</v>
      </c>
      <c r="I1078" s="10">
        <v>0</v>
      </c>
      <c r="J1078" s="10">
        <v>1</v>
      </c>
      <c r="K1078" s="10">
        <v>47</v>
      </c>
      <c r="L1078" s="10">
        <v>45</v>
      </c>
      <c r="M1078" s="10">
        <v>0</v>
      </c>
      <c r="N1078" s="10">
        <v>0</v>
      </c>
      <c r="O1078" s="10">
        <v>0</v>
      </c>
    </row>
    <row r="1079" spans="1:15" x14ac:dyDescent="0.2">
      <c r="A1079" s="10" t="s">
        <v>736</v>
      </c>
      <c r="B1079" s="10" t="s">
        <v>727</v>
      </c>
      <c r="C1079" s="10" t="s">
        <v>112</v>
      </c>
      <c r="D1079" s="10" t="s">
        <v>51</v>
      </c>
      <c r="E1079" s="10" t="s">
        <v>52</v>
      </c>
      <c r="F1079" s="10" t="s">
        <v>180</v>
      </c>
      <c r="G1079" s="10" t="b">
        <f>FALSE()</f>
        <v>0</v>
      </c>
      <c r="H1079" s="10">
        <v>1</v>
      </c>
      <c r="I1079" s="10">
        <v>0</v>
      </c>
      <c r="J1079" s="10">
        <v>1</v>
      </c>
      <c r="K1079" s="10">
        <v>71</v>
      </c>
      <c r="L1079" s="10">
        <v>44</v>
      </c>
      <c r="M1079" s="10">
        <v>0</v>
      </c>
      <c r="N1079" s="10">
        <v>0</v>
      </c>
      <c r="O1079" s="10">
        <v>0</v>
      </c>
    </row>
    <row r="1080" spans="1:15" x14ac:dyDescent="0.2">
      <c r="A1080" s="10" t="s">
        <v>790</v>
      </c>
      <c r="B1080" s="10" t="s">
        <v>405</v>
      </c>
      <c r="C1080" s="10" t="s">
        <v>112</v>
      </c>
      <c r="D1080" s="10" t="s">
        <v>51</v>
      </c>
      <c r="E1080" s="10" t="s">
        <v>52</v>
      </c>
      <c r="F1080" s="10" t="s">
        <v>212</v>
      </c>
      <c r="G1080" s="10" t="b">
        <f>FALSE()</f>
        <v>0</v>
      </c>
      <c r="H1080" s="10">
        <v>1</v>
      </c>
      <c r="I1080" s="10">
        <v>0</v>
      </c>
      <c r="J1080" s="10">
        <v>1</v>
      </c>
      <c r="K1080" s="10">
        <v>25</v>
      </c>
      <c r="L1080" s="10">
        <v>44</v>
      </c>
      <c r="M1080" s="10">
        <v>0</v>
      </c>
      <c r="N1080" s="10">
        <v>0</v>
      </c>
      <c r="O1080" s="10">
        <v>0</v>
      </c>
    </row>
    <row r="1081" spans="1:15" x14ac:dyDescent="0.2">
      <c r="A1081" s="10" t="s">
        <v>455</v>
      </c>
      <c r="B1081" s="10" t="s">
        <v>456</v>
      </c>
      <c r="C1081" s="10" t="s">
        <v>245</v>
      </c>
      <c r="D1081" s="10" t="s">
        <v>51</v>
      </c>
      <c r="E1081" s="10" t="s">
        <v>52</v>
      </c>
      <c r="F1081" s="10" t="s">
        <v>58</v>
      </c>
      <c r="G1081" s="10" t="b">
        <f>FALSE()</f>
        <v>0</v>
      </c>
      <c r="H1081" s="10">
        <v>1</v>
      </c>
      <c r="I1081" s="10">
        <v>0</v>
      </c>
      <c r="J1081" s="10">
        <v>1</v>
      </c>
      <c r="K1081" s="10">
        <v>46</v>
      </c>
      <c r="L1081" s="10">
        <v>44</v>
      </c>
      <c r="M1081" s="10">
        <v>0</v>
      </c>
      <c r="N1081" s="10">
        <v>0</v>
      </c>
      <c r="O1081" s="10">
        <v>0</v>
      </c>
    </row>
    <row r="1082" spans="1:15" x14ac:dyDescent="0.2">
      <c r="A1082" s="10" t="s">
        <v>695</v>
      </c>
      <c r="B1082" s="10" t="s">
        <v>70</v>
      </c>
      <c r="C1082" s="10" t="s">
        <v>70</v>
      </c>
      <c r="D1082" s="10" t="s">
        <v>45</v>
      </c>
      <c r="E1082" s="10" t="s">
        <v>46</v>
      </c>
      <c r="F1082" s="10" t="s">
        <v>791</v>
      </c>
      <c r="G1082" s="10" t="b">
        <f>FALSE()</f>
        <v>0</v>
      </c>
      <c r="H1082" s="10">
        <v>1</v>
      </c>
      <c r="I1082" s="10">
        <v>0</v>
      </c>
      <c r="J1082" s="10">
        <v>1</v>
      </c>
      <c r="K1082" s="10">
        <v>48</v>
      </c>
      <c r="L1082" s="10">
        <v>44</v>
      </c>
      <c r="M1082" s="10">
        <v>0</v>
      </c>
      <c r="N1082" s="10">
        <v>0</v>
      </c>
      <c r="O1082" s="10">
        <v>0</v>
      </c>
    </row>
    <row r="1083" spans="1:15" x14ac:dyDescent="0.2">
      <c r="A1083" s="10" t="s">
        <v>203</v>
      </c>
      <c r="B1083" s="10" t="s">
        <v>178</v>
      </c>
      <c r="C1083" s="10" t="s">
        <v>73</v>
      </c>
      <c r="D1083" s="10" t="s">
        <v>45</v>
      </c>
      <c r="E1083" s="10" t="s">
        <v>46</v>
      </c>
      <c r="F1083" s="10" t="s">
        <v>47</v>
      </c>
      <c r="G1083" s="10" t="b">
        <f>FALSE()</f>
        <v>0</v>
      </c>
      <c r="H1083" s="10">
        <v>1</v>
      </c>
      <c r="I1083" s="10">
        <v>0</v>
      </c>
      <c r="J1083" s="10">
        <v>2</v>
      </c>
      <c r="K1083" s="10">
        <v>44</v>
      </c>
      <c r="L1083" s="10">
        <v>44</v>
      </c>
      <c r="M1083" s="10">
        <v>0</v>
      </c>
      <c r="N1083" s="10">
        <v>0</v>
      </c>
      <c r="O1083" s="10">
        <v>0</v>
      </c>
    </row>
    <row r="1084" spans="1:15" x14ac:dyDescent="0.2">
      <c r="A1084" s="10" t="s">
        <v>596</v>
      </c>
      <c r="B1084" s="10" t="s">
        <v>262</v>
      </c>
      <c r="C1084" s="10" t="s">
        <v>105</v>
      </c>
      <c r="D1084" s="10" t="s">
        <v>45</v>
      </c>
      <c r="E1084" s="10" t="s">
        <v>46</v>
      </c>
      <c r="F1084" s="10" t="s">
        <v>47</v>
      </c>
      <c r="G1084" s="10" t="b">
        <f>FALSE()</f>
        <v>0</v>
      </c>
      <c r="H1084" s="10">
        <v>1</v>
      </c>
      <c r="I1084" s="10">
        <v>0</v>
      </c>
      <c r="J1084" s="10">
        <v>1</v>
      </c>
      <c r="K1084" s="10">
        <v>31</v>
      </c>
      <c r="L1084" s="10">
        <v>44</v>
      </c>
      <c r="M1084" s="10">
        <v>0</v>
      </c>
      <c r="N1084" s="10">
        <v>0</v>
      </c>
      <c r="O1084" s="10">
        <v>0</v>
      </c>
    </row>
    <row r="1085" spans="1:15" x14ac:dyDescent="0.2">
      <c r="A1085" s="10" t="s">
        <v>753</v>
      </c>
      <c r="B1085" s="10" t="s">
        <v>262</v>
      </c>
      <c r="C1085" s="10" t="s">
        <v>105</v>
      </c>
      <c r="D1085" s="10" t="s">
        <v>45</v>
      </c>
      <c r="E1085" s="10" t="s">
        <v>46</v>
      </c>
      <c r="F1085" s="10" t="s">
        <v>92</v>
      </c>
      <c r="G1085" s="10" t="b">
        <f>FALSE()</f>
        <v>0</v>
      </c>
      <c r="H1085" s="10">
        <v>1</v>
      </c>
      <c r="I1085" s="10">
        <v>0</v>
      </c>
      <c r="J1085" s="10">
        <v>2</v>
      </c>
      <c r="K1085" s="10">
        <v>50</v>
      </c>
      <c r="L1085" s="10">
        <v>44</v>
      </c>
      <c r="M1085" s="10">
        <v>0</v>
      </c>
      <c r="N1085" s="10">
        <v>0</v>
      </c>
      <c r="O1085" s="10">
        <v>0</v>
      </c>
    </row>
    <row r="1086" spans="1:15" x14ac:dyDescent="0.2">
      <c r="A1086" s="10" t="s">
        <v>792</v>
      </c>
      <c r="B1086" s="10" t="s">
        <v>793</v>
      </c>
      <c r="C1086" s="10" t="s">
        <v>90</v>
      </c>
      <c r="D1086" s="10" t="s">
        <v>51</v>
      </c>
      <c r="E1086" s="10" t="s">
        <v>52</v>
      </c>
      <c r="F1086" s="10" t="s">
        <v>155</v>
      </c>
      <c r="G1086" s="10" t="b">
        <f>TRUE()</f>
        <v>1</v>
      </c>
      <c r="H1086" s="10">
        <v>1</v>
      </c>
      <c r="I1086" s="10">
        <v>0</v>
      </c>
      <c r="J1086" s="10">
        <v>2</v>
      </c>
      <c r="K1086" s="10">
        <v>44</v>
      </c>
      <c r="L1086" s="10">
        <v>44</v>
      </c>
      <c r="M1086" s="10">
        <v>0</v>
      </c>
      <c r="N1086" s="10">
        <v>0</v>
      </c>
      <c r="O1086" s="10">
        <v>0</v>
      </c>
    </row>
    <row r="1087" spans="1:15" x14ac:dyDescent="0.2">
      <c r="A1087" s="10" t="s">
        <v>690</v>
      </c>
      <c r="B1087" s="10" t="s">
        <v>285</v>
      </c>
      <c r="C1087" s="10" t="s">
        <v>105</v>
      </c>
      <c r="D1087" s="10" t="s">
        <v>45</v>
      </c>
      <c r="E1087" s="10" t="s">
        <v>46</v>
      </c>
      <c r="F1087" s="10" t="s">
        <v>207</v>
      </c>
      <c r="G1087" s="10" t="b">
        <f>FALSE()</f>
        <v>0</v>
      </c>
      <c r="H1087" s="10">
        <v>1</v>
      </c>
      <c r="I1087" s="10">
        <v>0</v>
      </c>
      <c r="J1087" s="10">
        <v>1</v>
      </c>
      <c r="K1087" s="10">
        <v>44</v>
      </c>
      <c r="L1087" s="10">
        <v>44</v>
      </c>
      <c r="M1087" s="10">
        <v>0</v>
      </c>
      <c r="N1087" s="10">
        <v>0</v>
      </c>
      <c r="O1087" s="10">
        <v>0</v>
      </c>
    </row>
    <row r="1088" spans="1:15" x14ac:dyDescent="0.2">
      <c r="A1088" s="10" t="s">
        <v>575</v>
      </c>
      <c r="B1088" s="10" t="s">
        <v>55</v>
      </c>
      <c r="C1088" s="10" t="s">
        <v>56</v>
      </c>
      <c r="D1088" s="10" t="s">
        <v>45</v>
      </c>
      <c r="E1088" s="10" t="s">
        <v>46</v>
      </c>
      <c r="F1088" s="10" t="s">
        <v>47</v>
      </c>
      <c r="G1088" s="10" t="b">
        <f>FALSE()</f>
        <v>0</v>
      </c>
      <c r="H1088" s="10">
        <v>1</v>
      </c>
      <c r="I1088" s="10">
        <v>0</v>
      </c>
      <c r="J1088" s="10">
        <v>0</v>
      </c>
      <c r="K1088" s="10">
        <v>0</v>
      </c>
      <c r="L1088" s="10">
        <v>44</v>
      </c>
      <c r="M1088" s="10">
        <v>0</v>
      </c>
      <c r="N1088" s="10">
        <v>0</v>
      </c>
      <c r="O1088" s="10">
        <v>0</v>
      </c>
    </row>
    <row r="1089" spans="1:15" x14ac:dyDescent="0.2">
      <c r="A1089" s="10" t="s">
        <v>794</v>
      </c>
      <c r="B1089" s="10" t="s">
        <v>652</v>
      </c>
      <c r="C1089" s="10" t="s">
        <v>117</v>
      </c>
      <c r="D1089" s="10" t="s">
        <v>51</v>
      </c>
      <c r="E1089" s="10" t="s">
        <v>52</v>
      </c>
      <c r="F1089" s="10" t="s">
        <v>97</v>
      </c>
      <c r="G1089" s="10" t="b">
        <f>TRUE()</f>
        <v>1</v>
      </c>
      <c r="H1089" s="10">
        <v>1</v>
      </c>
      <c r="I1089" s="10">
        <v>0</v>
      </c>
      <c r="J1089" s="10">
        <v>3</v>
      </c>
      <c r="K1089" s="10">
        <v>75</v>
      </c>
      <c r="L1089" s="10">
        <v>44</v>
      </c>
      <c r="M1089" s="10">
        <v>0</v>
      </c>
      <c r="N1089" s="10">
        <v>0</v>
      </c>
      <c r="O1089" s="10">
        <v>0</v>
      </c>
    </row>
    <row r="1090" spans="1:15" x14ac:dyDescent="0.2">
      <c r="A1090" s="10" t="s">
        <v>795</v>
      </c>
      <c r="B1090" s="10" t="s">
        <v>72</v>
      </c>
      <c r="C1090" s="10" t="s">
        <v>73</v>
      </c>
      <c r="D1090" s="10" t="s">
        <v>45</v>
      </c>
      <c r="E1090" s="10" t="s">
        <v>46</v>
      </c>
      <c r="F1090" s="10" t="s">
        <v>251</v>
      </c>
      <c r="G1090" s="10" t="b">
        <f>FALSE()</f>
        <v>0</v>
      </c>
      <c r="H1090" s="10">
        <v>1</v>
      </c>
      <c r="I1090" s="10">
        <v>0</v>
      </c>
      <c r="J1090" s="10">
        <v>1</v>
      </c>
      <c r="K1090" s="10">
        <v>50</v>
      </c>
      <c r="L1090" s="10">
        <v>44</v>
      </c>
      <c r="M1090" s="10">
        <v>0</v>
      </c>
      <c r="N1090" s="10">
        <v>0</v>
      </c>
      <c r="O1090" s="10">
        <v>0</v>
      </c>
    </row>
    <row r="1091" spans="1:15" x14ac:dyDescent="0.2">
      <c r="A1091" s="10" t="s">
        <v>619</v>
      </c>
      <c r="B1091" s="10" t="s">
        <v>146</v>
      </c>
      <c r="C1091" s="10" t="s">
        <v>105</v>
      </c>
      <c r="D1091" s="10" t="s">
        <v>45</v>
      </c>
      <c r="E1091" s="10" t="s">
        <v>46</v>
      </c>
      <c r="F1091" s="10" t="s">
        <v>251</v>
      </c>
      <c r="G1091" s="10" t="b">
        <f>FALSE()</f>
        <v>0</v>
      </c>
      <c r="H1091" s="10">
        <v>1</v>
      </c>
      <c r="I1091" s="10">
        <v>1</v>
      </c>
      <c r="J1091" s="10">
        <v>1</v>
      </c>
      <c r="K1091" s="10">
        <v>43</v>
      </c>
      <c r="L1091" s="10">
        <v>43</v>
      </c>
      <c r="M1091" s="10">
        <v>1</v>
      </c>
      <c r="N1091" s="10">
        <v>742</v>
      </c>
      <c r="O1091" s="10">
        <v>739</v>
      </c>
    </row>
    <row r="1092" spans="1:15" x14ac:dyDescent="0.2">
      <c r="A1092" s="10" t="s">
        <v>448</v>
      </c>
      <c r="B1092" s="10" t="s">
        <v>289</v>
      </c>
      <c r="C1092" s="10" t="s">
        <v>50</v>
      </c>
      <c r="D1092" s="10" t="s">
        <v>51</v>
      </c>
      <c r="E1092" s="10" t="s">
        <v>52</v>
      </c>
      <c r="F1092" s="10" t="s">
        <v>47</v>
      </c>
      <c r="G1092" s="10" t="b">
        <f>FALSE()</f>
        <v>0</v>
      </c>
      <c r="H1092" s="10">
        <v>1</v>
      </c>
      <c r="I1092" s="10">
        <v>1</v>
      </c>
      <c r="J1092" s="10">
        <v>1</v>
      </c>
      <c r="K1092" s="10">
        <v>58</v>
      </c>
      <c r="L1092" s="10">
        <v>43</v>
      </c>
      <c r="M1092" s="10">
        <v>1</v>
      </c>
      <c r="N1092" s="10">
        <v>108</v>
      </c>
      <c r="O1092" s="10">
        <v>139</v>
      </c>
    </row>
    <row r="1093" spans="1:15" x14ac:dyDescent="0.2">
      <c r="A1093" s="10" t="s">
        <v>796</v>
      </c>
      <c r="B1093" s="10" t="s">
        <v>72</v>
      </c>
      <c r="C1093" s="10" t="s">
        <v>73</v>
      </c>
      <c r="D1093" s="10" t="s">
        <v>45</v>
      </c>
      <c r="E1093" s="10" t="s">
        <v>46</v>
      </c>
      <c r="F1093" s="10" t="s">
        <v>190</v>
      </c>
      <c r="G1093" s="10" t="b">
        <f>TRUE()</f>
        <v>1</v>
      </c>
      <c r="H1093" s="10">
        <v>1</v>
      </c>
      <c r="I1093" s="10">
        <v>1</v>
      </c>
      <c r="J1093" s="10">
        <v>1</v>
      </c>
      <c r="K1093" s="10">
        <v>45</v>
      </c>
      <c r="L1093" s="10">
        <v>43</v>
      </c>
      <c r="M1093" s="10">
        <v>1</v>
      </c>
      <c r="N1093" s="10">
        <v>47</v>
      </c>
      <c r="O1093" s="10">
        <v>47</v>
      </c>
    </row>
    <row r="1094" spans="1:15" x14ac:dyDescent="0.2">
      <c r="A1094" s="10" t="s">
        <v>545</v>
      </c>
      <c r="B1094" s="10" t="s">
        <v>146</v>
      </c>
      <c r="C1094" s="10" t="s">
        <v>105</v>
      </c>
      <c r="D1094" s="10" t="s">
        <v>45</v>
      </c>
      <c r="E1094" s="10" t="s">
        <v>46</v>
      </c>
      <c r="F1094" s="10" t="s">
        <v>92</v>
      </c>
      <c r="G1094" s="10" t="b">
        <f>FALSE()</f>
        <v>0</v>
      </c>
      <c r="H1094" s="10">
        <v>1</v>
      </c>
      <c r="I1094" s="10">
        <v>1</v>
      </c>
      <c r="J1094" s="10">
        <v>0</v>
      </c>
      <c r="K1094" s="10">
        <v>0</v>
      </c>
      <c r="L1094" s="10">
        <v>43</v>
      </c>
      <c r="M1094" s="10">
        <v>1</v>
      </c>
      <c r="N1094" s="10">
        <v>25</v>
      </c>
      <c r="O1094" s="10">
        <v>25</v>
      </c>
    </row>
    <row r="1095" spans="1:15" x14ac:dyDescent="0.2">
      <c r="A1095" s="10" t="s">
        <v>664</v>
      </c>
      <c r="B1095" s="10" t="s">
        <v>136</v>
      </c>
      <c r="C1095" s="10" t="s">
        <v>73</v>
      </c>
      <c r="D1095" s="10" t="s">
        <v>45</v>
      </c>
      <c r="E1095" s="10" t="s">
        <v>46</v>
      </c>
      <c r="F1095" s="10" t="s">
        <v>47</v>
      </c>
      <c r="G1095" s="10" t="b">
        <f>FALSE()</f>
        <v>0</v>
      </c>
      <c r="H1095" s="10">
        <v>1</v>
      </c>
      <c r="I1095" s="10">
        <v>1</v>
      </c>
      <c r="J1095" s="10">
        <v>2</v>
      </c>
      <c r="K1095" s="10">
        <v>45</v>
      </c>
      <c r="L1095" s="10">
        <v>43</v>
      </c>
      <c r="M1095" s="10">
        <v>1</v>
      </c>
      <c r="N1095" s="10">
        <v>23</v>
      </c>
      <c r="O1095" s="10">
        <v>23</v>
      </c>
    </row>
    <row r="1096" spans="1:15" x14ac:dyDescent="0.2">
      <c r="A1096" s="10" t="s">
        <v>580</v>
      </c>
      <c r="B1096" s="10" t="s">
        <v>78</v>
      </c>
      <c r="C1096" s="10" t="s">
        <v>50</v>
      </c>
      <c r="D1096" s="10" t="s">
        <v>51</v>
      </c>
      <c r="E1096" s="10" t="s">
        <v>52</v>
      </c>
      <c r="F1096" s="10" t="s">
        <v>558</v>
      </c>
      <c r="G1096" s="10" t="b">
        <f>TRUE()</f>
        <v>1</v>
      </c>
      <c r="H1096" s="10">
        <v>1</v>
      </c>
      <c r="I1096" s="10">
        <v>1</v>
      </c>
      <c r="J1096" s="10">
        <v>1</v>
      </c>
      <c r="K1096" s="10">
        <v>43</v>
      </c>
      <c r="L1096" s="10">
        <v>43</v>
      </c>
      <c r="M1096" s="10">
        <v>1</v>
      </c>
      <c r="N1096" s="10">
        <v>23</v>
      </c>
      <c r="O1096" s="10">
        <v>23</v>
      </c>
    </row>
    <row r="1097" spans="1:15" x14ac:dyDescent="0.2">
      <c r="A1097" s="10" t="s">
        <v>797</v>
      </c>
      <c r="B1097" s="10" t="s">
        <v>89</v>
      </c>
      <c r="C1097" s="10" t="s">
        <v>90</v>
      </c>
      <c r="D1097" s="10" t="s">
        <v>51</v>
      </c>
      <c r="E1097" s="10" t="s">
        <v>52</v>
      </c>
      <c r="F1097" s="10" t="s">
        <v>58</v>
      </c>
      <c r="G1097" s="10" t="b">
        <f>FALSE()</f>
        <v>0</v>
      </c>
      <c r="H1097" s="10">
        <v>1</v>
      </c>
      <c r="I1097" s="10">
        <v>0</v>
      </c>
      <c r="J1097" s="10">
        <v>0</v>
      </c>
      <c r="K1097" s="10">
        <v>0</v>
      </c>
      <c r="L1097" s="10">
        <v>43</v>
      </c>
      <c r="M1097" s="10">
        <v>0</v>
      </c>
      <c r="N1097" s="10">
        <v>0</v>
      </c>
      <c r="O1097" s="10">
        <v>0</v>
      </c>
    </row>
    <row r="1098" spans="1:15" x14ac:dyDescent="0.2">
      <c r="A1098" s="10" t="s">
        <v>798</v>
      </c>
      <c r="B1098" s="10" t="s">
        <v>498</v>
      </c>
      <c r="C1098" s="10" t="s">
        <v>245</v>
      </c>
      <c r="D1098" s="10" t="s">
        <v>51</v>
      </c>
      <c r="E1098" s="10" t="s">
        <v>52</v>
      </c>
      <c r="F1098" s="10" t="s">
        <v>61</v>
      </c>
      <c r="G1098" s="10" t="b">
        <f>FALSE()</f>
        <v>0</v>
      </c>
      <c r="H1098" s="10">
        <v>1</v>
      </c>
      <c r="I1098" s="10">
        <v>0</v>
      </c>
      <c r="J1098" s="10">
        <v>2</v>
      </c>
      <c r="K1098" s="10">
        <v>73</v>
      </c>
      <c r="L1098" s="10">
        <v>43</v>
      </c>
      <c r="M1098" s="10">
        <v>0</v>
      </c>
      <c r="N1098" s="10">
        <v>0</v>
      </c>
      <c r="O1098" s="10">
        <v>0</v>
      </c>
    </row>
    <row r="1099" spans="1:15" x14ac:dyDescent="0.2">
      <c r="A1099" s="10" t="s">
        <v>665</v>
      </c>
      <c r="B1099" s="10" t="s">
        <v>384</v>
      </c>
      <c r="C1099" s="10" t="s">
        <v>50</v>
      </c>
      <c r="D1099" s="10" t="s">
        <v>51</v>
      </c>
      <c r="E1099" s="10" t="s">
        <v>52</v>
      </c>
      <c r="F1099" s="10" t="s">
        <v>47</v>
      </c>
      <c r="G1099" s="10" t="b">
        <f>FALSE()</f>
        <v>0</v>
      </c>
      <c r="H1099" s="10">
        <v>1</v>
      </c>
      <c r="I1099" s="10">
        <v>0</v>
      </c>
      <c r="J1099" s="10">
        <v>1</v>
      </c>
      <c r="K1099" s="10">
        <v>68</v>
      </c>
      <c r="L1099" s="10">
        <v>43</v>
      </c>
      <c r="M1099" s="10">
        <v>0</v>
      </c>
      <c r="N1099" s="10">
        <v>0</v>
      </c>
      <c r="O1099" s="10">
        <v>0</v>
      </c>
    </row>
    <row r="1100" spans="1:15" x14ac:dyDescent="0.2">
      <c r="A1100" s="10" t="s">
        <v>593</v>
      </c>
      <c r="B1100" s="10" t="s">
        <v>368</v>
      </c>
      <c r="C1100" s="10" t="s">
        <v>50</v>
      </c>
      <c r="D1100" s="10" t="s">
        <v>51</v>
      </c>
      <c r="E1100" s="10" t="s">
        <v>52</v>
      </c>
      <c r="F1100" s="10" t="s">
        <v>61</v>
      </c>
      <c r="G1100" s="10" t="b">
        <f>FALSE()</f>
        <v>0</v>
      </c>
      <c r="H1100" s="10">
        <v>1</v>
      </c>
      <c r="I1100" s="10">
        <v>0</v>
      </c>
      <c r="J1100" s="10">
        <v>1</v>
      </c>
      <c r="K1100" s="10">
        <v>43</v>
      </c>
      <c r="L1100" s="10">
        <v>43</v>
      </c>
      <c r="M1100" s="10">
        <v>0</v>
      </c>
      <c r="N1100" s="10">
        <v>0</v>
      </c>
      <c r="O1100" s="10">
        <v>0</v>
      </c>
    </row>
    <row r="1101" spans="1:15" x14ac:dyDescent="0.2">
      <c r="A1101" s="10" t="s">
        <v>401</v>
      </c>
      <c r="B1101" s="10" t="s">
        <v>172</v>
      </c>
      <c r="C1101" s="10" t="s">
        <v>44</v>
      </c>
      <c r="D1101" s="10" t="s">
        <v>45</v>
      </c>
      <c r="E1101" s="10" t="s">
        <v>46</v>
      </c>
      <c r="F1101" s="10" t="s">
        <v>92</v>
      </c>
      <c r="G1101" s="10" t="b">
        <f>FALSE()</f>
        <v>0</v>
      </c>
      <c r="H1101" s="10">
        <v>1</v>
      </c>
      <c r="I1101" s="10">
        <v>0</v>
      </c>
      <c r="J1101" s="10">
        <v>1</v>
      </c>
      <c r="K1101" s="10">
        <v>38</v>
      </c>
      <c r="L1101" s="10">
        <v>43</v>
      </c>
      <c r="M1101" s="10">
        <v>0</v>
      </c>
      <c r="N1101" s="10">
        <v>0</v>
      </c>
      <c r="O1101" s="10">
        <v>0</v>
      </c>
    </row>
    <row r="1102" spans="1:15" x14ac:dyDescent="0.2">
      <c r="A1102" s="10" t="s">
        <v>799</v>
      </c>
      <c r="B1102" s="10" t="s">
        <v>122</v>
      </c>
      <c r="C1102" s="10" t="s">
        <v>112</v>
      </c>
      <c r="D1102" s="10" t="s">
        <v>51</v>
      </c>
      <c r="E1102" s="10" t="s">
        <v>52</v>
      </c>
      <c r="F1102" s="10" t="s">
        <v>61</v>
      </c>
      <c r="G1102" s="10" t="b">
        <f>FALSE()</f>
        <v>0</v>
      </c>
      <c r="H1102" s="10">
        <v>1</v>
      </c>
      <c r="I1102" s="10">
        <v>0</v>
      </c>
      <c r="J1102" s="10">
        <v>1</v>
      </c>
      <c r="K1102" s="10">
        <v>45</v>
      </c>
      <c r="L1102" s="10">
        <v>43</v>
      </c>
      <c r="M1102" s="10">
        <v>0</v>
      </c>
      <c r="N1102" s="10">
        <v>0</v>
      </c>
      <c r="O1102" s="10">
        <v>0</v>
      </c>
    </row>
    <row r="1103" spans="1:15" x14ac:dyDescent="0.2">
      <c r="A1103" s="10" t="s">
        <v>605</v>
      </c>
      <c r="B1103" s="10" t="s">
        <v>606</v>
      </c>
      <c r="C1103" s="10" t="s">
        <v>64</v>
      </c>
      <c r="D1103" s="10" t="s">
        <v>45</v>
      </c>
      <c r="E1103" s="10" t="s">
        <v>46</v>
      </c>
      <c r="F1103" s="10" t="s">
        <v>373</v>
      </c>
      <c r="G1103" s="10" t="b">
        <f>FALSE()</f>
        <v>0</v>
      </c>
      <c r="H1103" s="10">
        <v>1</v>
      </c>
      <c r="I1103" s="10">
        <v>0</v>
      </c>
      <c r="J1103" s="10">
        <v>2</v>
      </c>
      <c r="K1103" s="10">
        <v>64</v>
      </c>
      <c r="L1103" s="10">
        <v>43</v>
      </c>
      <c r="M1103" s="10">
        <v>0</v>
      </c>
      <c r="N1103" s="10">
        <v>0</v>
      </c>
      <c r="O1103" s="10">
        <v>0</v>
      </c>
    </row>
    <row r="1104" spans="1:15" x14ac:dyDescent="0.2">
      <c r="A1104" s="10" t="s">
        <v>675</v>
      </c>
      <c r="B1104" s="10" t="s">
        <v>130</v>
      </c>
      <c r="C1104" s="10" t="s">
        <v>56</v>
      </c>
      <c r="D1104" s="10" t="s">
        <v>45</v>
      </c>
      <c r="E1104" s="10" t="s">
        <v>46</v>
      </c>
      <c r="F1104" s="10" t="s">
        <v>113</v>
      </c>
      <c r="G1104" s="10" t="b">
        <f>TRUE()</f>
        <v>1</v>
      </c>
      <c r="H1104" s="10">
        <v>1</v>
      </c>
      <c r="I1104" s="10">
        <v>0</v>
      </c>
      <c r="J1104" s="10">
        <v>1</v>
      </c>
      <c r="K1104" s="10">
        <v>43</v>
      </c>
      <c r="L1104" s="10">
        <v>43</v>
      </c>
      <c r="M1104" s="10">
        <v>0</v>
      </c>
      <c r="N1104" s="10">
        <v>0</v>
      </c>
      <c r="O1104" s="10">
        <v>0</v>
      </c>
    </row>
    <row r="1105" spans="1:15" x14ac:dyDescent="0.2">
      <c r="A1105" s="10" t="s">
        <v>800</v>
      </c>
      <c r="B1105" s="10" t="s">
        <v>163</v>
      </c>
      <c r="C1105" s="10" t="s">
        <v>90</v>
      </c>
      <c r="D1105" s="10" t="s">
        <v>51</v>
      </c>
      <c r="E1105" s="10" t="s">
        <v>52</v>
      </c>
      <c r="F1105" s="10" t="s">
        <v>113</v>
      </c>
      <c r="G1105" s="10" t="b">
        <f>TRUE()</f>
        <v>1</v>
      </c>
      <c r="H1105" s="10">
        <v>1</v>
      </c>
      <c r="I1105" s="10">
        <v>0</v>
      </c>
      <c r="J1105" s="10">
        <v>1</v>
      </c>
      <c r="K1105" s="10">
        <v>43</v>
      </c>
      <c r="L1105" s="10">
        <v>43</v>
      </c>
      <c r="M1105" s="10">
        <v>0</v>
      </c>
      <c r="N1105" s="10">
        <v>0</v>
      </c>
      <c r="O1105" s="10">
        <v>0</v>
      </c>
    </row>
    <row r="1106" spans="1:15" x14ac:dyDescent="0.2">
      <c r="A1106" s="10" t="s">
        <v>801</v>
      </c>
      <c r="B1106" s="10" t="s">
        <v>119</v>
      </c>
      <c r="C1106" s="10" t="s">
        <v>56</v>
      </c>
      <c r="D1106" s="10" t="s">
        <v>45</v>
      </c>
      <c r="E1106" s="10" t="s">
        <v>46</v>
      </c>
      <c r="F1106" s="10" t="s">
        <v>79</v>
      </c>
      <c r="G1106" s="10" t="b">
        <f>FALSE()</f>
        <v>0</v>
      </c>
      <c r="H1106" s="10">
        <v>1</v>
      </c>
      <c r="I1106" s="10">
        <v>0</v>
      </c>
      <c r="J1106" s="10">
        <v>0</v>
      </c>
      <c r="K1106" s="10">
        <v>0</v>
      </c>
      <c r="L1106" s="10">
        <v>43</v>
      </c>
      <c r="M1106" s="10">
        <v>0</v>
      </c>
      <c r="N1106" s="10">
        <v>0</v>
      </c>
      <c r="O1106" s="10">
        <v>0</v>
      </c>
    </row>
    <row r="1107" spans="1:15" x14ac:dyDescent="0.2">
      <c r="A1107" s="10" t="s">
        <v>447</v>
      </c>
      <c r="B1107" s="10" t="s">
        <v>282</v>
      </c>
      <c r="C1107" s="10" t="s">
        <v>50</v>
      </c>
      <c r="D1107" s="10" t="s">
        <v>51</v>
      </c>
      <c r="E1107" s="10" t="s">
        <v>52</v>
      </c>
      <c r="F1107" s="10" t="s">
        <v>190</v>
      </c>
      <c r="G1107" s="10" t="b">
        <f>TRUE()</f>
        <v>1</v>
      </c>
      <c r="H1107" s="10">
        <v>1</v>
      </c>
      <c r="I1107" s="10">
        <v>0</v>
      </c>
      <c r="J1107" s="10">
        <v>1</v>
      </c>
      <c r="K1107" s="10">
        <v>72</v>
      </c>
      <c r="L1107" s="10">
        <v>43</v>
      </c>
      <c r="M1107" s="10">
        <v>0</v>
      </c>
      <c r="N1107" s="10">
        <v>0</v>
      </c>
      <c r="O1107" s="10">
        <v>0</v>
      </c>
    </row>
    <row r="1108" spans="1:15" x14ac:dyDescent="0.2">
      <c r="A1108" s="10" t="s">
        <v>802</v>
      </c>
      <c r="B1108" s="10" t="s">
        <v>727</v>
      </c>
      <c r="C1108" s="10" t="s">
        <v>112</v>
      </c>
      <c r="D1108" s="10" t="s">
        <v>51</v>
      </c>
      <c r="E1108" s="10" t="s">
        <v>52</v>
      </c>
      <c r="F1108" s="10" t="s">
        <v>180</v>
      </c>
      <c r="G1108" s="10" t="b">
        <f>FALSE()</f>
        <v>0</v>
      </c>
      <c r="H1108" s="10">
        <v>1</v>
      </c>
      <c r="I1108" s="10">
        <v>0</v>
      </c>
      <c r="J1108" s="10">
        <v>0</v>
      </c>
      <c r="K1108" s="10">
        <v>0</v>
      </c>
      <c r="L1108" s="10">
        <v>43</v>
      </c>
      <c r="M1108" s="10">
        <v>0</v>
      </c>
      <c r="N1108" s="10">
        <v>0</v>
      </c>
      <c r="O1108" s="10">
        <v>0</v>
      </c>
    </row>
    <row r="1109" spans="1:15" x14ac:dyDescent="0.2">
      <c r="A1109" s="10" t="s">
        <v>691</v>
      </c>
      <c r="B1109" s="10" t="s">
        <v>136</v>
      </c>
      <c r="C1109" s="10" t="s">
        <v>73</v>
      </c>
      <c r="D1109" s="10" t="s">
        <v>45</v>
      </c>
      <c r="E1109" s="10" t="s">
        <v>46</v>
      </c>
      <c r="F1109" s="10" t="s">
        <v>113</v>
      </c>
      <c r="G1109" s="10" t="b">
        <f>TRUE()</f>
        <v>1</v>
      </c>
      <c r="H1109" s="10">
        <v>1</v>
      </c>
      <c r="I1109" s="10">
        <v>1</v>
      </c>
      <c r="J1109" s="10">
        <v>1</v>
      </c>
      <c r="K1109" s="10">
        <v>42</v>
      </c>
      <c r="L1109" s="10">
        <v>42</v>
      </c>
      <c r="M1109" s="10">
        <v>1</v>
      </c>
      <c r="N1109" s="10">
        <v>924</v>
      </c>
      <c r="O1109" s="10">
        <v>923</v>
      </c>
    </row>
    <row r="1110" spans="1:15" x14ac:dyDescent="0.2">
      <c r="A1110" s="10" t="s">
        <v>528</v>
      </c>
      <c r="B1110" s="10" t="s">
        <v>78</v>
      </c>
      <c r="C1110" s="10" t="s">
        <v>50</v>
      </c>
      <c r="D1110" s="10" t="s">
        <v>51</v>
      </c>
      <c r="E1110" s="10" t="s">
        <v>52</v>
      </c>
      <c r="F1110" s="10" t="s">
        <v>92</v>
      </c>
      <c r="G1110" s="10" t="b">
        <f>FALSE()</f>
        <v>0</v>
      </c>
      <c r="H1110" s="10">
        <v>1</v>
      </c>
      <c r="I1110" s="10">
        <v>1</v>
      </c>
      <c r="J1110" s="10">
        <v>1</v>
      </c>
      <c r="K1110" s="10">
        <v>42</v>
      </c>
      <c r="L1110" s="10">
        <v>42</v>
      </c>
      <c r="M1110" s="10">
        <v>1</v>
      </c>
      <c r="N1110" s="10">
        <v>324</v>
      </c>
      <c r="O1110" s="10">
        <v>324</v>
      </c>
    </row>
    <row r="1111" spans="1:15" x14ac:dyDescent="0.2">
      <c r="A1111" s="10" t="s">
        <v>803</v>
      </c>
      <c r="B1111" s="10" t="s">
        <v>756</v>
      </c>
      <c r="C1111" s="10" t="s">
        <v>245</v>
      </c>
      <c r="D1111" s="10" t="s">
        <v>51</v>
      </c>
      <c r="E1111" s="10" t="s">
        <v>52</v>
      </c>
      <c r="F1111" s="10" t="s">
        <v>91</v>
      </c>
      <c r="G1111" s="10" t="b">
        <f>TRUE()</f>
        <v>1</v>
      </c>
      <c r="H1111" s="10">
        <v>1</v>
      </c>
      <c r="I1111" s="10">
        <v>1</v>
      </c>
      <c r="J1111" s="10">
        <v>1</v>
      </c>
      <c r="K1111" s="10">
        <v>44</v>
      </c>
      <c r="L1111" s="10">
        <v>42</v>
      </c>
      <c r="M1111" s="10">
        <v>1</v>
      </c>
      <c r="N1111" s="10">
        <v>83</v>
      </c>
      <c r="O1111" s="10">
        <v>82</v>
      </c>
    </row>
    <row r="1112" spans="1:15" x14ac:dyDescent="0.2">
      <c r="A1112" s="10" t="s">
        <v>383</v>
      </c>
      <c r="B1112" s="10" t="s">
        <v>384</v>
      </c>
      <c r="C1112" s="10" t="s">
        <v>50</v>
      </c>
      <c r="D1112" s="10" t="s">
        <v>51</v>
      </c>
      <c r="E1112" s="10" t="s">
        <v>52</v>
      </c>
      <c r="F1112" s="10" t="s">
        <v>220</v>
      </c>
      <c r="G1112" s="10" t="b">
        <f>FALSE()</f>
        <v>0</v>
      </c>
      <c r="H1112" s="10">
        <v>1</v>
      </c>
      <c r="I1112" s="10">
        <v>1</v>
      </c>
      <c r="J1112" s="10">
        <v>1</v>
      </c>
      <c r="K1112" s="10">
        <v>32</v>
      </c>
      <c r="L1112" s="10">
        <v>42</v>
      </c>
      <c r="M1112" s="10">
        <v>1</v>
      </c>
      <c r="N1112" s="10">
        <v>56</v>
      </c>
      <c r="O1112" s="10">
        <v>55</v>
      </c>
    </row>
    <row r="1113" spans="1:15" x14ac:dyDescent="0.2">
      <c r="A1113" s="10" t="s">
        <v>361</v>
      </c>
      <c r="B1113" s="10" t="s">
        <v>122</v>
      </c>
      <c r="C1113" s="10" t="s">
        <v>112</v>
      </c>
      <c r="D1113" s="10" t="s">
        <v>51</v>
      </c>
      <c r="E1113" s="10" t="s">
        <v>52</v>
      </c>
      <c r="F1113" s="10" t="s">
        <v>535</v>
      </c>
      <c r="G1113" s="10" t="b">
        <f>TRUE()</f>
        <v>1</v>
      </c>
      <c r="H1113" s="10">
        <v>1</v>
      </c>
      <c r="I1113" s="10">
        <v>1</v>
      </c>
      <c r="J1113" s="10">
        <v>2</v>
      </c>
      <c r="K1113" s="10">
        <v>45</v>
      </c>
      <c r="L1113" s="10">
        <v>42</v>
      </c>
      <c r="M1113" s="10">
        <v>1</v>
      </c>
      <c r="N1113" s="10">
        <v>43</v>
      </c>
      <c r="O1113" s="10">
        <v>43</v>
      </c>
    </row>
    <row r="1114" spans="1:15" x14ac:dyDescent="0.2">
      <c r="A1114" s="10" t="s">
        <v>203</v>
      </c>
      <c r="B1114" s="10" t="s">
        <v>178</v>
      </c>
      <c r="C1114" s="10" t="s">
        <v>73</v>
      </c>
      <c r="D1114" s="10" t="s">
        <v>45</v>
      </c>
      <c r="E1114" s="10" t="s">
        <v>46</v>
      </c>
      <c r="F1114" s="10" t="s">
        <v>153</v>
      </c>
      <c r="G1114" s="10" t="b">
        <f>FALSE()</f>
        <v>0</v>
      </c>
      <c r="H1114" s="10">
        <v>1</v>
      </c>
      <c r="I1114" s="10">
        <v>0</v>
      </c>
      <c r="J1114" s="10">
        <v>1</v>
      </c>
      <c r="K1114" s="10">
        <v>47</v>
      </c>
      <c r="L1114" s="10">
        <v>42</v>
      </c>
      <c r="M1114" s="10">
        <v>0</v>
      </c>
      <c r="N1114" s="10">
        <v>0</v>
      </c>
      <c r="O1114" s="10">
        <v>0</v>
      </c>
    </row>
    <row r="1115" spans="1:15" x14ac:dyDescent="0.2">
      <c r="A1115" s="10" t="s">
        <v>629</v>
      </c>
      <c r="B1115" s="10" t="s">
        <v>96</v>
      </c>
      <c r="C1115" s="10" t="s">
        <v>50</v>
      </c>
      <c r="D1115" s="10" t="s">
        <v>51</v>
      </c>
      <c r="E1115" s="10" t="s">
        <v>52</v>
      </c>
      <c r="F1115" s="10" t="s">
        <v>153</v>
      </c>
      <c r="G1115" s="10" t="b">
        <f>FALSE()</f>
        <v>0</v>
      </c>
      <c r="H1115" s="10">
        <v>1</v>
      </c>
      <c r="I1115" s="10">
        <v>0</v>
      </c>
      <c r="J1115" s="10">
        <v>1</v>
      </c>
      <c r="K1115" s="10">
        <v>42</v>
      </c>
      <c r="L1115" s="10">
        <v>42</v>
      </c>
      <c r="M1115" s="10">
        <v>0</v>
      </c>
      <c r="N1115" s="10">
        <v>0</v>
      </c>
      <c r="O1115" s="10">
        <v>0</v>
      </c>
    </row>
    <row r="1116" spans="1:15" x14ac:dyDescent="0.2">
      <c r="A1116" s="10" t="s">
        <v>804</v>
      </c>
      <c r="B1116" s="10" t="s">
        <v>111</v>
      </c>
      <c r="C1116" s="10" t="s">
        <v>112</v>
      </c>
      <c r="D1116" s="10" t="s">
        <v>51</v>
      </c>
      <c r="E1116" s="10" t="s">
        <v>52</v>
      </c>
      <c r="F1116" s="10" t="s">
        <v>92</v>
      </c>
      <c r="G1116" s="10" t="b">
        <f>FALSE()</f>
        <v>0</v>
      </c>
      <c r="H1116" s="10">
        <v>1</v>
      </c>
      <c r="I1116" s="10">
        <v>0</v>
      </c>
      <c r="J1116" s="10">
        <v>1</v>
      </c>
      <c r="K1116" s="10">
        <v>48</v>
      </c>
      <c r="L1116" s="10">
        <v>42</v>
      </c>
      <c r="M1116" s="10">
        <v>0</v>
      </c>
      <c r="N1116" s="10">
        <v>0</v>
      </c>
      <c r="O1116" s="10">
        <v>0</v>
      </c>
    </row>
    <row r="1117" spans="1:15" x14ac:dyDescent="0.2">
      <c r="A1117" s="10" t="s">
        <v>805</v>
      </c>
      <c r="B1117" s="10" t="s">
        <v>67</v>
      </c>
      <c r="C1117" s="10" t="s">
        <v>64</v>
      </c>
      <c r="D1117" s="10" t="s">
        <v>45</v>
      </c>
      <c r="E1117" s="10" t="s">
        <v>46</v>
      </c>
      <c r="F1117" s="10" t="s">
        <v>94</v>
      </c>
      <c r="G1117" s="10" t="b">
        <f>FALSE()</f>
        <v>0</v>
      </c>
      <c r="H1117" s="10">
        <v>1</v>
      </c>
      <c r="I1117" s="10">
        <v>0</v>
      </c>
      <c r="J1117" s="10">
        <v>1</v>
      </c>
      <c r="K1117" s="10">
        <v>50</v>
      </c>
      <c r="L1117" s="10">
        <v>42</v>
      </c>
      <c r="M1117" s="10">
        <v>0</v>
      </c>
      <c r="N1117" s="10">
        <v>0</v>
      </c>
      <c r="O1117" s="10">
        <v>0</v>
      </c>
    </row>
    <row r="1118" spans="1:15" x14ac:dyDescent="0.2">
      <c r="A1118" s="10" t="s">
        <v>792</v>
      </c>
      <c r="B1118" s="10" t="s">
        <v>793</v>
      </c>
      <c r="C1118" s="10" t="s">
        <v>90</v>
      </c>
      <c r="D1118" s="10" t="s">
        <v>51</v>
      </c>
      <c r="E1118" s="10" t="s">
        <v>52</v>
      </c>
      <c r="F1118" s="10" t="s">
        <v>558</v>
      </c>
      <c r="G1118" s="10" t="b">
        <f>TRUE()</f>
        <v>1</v>
      </c>
      <c r="H1118" s="10">
        <v>1</v>
      </c>
      <c r="I1118" s="10">
        <v>0</v>
      </c>
      <c r="J1118" s="10">
        <v>1</v>
      </c>
      <c r="K1118" s="10">
        <v>42</v>
      </c>
      <c r="L1118" s="10">
        <v>42</v>
      </c>
      <c r="M1118" s="10">
        <v>0</v>
      </c>
      <c r="N1118" s="10">
        <v>0</v>
      </c>
      <c r="O1118" s="10">
        <v>0</v>
      </c>
    </row>
    <row r="1119" spans="1:15" x14ac:dyDescent="0.2">
      <c r="A1119" s="10" t="s">
        <v>534</v>
      </c>
      <c r="B1119" s="10" t="s">
        <v>78</v>
      </c>
      <c r="C1119" s="10" t="s">
        <v>50</v>
      </c>
      <c r="D1119" s="10" t="s">
        <v>51</v>
      </c>
      <c r="E1119" s="10" t="s">
        <v>52</v>
      </c>
      <c r="F1119" s="10" t="s">
        <v>83</v>
      </c>
      <c r="G1119" s="10" t="b">
        <f>TRUE()</f>
        <v>1</v>
      </c>
      <c r="H1119" s="10">
        <v>1</v>
      </c>
      <c r="I1119" s="10">
        <v>0</v>
      </c>
      <c r="J1119" s="10">
        <v>1</v>
      </c>
      <c r="K1119" s="10">
        <v>52</v>
      </c>
      <c r="L1119" s="10">
        <v>42</v>
      </c>
      <c r="M1119" s="10">
        <v>0</v>
      </c>
      <c r="N1119" s="10">
        <v>0</v>
      </c>
      <c r="O1119" s="10">
        <v>0</v>
      </c>
    </row>
    <row r="1120" spans="1:15" x14ac:dyDescent="0.2">
      <c r="A1120" s="10" t="s">
        <v>605</v>
      </c>
      <c r="B1120" s="10" t="s">
        <v>606</v>
      </c>
      <c r="C1120" s="10" t="s">
        <v>64</v>
      </c>
      <c r="D1120" s="10" t="s">
        <v>45</v>
      </c>
      <c r="E1120" s="10" t="s">
        <v>46</v>
      </c>
      <c r="F1120" s="10" t="s">
        <v>47</v>
      </c>
      <c r="G1120" s="10" t="b">
        <f>FALSE()</f>
        <v>0</v>
      </c>
      <c r="H1120" s="10">
        <v>1</v>
      </c>
      <c r="I1120" s="10">
        <v>0</v>
      </c>
      <c r="J1120" s="10">
        <v>2</v>
      </c>
      <c r="K1120" s="10">
        <v>120</v>
      </c>
      <c r="L1120" s="10">
        <v>42</v>
      </c>
      <c r="M1120" s="10">
        <v>0</v>
      </c>
      <c r="N1120" s="10">
        <v>0</v>
      </c>
      <c r="O1120" s="10">
        <v>0</v>
      </c>
    </row>
    <row r="1121" spans="1:15" x14ac:dyDescent="0.2">
      <c r="A1121" s="10" t="s">
        <v>451</v>
      </c>
      <c r="B1121" s="10" t="s">
        <v>130</v>
      </c>
      <c r="C1121" s="10" t="s">
        <v>56</v>
      </c>
      <c r="D1121" s="10" t="s">
        <v>45</v>
      </c>
      <c r="E1121" s="10" t="s">
        <v>46</v>
      </c>
      <c r="F1121" s="10" t="s">
        <v>53</v>
      </c>
      <c r="G1121" s="10" t="b">
        <f>FALSE()</f>
        <v>0</v>
      </c>
      <c r="H1121" s="10">
        <v>1</v>
      </c>
      <c r="I1121" s="10">
        <v>0</v>
      </c>
      <c r="J1121" s="10">
        <v>1</v>
      </c>
      <c r="K1121" s="10">
        <v>47</v>
      </c>
      <c r="L1121" s="10">
        <v>42</v>
      </c>
      <c r="M1121" s="10">
        <v>0</v>
      </c>
      <c r="N1121" s="10">
        <v>0</v>
      </c>
      <c r="O1121" s="10">
        <v>0</v>
      </c>
    </row>
    <row r="1122" spans="1:15" x14ac:dyDescent="0.2">
      <c r="A1122" s="10" t="s">
        <v>187</v>
      </c>
      <c r="B1122" s="10" t="s">
        <v>188</v>
      </c>
      <c r="C1122" s="10" t="s">
        <v>112</v>
      </c>
      <c r="D1122" s="10" t="s">
        <v>51</v>
      </c>
      <c r="E1122" s="10" t="s">
        <v>52</v>
      </c>
      <c r="F1122" s="10" t="s">
        <v>212</v>
      </c>
      <c r="G1122" s="10" t="b">
        <f>FALSE()</f>
        <v>0</v>
      </c>
      <c r="H1122" s="10">
        <v>1</v>
      </c>
      <c r="I1122" s="10">
        <v>0</v>
      </c>
      <c r="J1122" s="10">
        <v>1</v>
      </c>
      <c r="K1122" s="10">
        <v>64</v>
      </c>
      <c r="L1122" s="10">
        <v>42</v>
      </c>
      <c r="M1122" s="10">
        <v>0</v>
      </c>
      <c r="N1122" s="10">
        <v>0</v>
      </c>
      <c r="O1122" s="10">
        <v>0</v>
      </c>
    </row>
    <row r="1123" spans="1:15" x14ac:dyDescent="0.2">
      <c r="A1123" s="10" t="s">
        <v>806</v>
      </c>
      <c r="B1123" s="10" t="s">
        <v>165</v>
      </c>
      <c r="C1123" s="10" t="s">
        <v>112</v>
      </c>
      <c r="D1123" s="10" t="s">
        <v>51</v>
      </c>
      <c r="E1123" s="10" t="s">
        <v>52</v>
      </c>
      <c r="F1123" s="10" t="s">
        <v>132</v>
      </c>
      <c r="G1123" s="10" t="b">
        <f>FALSE()</f>
        <v>0</v>
      </c>
      <c r="H1123" s="10">
        <v>1</v>
      </c>
      <c r="I1123" s="10">
        <v>0</v>
      </c>
      <c r="J1123" s="10">
        <v>1</v>
      </c>
      <c r="K1123" s="10">
        <v>42</v>
      </c>
      <c r="L1123" s="10">
        <v>42</v>
      </c>
      <c r="M1123" s="10">
        <v>0</v>
      </c>
      <c r="N1123" s="10">
        <v>0</v>
      </c>
      <c r="O1123" s="10">
        <v>0</v>
      </c>
    </row>
    <row r="1124" spans="1:15" x14ac:dyDescent="0.2">
      <c r="A1124" s="10" t="s">
        <v>807</v>
      </c>
      <c r="B1124" s="10" t="s">
        <v>72</v>
      </c>
      <c r="C1124" s="10" t="s">
        <v>73</v>
      </c>
      <c r="D1124" s="10" t="s">
        <v>45</v>
      </c>
      <c r="E1124" s="10" t="s">
        <v>46</v>
      </c>
      <c r="F1124" s="10" t="s">
        <v>79</v>
      </c>
      <c r="G1124" s="10" t="b">
        <f>FALSE()</f>
        <v>0</v>
      </c>
      <c r="H1124" s="10">
        <v>1</v>
      </c>
      <c r="I1124" s="10">
        <v>0</v>
      </c>
      <c r="J1124" s="10">
        <v>1</v>
      </c>
      <c r="K1124" s="10">
        <v>42</v>
      </c>
      <c r="L1124" s="10">
        <v>42</v>
      </c>
      <c r="M1124" s="10">
        <v>0</v>
      </c>
      <c r="N1124" s="10">
        <v>0</v>
      </c>
      <c r="O1124" s="10">
        <v>0</v>
      </c>
    </row>
    <row r="1125" spans="1:15" x14ac:dyDescent="0.2">
      <c r="A1125" s="10" t="s">
        <v>808</v>
      </c>
      <c r="B1125" s="10" t="s">
        <v>809</v>
      </c>
      <c r="C1125" s="10" t="s">
        <v>112</v>
      </c>
      <c r="D1125" s="10" t="s">
        <v>51</v>
      </c>
      <c r="E1125" s="10" t="s">
        <v>52</v>
      </c>
      <c r="F1125" s="10" t="s">
        <v>180</v>
      </c>
      <c r="G1125" s="10" t="b">
        <f>FALSE()</f>
        <v>0</v>
      </c>
      <c r="H1125" s="10">
        <v>1</v>
      </c>
      <c r="I1125" s="10">
        <v>0</v>
      </c>
      <c r="J1125" s="10">
        <v>2</v>
      </c>
      <c r="K1125" s="10">
        <v>42</v>
      </c>
      <c r="L1125" s="10">
        <v>42</v>
      </c>
      <c r="M1125" s="10">
        <v>0</v>
      </c>
      <c r="N1125" s="10">
        <v>0</v>
      </c>
      <c r="O1125" s="10">
        <v>0</v>
      </c>
    </row>
    <row r="1126" spans="1:15" x14ac:dyDescent="0.2">
      <c r="A1126" s="10" t="s">
        <v>790</v>
      </c>
      <c r="B1126" s="10" t="s">
        <v>405</v>
      </c>
      <c r="C1126" s="10" t="s">
        <v>112</v>
      </c>
      <c r="D1126" s="10" t="s">
        <v>51</v>
      </c>
      <c r="E1126" s="10" t="s">
        <v>52</v>
      </c>
      <c r="F1126" s="10" t="s">
        <v>190</v>
      </c>
      <c r="G1126" s="10" t="b">
        <f>TRUE()</f>
        <v>1</v>
      </c>
      <c r="H1126" s="10">
        <v>1</v>
      </c>
      <c r="I1126" s="10">
        <v>0</v>
      </c>
      <c r="J1126" s="10">
        <v>1</v>
      </c>
      <c r="K1126" s="10">
        <v>53</v>
      </c>
      <c r="L1126" s="10">
        <v>41</v>
      </c>
      <c r="M1126" s="10">
        <v>0</v>
      </c>
      <c r="N1126" s="10">
        <v>0</v>
      </c>
      <c r="O1126" s="10">
        <v>0</v>
      </c>
    </row>
    <row r="1127" spans="1:15" x14ac:dyDescent="0.2">
      <c r="A1127" s="10" t="s">
        <v>292</v>
      </c>
      <c r="B1127" s="10" t="s">
        <v>119</v>
      </c>
      <c r="C1127" s="10" t="s">
        <v>56</v>
      </c>
      <c r="D1127" s="10" t="s">
        <v>45</v>
      </c>
      <c r="E1127" s="10" t="s">
        <v>46</v>
      </c>
      <c r="F1127" s="10" t="s">
        <v>47</v>
      </c>
      <c r="G1127" s="10" t="b">
        <f>FALSE()</f>
        <v>0</v>
      </c>
      <c r="H1127" s="10">
        <v>1</v>
      </c>
      <c r="I1127" s="10">
        <v>0</v>
      </c>
      <c r="J1127" s="10">
        <v>1</v>
      </c>
      <c r="K1127" s="10">
        <v>94</v>
      </c>
      <c r="L1127" s="10">
        <v>41</v>
      </c>
      <c r="M1127" s="10">
        <v>0</v>
      </c>
      <c r="N1127" s="10">
        <v>0</v>
      </c>
      <c r="O1127" s="10">
        <v>0</v>
      </c>
    </row>
    <row r="1128" spans="1:15" x14ac:dyDescent="0.2">
      <c r="A1128" s="10" t="s">
        <v>804</v>
      </c>
      <c r="B1128" s="10" t="s">
        <v>111</v>
      </c>
      <c r="C1128" s="10" t="s">
        <v>112</v>
      </c>
      <c r="D1128" s="10" t="s">
        <v>51</v>
      </c>
      <c r="E1128" s="10" t="s">
        <v>52</v>
      </c>
      <c r="F1128" s="10" t="s">
        <v>190</v>
      </c>
      <c r="G1128" s="10" t="b">
        <f>TRUE()</f>
        <v>1</v>
      </c>
      <c r="H1128" s="10">
        <v>1</v>
      </c>
      <c r="I1128" s="10">
        <v>0</v>
      </c>
      <c r="J1128" s="10">
        <v>1</v>
      </c>
      <c r="K1128" s="10">
        <v>43</v>
      </c>
      <c r="L1128" s="10">
        <v>41</v>
      </c>
      <c r="M1128" s="10">
        <v>0</v>
      </c>
      <c r="N1128" s="10">
        <v>0</v>
      </c>
      <c r="O1128" s="10">
        <v>0</v>
      </c>
    </row>
    <row r="1129" spans="1:15" x14ac:dyDescent="0.2">
      <c r="A1129" s="10" t="s">
        <v>228</v>
      </c>
      <c r="B1129" s="10" t="s">
        <v>104</v>
      </c>
      <c r="C1129" s="10" t="s">
        <v>105</v>
      </c>
      <c r="D1129" s="10" t="s">
        <v>45</v>
      </c>
      <c r="E1129" s="10" t="s">
        <v>46</v>
      </c>
      <c r="F1129" s="10" t="s">
        <v>123</v>
      </c>
      <c r="G1129" s="10" t="b">
        <f>FALSE()</f>
        <v>0</v>
      </c>
      <c r="H1129" s="10">
        <v>1</v>
      </c>
      <c r="I1129" s="10">
        <v>0</v>
      </c>
      <c r="J1129" s="10">
        <v>1</v>
      </c>
      <c r="K1129" s="10">
        <v>57</v>
      </c>
      <c r="L1129" s="10">
        <v>41</v>
      </c>
      <c r="M1129" s="10">
        <v>0</v>
      </c>
      <c r="N1129" s="10">
        <v>0</v>
      </c>
      <c r="O1129" s="10">
        <v>0</v>
      </c>
    </row>
    <row r="1130" spans="1:15" x14ac:dyDescent="0.2">
      <c r="A1130" s="10" t="s">
        <v>810</v>
      </c>
      <c r="B1130" s="10" t="s">
        <v>122</v>
      </c>
      <c r="C1130" s="10" t="s">
        <v>112</v>
      </c>
      <c r="D1130" s="10" t="s">
        <v>51</v>
      </c>
      <c r="E1130" s="10" t="s">
        <v>52</v>
      </c>
      <c r="F1130" s="10" t="s">
        <v>94</v>
      </c>
      <c r="G1130" s="10" t="b">
        <f>FALSE()</f>
        <v>0</v>
      </c>
      <c r="H1130" s="10">
        <v>1</v>
      </c>
      <c r="I1130" s="10">
        <v>0</v>
      </c>
      <c r="J1130" s="10">
        <v>0</v>
      </c>
      <c r="K1130" s="10">
        <v>0</v>
      </c>
      <c r="L1130" s="10">
        <v>41</v>
      </c>
      <c r="M1130" s="10">
        <v>0</v>
      </c>
      <c r="N1130" s="10">
        <v>0</v>
      </c>
      <c r="O1130" s="10">
        <v>0</v>
      </c>
    </row>
    <row r="1131" spans="1:15" x14ac:dyDescent="0.2">
      <c r="A1131" s="10" t="s">
        <v>580</v>
      </c>
      <c r="B1131" s="10" t="s">
        <v>78</v>
      </c>
      <c r="C1131" s="10" t="s">
        <v>50</v>
      </c>
      <c r="D1131" s="10" t="s">
        <v>51</v>
      </c>
      <c r="E1131" s="10" t="s">
        <v>52</v>
      </c>
      <c r="F1131" s="10" t="s">
        <v>47</v>
      </c>
      <c r="G1131" s="10" t="b">
        <f>FALSE()</f>
        <v>0</v>
      </c>
      <c r="H1131" s="10">
        <v>1</v>
      </c>
      <c r="I1131" s="10">
        <v>0</v>
      </c>
      <c r="J1131" s="10">
        <v>1</v>
      </c>
      <c r="K1131" s="10">
        <v>41</v>
      </c>
      <c r="L1131" s="10">
        <v>41</v>
      </c>
      <c r="M1131" s="10">
        <v>0</v>
      </c>
      <c r="N1131" s="10">
        <v>0</v>
      </c>
      <c r="O1131" s="10">
        <v>0</v>
      </c>
    </row>
    <row r="1132" spans="1:15" x14ac:dyDescent="0.2">
      <c r="A1132" s="10" t="s">
        <v>686</v>
      </c>
      <c r="B1132" s="10" t="s">
        <v>119</v>
      </c>
      <c r="C1132" s="10" t="s">
        <v>56</v>
      </c>
      <c r="D1132" s="10" t="s">
        <v>45</v>
      </c>
      <c r="E1132" s="10" t="s">
        <v>46</v>
      </c>
      <c r="F1132" s="10" t="s">
        <v>207</v>
      </c>
      <c r="G1132" s="10" t="b">
        <f>FALSE()</f>
        <v>0</v>
      </c>
      <c r="H1132" s="10">
        <v>1</v>
      </c>
      <c r="I1132" s="10">
        <v>0</v>
      </c>
      <c r="J1132" s="10">
        <v>1</v>
      </c>
      <c r="K1132" s="10">
        <v>48</v>
      </c>
      <c r="L1132" s="10">
        <v>41</v>
      </c>
      <c r="M1132" s="10">
        <v>0</v>
      </c>
      <c r="N1132" s="10">
        <v>0</v>
      </c>
      <c r="O1132" s="10">
        <v>0</v>
      </c>
    </row>
    <row r="1133" spans="1:15" x14ac:dyDescent="0.2">
      <c r="A1133" s="10" t="s">
        <v>376</v>
      </c>
      <c r="B1133" s="10" t="s">
        <v>377</v>
      </c>
      <c r="C1133" s="10" t="s">
        <v>50</v>
      </c>
      <c r="D1133" s="10" t="s">
        <v>51</v>
      </c>
      <c r="E1133" s="10" t="s">
        <v>52</v>
      </c>
      <c r="F1133" s="10" t="s">
        <v>107</v>
      </c>
      <c r="G1133" s="10" t="b">
        <f>FALSE()</f>
        <v>0</v>
      </c>
      <c r="H1133" s="10">
        <v>1</v>
      </c>
      <c r="I1133" s="10">
        <v>0</v>
      </c>
      <c r="J1133" s="10">
        <v>2</v>
      </c>
      <c r="K1133" s="10">
        <v>110</v>
      </c>
      <c r="L1133" s="10">
        <v>41</v>
      </c>
      <c r="M1133" s="10">
        <v>0</v>
      </c>
      <c r="N1133" s="10">
        <v>0</v>
      </c>
      <c r="O1133" s="10">
        <v>0</v>
      </c>
    </row>
    <row r="1134" spans="1:15" x14ac:dyDescent="0.2">
      <c r="A1134" s="10" t="s">
        <v>785</v>
      </c>
      <c r="B1134" s="10" t="s">
        <v>43</v>
      </c>
      <c r="C1134" s="10" t="s">
        <v>44</v>
      </c>
      <c r="D1134" s="10" t="s">
        <v>45</v>
      </c>
      <c r="E1134" s="10" t="s">
        <v>46</v>
      </c>
      <c r="F1134" s="10" t="s">
        <v>251</v>
      </c>
      <c r="G1134" s="10" t="b">
        <f>FALSE()</f>
        <v>0</v>
      </c>
      <c r="H1134" s="10">
        <v>1</v>
      </c>
      <c r="I1134" s="10">
        <v>0</v>
      </c>
      <c r="J1134" s="10">
        <v>2</v>
      </c>
      <c r="K1134" s="10">
        <v>52</v>
      </c>
      <c r="L1134" s="10">
        <v>41</v>
      </c>
      <c r="M1134" s="10">
        <v>0</v>
      </c>
      <c r="N1134" s="10">
        <v>0</v>
      </c>
      <c r="O1134" s="10">
        <v>0</v>
      </c>
    </row>
    <row r="1135" spans="1:15" x14ac:dyDescent="0.2">
      <c r="A1135" s="10" t="s">
        <v>383</v>
      </c>
      <c r="B1135" s="10" t="s">
        <v>384</v>
      </c>
      <c r="C1135" s="10" t="s">
        <v>50</v>
      </c>
      <c r="D1135" s="10" t="s">
        <v>51</v>
      </c>
      <c r="E1135" s="10" t="s">
        <v>52</v>
      </c>
      <c r="F1135" s="10" t="s">
        <v>91</v>
      </c>
      <c r="G1135" s="10" t="b">
        <f>TRUE()</f>
        <v>1</v>
      </c>
      <c r="H1135" s="10">
        <v>1</v>
      </c>
      <c r="I1135" s="10">
        <v>1</v>
      </c>
      <c r="J1135" s="10">
        <v>1</v>
      </c>
      <c r="K1135" s="10">
        <v>25</v>
      </c>
      <c r="L1135" s="10">
        <v>40</v>
      </c>
      <c r="M1135" s="10">
        <v>1</v>
      </c>
      <c r="N1135" s="10">
        <v>121</v>
      </c>
      <c r="O1135" s="10">
        <v>121</v>
      </c>
    </row>
    <row r="1136" spans="1:15" x14ac:dyDescent="0.2">
      <c r="A1136" s="10" t="s">
        <v>811</v>
      </c>
      <c r="B1136" s="10" t="s">
        <v>128</v>
      </c>
      <c r="C1136" s="10" t="s">
        <v>50</v>
      </c>
      <c r="D1136" s="10" t="s">
        <v>51</v>
      </c>
      <c r="E1136" s="10" t="s">
        <v>52</v>
      </c>
      <c r="F1136" s="10" t="s">
        <v>251</v>
      </c>
      <c r="G1136" s="10" t="b">
        <f>FALSE()</f>
        <v>0</v>
      </c>
      <c r="H1136" s="10">
        <v>1</v>
      </c>
      <c r="I1136" s="10">
        <v>1</v>
      </c>
      <c r="J1136" s="10">
        <v>1</v>
      </c>
      <c r="K1136" s="10">
        <v>42</v>
      </c>
      <c r="L1136" s="10">
        <v>40</v>
      </c>
      <c r="M1136" s="10">
        <v>1</v>
      </c>
      <c r="N1136" s="10">
        <v>35</v>
      </c>
      <c r="O1136" s="10">
        <v>35</v>
      </c>
    </row>
    <row r="1137" spans="1:15" x14ac:dyDescent="0.2">
      <c r="A1137" s="10" t="s">
        <v>313</v>
      </c>
      <c r="B1137" s="10" t="s">
        <v>96</v>
      </c>
      <c r="C1137" s="10" t="s">
        <v>50</v>
      </c>
      <c r="D1137" s="10" t="s">
        <v>51</v>
      </c>
      <c r="E1137" s="10" t="s">
        <v>52</v>
      </c>
      <c r="F1137" s="10" t="s">
        <v>251</v>
      </c>
      <c r="G1137" s="10" t="b">
        <f>FALSE()</f>
        <v>0</v>
      </c>
      <c r="H1137" s="10">
        <v>1</v>
      </c>
      <c r="I1137" s="10">
        <v>0</v>
      </c>
      <c r="J1137" s="10">
        <v>1</v>
      </c>
      <c r="K1137" s="10">
        <v>65</v>
      </c>
      <c r="L1137" s="10">
        <v>40</v>
      </c>
      <c r="M1137" s="10">
        <v>0</v>
      </c>
      <c r="N1137" s="10">
        <v>0</v>
      </c>
      <c r="O1137" s="10">
        <v>0</v>
      </c>
    </row>
    <row r="1138" spans="1:15" x14ac:dyDescent="0.2">
      <c r="A1138" s="10" t="s">
        <v>812</v>
      </c>
      <c r="B1138" s="10" t="s">
        <v>70</v>
      </c>
      <c r="C1138" s="10" t="s">
        <v>70</v>
      </c>
      <c r="D1138" s="10" t="s">
        <v>45</v>
      </c>
      <c r="E1138" s="10" t="s">
        <v>46</v>
      </c>
      <c r="F1138" s="10" t="s">
        <v>61</v>
      </c>
      <c r="G1138" s="10" t="b">
        <f>FALSE()</f>
        <v>0</v>
      </c>
      <c r="H1138" s="10">
        <v>1</v>
      </c>
      <c r="I1138" s="10">
        <v>0</v>
      </c>
      <c r="J1138" s="10">
        <v>1</v>
      </c>
      <c r="K1138" s="10">
        <v>40</v>
      </c>
      <c r="L1138" s="10">
        <v>40</v>
      </c>
      <c r="M1138" s="10">
        <v>0</v>
      </c>
      <c r="N1138" s="10">
        <v>0</v>
      </c>
      <c r="O1138" s="10">
        <v>0</v>
      </c>
    </row>
    <row r="1139" spans="1:15" x14ac:dyDescent="0.2">
      <c r="A1139" s="10" t="s">
        <v>366</v>
      </c>
      <c r="B1139" s="10" t="s">
        <v>78</v>
      </c>
      <c r="C1139" s="10" t="s">
        <v>50</v>
      </c>
      <c r="D1139" s="10" t="s">
        <v>51</v>
      </c>
      <c r="E1139" s="10" t="s">
        <v>52</v>
      </c>
      <c r="F1139" s="10" t="s">
        <v>92</v>
      </c>
      <c r="G1139" s="10" t="b">
        <f>FALSE()</f>
        <v>0</v>
      </c>
      <c r="H1139" s="10">
        <v>1</v>
      </c>
      <c r="I1139" s="10">
        <v>0</v>
      </c>
      <c r="J1139" s="10">
        <v>1</v>
      </c>
      <c r="K1139" s="10">
        <v>40</v>
      </c>
      <c r="L1139" s="10">
        <v>40</v>
      </c>
      <c r="M1139" s="10">
        <v>0</v>
      </c>
      <c r="N1139" s="10">
        <v>0</v>
      </c>
      <c r="O1139" s="10">
        <v>0</v>
      </c>
    </row>
    <row r="1140" spans="1:15" x14ac:dyDescent="0.2">
      <c r="A1140" s="10" t="s">
        <v>745</v>
      </c>
      <c r="B1140" s="10" t="s">
        <v>89</v>
      </c>
      <c r="C1140" s="10" t="s">
        <v>90</v>
      </c>
      <c r="D1140" s="10" t="s">
        <v>51</v>
      </c>
      <c r="E1140" s="10" t="s">
        <v>52</v>
      </c>
      <c r="F1140" s="10" t="s">
        <v>153</v>
      </c>
      <c r="G1140" s="10" t="b">
        <f>FALSE()</f>
        <v>0</v>
      </c>
      <c r="H1140" s="10">
        <v>1</v>
      </c>
      <c r="I1140" s="10">
        <v>0</v>
      </c>
      <c r="J1140" s="10">
        <v>2</v>
      </c>
      <c r="K1140" s="10">
        <v>40</v>
      </c>
      <c r="L1140" s="10">
        <v>40</v>
      </c>
      <c r="M1140" s="10">
        <v>0</v>
      </c>
      <c r="N1140" s="10">
        <v>0</v>
      </c>
      <c r="O1140" s="10">
        <v>0</v>
      </c>
    </row>
    <row r="1141" spans="1:15" x14ac:dyDescent="0.2">
      <c r="A1141" s="10" t="s">
        <v>813</v>
      </c>
      <c r="B1141" s="10" t="s">
        <v>104</v>
      </c>
      <c r="C1141" s="10" t="s">
        <v>105</v>
      </c>
      <c r="D1141" s="10" t="s">
        <v>45</v>
      </c>
      <c r="E1141" s="10" t="s">
        <v>46</v>
      </c>
      <c r="F1141" s="10" t="s">
        <v>155</v>
      </c>
      <c r="G1141" s="10" t="b">
        <f>TRUE()</f>
        <v>1</v>
      </c>
      <c r="H1141" s="10">
        <v>1</v>
      </c>
      <c r="I1141" s="10">
        <v>0</v>
      </c>
      <c r="J1141" s="10">
        <v>0</v>
      </c>
      <c r="K1141" s="10">
        <v>0</v>
      </c>
      <c r="L1141" s="10">
        <v>40</v>
      </c>
      <c r="M1141" s="10">
        <v>0</v>
      </c>
      <c r="N1141" s="10">
        <v>0</v>
      </c>
      <c r="O1141" s="10">
        <v>0</v>
      </c>
    </row>
    <row r="1142" spans="1:15" x14ac:dyDescent="0.2">
      <c r="A1142" s="10" t="s">
        <v>813</v>
      </c>
      <c r="B1142" s="10" t="s">
        <v>104</v>
      </c>
      <c r="C1142" s="10" t="s">
        <v>105</v>
      </c>
      <c r="D1142" s="10" t="s">
        <v>45</v>
      </c>
      <c r="E1142" s="10" t="s">
        <v>46</v>
      </c>
      <c r="F1142" s="10" t="s">
        <v>535</v>
      </c>
      <c r="G1142" s="10" t="b">
        <f>TRUE()</f>
        <v>1</v>
      </c>
      <c r="H1142" s="10">
        <v>1</v>
      </c>
      <c r="I1142" s="10">
        <v>0</v>
      </c>
      <c r="J1142" s="10">
        <v>1</v>
      </c>
      <c r="K1142" s="10">
        <v>45</v>
      </c>
      <c r="L1142" s="10">
        <v>40</v>
      </c>
      <c r="M1142" s="10">
        <v>0</v>
      </c>
      <c r="N1142" s="10">
        <v>0</v>
      </c>
      <c r="O1142" s="10">
        <v>0</v>
      </c>
    </row>
    <row r="1143" spans="1:15" x14ac:dyDescent="0.2">
      <c r="A1143" s="10" t="s">
        <v>370</v>
      </c>
      <c r="B1143" s="10" t="s">
        <v>178</v>
      </c>
      <c r="C1143" s="10" t="s">
        <v>73</v>
      </c>
      <c r="D1143" s="10" t="s">
        <v>45</v>
      </c>
      <c r="E1143" s="10" t="s">
        <v>46</v>
      </c>
      <c r="F1143" s="10" t="s">
        <v>75</v>
      </c>
      <c r="G1143" s="10" t="b">
        <f>FALSE()</f>
        <v>0</v>
      </c>
      <c r="H1143" s="10">
        <v>1</v>
      </c>
      <c r="I1143" s="10">
        <v>0</v>
      </c>
      <c r="J1143" s="10">
        <v>1</v>
      </c>
      <c r="K1143" s="10">
        <v>79</v>
      </c>
      <c r="L1143" s="10">
        <v>40</v>
      </c>
      <c r="M1143" s="10">
        <v>0</v>
      </c>
      <c r="N1143" s="10">
        <v>0</v>
      </c>
      <c r="O1143" s="10">
        <v>0</v>
      </c>
    </row>
    <row r="1144" spans="1:15" x14ac:dyDescent="0.2">
      <c r="A1144" s="10" t="s">
        <v>679</v>
      </c>
      <c r="B1144" s="10" t="s">
        <v>130</v>
      </c>
      <c r="C1144" s="10" t="s">
        <v>56</v>
      </c>
      <c r="D1144" s="10" t="s">
        <v>45</v>
      </c>
      <c r="E1144" s="10" t="s">
        <v>46</v>
      </c>
      <c r="F1144" s="10" t="s">
        <v>814</v>
      </c>
      <c r="G1144" s="10" t="b">
        <f>FALSE()</f>
        <v>0</v>
      </c>
      <c r="H1144" s="10">
        <v>1</v>
      </c>
      <c r="I1144" s="10">
        <v>0</v>
      </c>
      <c r="J1144" s="10">
        <v>1</v>
      </c>
      <c r="K1144" s="10">
        <v>55</v>
      </c>
      <c r="L1144" s="10">
        <v>40</v>
      </c>
      <c r="M1144" s="10">
        <v>0</v>
      </c>
      <c r="N1144" s="10">
        <v>0</v>
      </c>
      <c r="O1144" s="10">
        <v>0</v>
      </c>
    </row>
    <row r="1145" spans="1:15" x14ac:dyDescent="0.2">
      <c r="A1145" s="10" t="s">
        <v>784</v>
      </c>
      <c r="B1145" s="10" t="s">
        <v>160</v>
      </c>
      <c r="C1145" s="10" t="s">
        <v>56</v>
      </c>
      <c r="D1145" s="10" t="s">
        <v>45</v>
      </c>
      <c r="E1145" s="10" t="s">
        <v>46</v>
      </c>
      <c r="F1145" s="10" t="s">
        <v>79</v>
      </c>
      <c r="G1145" s="10" t="b">
        <f>FALSE()</f>
        <v>0</v>
      </c>
      <c r="H1145" s="10">
        <v>1</v>
      </c>
      <c r="I1145" s="10">
        <v>0</v>
      </c>
      <c r="J1145" s="10">
        <v>1</v>
      </c>
      <c r="K1145" s="10">
        <v>70</v>
      </c>
      <c r="L1145" s="10">
        <v>40</v>
      </c>
      <c r="M1145" s="10">
        <v>0</v>
      </c>
      <c r="N1145" s="10">
        <v>0</v>
      </c>
      <c r="O1145" s="10">
        <v>0</v>
      </c>
    </row>
    <row r="1146" spans="1:15" x14ac:dyDescent="0.2">
      <c r="A1146" s="10" t="s">
        <v>607</v>
      </c>
      <c r="B1146" s="10" t="s">
        <v>70</v>
      </c>
      <c r="C1146" s="10" t="s">
        <v>70</v>
      </c>
      <c r="D1146" s="10" t="s">
        <v>45</v>
      </c>
      <c r="E1146" s="10" t="s">
        <v>46</v>
      </c>
      <c r="F1146" s="10" t="s">
        <v>251</v>
      </c>
      <c r="G1146" s="10" t="b">
        <f>FALSE()</f>
        <v>0</v>
      </c>
      <c r="H1146" s="10">
        <v>1</v>
      </c>
      <c r="I1146" s="10">
        <v>0</v>
      </c>
      <c r="J1146" s="10">
        <v>1</v>
      </c>
      <c r="K1146" s="10">
        <v>44</v>
      </c>
      <c r="L1146" s="10">
        <v>40</v>
      </c>
      <c r="M1146" s="10">
        <v>0</v>
      </c>
      <c r="N1146" s="10">
        <v>0</v>
      </c>
      <c r="O1146" s="10">
        <v>0</v>
      </c>
    </row>
    <row r="1147" spans="1:15" x14ac:dyDescent="0.2">
      <c r="A1147" s="10" t="s">
        <v>815</v>
      </c>
      <c r="B1147" s="10" t="s">
        <v>258</v>
      </c>
      <c r="C1147" s="10" t="s">
        <v>90</v>
      </c>
      <c r="D1147" s="10" t="s">
        <v>51</v>
      </c>
      <c r="E1147" s="10" t="s">
        <v>52</v>
      </c>
      <c r="F1147" s="10" t="s">
        <v>190</v>
      </c>
      <c r="G1147" s="10" t="b">
        <f>TRUE()</f>
        <v>1</v>
      </c>
      <c r="H1147" s="10">
        <v>1</v>
      </c>
      <c r="I1147" s="10">
        <v>0</v>
      </c>
      <c r="J1147" s="10">
        <v>2</v>
      </c>
      <c r="K1147" s="10">
        <v>40</v>
      </c>
      <c r="L1147" s="10">
        <v>40</v>
      </c>
      <c r="M1147" s="10">
        <v>0</v>
      </c>
      <c r="N1147" s="10">
        <v>0</v>
      </c>
      <c r="O1147" s="10">
        <v>0</v>
      </c>
    </row>
    <row r="1148" spans="1:15" x14ac:dyDescent="0.2">
      <c r="A1148" s="10" t="s">
        <v>296</v>
      </c>
      <c r="B1148" s="10" t="s">
        <v>297</v>
      </c>
      <c r="C1148" s="10" t="s">
        <v>117</v>
      </c>
      <c r="D1148" s="10" t="s">
        <v>51</v>
      </c>
      <c r="E1148" s="10" t="s">
        <v>52</v>
      </c>
      <c r="F1148" s="10" t="s">
        <v>530</v>
      </c>
      <c r="G1148" s="10" t="b">
        <f>TRUE()</f>
        <v>1</v>
      </c>
      <c r="H1148" s="10">
        <v>1</v>
      </c>
      <c r="I1148" s="10">
        <v>1</v>
      </c>
      <c r="J1148" s="10">
        <v>1</v>
      </c>
      <c r="K1148" s="10">
        <v>39</v>
      </c>
      <c r="L1148" s="10">
        <v>39</v>
      </c>
      <c r="M1148" s="10">
        <v>1</v>
      </c>
      <c r="N1148" s="10">
        <v>42</v>
      </c>
      <c r="O1148" s="10">
        <v>41</v>
      </c>
    </row>
    <row r="1149" spans="1:15" x14ac:dyDescent="0.2">
      <c r="A1149" s="10" t="s">
        <v>661</v>
      </c>
      <c r="B1149" s="10" t="s">
        <v>72</v>
      </c>
      <c r="C1149" s="10" t="s">
        <v>73</v>
      </c>
      <c r="D1149" s="10" t="s">
        <v>45</v>
      </c>
      <c r="E1149" s="10" t="s">
        <v>46</v>
      </c>
      <c r="F1149" s="10" t="s">
        <v>75</v>
      </c>
      <c r="G1149" s="10" t="b">
        <f>FALSE()</f>
        <v>0</v>
      </c>
      <c r="H1149" s="10">
        <v>1</v>
      </c>
      <c r="I1149" s="10">
        <v>1</v>
      </c>
      <c r="J1149" s="10">
        <v>1</v>
      </c>
      <c r="K1149" s="10">
        <v>39</v>
      </c>
      <c r="L1149" s="10">
        <v>39</v>
      </c>
      <c r="M1149" s="10">
        <v>1</v>
      </c>
      <c r="N1149" s="10">
        <v>27</v>
      </c>
      <c r="O1149" s="10">
        <v>27</v>
      </c>
    </row>
    <row r="1150" spans="1:15" x14ac:dyDescent="0.2">
      <c r="A1150" s="10" t="s">
        <v>182</v>
      </c>
      <c r="B1150" s="10" t="s">
        <v>104</v>
      </c>
      <c r="C1150" s="10" t="s">
        <v>105</v>
      </c>
      <c r="D1150" s="10" t="s">
        <v>45</v>
      </c>
      <c r="E1150" s="10" t="s">
        <v>46</v>
      </c>
      <c r="F1150" s="10" t="s">
        <v>92</v>
      </c>
      <c r="G1150" s="10" t="b">
        <f>FALSE()</f>
        <v>0</v>
      </c>
      <c r="H1150" s="10">
        <v>1</v>
      </c>
      <c r="I1150" s="10">
        <v>0</v>
      </c>
      <c r="J1150" s="10">
        <v>2</v>
      </c>
      <c r="K1150" s="10">
        <v>68</v>
      </c>
      <c r="L1150" s="10">
        <v>39</v>
      </c>
      <c r="M1150" s="10">
        <v>0</v>
      </c>
      <c r="N1150" s="10">
        <v>0</v>
      </c>
      <c r="O1150" s="10">
        <v>0</v>
      </c>
    </row>
    <row r="1151" spans="1:15" x14ac:dyDescent="0.2">
      <c r="A1151" s="10" t="s">
        <v>337</v>
      </c>
      <c r="B1151" s="10" t="s">
        <v>70</v>
      </c>
      <c r="C1151" s="10" t="s">
        <v>70</v>
      </c>
      <c r="D1151" s="10" t="s">
        <v>45</v>
      </c>
      <c r="E1151" s="10" t="s">
        <v>46</v>
      </c>
      <c r="F1151" s="10" t="s">
        <v>79</v>
      </c>
      <c r="G1151" s="10" t="b">
        <f>FALSE()</f>
        <v>0</v>
      </c>
      <c r="H1151" s="10">
        <v>1</v>
      </c>
      <c r="I1151" s="10">
        <v>0</v>
      </c>
      <c r="J1151" s="10">
        <v>0</v>
      </c>
      <c r="K1151" s="10">
        <v>0</v>
      </c>
      <c r="L1151" s="10">
        <v>39</v>
      </c>
      <c r="M1151" s="10">
        <v>0</v>
      </c>
      <c r="N1151" s="10">
        <v>0</v>
      </c>
      <c r="O1151" s="10">
        <v>0</v>
      </c>
    </row>
    <row r="1152" spans="1:15" x14ac:dyDescent="0.2">
      <c r="A1152" s="10" t="s">
        <v>792</v>
      </c>
      <c r="B1152" s="10" t="s">
        <v>793</v>
      </c>
      <c r="C1152" s="10" t="s">
        <v>90</v>
      </c>
      <c r="D1152" s="10" t="s">
        <v>51</v>
      </c>
      <c r="E1152" s="10" t="s">
        <v>52</v>
      </c>
      <c r="F1152" s="10" t="s">
        <v>535</v>
      </c>
      <c r="G1152" s="10" t="b">
        <f>TRUE()</f>
        <v>1</v>
      </c>
      <c r="H1152" s="10">
        <v>1</v>
      </c>
      <c r="I1152" s="10">
        <v>0</v>
      </c>
      <c r="J1152" s="10">
        <v>1</v>
      </c>
      <c r="K1152" s="10">
        <v>39</v>
      </c>
      <c r="L1152" s="10">
        <v>39</v>
      </c>
      <c r="M1152" s="10">
        <v>0</v>
      </c>
      <c r="N1152" s="10">
        <v>0</v>
      </c>
      <c r="O1152" s="10">
        <v>0</v>
      </c>
    </row>
    <row r="1153" spans="1:15" x14ac:dyDescent="0.2">
      <c r="A1153" s="10" t="s">
        <v>732</v>
      </c>
      <c r="B1153" s="10" t="s">
        <v>165</v>
      </c>
      <c r="C1153" s="10" t="s">
        <v>112</v>
      </c>
      <c r="D1153" s="10" t="s">
        <v>51</v>
      </c>
      <c r="E1153" s="10" t="s">
        <v>52</v>
      </c>
      <c r="F1153" s="10" t="s">
        <v>308</v>
      </c>
      <c r="G1153" s="10" t="b">
        <f>TRUE()</f>
        <v>1</v>
      </c>
      <c r="H1153" s="10">
        <v>1</v>
      </c>
      <c r="I1153" s="10">
        <v>0</v>
      </c>
      <c r="J1153" s="10">
        <v>2</v>
      </c>
      <c r="K1153" s="10">
        <v>40</v>
      </c>
      <c r="L1153" s="10">
        <v>39</v>
      </c>
      <c r="M1153" s="10">
        <v>0</v>
      </c>
      <c r="N1153" s="10">
        <v>0</v>
      </c>
      <c r="O1153" s="10">
        <v>0</v>
      </c>
    </row>
    <row r="1154" spans="1:15" x14ac:dyDescent="0.2">
      <c r="A1154" s="10" t="s">
        <v>184</v>
      </c>
      <c r="B1154" s="10" t="s">
        <v>70</v>
      </c>
      <c r="C1154" s="10" t="s">
        <v>70</v>
      </c>
      <c r="D1154" s="10" t="s">
        <v>45</v>
      </c>
      <c r="E1154" s="10" t="s">
        <v>46</v>
      </c>
      <c r="F1154" s="10" t="s">
        <v>365</v>
      </c>
      <c r="G1154" s="10" t="b">
        <f>TRUE()</f>
        <v>1</v>
      </c>
      <c r="H1154" s="10">
        <v>1</v>
      </c>
      <c r="I1154" s="10">
        <v>0</v>
      </c>
      <c r="J1154" s="10">
        <v>1</v>
      </c>
      <c r="K1154" s="10">
        <v>16</v>
      </c>
      <c r="L1154" s="10">
        <v>39</v>
      </c>
      <c r="M1154" s="10">
        <v>0</v>
      </c>
      <c r="N1154" s="10">
        <v>0</v>
      </c>
      <c r="O1154" s="10">
        <v>0</v>
      </c>
    </row>
    <row r="1155" spans="1:15" x14ac:dyDescent="0.2">
      <c r="A1155" s="10" t="s">
        <v>667</v>
      </c>
      <c r="B1155" s="10" t="s">
        <v>321</v>
      </c>
      <c r="C1155" s="10" t="s">
        <v>245</v>
      </c>
      <c r="D1155" s="10" t="s">
        <v>51</v>
      </c>
      <c r="E1155" s="10" t="s">
        <v>52</v>
      </c>
      <c r="F1155" s="10" t="s">
        <v>47</v>
      </c>
      <c r="G1155" s="10" t="b">
        <f>FALSE()</f>
        <v>0</v>
      </c>
      <c r="H1155" s="10">
        <v>1</v>
      </c>
      <c r="I1155" s="10">
        <v>1</v>
      </c>
      <c r="J1155" s="10">
        <v>1</v>
      </c>
      <c r="K1155" s="10">
        <v>38</v>
      </c>
      <c r="L1155" s="10">
        <v>38</v>
      </c>
      <c r="M1155" s="10">
        <v>1</v>
      </c>
      <c r="N1155" s="10">
        <v>100</v>
      </c>
      <c r="O1155" s="10">
        <v>107</v>
      </c>
    </row>
    <row r="1156" spans="1:15" x14ac:dyDescent="0.2">
      <c r="A1156" s="10" t="s">
        <v>177</v>
      </c>
      <c r="B1156" s="10" t="s">
        <v>178</v>
      </c>
      <c r="C1156" s="10" t="s">
        <v>73</v>
      </c>
      <c r="D1156" s="10" t="s">
        <v>45</v>
      </c>
      <c r="E1156" s="10" t="s">
        <v>46</v>
      </c>
      <c r="F1156" s="10" t="s">
        <v>79</v>
      </c>
      <c r="G1156" s="10" t="b">
        <f>FALSE()</f>
        <v>0</v>
      </c>
      <c r="H1156" s="10">
        <v>1</v>
      </c>
      <c r="I1156" s="10">
        <v>1</v>
      </c>
      <c r="J1156" s="10">
        <v>1</v>
      </c>
      <c r="K1156" s="10">
        <v>38</v>
      </c>
      <c r="L1156" s="10">
        <v>38</v>
      </c>
      <c r="M1156" s="10">
        <v>1</v>
      </c>
      <c r="N1156" s="10">
        <v>74</v>
      </c>
      <c r="O1156" s="10">
        <v>68</v>
      </c>
    </row>
    <row r="1157" spans="1:15" x14ac:dyDescent="0.2">
      <c r="A1157" s="10" t="s">
        <v>586</v>
      </c>
      <c r="B1157" s="10" t="s">
        <v>587</v>
      </c>
      <c r="C1157" s="10" t="s">
        <v>50</v>
      </c>
      <c r="D1157" s="10" t="s">
        <v>51</v>
      </c>
      <c r="E1157" s="10" t="s">
        <v>52</v>
      </c>
      <c r="F1157" s="10" t="s">
        <v>318</v>
      </c>
      <c r="G1157" s="10" t="b">
        <f>FALSE()</f>
        <v>0</v>
      </c>
      <c r="H1157" s="10">
        <v>1</v>
      </c>
      <c r="I1157" s="10">
        <v>0</v>
      </c>
      <c r="J1157" s="10">
        <v>1</v>
      </c>
      <c r="K1157" s="10">
        <v>51</v>
      </c>
      <c r="L1157" s="10">
        <v>38</v>
      </c>
      <c r="M1157" s="10">
        <v>0</v>
      </c>
      <c r="N1157" s="10">
        <v>0</v>
      </c>
      <c r="O1157" s="10">
        <v>0</v>
      </c>
    </row>
    <row r="1158" spans="1:15" x14ac:dyDescent="0.2">
      <c r="A1158" s="10" t="s">
        <v>816</v>
      </c>
      <c r="B1158" s="10" t="s">
        <v>538</v>
      </c>
      <c r="C1158" s="10" t="s">
        <v>90</v>
      </c>
      <c r="D1158" s="10" t="s">
        <v>51</v>
      </c>
      <c r="E1158" s="10" t="s">
        <v>52</v>
      </c>
      <c r="F1158" s="10" t="s">
        <v>363</v>
      </c>
      <c r="G1158" s="10" t="b">
        <f>FALSE()</f>
        <v>0</v>
      </c>
      <c r="H1158" s="10">
        <v>1</v>
      </c>
      <c r="I1158" s="10">
        <v>0</v>
      </c>
      <c r="J1158" s="10">
        <v>1</v>
      </c>
      <c r="K1158" s="10">
        <v>74</v>
      </c>
      <c r="L1158" s="10">
        <v>38</v>
      </c>
      <c r="M1158" s="10">
        <v>0</v>
      </c>
      <c r="N1158" s="10">
        <v>0</v>
      </c>
      <c r="O1158" s="10">
        <v>0</v>
      </c>
    </row>
    <row r="1159" spans="1:15" x14ac:dyDescent="0.2">
      <c r="A1159" s="10" t="s">
        <v>227</v>
      </c>
      <c r="B1159" s="10" t="s">
        <v>70</v>
      </c>
      <c r="C1159" s="10" t="s">
        <v>70</v>
      </c>
      <c r="D1159" s="10" t="s">
        <v>45</v>
      </c>
      <c r="E1159" s="10" t="s">
        <v>46</v>
      </c>
      <c r="F1159" s="10" t="s">
        <v>190</v>
      </c>
      <c r="G1159" s="10" t="b">
        <f>TRUE()</f>
        <v>1</v>
      </c>
      <c r="H1159" s="10">
        <v>1</v>
      </c>
      <c r="I1159" s="10">
        <v>0</v>
      </c>
      <c r="J1159" s="10">
        <v>1</v>
      </c>
      <c r="K1159" s="10">
        <v>42</v>
      </c>
      <c r="L1159" s="10">
        <v>38</v>
      </c>
      <c r="M1159" s="10">
        <v>0</v>
      </c>
      <c r="N1159" s="10">
        <v>0</v>
      </c>
      <c r="O1159" s="10">
        <v>0</v>
      </c>
    </row>
    <row r="1160" spans="1:15" x14ac:dyDescent="0.2">
      <c r="A1160" s="10" t="s">
        <v>292</v>
      </c>
      <c r="B1160" s="10" t="s">
        <v>119</v>
      </c>
      <c r="C1160" s="10" t="s">
        <v>56</v>
      </c>
      <c r="D1160" s="10" t="s">
        <v>45</v>
      </c>
      <c r="E1160" s="10" t="s">
        <v>46</v>
      </c>
      <c r="F1160" s="10" t="s">
        <v>393</v>
      </c>
      <c r="G1160" s="10" t="b">
        <f>FALSE()</f>
        <v>0</v>
      </c>
      <c r="H1160" s="10">
        <v>1</v>
      </c>
      <c r="I1160" s="10">
        <v>0</v>
      </c>
      <c r="J1160" s="10">
        <v>0</v>
      </c>
      <c r="K1160" s="10">
        <v>0</v>
      </c>
      <c r="L1160" s="10">
        <v>38</v>
      </c>
      <c r="M1160" s="10">
        <v>0</v>
      </c>
      <c r="N1160" s="10">
        <v>0</v>
      </c>
      <c r="O1160" s="10">
        <v>0</v>
      </c>
    </row>
    <row r="1161" spans="1:15" x14ac:dyDescent="0.2">
      <c r="A1161" s="10" t="s">
        <v>421</v>
      </c>
      <c r="B1161" s="10" t="s">
        <v>70</v>
      </c>
      <c r="C1161" s="10" t="s">
        <v>70</v>
      </c>
      <c r="D1161" s="10" t="s">
        <v>45</v>
      </c>
      <c r="E1161" s="10" t="s">
        <v>46</v>
      </c>
      <c r="F1161" s="10" t="s">
        <v>61</v>
      </c>
      <c r="G1161" s="10" t="b">
        <f>FALSE()</f>
        <v>0</v>
      </c>
      <c r="H1161" s="10">
        <v>1</v>
      </c>
      <c r="I1161" s="10">
        <v>0</v>
      </c>
      <c r="J1161" s="10">
        <v>1</v>
      </c>
      <c r="K1161" s="10">
        <v>51</v>
      </c>
      <c r="L1161" s="10">
        <v>38</v>
      </c>
      <c r="M1161" s="10">
        <v>0</v>
      </c>
      <c r="N1161" s="10">
        <v>0</v>
      </c>
      <c r="O1161" s="10">
        <v>0</v>
      </c>
    </row>
    <row r="1162" spans="1:15" x14ac:dyDescent="0.2">
      <c r="A1162" s="10" t="s">
        <v>688</v>
      </c>
      <c r="B1162" s="10" t="s">
        <v>407</v>
      </c>
      <c r="C1162" s="10" t="s">
        <v>112</v>
      </c>
      <c r="D1162" s="10" t="s">
        <v>51</v>
      </c>
      <c r="E1162" s="10" t="s">
        <v>52</v>
      </c>
      <c r="F1162" s="10" t="s">
        <v>61</v>
      </c>
      <c r="G1162" s="10" t="b">
        <f>FALSE()</f>
        <v>0</v>
      </c>
      <c r="H1162" s="10">
        <v>1</v>
      </c>
      <c r="I1162" s="10">
        <v>0</v>
      </c>
      <c r="J1162" s="10">
        <v>2</v>
      </c>
      <c r="K1162" s="10">
        <v>78</v>
      </c>
      <c r="L1162" s="10">
        <v>38</v>
      </c>
      <c r="M1162" s="10">
        <v>0</v>
      </c>
      <c r="N1162" s="10">
        <v>0</v>
      </c>
      <c r="O1162" s="10">
        <v>0</v>
      </c>
    </row>
    <row r="1163" spans="1:15" x14ac:dyDescent="0.2">
      <c r="A1163" s="10" t="s">
        <v>564</v>
      </c>
      <c r="B1163" s="10" t="s">
        <v>562</v>
      </c>
      <c r="C1163" s="10" t="s">
        <v>245</v>
      </c>
      <c r="D1163" s="10" t="s">
        <v>51</v>
      </c>
      <c r="E1163" s="10" t="s">
        <v>52</v>
      </c>
      <c r="F1163" s="10" t="s">
        <v>190</v>
      </c>
      <c r="G1163" s="10" t="b">
        <f>TRUE()</f>
        <v>1</v>
      </c>
      <c r="H1163" s="10">
        <v>1</v>
      </c>
      <c r="I1163" s="10">
        <v>0</v>
      </c>
      <c r="J1163" s="10">
        <v>1</v>
      </c>
      <c r="K1163" s="10">
        <v>39</v>
      </c>
      <c r="L1163" s="10">
        <v>38</v>
      </c>
      <c r="M1163" s="10">
        <v>0</v>
      </c>
      <c r="N1163" s="10">
        <v>0</v>
      </c>
      <c r="O1163" s="10">
        <v>0</v>
      </c>
    </row>
    <row r="1164" spans="1:15" x14ac:dyDescent="0.2">
      <c r="A1164" s="10" t="s">
        <v>574</v>
      </c>
      <c r="B1164" s="10" t="s">
        <v>234</v>
      </c>
      <c r="C1164" s="10" t="s">
        <v>90</v>
      </c>
      <c r="D1164" s="10" t="s">
        <v>51</v>
      </c>
      <c r="E1164" s="10" t="s">
        <v>52</v>
      </c>
      <c r="F1164" s="10" t="s">
        <v>535</v>
      </c>
      <c r="G1164" s="10" t="b">
        <f>TRUE()</f>
        <v>1</v>
      </c>
      <c r="H1164" s="10">
        <v>1</v>
      </c>
      <c r="I1164" s="10">
        <v>0</v>
      </c>
      <c r="J1164" s="10">
        <v>1</v>
      </c>
      <c r="K1164" s="10">
        <v>38</v>
      </c>
      <c r="L1164" s="10">
        <v>38</v>
      </c>
      <c r="M1164" s="10">
        <v>0</v>
      </c>
      <c r="N1164" s="10">
        <v>0</v>
      </c>
      <c r="O1164" s="10">
        <v>0</v>
      </c>
    </row>
    <row r="1165" spans="1:15" x14ac:dyDescent="0.2">
      <c r="A1165" s="10" t="s">
        <v>464</v>
      </c>
      <c r="B1165" s="10" t="s">
        <v>104</v>
      </c>
      <c r="C1165" s="10" t="s">
        <v>105</v>
      </c>
      <c r="D1165" s="10" t="s">
        <v>45</v>
      </c>
      <c r="E1165" s="10" t="s">
        <v>46</v>
      </c>
      <c r="F1165" s="10" t="s">
        <v>153</v>
      </c>
      <c r="G1165" s="10" t="b">
        <f>FALSE()</f>
        <v>0</v>
      </c>
      <c r="H1165" s="10">
        <v>1</v>
      </c>
      <c r="I1165" s="10">
        <v>0</v>
      </c>
      <c r="J1165" s="10">
        <v>2</v>
      </c>
      <c r="K1165" s="10">
        <v>48</v>
      </c>
      <c r="L1165" s="10">
        <v>38</v>
      </c>
      <c r="M1165" s="10">
        <v>0</v>
      </c>
      <c r="N1165" s="10">
        <v>0</v>
      </c>
      <c r="O1165" s="10">
        <v>0</v>
      </c>
    </row>
    <row r="1166" spans="1:15" x14ac:dyDescent="0.2">
      <c r="A1166" s="10" t="s">
        <v>584</v>
      </c>
      <c r="B1166" s="10" t="s">
        <v>247</v>
      </c>
      <c r="C1166" s="10" t="s">
        <v>245</v>
      </c>
      <c r="D1166" s="10" t="s">
        <v>51</v>
      </c>
      <c r="E1166" s="10" t="s">
        <v>52</v>
      </c>
      <c r="F1166" s="10" t="s">
        <v>331</v>
      </c>
      <c r="G1166" s="10" t="b">
        <f>FALSE()</f>
        <v>0</v>
      </c>
      <c r="H1166" s="10">
        <v>1</v>
      </c>
      <c r="I1166" s="10">
        <v>0</v>
      </c>
      <c r="J1166" s="10">
        <v>1</v>
      </c>
      <c r="K1166" s="10">
        <v>22</v>
      </c>
      <c r="L1166" s="10">
        <v>38</v>
      </c>
      <c r="M1166" s="10">
        <v>0</v>
      </c>
      <c r="N1166" s="10">
        <v>0</v>
      </c>
      <c r="O1166" s="10">
        <v>0</v>
      </c>
    </row>
    <row r="1167" spans="1:15" x14ac:dyDescent="0.2">
      <c r="A1167" s="10" t="s">
        <v>817</v>
      </c>
      <c r="B1167" s="10" t="s">
        <v>136</v>
      </c>
      <c r="C1167" s="10" t="s">
        <v>73</v>
      </c>
      <c r="D1167" s="10" t="s">
        <v>45</v>
      </c>
      <c r="E1167" s="10" t="s">
        <v>46</v>
      </c>
      <c r="F1167" s="10" t="s">
        <v>113</v>
      </c>
      <c r="G1167" s="10" t="b">
        <f>TRUE()</f>
        <v>1</v>
      </c>
      <c r="H1167" s="10">
        <v>1</v>
      </c>
      <c r="I1167" s="10">
        <v>0</v>
      </c>
      <c r="J1167" s="10">
        <v>1</v>
      </c>
      <c r="K1167" s="10">
        <v>43</v>
      </c>
      <c r="L1167" s="10">
        <v>38</v>
      </c>
      <c r="M1167" s="10">
        <v>0</v>
      </c>
      <c r="N1167" s="10">
        <v>0</v>
      </c>
      <c r="O1167" s="10">
        <v>0</v>
      </c>
    </row>
    <row r="1168" spans="1:15" x14ac:dyDescent="0.2">
      <c r="A1168" s="10" t="s">
        <v>818</v>
      </c>
      <c r="B1168" s="10" t="s">
        <v>70</v>
      </c>
      <c r="C1168" s="10" t="s">
        <v>70</v>
      </c>
      <c r="D1168" s="10" t="s">
        <v>45</v>
      </c>
      <c r="E1168" s="10" t="s">
        <v>46</v>
      </c>
      <c r="F1168" s="10" t="s">
        <v>91</v>
      </c>
      <c r="G1168" s="10" t="b">
        <f>TRUE()</f>
        <v>1</v>
      </c>
      <c r="H1168" s="10">
        <v>1</v>
      </c>
      <c r="I1168" s="10">
        <v>0</v>
      </c>
      <c r="J1168" s="10">
        <v>1</v>
      </c>
      <c r="K1168" s="10">
        <v>38</v>
      </c>
      <c r="L1168" s="10">
        <v>38</v>
      </c>
      <c r="M1168" s="10">
        <v>0</v>
      </c>
      <c r="N1168" s="10">
        <v>0</v>
      </c>
      <c r="O1168" s="10">
        <v>0</v>
      </c>
    </row>
    <row r="1169" spans="1:15" x14ac:dyDescent="0.2">
      <c r="A1169" s="10" t="s">
        <v>819</v>
      </c>
      <c r="B1169" s="10" t="s">
        <v>247</v>
      </c>
      <c r="C1169" s="10" t="s">
        <v>245</v>
      </c>
      <c r="D1169" s="10" t="s">
        <v>51</v>
      </c>
      <c r="E1169" s="10" t="s">
        <v>52</v>
      </c>
      <c r="F1169" s="10" t="s">
        <v>75</v>
      </c>
      <c r="G1169" s="10" t="b">
        <f>FALSE()</f>
        <v>0</v>
      </c>
      <c r="H1169" s="10">
        <v>1</v>
      </c>
      <c r="I1169" s="10">
        <v>0</v>
      </c>
      <c r="J1169" s="10">
        <v>1</v>
      </c>
      <c r="K1169" s="10">
        <v>41</v>
      </c>
      <c r="L1169" s="10">
        <v>38</v>
      </c>
      <c r="M1169" s="10">
        <v>0</v>
      </c>
      <c r="N1169" s="10">
        <v>0</v>
      </c>
      <c r="O1169" s="10">
        <v>0</v>
      </c>
    </row>
    <row r="1170" spans="1:15" x14ac:dyDescent="0.2">
      <c r="A1170" s="10" t="s">
        <v>361</v>
      </c>
      <c r="B1170" s="10" t="s">
        <v>122</v>
      </c>
      <c r="C1170" s="10" t="s">
        <v>112</v>
      </c>
      <c r="D1170" s="10" t="s">
        <v>51</v>
      </c>
      <c r="E1170" s="10" t="s">
        <v>52</v>
      </c>
      <c r="F1170" s="10" t="s">
        <v>91</v>
      </c>
      <c r="G1170" s="10" t="b">
        <f>TRUE()</f>
        <v>1</v>
      </c>
      <c r="H1170" s="10">
        <v>1</v>
      </c>
      <c r="I1170" s="10">
        <v>1</v>
      </c>
      <c r="J1170" s="10">
        <v>1</v>
      </c>
      <c r="K1170" s="10">
        <v>39</v>
      </c>
      <c r="L1170" s="10">
        <v>37</v>
      </c>
      <c r="M1170" s="10">
        <v>1</v>
      </c>
      <c r="N1170" s="10">
        <v>107</v>
      </c>
      <c r="O1170" s="10">
        <v>107</v>
      </c>
    </row>
    <row r="1171" spans="1:15" x14ac:dyDescent="0.2">
      <c r="A1171" s="10" t="s">
        <v>820</v>
      </c>
      <c r="B1171" s="10" t="s">
        <v>104</v>
      </c>
      <c r="C1171" s="10" t="s">
        <v>105</v>
      </c>
      <c r="D1171" s="10" t="s">
        <v>45</v>
      </c>
      <c r="E1171" s="10" t="s">
        <v>46</v>
      </c>
      <c r="F1171" s="10" t="s">
        <v>183</v>
      </c>
      <c r="G1171" s="10" t="b">
        <f>FALSE()</f>
        <v>0</v>
      </c>
      <c r="H1171" s="10">
        <v>1</v>
      </c>
      <c r="I1171" s="10">
        <v>1</v>
      </c>
      <c r="J1171" s="10">
        <v>1</v>
      </c>
      <c r="K1171" s="10">
        <v>47</v>
      </c>
      <c r="L1171" s="10">
        <v>37</v>
      </c>
      <c r="M1171" s="10">
        <v>1</v>
      </c>
      <c r="N1171" s="10">
        <v>10</v>
      </c>
      <c r="O1171" s="10">
        <v>5</v>
      </c>
    </row>
    <row r="1172" spans="1:15" x14ac:dyDescent="0.2">
      <c r="A1172" s="10" t="s">
        <v>570</v>
      </c>
      <c r="B1172" s="10" t="s">
        <v>321</v>
      </c>
      <c r="C1172" s="10" t="s">
        <v>245</v>
      </c>
      <c r="D1172" s="10" t="s">
        <v>51</v>
      </c>
      <c r="E1172" s="10" t="s">
        <v>52</v>
      </c>
      <c r="F1172" s="10" t="s">
        <v>74</v>
      </c>
      <c r="G1172" s="10" t="b">
        <f>FALSE()</f>
        <v>0</v>
      </c>
      <c r="H1172" s="10">
        <v>1</v>
      </c>
      <c r="I1172" s="10">
        <v>0</v>
      </c>
      <c r="J1172" s="10">
        <v>1</v>
      </c>
      <c r="K1172" s="10">
        <v>14</v>
      </c>
      <c r="L1172" s="10">
        <v>37</v>
      </c>
      <c r="M1172" s="10">
        <v>0</v>
      </c>
      <c r="N1172" s="10">
        <v>0</v>
      </c>
      <c r="O1172" s="10">
        <v>0</v>
      </c>
    </row>
    <row r="1173" spans="1:15" x14ac:dyDescent="0.2">
      <c r="A1173" s="10" t="s">
        <v>455</v>
      </c>
      <c r="B1173" s="10" t="s">
        <v>456</v>
      </c>
      <c r="C1173" s="10" t="s">
        <v>245</v>
      </c>
      <c r="D1173" s="10" t="s">
        <v>51</v>
      </c>
      <c r="E1173" s="10" t="s">
        <v>52</v>
      </c>
      <c r="F1173" s="10" t="s">
        <v>153</v>
      </c>
      <c r="G1173" s="10" t="b">
        <f>FALSE()</f>
        <v>0</v>
      </c>
      <c r="H1173" s="10">
        <v>1</v>
      </c>
      <c r="I1173" s="10">
        <v>0</v>
      </c>
      <c r="J1173" s="10">
        <v>2</v>
      </c>
      <c r="K1173" s="10">
        <v>39</v>
      </c>
      <c r="L1173" s="10">
        <v>37</v>
      </c>
      <c r="M1173" s="10">
        <v>0</v>
      </c>
      <c r="N1173" s="10">
        <v>0</v>
      </c>
      <c r="O1173" s="10">
        <v>0</v>
      </c>
    </row>
    <row r="1174" spans="1:15" x14ac:dyDescent="0.2">
      <c r="A1174" s="10" t="s">
        <v>655</v>
      </c>
      <c r="B1174" s="10" t="s">
        <v>146</v>
      </c>
      <c r="C1174" s="10" t="s">
        <v>105</v>
      </c>
      <c r="D1174" s="10" t="s">
        <v>45</v>
      </c>
      <c r="E1174" s="10" t="s">
        <v>46</v>
      </c>
      <c r="F1174" s="10" t="s">
        <v>251</v>
      </c>
      <c r="G1174" s="10" t="b">
        <f>FALSE()</f>
        <v>0</v>
      </c>
      <c r="H1174" s="10">
        <v>1</v>
      </c>
      <c r="I1174" s="10">
        <v>0</v>
      </c>
      <c r="J1174" s="10">
        <v>0</v>
      </c>
      <c r="K1174" s="10">
        <v>0</v>
      </c>
      <c r="L1174" s="10">
        <v>37</v>
      </c>
      <c r="M1174" s="10">
        <v>0</v>
      </c>
      <c r="N1174" s="10">
        <v>0</v>
      </c>
      <c r="O1174" s="10">
        <v>0</v>
      </c>
    </row>
    <row r="1175" spans="1:15" x14ac:dyDescent="0.2">
      <c r="A1175" s="10" t="s">
        <v>821</v>
      </c>
      <c r="B1175" s="10" t="s">
        <v>312</v>
      </c>
      <c r="C1175" s="10" t="s">
        <v>50</v>
      </c>
      <c r="D1175" s="10" t="s">
        <v>51</v>
      </c>
      <c r="E1175" s="10" t="s">
        <v>52</v>
      </c>
      <c r="F1175" s="10" t="s">
        <v>61</v>
      </c>
      <c r="G1175" s="10" t="b">
        <f>FALSE()</f>
        <v>0</v>
      </c>
      <c r="H1175" s="10">
        <v>1</v>
      </c>
      <c r="I1175" s="10">
        <v>0</v>
      </c>
      <c r="J1175" s="10">
        <v>1</v>
      </c>
      <c r="K1175" s="10">
        <v>54</v>
      </c>
      <c r="L1175" s="10">
        <v>37</v>
      </c>
      <c r="M1175" s="10">
        <v>0</v>
      </c>
      <c r="N1175" s="10">
        <v>0</v>
      </c>
      <c r="O1175" s="10">
        <v>0</v>
      </c>
    </row>
    <row r="1176" spans="1:15" x14ac:dyDescent="0.2">
      <c r="A1176" s="10" t="s">
        <v>822</v>
      </c>
      <c r="B1176" s="10" t="s">
        <v>456</v>
      </c>
      <c r="C1176" s="10" t="s">
        <v>245</v>
      </c>
      <c r="D1176" s="10" t="s">
        <v>51</v>
      </c>
      <c r="E1176" s="10" t="s">
        <v>52</v>
      </c>
      <c r="F1176" s="10" t="s">
        <v>53</v>
      </c>
      <c r="G1176" s="10" t="b">
        <f>FALSE()</f>
        <v>0</v>
      </c>
      <c r="H1176" s="10">
        <v>1</v>
      </c>
      <c r="I1176" s="10">
        <v>0</v>
      </c>
      <c r="J1176" s="10">
        <v>1</v>
      </c>
      <c r="K1176" s="10">
        <v>37</v>
      </c>
      <c r="L1176" s="10">
        <v>37</v>
      </c>
      <c r="M1176" s="10">
        <v>0</v>
      </c>
      <c r="N1176" s="10">
        <v>0</v>
      </c>
      <c r="O1176" s="10">
        <v>0</v>
      </c>
    </row>
    <row r="1177" spans="1:15" x14ac:dyDescent="0.2">
      <c r="A1177" s="10" t="s">
        <v>336</v>
      </c>
      <c r="B1177" s="10" t="s">
        <v>218</v>
      </c>
      <c r="C1177" s="10" t="s">
        <v>73</v>
      </c>
      <c r="D1177" s="10" t="s">
        <v>45</v>
      </c>
      <c r="E1177" s="10" t="s">
        <v>46</v>
      </c>
      <c r="F1177" s="10" t="s">
        <v>91</v>
      </c>
      <c r="G1177" s="10" t="b">
        <f>TRUE()</f>
        <v>1</v>
      </c>
      <c r="H1177" s="10">
        <v>1</v>
      </c>
      <c r="I1177" s="10">
        <v>0</v>
      </c>
      <c r="J1177" s="10">
        <v>2</v>
      </c>
      <c r="K1177" s="10">
        <v>62</v>
      </c>
      <c r="L1177" s="10">
        <v>37</v>
      </c>
      <c r="M1177" s="10">
        <v>0</v>
      </c>
      <c r="N1177" s="10">
        <v>0</v>
      </c>
      <c r="O1177" s="10">
        <v>0</v>
      </c>
    </row>
    <row r="1178" spans="1:15" x14ac:dyDescent="0.2">
      <c r="A1178" s="10" t="s">
        <v>823</v>
      </c>
      <c r="B1178" s="10" t="s">
        <v>72</v>
      </c>
      <c r="C1178" s="10" t="s">
        <v>73</v>
      </c>
      <c r="D1178" s="10" t="s">
        <v>45</v>
      </c>
      <c r="E1178" s="10" t="s">
        <v>46</v>
      </c>
      <c r="F1178" s="10" t="s">
        <v>190</v>
      </c>
      <c r="G1178" s="10" t="b">
        <f>TRUE()</f>
        <v>1</v>
      </c>
      <c r="H1178" s="10">
        <v>1</v>
      </c>
      <c r="I1178" s="10">
        <v>0</v>
      </c>
      <c r="J1178" s="10">
        <v>1</v>
      </c>
      <c r="K1178" s="10">
        <v>37</v>
      </c>
      <c r="L1178" s="10">
        <v>37</v>
      </c>
      <c r="M1178" s="10">
        <v>0</v>
      </c>
      <c r="N1178" s="10">
        <v>0</v>
      </c>
      <c r="O1178" s="10">
        <v>0</v>
      </c>
    </row>
    <row r="1179" spans="1:15" x14ac:dyDescent="0.2">
      <c r="A1179" s="10" t="s">
        <v>619</v>
      </c>
      <c r="B1179" s="10" t="s">
        <v>146</v>
      </c>
      <c r="C1179" s="10" t="s">
        <v>105</v>
      </c>
      <c r="D1179" s="10" t="s">
        <v>45</v>
      </c>
      <c r="E1179" s="10" t="s">
        <v>46</v>
      </c>
      <c r="F1179" s="10" t="s">
        <v>153</v>
      </c>
      <c r="G1179" s="10" t="b">
        <f>FALSE()</f>
        <v>0</v>
      </c>
      <c r="H1179" s="10">
        <v>1</v>
      </c>
      <c r="I1179" s="10">
        <v>1</v>
      </c>
      <c r="J1179" s="10">
        <v>1</v>
      </c>
      <c r="K1179" s="10">
        <v>64</v>
      </c>
      <c r="L1179" s="10">
        <v>36</v>
      </c>
      <c r="M1179" s="10">
        <v>1</v>
      </c>
      <c r="N1179" s="10">
        <v>379</v>
      </c>
      <c r="O1179" s="10">
        <v>370</v>
      </c>
    </row>
    <row r="1180" spans="1:15" x14ac:dyDescent="0.2">
      <c r="A1180" s="10" t="s">
        <v>609</v>
      </c>
      <c r="B1180" s="10" t="s">
        <v>136</v>
      </c>
      <c r="C1180" s="10" t="s">
        <v>73</v>
      </c>
      <c r="D1180" s="10" t="s">
        <v>45</v>
      </c>
      <c r="E1180" s="10" t="s">
        <v>46</v>
      </c>
      <c r="F1180" s="10" t="s">
        <v>113</v>
      </c>
      <c r="G1180" s="10" t="b">
        <f>TRUE()</f>
        <v>1</v>
      </c>
      <c r="H1180" s="10">
        <v>1</v>
      </c>
      <c r="I1180" s="10">
        <v>1</v>
      </c>
      <c r="J1180" s="10">
        <v>1</v>
      </c>
      <c r="K1180" s="10">
        <v>45</v>
      </c>
      <c r="L1180" s="10">
        <v>36</v>
      </c>
      <c r="M1180" s="10">
        <v>1</v>
      </c>
      <c r="N1180" s="10">
        <v>292</v>
      </c>
      <c r="O1180" s="10">
        <v>292</v>
      </c>
    </row>
    <row r="1181" spans="1:15" x14ac:dyDescent="0.2">
      <c r="A1181" s="10" t="s">
        <v>803</v>
      </c>
      <c r="B1181" s="10" t="s">
        <v>756</v>
      </c>
      <c r="C1181" s="10" t="s">
        <v>245</v>
      </c>
      <c r="D1181" s="10" t="s">
        <v>51</v>
      </c>
      <c r="E1181" s="10" t="s">
        <v>52</v>
      </c>
      <c r="F1181" s="10" t="s">
        <v>47</v>
      </c>
      <c r="G1181" s="10" t="b">
        <f>FALSE()</f>
        <v>0</v>
      </c>
      <c r="H1181" s="10">
        <v>1</v>
      </c>
      <c r="I1181" s="10">
        <v>1</v>
      </c>
      <c r="J1181" s="10">
        <v>2</v>
      </c>
      <c r="K1181" s="10">
        <v>36</v>
      </c>
      <c r="L1181" s="10">
        <v>36</v>
      </c>
      <c r="M1181" s="10">
        <v>1</v>
      </c>
      <c r="N1181" s="10">
        <v>112</v>
      </c>
      <c r="O1181" s="10">
        <v>111</v>
      </c>
    </row>
    <row r="1182" spans="1:15" x14ac:dyDescent="0.2">
      <c r="A1182" s="10" t="s">
        <v>824</v>
      </c>
      <c r="B1182" s="10" t="s">
        <v>244</v>
      </c>
      <c r="C1182" s="10" t="s">
        <v>245</v>
      </c>
      <c r="D1182" s="10" t="s">
        <v>51</v>
      </c>
      <c r="E1182" s="10" t="s">
        <v>52</v>
      </c>
      <c r="F1182" s="10" t="s">
        <v>660</v>
      </c>
      <c r="G1182" s="10" t="b">
        <f>FALSE()</f>
        <v>0</v>
      </c>
      <c r="H1182" s="10">
        <v>1</v>
      </c>
      <c r="I1182" s="10">
        <v>1</v>
      </c>
      <c r="J1182" s="10">
        <v>1</v>
      </c>
      <c r="K1182" s="10">
        <v>25</v>
      </c>
      <c r="L1182" s="10">
        <v>36</v>
      </c>
      <c r="M1182" s="10">
        <v>1</v>
      </c>
      <c r="N1182" s="10">
        <v>61</v>
      </c>
      <c r="O1182" s="10">
        <v>61</v>
      </c>
    </row>
    <row r="1183" spans="1:15" x14ac:dyDescent="0.2">
      <c r="A1183" s="10" t="s">
        <v>825</v>
      </c>
      <c r="B1183" s="10" t="s">
        <v>368</v>
      </c>
      <c r="C1183" s="10" t="s">
        <v>50</v>
      </c>
      <c r="D1183" s="10" t="s">
        <v>51</v>
      </c>
      <c r="E1183" s="10" t="s">
        <v>52</v>
      </c>
      <c r="F1183" s="10" t="s">
        <v>552</v>
      </c>
      <c r="G1183" s="10" t="b">
        <f>FALSE()</f>
        <v>0</v>
      </c>
      <c r="H1183" s="10">
        <v>1</v>
      </c>
      <c r="I1183" s="10">
        <v>0</v>
      </c>
      <c r="J1183" s="10">
        <v>1</v>
      </c>
      <c r="K1183" s="10">
        <v>40</v>
      </c>
      <c r="L1183" s="10">
        <v>36</v>
      </c>
      <c r="M1183" s="10">
        <v>0</v>
      </c>
      <c r="N1183" s="10">
        <v>0</v>
      </c>
      <c r="O1183" s="10">
        <v>0</v>
      </c>
    </row>
    <row r="1184" spans="1:15" x14ac:dyDescent="0.2">
      <c r="A1184" s="10" t="s">
        <v>565</v>
      </c>
      <c r="B1184" s="10" t="s">
        <v>493</v>
      </c>
      <c r="C1184" s="10" t="s">
        <v>117</v>
      </c>
      <c r="D1184" s="10" t="s">
        <v>51</v>
      </c>
      <c r="E1184" s="10" t="s">
        <v>52</v>
      </c>
      <c r="F1184" s="10" t="s">
        <v>251</v>
      </c>
      <c r="G1184" s="10" t="b">
        <f>FALSE()</f>
        <v>0</v>
      </c>
      <c r="H1184" s="10">
        <v>1</v>
      </c>
      <c r="I1184" s="10">
        <v>0</v>
      </c>
      <c r="J1184" s="10">
        <v>1</v>
      </c>
      <c r="K1184" s="10">
        <v>38</v>
      </c>
      <c r="L1184" s="10">
        <v>36</v>
      </c>
      <c r="M1184" s="10">
        <v>0</v>
      </c>
      <c r="N1184" s="10">
        <v>0</v>
      </c>
      <c r="O1184" s="10">
        <v>0</v>
      </c>
    </row>
    <row r="1185" spans="1:15" x14ac:dyDescent="0.2">
      <c r="A1185" s="10" t="s">
        <v>826</v>
      </c>
      <c r="B1185" s="10" t="s">
        <v>146</v>
      </c>
      <c r="C1185" s="10" t="s">
        <v>105</v>
      </c>
      <c r="D1185" s="10" t="s">
        <v>45</v>
      </c>
      <c r="E1185" s="10" t="s">
        <v>46</v>
      </c>
      <c r="F1185" s="10" t="s">
        <v>58</v>
      </c>
      <c r="G1185" s="10" t="b">
        <f>FALSE()</f>
        <v>0</v>
      </c>
      <c r="H1185" s="10">
        <v>1</v>
      </c>
      <c r="I1185" s="10">
        <v>0</v>
      </c>
      <c r="J1185" s="10">
        <v>1</v>
      </c>
      <c r="K1185" s="10">
        <v>48</v>
      </c>
      <c r="L1185" s="10">
        <v>36</v>
      </c>
      <c r="M1185" s="10">
        <v>0</v>
      </c>
      <c r="N1185" s="10">
        <v>0</v>
      </c>
      <c r="O1185" s="10">
        <v>0</v>
      </c>
    </row>
    <row r="1186" spans="1:15" x14ac:dyDescent="0.2">
      <c r="A1186" s="10" t="s">
        <v>596</v>
      </c>
      <c r="B1186" s="10" t="s">
        <v>262</v>
      </c>
      <c r="C1186" s="10" t="s">
        <v>105</v>
      </c>
      <c r="D1186" s="10" t="s">
        <v>45</v>
      </c>
      <c r="E1186" s="10" t="s">
        <v>46</v>
      </c>
      <c r="F1186" s="10" t="s">
        <v>183</v>
      </c>
      <c r="G1186" s="10" t="b">
        <f>FALSE()</f>
        <v>0</v>
      </c>
      <c r="H1186" s="10">
        <v>1</v>
      </c>
      <c r="I1186" s="10">
        <v>0</v>
      </c>
      <c r="J1186" s="10">
        <v>3</v>
      </c>
      <c r="K1186" s="10">
        <v>63</v>
      </c>
      <c r="L1186" s="10">
        <v>36</v>
      </c>
      <c r="M1186" s="10">
        <v>0</v>
      </c>
      <c r="N1186" s="10">
        <v>0</v>
      </c>
      <c r="O1186" s="10">
        <v>0</v>
      </c>
    </row>
    <row r="1187" spans="1:15" x14ac:dyDescent="0.2">
      <c r="A1187" s="10" t="s">
        <v>780</v>
      </c>
      <c r="B1187" s="10" t="s">
        <v>128</v>
      </c>
      <c r="C1187" s="10" t="s">
        <v>50</v>
      </c>
      <c r="D1187" s="10" t="s">
        <v>51</v>
      </c>
      <c r="E1187" s="10" t="s">
        <v>52</v>
      </c>
      <c r="F1187" s="10" t="s">
        <v>153</v>
      </c>
      <c r="G1187" s="10" t="b">
        <f>FALSE()</f>
        <v>0</v>
      </c>
      <c r="H1187" s="10">
        <v>1</v>
      </c>
      <c r="I1187" s="10">
        <v>0</v>
      </c>
      <c r="J1187" s="10">
        <v>1</v>
      </c>
      <c r="K1187" s="10">
        <v>24</v>
      </c>
      <c r="L1187" s="10">
        <v>36</v>
      </c>
      <c r="M1187" s="10">
        <v>0</v>
      </c>
      <c r="N1187" s="10">
        <v>0</v>
      </c>
      <c r="O1187" s="10">
        <v>0</v>
      </c>
    </row>
    <row r="1188" spans="1:15" x14ac:dyDescent="0.2">
      <c r="A1188" s="10" t="s">
        <v>827</v>
      </c>
      <c r="B1188" s="10" t="s">
        <v>232</v>
      </c>
      <c r="C1188" s="10" t="s">
        <v>90</v>
      </c>
      <c r="D1188" s="10" t="s">
        <v>51</v>
      </c>
      <c r="E1188" s="10" t="s">
        <v>52</v>
      </c>
      <c r="F1188" s="10" t="s">
        <v>61</v>
      </c>
      <c r="G1188" s="10" t="b">
        <f>FALSE()</f>
        <v>0</v>
      </c>
      <c r="H1188" s="10">
        <v>1</v>
      </c>
      <c r="I1188" s="10">
        <v>0</v>
      </c>
      <c r="J1188" s="10">
        <v>1</v>
      </c>
      <c r="K1188" s="10">
        <v>61</v>
      </c>
      <c r="L1188" s="10">
        <v>36</v>
      </c>
      <c r="M1188" s="10">
        <v>0</v>
      </c>
      <c r="N1188" s="10">
        <v>0</v>
      </c>
      <c r="O1188" s="10">
        <v>0</v>
      </c>
    </row>
    <row r="1189" spans="1:15" x14ac:dyDescent="0.2">
      <c r="A1189" s="10" t="s">
        <v>510</v>
      </c>
      <c r="B1189" s="10" t="s">
        <v>55</v>
      </c>
      <c r="C1189" s="10" t="s">
        <v>56</v>
      </c>
      <c r="D1189" s="10" t="s">
        <v>45</v>
      </c>
      <c r="E1189" s="10" t="s">
        <v>46</v>
      </c>
      <c r="F1189" s="10" t="s">
        <v>251</v>
      </c>
      <c r="G1189" s="10" t="b">
        <f>FALSE()</f>
        <v>0</v>
      </c>
      <c r="H1189" s="10">
        <v>1</v>
      </c>
      <c r="I1189" s="10">
        <v>0</v>
      </c>
      <c r="J1189" s="10">
        <v>1</v>
      </c>
      <c r="K1189" s="10">
        <v>67</v>
      </c>
      <c r="L1189" s="10">
        <v>36</v>
      </c>
      <c r="M1189" s="10">
        <v>0</v>
      </c>
      <c r="N1189" s="10">
        <v>0</v>
      </c>
      <c r="O1189" s="10">
        <v>0</v>
      </c>
    </row>
    <row r="1190" spans="1:15" x14ac:dyDescent="0.2">
      <c r="A1190" s="10" t="s">
        <v>828</v>
      </c>
      <c r="B1190" s="10" t="s">
        <v>99</v>
      </c>
      <c r="C1190" s="10" t="s">
        <v>50</v>
      </c>
      <c r="D1190" s="10" t="s">
        <v>51</v>
      </c>
      <c r="E1190" s="10" t="s">
        <v>52</v>
      </c>
      <c r="F1190" s="10" t="s">
        <v>47</v>
      </c>
      <c r="G1190" s="10" t="b">
        <f>FALSE()</f>
        <v>0</v>
      </c>
      <c r="H1190" s="10">
        <v>1</v>
      </c>
      <c r="I1190" s="10">
        <v>0</v>
      </c>
      <c r="J1190" s="10">
        <v>2</v>
      </c>
      <c r="K1190" s="10">
        <v>36</v>
      </c>
      <c r="L1190" s="10">
        <v>36</v>
      </c>
      <c r="M1190" s="10">
        <v>0</v>
      </c>
      <c r="N1190" s="10">
        <v>0</v>
      </c>
      <c r="O1190" s="10">
        <v>0</v>
      </c>
    </row>
    <row r="1191" spans="1:15" x14ac:dyDescent="0.2">
      <c r="A1191" s="10" t="s">
        <v>829</v>
      </c>
      <c r="B1191" s="10" t="s">
        <v>128</v>
      </c>
      <c r="C1191" s="10" t="s">
        <v>50</v>
      </c>
      <c r="D1191" s="10" t="s">
        <v>51</v>
      </c>
      <c r="E1191" s="10" t="s">
        <v>52</v>
      </c>
      <c r="F1191" s="10" t="s">
        <v>79</v>
      </c>
      <c r="G1191" s="10" t="b">
        <f>FALSE()</f>
        <v>0</v>
      </c>
      <c r="H1191" s="10">
        <v>1</v>
      </c>
      <c r="I1191" s="10">
        <v>0</v>
      </c>
      <c r="J1191" s="10">
        <v>2</v>
      </c>
      <c r="K1191" s="10">
        <v>90</v>
      </c>
      <c r="L1191" s="10">
        <v>36</v>
      </c>
      <c r="M1191" s="10">
        <v>0</v>
      </c>
      <c r="N1191" s="10">
        <v>0</v>
      </c>
      <c r="O1191" s="10">
        <v>0</v>
      </c>
    </row>
    <row r="1192" spans="1:15" x14ac:dyDescent="0.2">
      <c r="A1192" s="10" t="s">
        <v>830</v>
      </c>
      <c r="B1192" s="10" t="s">
        <v>831</v>
      </c>
      <c r="C1192" s="10" t="s">
        <v>117</v>
      </c>
      <c r="D1192" s="10" t="s">
        <v>51</v>
      </c>
      <c r="E1192" s="10" t="s">
        <v>52</v>
      </c>
      <c r="F1192" s="10" t="s">
        <v>47</v>
      </c>
      <c r="G1192" s="10" t="b">
        <f>FALSE()</f>
        <v>0</v>
      </c>
      <c r="H1192" s="10">
        <v>1</v>
      </c>
      <c r="I1192" s="10">
        <v>0</v>
      </c>
      <c r="J1192" s="10">
        <v>1</v>
      </c>
      <c r="K1192" s="10">
        <v>28</v>
      </c>
      <c r="L1192" s="10">
        <v>36</v>
      </c>
      <c r="M1192" s="10">
        <v>0</v>
      </c>
      <c r="N1192" s="10">
        <v>0</v>
      </c>
      <c r="O1192" s="10">
        <v>0</v>
      </c>
    </row>
    <row r="1193" spans="1:15" x14ac:dyDescent="0.2">
      <c r="A1193" s="10" t="s">
        <v>832</v>
      </c>
      <c r="B1193" s="10" t="s">
        <v>128</v>
      </c>
      <c r="C1193" s="10" t="s">
        <v>50</v>
      </c>
      <c r="D1193" s="10" t="s">
        <v>51</v>
      </c>
      <c r="E1193" s="10" t="s">
        <v>52</v>
      </c>
      <c r="F1193" s="10" t="s">
        <v>132</v>
      </c>
      <c r="G1193" s="10" t="b">
        <f>FALSE()</f>
        <v>0</v>
      </c>
      <c r="H1193" s="10">
        <v>1</v>
      </c>
      <c r="I1193" s="10">
        <v>0</v>
      </c>
      <c r="J1193" s="10">
        <v>1</v>
      </c>
      <c r="K1193" s="10">
        <v>39</v>
      </c>
      <c r="L1193" s="10">
        <v>36</v>
      </c>
      <c r="M1193" s="10">
        <v>0</v>
      </c>
      <c r="N1193" s="10">
        <v>0</v>
      </c>
      <c r="O1193" s="10">
        <v>0</v>
      </c>
    </row>
    <row r="1194" spans="1:15" x14ac:dyDescent="0.2">
      <c r="A1194" s="10" t="s">
        <v>803</v>
      </c>
      <c r="B1194" s="10" t="s">
        <v>756</v>
      </c>
      <c r="C1194" s="10" t="s">
        <v>245</v>
      </c>
      <c r="D1194" s="10" t="s">
        <v>51</v>
      </c>
      <c r="E1194" s="10" t="s">
        <v>52</v>
      </c>
      <c r="F1194" s="10" t="s">
        <v>190</v>
      </c>
      <c r="G1194" s="10" t="b">
        <f>TRUE()</f>
        <v>1</v>
      </c>
      <c r="H1194" s="10">
        <v>1</v>
      </c>
      <c r="I1194" s="10">
        <v>1</v>
      </c>
      <c r="J1194" s="10">
        <v>1</v>
      </c>
      <c r="K1194" s="10">
        <v>16</v>
      </c>
      <c r="L1194" s="10">
        <v>35</v>
      </c>
      <c r="M1194" s="10">
        <v>1</v>
      </c>
      <c r="N1194" s="10">
        <v>100</v>
      </c>
      <c r="O1194" s="10">
        <v>100</v>
      </c>
    </row>
    <row r="1195" spans="1:15" x14ac:dyDescent="0.2">
      <c r="A1195" s="10" t="s">
        <v>560</v>
      </c>
      <c r="B1195" s="10" t="s">
        <v>96</v>
      </c>
      <c r="C1195" s="10" t="s">
        <v>50</v>
      </c>
      <c r="D1195" s="10" t="s">
        <v>51</v>
      </c>
      <c r="E1195" s="10" t="s">
        <v>52</v>
      </c>
      <c r="F1195" s="10" t="s">
        <v>74</v>
      </c>
      <c r="G1195" s="10" t="b">
        <f>FALSE()</f>
        <v>0</v>
      </c>
      <c r="H1195" s="10">
        <v>1</v>
      </c>
      <c r="I1195" s="10">
        <v>0</v>
      </c>
      <c r="J1195" s="10">
        <v>2</v>
      </c>
      <c r="K1195" s="10">
        <v>87</v>
      </c>
      <c r="L1195" s="10">
        <v>35</v>
      </c>
      <c r="M1195" s="10">
        <v>0</v>
      </c>
      <c r="N1195" s="10">
        <v>0</v>
      </c>
      <c r="O1195" s="10">
        <v>0</v>
      </c>
    </row>
    <row r="1196" spans="1:15" x14ac:dyDescent="0.2">
      <c r="A1196" s="10" t="s">
        <v>780</v>
      </c>
      <c r="B1196" s="10" t="s">
        <v>128</v>
      </c>
      <c r="C1196" s="10" t="s">
        <v>50</v>
      </c>
      <c r="D1196" s="10" t="s">
        <v>51</v>
      </c>
      <c r="E1196" s="10" t="s">
        <v>52</v>
      </c>
      <c r="F1196" s="10" t="s">
        <v>92</v>
      </c>
      <c r="G1196" s="10" t="b">
        <f>FALSE()</f>
        <v>0</v>
      </c>
      <c r="H1196" s="10">
        <v>1</v>
      </c>
      <c r="I1196" s="10">
        <v>0</v>
      </c>
      <c r="J1196" s="10">
        <v>1</v>
      </c>
      <c r="K1196" s="10">
        <v>17</v>
      </c>
      <c r="L1196" s="10">
        <v>35</v>
      </c>
      <c r="M1196" s="10">
        <v>0</v>
      </c>
      <c r="N1196" s="10">
        <v>0</v>
      </c>
      <c r="O1196" s="10">
        <v>0</v>
      </c>
    </row>
    <row r="1197" spans="1:15" x14ac:dyDescent="0.2">
      <c r="A1197" s="10" t="s">
        <v>833</v>
      </c>
      <c r="B1197" s="10" t="s">
        <v>165</v>
      </c>
      <c r="C1197" s="10" t="s">
        <v>112</v>
      </c>
      <c r="D1197" s="10" t="s">
        <v>51</v>
      </c>
      <c r="E1197" s="10" t="s">
        <v>52</v>
      </c>
      <c r="F1197" s="10" t="s">
        <v>61</v>
      </c>
      <c r="G1197" s="10" t="b">
        <f>FALSE()</f>
        <v>0</v>
      </c>
      <c r="H1197" s="10">
        <v>1</v>
      </c>
      <c r="I1197" s="10">
        <v>0</v>
      </c>
      <c r="J1197" s="10">
        <v>1</v>
      </c>
      <c r="K1197" s="10">
        <v>50</v>
      </c>
      <c r="L1197" s="10">
        <v>35</v>
      </c>
      <c r="M1197" s="10">
        <v>0</v>
      </c>
      <c r="N1197" s="10">
        <v>0</v>
      </c>
      <c r="O1197" s="10">
        <v>0</v>
      </c>
    </row>
    <row r="1198" spans="1:15" x14ac:dyDescent="0.2">
      <c r="A1198" s="10" t="s">
        <v>833</v>
      </c>
      <c r="B1198" s="10" t="s">
        <v>165</v>
      </c>
      <c r="C1198" s="10" t="s">
        <v>112</v>
      </c>
      <c r="D1198" s="10" t="s">
        <v>51</v>
      </c>
      <c r="E1198" s="10" t="s">
        <v>52</v>
      </c>
      <c r="F1198" s="10" t="s">
        <v>92</v>
      </c>
      <c r="G1198" s="10" t="b">
        <f>FALSE()</f>
        <v>0</v>
      </c>
      <c r="H1198" s="10">
        <v>1</v>
      </c>
      <c r="I1198" s="10">
        <v>0</v>
      </c>
      <c r="J1198" s="10">
        <v>1</v>
      </c>
      <c r="K1198" s="10">
        <v>50</v>
      </c>
      <c r="L1198" s="10">
        <v>35</v>
      </c>
      <c r="M1198" s="10">
        <v>0</v>
      </c>
      <c r="N1198" s="10">
        <v>0</v>
      </c>
      <c r="O1198" s="10">
        <v>0</v>
      </c>
    </row>
    <row r="1199" spans="1:15" x14ac:dyDescent="0.2">
      <c r="A1199" s="10" t="s">
        <v>369</v>
      </c>
      <c r="B1199" s="10" t="s">
        <v>160</v>
      </c>
      <c r="C1199" s="10" t="s">
        <v>56</v>
      </c>
      <c r="D1199" s="10" t="s">
        <v>45</v>
      </c>
      <c r="E1199" s="10" t="s">
        <v>46</v>
      </c>
      <c r="F1199" s="10" t="s">
        <v>834</v>
      </c>
      <c r="G1199" s="10" t="b">
        <f>FALSE()</f>
        <v>0</v>
      </c>
      <c r="H1199" s="10">
        <v>1</v>
      </c>
      <c r="I1199" s="10">
        <v>0</v>
      </c>
      <c r="J1199" s="10">
        <v>1</v>
      </c>
      <c r="K1199" s="10">
        <v>64</v>
      </c>
      <c r="L1199" s="10">
        <v>35</v>
      </c>
      <c r="M1199" s="10">
        <v>0</v>
      </c>
      <c r="N1199" s="10">
        <v>0</v>
      </c>
      <c r="O1199" s="10">
        <v>0</v>
      </c>
    </row>
    <row r="1200" spans="1:15" x14ac:dyDescent="0.2">
      <c r="A1200" s="10" t="s">
        <v>743</v>
      </c>
      <c r="B1200" s="10" t="s">
        <v>285</v>
      </c>
      <c r="C1200" s="10" t="s">
        <v>105</v>
      </c>
      <c r="D1200" s="10" t="s">
        <v>45</v>
      </c>
      <c r="E1200" s="10" t="s">
        <v>46</v>
      </c>
      <c r="F1200" s="10" t="s">
        <v>61</v>
      </c>
      <c r="G1200" s="10" t="b">
        <f>FALSE()</f>
        <v>0</v>
      </c>
      <c r="H1200" s="10">
        <v>1</v>
      </c>
      <c r="I1200" s="10">
        <v>0</v>
      </c>
      <c r="J1200" s="10">
        <v>2</v>
      </c>
      <c r="K1200" s="10">
        <v>35</v>
      </c>
      <c r="L1200" s="10">
        <v>35</v>
      </c>
      <c r="M1200" s="10">
        <v>0</v>
      </c>
      <c r="N1200" s="10">
        <v>0</v>
      </c>
      <c r="O1200" s="10">
        <v>0</v>
      </c>
    </row>
    <row r="1201" spans="1:15" x14ac:dyDescent="0.2">
      <c r="A1201" s="10" t="s">
        <v>829</v>
      </c>
      <c r="B1201" s="10" t="s">
        <v>128</v>
      </c>
      <c r="C1201" s="10" t="s">
        <v>50</v>
      </c>
      <c r="D1201" s="10" t="s">
        <v>51</v>
      </c>
      <c r="E1201" s="10" t="s">
        <v>52</v>
      </c>
      <c r="F1201" s="10" t="s">
        <v>47</v>
      </c>
      <c r="G1201" s="10" t="b">
        <f>FALSE()</f>
        <v>0</v>
      </c>
      <c r="H1201" s="10">
        <v>1</v>
      </c>
      <c r="I1201" s="10">
        <v>0</v>
      </c>
      <c r="J1201" s="10">
        <v>1</v>
      </c>
      <c r="K1201" s="10">
        <v>62</v>
      </c>
      <c r="L1201" s="10">
        <v>35</v>
      </c>
      <c r="M1201" s="10">
        <v>0</v>
      </c>
      <c r="N1201" s="10">
        <v>0</v>
      </c>
      <c r="O1201" s="10">
        <v>0</v>
      </c>
    </row>
    <row r="1202" spans="1:15" x14ac:dyDescent="0.2">
      <c r="A1202" s="10" t="s">
        <v>835</v>
      </c>
      <c r="B1202" s="10" t="s">
        <v>193</v>
      </c>
      <c r="C1202" s="10" t="s">
        <v>117</v>
      </c>
      <c r="D1202" s="10" t="s">
        <v>51</v>
      </c>
      <c r="E1202" s="10" t="s">
        <v>52</v>
      </c>
      <c r="F1202" s="10" t="s">
        <v>91</v>
      </c>
      <c r="G1202" s="10" t="b">
        <f>TRUE()</f>
        <v>1</v>
      </c>
      <c r="H1202" s="10">
        <v>1</v>
      </c>
      <c r="I1202" s="10">
        <v>0</v>
      </c>
      <c r="J1202" s="10">
        <v>1</v>
      </c>
      <c r="K1202" s="10">
        <v>35</v>
      </c>
      <c r="L1202" s="10">
        <v>35</v>
      </c>
      <c r="M1202" s="10">
        <v>0</v>
      </c>
      <c r="N1202" s="10">
        <v>0</v>
      </c>
      <c r="O1202" s="10">
        <v>0</v>
      </c>
    </row>
    <row r="1203" spans="1:15" x14ac:dyDescent="0.2">
      <c r="A1203" s="10" t="s">
        <v>836</v>
      </c>
      <c r="B1203" s="10" t="s">
        <v>81</v>
      </c>
      <c r="C1203" s="10" t="s">
        <v>50</v>
      </c>
      <c r="D1203" s="10" t="s">
        <v>51</v>
      </c>
      <c r="E1203" s="10" t="s">
        <v>52</v>
      </c>
      <c r="F1203" s="10" t="s">
        <v>180</v>
      </c>
      <c r="G1203" s="10" t="b">
        <f>FALSE()</f>
        <v>0</v>
      </c>
      <c r="H1203" s="10">
        <v>1</v>
      </c>
      <c r="I1203" s="10">
        <v>0</v>
      </c>
      <c r="J1203" s="10">
        <v>1</v>
      </c>
      <c r="K1203" s="10">
        <v>44</v>
      </c>
      <c r="L1203" s="10">
        <v>35</v>
      </c>
      <c r="M1203" s="10">
        <v>0</v>
      </c>
      <c r="N1203" s="10">
        <v>0</v>
      </c>
      <c r="O1203" s="10">
        <v>0</v>
      </c>
    </row>
    <row r="1204" spans="1:15" x14ac:dyDescent="0.2">
      <c r="A1204" s="10" t="s">
        <v>837</v>
      </c>
      <c r="B1204" s="10" t="s">
        <v>289</v>
      </c>
      <c r="C1204" s="10" t="s">
        <v>50</v>
      </c>
      <c r="D1204" s="10" t="s">
        <v>51</v>
      </c>
      <c r="E1204" s="10" t="s">
        <v>52</v>
      </c>
      <c r="F1204" s="10" t="s">
        <v>132</v>
      </c>
      <c r="G1204" s="10" t="b">
        <f>FALSE()</f>
        <v>0</v>
      </c>
      <c r="H1204" s="10">
        <v>1</v>
      </c>
      <c r="I1204" s="10">
        <v>1</v>
      </c>
      <c r="J1204" s="10">
        <v>2</v>
      </c>
      <c r="K1204" s="10">
        <v>44</v>
      </c>
      <c r="L1204" s="10">
        <v>34</v>
      </c>
      <c r="M1204" s="10">
        <v>1</v>
      </c>
      <c r="N1204" s="10">
        <v>50</v>
      </c>
      <c r="O1204" s="10">
        <v>49</v>
      </c>
    </row>
    <row r="1205" spans="1:15" x14ac:dyDescent="0.2">
      <c r="A1205" s="10" t="s">
        <v>838</v>
      </c>
      <c r="B1205" s="10" t="s">
        <v>774</v>
      </c>
      <c r="C1205" s="10" t="s">
        <v>117</v>
      </c>
      <c r="D1205" s="10" t="s">
        <v>51</v>
      </c>
      <c r="E1205" s="10" t="s">
        <v>52</v>
      </c>
      <c r="F1205" s="10" t="s">
        <v>180</v>
      </c>
      <c r="G1205" s="10" t="b">
        <f>FALSE()</f>
        <v>0</v>
      </c>
      <c r="H1205" s="10">
        <v>1</v>
      </c>
      <c r="I1205" s="10">
        <v>0</v>
      </c>
      <c r="J1205" s="10">
        <v>1</v>
      </c>
      <c r="K1205" s="10">
        <v>35</v>
      </c>
      <c r="L1205" s="10">
        <v>34</v>
      </c>
      <c r="M1205" s="10">
        <v>0</v>
      </c>
      <c r="N1205" s="10">
        <v>0</v>
      </c>
      <c r="O1205" s="10">
        <v>0</v>
      </c>
    </row>
    <row r="1206" spans="1:15" x14ac:dyDescent="0.2">
      <c r="A1206" s="10" t="s">
        <v>315</v>
      </c>
      <c r="B1206" s="10" t="s">
        <v>55</v>
      </c>
      <c r="C1206" s="10" t="s">
        <v>56</v>
      </c>
      <c r="D1206" s="10" t="s">
        <v>45</v>
      </c>
      <c r="E1206" s="10" t="s">
        <v>46</v>
      </c>
      <c r="F1206" s="10" t="s">
        <v>92</v>
      </c>
      <c r="G1206" s="10" t="b">
        <f>FALSE()</f>
        <v>0</v>
      </c>
      <c r="H1206" s="10">
        <v>1</v>
      </c>
      <c r="I1206" s="10">
        <v>0</v>
      </c>
      <c r="J1206" s="10">
        <v>1</v>
      </c>
      <c r="K1206" s="10">
        <v>34</v>
      </c>
      <c r="L1206" s="10">
        <v>34</v>
      </c>
      <c r="M1206" s="10">
        <v>0</v>
      </c>
      <c r="N1206" s="10">
        <v>0</v>
      </c>
      <c r="O1206" s="10">
        <v>0</v>
      </c>
    </row>
    <row r="1207" spans="1:15" x14ac:dyDescent="0.2">
      <c r="A1207" s="10" t="s">
        <v>716</v>
      </c>
      <c r="B1207" s="10" t="s">
        <v>562</v>
      </c>
      <c r="C1207" s="10" t="s">
        <v>245</v>
      </c>
      <c r="D1207" s="10" t="s">
        <v>51</v>
      </c>
      <c r="E1207" s="10" t="s">
        <v>52</v>
      </c>
      <c r="F1207" s="10" t="s">
        <v>61</v>
      </c>
      <c r="G1207" s="10" t="b">
        <f>FALSE()</f>
        <v>0</v>
      </c>
      <c r="H1207" s="10">
        <v>1</v>
      </c>
      <c r="I1207" s="10">
        <v>0</v>
      </c>
      <c r="J1207" s="10">
        <v>2</v>
      </c>
      <c r="K1207" s="10">
        <v>26</v>
      </c>
      <c r="L1207" s="10">
        <v>34</v>
      </c>
      <c r="M1207" s="10">
        <v>0</v>
      </c>
      <c r="N1207" s="10">
        <v>0</v>
      </c>
      <c r="O1207" s="10">
        <v>0</v>
      </c>
    </row>
    <row r="1208" spans="1:15" x14ac:dyDescent="0.2">
      <c r="A1208" s="10" t="s">
        <v>450</v>
      </c>
      <c r="B1208" s="10" t="s">
        <v>262</v>
      </c>
      <c r="C1208" s="10" t="s">
        <v>105</v>
      </c>
      <c r="D1208" s="10" t="s">
        <v>45</v>
      </c>
      <c r="E1208" s="10" t="s">
        <v>46</v>
      </c>
      <c r="F1208" s="10" t="s">
        <v>92</v>
      </c>
      <c r="G1208" s="10" t="b">
        <f>FALSE()</f>
        <v>0</v>
      </c>
      <c r="H1208" s="10">
        <v>1</v>
      </c>
      <c r="I1208" s="10">
        <v>0</v>
      </c>
      <c r="J1208" s="10">
        <v>2</v>
      </c>
      <c r="K1208" s="10">
        <v>57</v>
      </c>
      <c r="L1208" s="10">
        <v>34</v>
      </c>
      <c r="M1208" s="10">
        <v>0</v>
      </c>
      <c r="N1208" s="10">
        <v>0</v>
      </c>
      <c r="O1208" s="10">
        <v>0</v>
      </c>
    </row>
    <row r="1209" spans="1:15" x14ac:dyDescent="0.2">
      <c r="A1209" s="10" t="s">
        <v>688</v>
      </c>
      <c r="B1209" s="10" t="s">
        <v>407</v>
      </c>
      <c r="C1209" s="10" t="s">
        <v>112</v>
      </c>
      <c r="D1209" s="10" t="s">
        <v>51</v>
      </c>
      <c r="E1209" s="10" t="s">
        <v>52</v>
      </c>
      <c r="F1209" s="10" t="s">
        <v>308</v>
      </c>
      <c r="G1209" s="10" t="b">
        <f>TRUE()</f>
        <v>1</v>
      </c>
      <c r="H1209" s="10">
        <v>1</v>
      </c>
      <c r="I1209" s="10">
        <v>0</v>
      </c>
      <c r="J1209" s="10">
        <v>1</v>
      </c>
      <c r="K1209" s="10">
        <v>34</v>
      </c>
      <c r="L1209" s="10">
        <v>34</v>
      </c>
      <c r="M1209" s="10">
        <v>0</v>
      </c>
      <c r="N1209" s="10">
        <v>0</v>
      </c>
      <c r="O1209" s="10">
        <v>0</v>
      </c>
    </row>
    <row r="1210" spans="1:15" x14ac:dyDescent="0.2">
      <c r="A1210" s="10" t="s">
        <v>839</v>
      </c>
      <c r="B1210" s="10" t="s">
        <v>262</v>
      </c>
      <c r="C1210" s="10" t="s">
        <v>105</v>
      </c>
      <c r="D1210" s="10" t="s">
        <v>45</v>
      </c>
      <c r="E1210" s="10" t="s">
        <v>46</v>
      </c>
      <c r="F1210" s="10" t="s">
        <v>94</v>
      </c>
      <c r="G1210" s="10" t="b">
        <f>FALSE()</f>
        <v>0</v>
      </c>
      <c r="H1210" s="10">
        <v>1</v>
      </c>
      <c r="I1210" s="10">
        <v>0</v>
      </c>
      <c r="J1210" s="10">
        <v>2</v>
      </c>
      <c r="K1210" s="10">
        <v>81</v>
      </c>
      <c r="L1210" s="10">
        <v>34</v>
      </c>
      <c r="M1210" s="10">
        <v>0</v>
      </c>
      <c r="N1210" s="10">
        <v>0</v>
      </c>
      <c r="O1210" s="10">
        <v>0</v>
      </c>
    </row>
    <row r="1211" spans="1:15" x14ac:dyDescent="0.2">
      <c r="A1211" s="10" t="s">
        <v>840</v>
      </c>
      <c r="B1211" s="10" t="s">
        <v>456</v>
      </c>
      <c r="C1211" s="10" t="s">
        <v>245</v>
      </c>
      <c r="D1211" s="10" t="s">
        <v>51</v>
      </c>
      <c r="E1211" s="10" t="s">
        <v>52</v>
      </c>
      <c r="F1211" s="10" t="s">
        <v>180</v>
      </c>
      <c r="G1211" s="10" t="b">
        <f>FALSE()</f>
        <v>0</v>
      </c>
      <c r="H1211" s="10">
        <v>1</v>
      </c>
      <c r="I1211" s="10">
        <v>0</v>
      </c>
      <c r="J1211" s="10">
        <v>1</v>
      </c>
      <c r="K1211" s="10">
        <v>36</v>
      </c>
      <c r="L1211" s="10">
        <v>34</v>
      </c>
      <c r="M1211" s="10">
        <v>0</v>
      </c>
      <c r="N1211" s="10">
        <v>0</v>
      </c>
      <c r="O1211" s="10">
        <v>0</v>
      </c>
    </row>
    <row r="1212" spans="1:15" x14ac:dyDescent="0.2">
      <c r="A1212" s="10" t="s">
        <v>841</v>
      </c>
      <c r="B1212" s="10" t="s">
        <v>178</v>
      </c>
      <c r="C1212" s="10" t="s">
        <v>73</v>
      </c>
      <c r="D1212" s="10" t="s">
        <v>45</v>
      </c>
      <c r="E1212" s="10" t="s">
        <v>46</v>
      </c>
      <c r="F1212" s="10" t="s">
        <v>173</v>
      </c>
      <c r="G1212" s="10" t="b">
        <f>FALSE()</f>
        <v>0</v>
      </c>
      <c r="H1212" s="10">
        <v>1</v>
      </c>
      <c r="I1212" s="10">
        <v>0</v>
      </c>
      <c r="J1212" s="10">
        <v>1</v>
      </c>
      <c r="K1212" s="10">
        <v>39</v>
      </c>
      <c r="L1212" s="10">
        <v>34</v>
      </c>
      <c r="M1212" s="10">
        <v>0</v>
      </c>
      <c r="N1212" s="10">
        <v>0</v>
      </c>
      <c r="O1212" s="10">
        <v>0</v>
      </c>
    </row>
    <row r="1213" spans="1:15" x14ac:dyDescent="0.2">
      <c r="A1213" s="10" t="s">
        <v>410</v>
      </c>
      <c r="B1213" s="10" t="s">
        <v>321</v>
      </c>
      <c r="C1213" s="10" t="s">
        <v>245</v>
      </c>
      <c r="D1213" s="10" t="s">
        <v>51</v>
      </c>
      <c r="E1213" s="10" t="s">
        <v>52</v>
      </c>
      <c r="F1213" s="10" t="s">
        <v>251</v>
      </c>
      <c r="G1213" s="10" t="b">
        <f>FALSE()</f>
        <v>0</v>
      </c>
      <c r="H1213" s="10">
        <v>1</v>
      </c>
      <c r="I1213" s="10">
        <v>1</v>
      </c>
      <c r="J1213" s="10">
        <v>2</v>
      </c>
      <c r="K1213" s="10">
        <v>23</v>
      </c>
      <c r="L1213" s="10">
        <v>33</v>
      </c>
      <c r="M1213" s="10">
        <v>1</v>
      </c>
      <c r="N1213" s="10">
        <v>190</v>
      </c>
      <c r="O1213" s="10">
        <v>200</v>
      </c>
    </row>
    <row r="1214" spans="1:15" x14ac:dyDescent="0.2">
      <c r="A1214" s="10" t="s">
        <v>118</v>
      </c>
      <c r="B1214" s="10" t="s">
        <v>119</v>
      </c>
      <c r="C1214" s="10" t="s">
        <v>56</v>
      </c>
      <c r="D1214" s="10" t="s">
        <v>45</v>
      </c>
      <c r="E1214" s="10" t="s">
        <v>46</v>
      </c>
      <c r="F1214" s="10" t="s">
        <v>153</v>
      </c>
      <c r="G1214" s="10" t="b">
        <f>FALSE()</f>
        <v>0</v>
      </c>
      <c r="H1214" s="10">
        <v>1</v>
      </c>
      <c r="I1214" s="10">
        <v>1</v>
      </c>
      <c r="J1214" s="10">
        <v>2</v>
      </c>
      <c r="K1214" s="10">
        <v>101</v>
      </c>
      <c r="L1214" s="10">
        <v>33</v>
      </c>
      <c r="M1214" s="10">
        <v>1</v>
      </c>
      <c r="N1214" s="10">
        <v>85</v>
      </c>
      <c r="O1214" s="10">
        <v>80</v>
      </c>
    </row>
    <row r="1215" spans="1:15" x14ac:dyDescent="0.2">
      <c r="A1215" s="10" t="s">
        <v>608</v>
      </c>
      <c r="B1215" s="10" t="s">
        <v>480</v>
      </c>
      <c r="C1215" s="10" t="s">
        <v>245</v>
      </c>
      <c r="D1215" s="10" t="s">
        <v>51</v>
      </c>
      <c r="E1215" s="10" t="s">
        <v>52</v>
      </c>
      <c r="F1215" s="10" t="s">
        <v>58</v>
      </c>
      <c r="G1215" s="10" t="b">
        <f>FALSE()</f>
        <v>0</v>
      </c>
      <c r="H1215" s="10">
        <v>1</v>
      </c>
      <c r="I1215" s="10">
        <v>1</v>
      </c>
      <c r="J1215" s="10">
        <v>1</v>
      </c>
      <c r="K1215" s="10">
        <v>33</v>
      </c>
      <c r="L1215" s="10">
        <v>33</v>
      </c>
      <c r="M1215" s="10">
        <v>1</v>
      </c>
      <c r="N1215" s="10">
        <v>39</v>
      </c>
      <c r="O1215" s="10">
        <v>39</v>
      </c>
    </row>
    <row r="1216" spans="1:15" x14ac:dyDescent="0.2">
      <c r="A1216" s="10" t="s">
        <v>514</v>
      </c>
      <c r="B1216" s="10" t="s">
        <v>238</v>
      </c>
      <c r="C1216" s="10" t="s">
        <v>90</v>
      </c>
      <c r="D1216" s="10" t="s">
        <v>51</v>
      </c>
      <c r="E1216" s="10" t="s">
        <v>52</v>
      </c>
      <c r="F1216" s="10" t="s">
        <v>318</v>
      </c>
      <c r="G1216" s="10" t="b">
        <f>FALSE()</f>
        <v>0</v>
      </c>
      <c r="H1216" s="10">
        <v>1</v>
      </c>
      <c r="I1216" s="10">
        <v>0</v>
      </c>
      <c r="J1216" s="10">
        <v>1</v>
      </c>
      <c r="K1216" s="10">
        <v>41</v>
      </c>
      <c r="L1216" s="10">
        <v>33</v>
      </c>
      <c r="M1216" s="10">
        <v>0</v>
      </c>
      <c r="N1216" s="10">
        <v>0</v>
      </c>
      <c r="O1216" s="10">
        <v>0</v>
      </c>
    </row>
    <row r="1217" spans="1:15" x14ac:dyDescent="0.2">
      <c r="A1217" s="10" t="s">
        <v>514</v>
      </c>
      <c r="B1217" s="10" t="s">
        <v>238</v>
      </c>
      <c r="C1217" s="10" t="s">
        <v>90</v>
      </c>
      <c r="D1217" s="10" t="s">
        <v>51</v>
      </c>
      <c r="E1217" s="10" t="s">
        <v>52</v>
      </c>
      <c r="F1217" s="10" t="s">
        <v>842</v>
      </c>
      <c r="G1217" s="10" t="b">
        <f>FALSE()</f>
        <v>0</v>
      </c>
      <c r="H1217" s="10">
        <v>1</v>
      </c>
      <c r="I1217" s="10">
        <v>0</v>
      </c>
      <c r="J1217" s="10">
        <v>1</v>
      </c>
      <c r="K1217" s="10">
        <v>16</v>
      </c>
      <c r="L1217" s="10">
        <v>33</v>
      </c>
      <c r="M1217" s="10">
        <v>0</v>
      </c>
      <c r="N1217" s="10">
        <v>0</v>
      </c>
      <c r="O1217" s="10">
        <v>0</v>
      </c>
    </row>
    <row r="1218" spans="1:15" x14ac:dyDescent="0.2">
      <c r="A1218" s="10" t="s">
        <v>781</v>
      </c>
      <c r="B1218" s="10" t="s">
        <v>146</v>
      </c>
      <c r="C1218" s="10" t="s">
        <v>105</v>
      </c>
      <c r="D1218" s="10" t="s">
        <v>45</v>
      </c>
      <c r="E1218" s="10" t="s">
        <v>46</v>
      </c>
      <c r="F1218" s="10" t="s">
        <v>183</v>
      </c>
      <c r="G1218" s="10" t="b">
        <f>FALSE()</f>
        <v>0</v>
      </c>
      <c r="H1218" s="10">
        <v>1</v>
      </c>
      <c r="I1218" s="10">
        <v>0</v>
      </c>
      <c r="J1218" s="10">
        <v>1</v>
      </c>
      <c r="K1218" s="10">
        <v>33</v>
      </c>
      <c r="L1218" s="10">
        <v>33</v>
      </c>
      <c r="M1218" s="10">
        <v>0</v>
      </c>
      <c r="N1218" s="10">
        <v>0</v>
      </c>
      <c r="O1218" s="10">
        <v>0</v>
      </c>
    </row>
    <row r="1219" spans="1:15" x14ac:dyDescent="0.2">
      <c r="A1219" s="10" t="s">
        <v>597</v>
      </c>
      <c r="B1219" s="10" t="s">
        <v>262</v>
      </c>
      <c r="C1219" s="10" t="s">
        <v>105</v>
      </c>
      <c r="D1219" s="10" t="s">
        <v>45</v>
      </c>
      <c r="E1219" s="10" t="s">
        <v>46</v>
      </c>
      <c r="F1219" s="10" t="s">
        <v>61</v>
      </c>
      <c r="G1219" s="10" t="b">
        <f>FALSE()</f>
        <v>0</v>
      </c>
      <c r="H1219" s="10">
        <v>1</v>
      </c>
      <c r="I1219" s="10">
        <v>0</v>
      </c>
      <c r="J1219" s="10">
        <v>2</v>
      </c>
      <c r="K1219" s="10">
        <v>49</v>
      </c>
      <c r="L1219" s="10">
        <v>33</v>
      </c>
      <c r="M1219" s="10">
        <v>0</v>
      </c>
      <c r="N1219" s="10">
        <v>0</v>
      </c>
      <c r="O1219" s="10">
        <v>0</v>
      </c>
    </row>
    <row r="1220" spans="1:15" x14ac:dyDescent="0.2">
      <c r="A1220" s="10" t="s">
        <v>843</v>
      </c>
      <c r="B1220" s="10" t="s">
        <v>89</v>
      </c>
      <c r="C1220" s="10" t="s">
        <v>90</v>
      </c>
      <c r="D1220" s="10" t="s">
        <v>51</v>
      </c>
      <c r="E1220" s="10" t="s">
        <v>52</v>
      </c>
      <c r="F1220" s="10" t="s">
        <v>53</v>
      </c>
      <c r="G1220" s="10" t="b">
        <f>FALSE()</f>
        <v>0</v>
      </c>
      <c r="H1220" s="10">
        <v>1</v>
      </c>
      <c r="I1220" s="10">
        <v>0</v>
      </c>
      <c r="J1220" s="10">
        <v>1</v>
      </c>
      <c r="K1220" s="10">
        <v>33</v>
      </c>
      <c r="L1220" s="10">
        <v>33</v>
      </c>
      <c r="M1220" s="10">
        <v>0</v>
      </c>
      <c r="N1220" s="10">
        <v>0</v>
      </c>
      <c r="O1220" s="10">
        <v>0</v>
      </c>
    </row>
    <row r="1221" spans="1:15" x14ac:dyDescent="0.2">
      <c r="A1221" s="10" t="s">
        <v>701</v>
      </c>
      <c r="B1221" s="10" t="s">
        <v>67</v>
      </c>
      <c r="C1221" s="10" t="s">
        <v>64</v>
      </c>
      <c r="D1221" s="10" t="s">
        <v>45</v>
      </c>
      <c r="E1221" s="10" t="s">
        <v>46</v>
      </c>
      <c r="F1221" s="10" t="s">
        <v>844</v>
      </c>
      <c r="G1221" s="10" t="b">
        <f>FALSE()</f>
        <v>0</v>
      </c>
      <c r="H1221" s="10">
        <v>1</v>
      </c>
      <c r="I1221" s="10">
        <v>0</v>
      </c>
      <c r="J1221" s="10">
        <v>1</v>
      </c>
      <c r="K1221" s="10">
        <v>49</v>
      </c>
      <c r="L1221" s="10">
        <v>33</v>
      </c>
      <c r="M1221" s="10">
        <v>0</v>
      </c>
      <c r="N1221" s="10">
        <v>0</v>
      </c>
      <c r="O1221" s="10">
        <v>0</v>
      </c>
    </row>
    <row r="1222" spans="1:15" x14ac:dyDescent="0.2">
      <c r="A1222" s="10" t="s">
        <v>584</v>
      </c>
      <c r="B1222" s="10" t="s">
        <v>247</v>
      </c>
      <c r="C1222" s="10" t="s">
        <v>245</v>
      </c>
      <c r="D1222" s="10" t="s">
        <v>51</v>
      </c>
      <c r="E1222" s="10" t="s">
        <v>52</v>
      </c>
      <c r="F1222" s="10" t="s">
        <v>212</v>
      </c>
      <c r="G1222" s="10" t="b">
        <f>FALSE()</f>
        <v>0</v>
      </c>
      <c r="H1222" s="10">
        <v>1</v>
      </c>
      <c r="I1222" s="10">
        <v>0</v>
      </c>
      <c r="J1222" s="10">
        <v>2</v>
      </c>
      <c r="K1222" s="10">
        <v>33</v>
      </c>
      <c r="L1222" s="10">
        <v>33</v>
      </c>
      <c r="M1222" s="10">
        <v>0</v>
      </c>
      <c r="N1222" s="10">
        <v>0</v>
      </c>
      <c r="O1222" s="10">
        <v>0</v>
      </c>
    </row>
    <row r="1223" spans="1:15" x14ac:dyDescent="0.2">
      <c r="A1223" s="10" t="s">
        <v>845</v>
      </c>
      <c r="B1223" s="10" t="s">
        <v>846</v>
      </c>
      <c r="C1223" s="10" t="s">
        <v>50</v>
      </c>
      <c r="D1223" s="10" t="s">
        <v>51</v>
      </c>
      <c r="E1223" s="10" t="s">
        <v>52</v>
      </c>
      <c r="F1223" s="10" t="s">
        <v>180</v>
      </c>
      <c r="G1223" s="10" t="b">
        <f>FALSE()</f>
        <v>0</v>
      </c>
      <c r="H1223" s="10">
        <v>1</v>
      </c>
      <c r="I1223" s="10">
        <v>0</v>
      </c>
      <c r="J1223" s="10">
        <v>2</v>
      </c>
      <c r="K1223" s="10">
        <v>66</v>
      </c>
      <c r="L1223" s="10">
        <v>33</v>
      </c>
      <c r="M1223" s="10">
        <v>0</v>
      </c>
      <c r="N1223" s="10">
        <v>0</v>
      </c>
      <c r="O1223" s="10">
        <v>0</v>
      </c>
    </row>
    <row r="1224" spans="1:15" x14ac:dyDescent="0.2">
      <c r="A1224" s="10" t="s">
        <v>725</v>
      </c>
      <c r="B1224" s="10" t="s">
        <v>60</v>
      </c>
      <c r="C1224" s="10" t="s">
        <v>50</v>
      </c>
      <c r="D1224" s="10" t="s">
        <v>51</v>
      </c>
      <c r="E1224" s="10" t="s">
        <v>52</v>
      </c>
      <c r="F1224" s="10" t="s">
        <v>318</v>
      </c>
      <c r="G1224" s="10" t="b">
        <f>FALSE()</f>
        <v>0</v>
      </c>
      <c r="H1224" s="10">
        <v>1</v>
      </c>
      <c r="I1224" s="10">
        <v>0</v>
      </c>
      <c r="J1224" s="10">
        <v>1</v>
      </c>
      <c r="K1224" s="10">
        <v>32</v>
      </c>
      <c r="L1224" s="10">
        <v>32</v>
      </c>
      <c r="M1224" s="10">
        <v>0</v>
      </c>
      <c r="N1224" s="10">
        <v>0</v>
      </c>
      <c r="O1224" s="10">
        <v>0</v>
      </c>
    </row>
    <row r="1225" spans="1:15" x14ac:dyDescent="0.2">
      <c r="A1225" s="10" t="s">
        <v>250</v>
      </c>
      <c r="B1225" s="10" t="s">
        <v>193</v>
      </c>
      <c r="C1225" s="10" t="s">
        <v>117</v>
      </c>
      <c r="D1225" s="10" t="s">
        <v>51</v>
      </c>
      <c r="E1225" s="10" t="s">
        <v>52</v>
      </c>
      <c r="F1225" s="10" t="s">
        <v>236</v>
      </c>
      <c r="G1225" s="10" t="b">
        <f>FALSE()</f>
        <v>0</v>
      </c>
      <c r="H1225" s="10">
        <v>1</v>
      </c>
      <c r="I1225" s="10">
        <v>0</v>
      </c>
      <c r="J1225" s="10">
        <v>0</v>
      </c>
      <c r="K1225" s="10">
        <v>0</v>
      </c>
      <c r="L1225" s="10">
        <v>32</v>
      </c>
      <c r="M1225" s="10">
        <v>0</v>
      </c>
      <c r="N1225" s="10">
        <v>0</v>
      </c>
      <c r="O1225" s="10">
        <v>0</v>
      </c>
    </row>
    <row r="1226" spans="1:15" x14ac:dyDescent="0.2">
      <c r="A1226" s="10" t="s">
        <v>847</v>
      </c>
      <c r="B1226" s="10" t="s">
        <v>287</v>
      </c>
      <c r="C1226" s="10" t="s">
        <v>90</v>
      </c>
      <c r="D1226" s="10" t="s">
        <v>51</v>
      </c>
      <c r="E1226" s="10" t="s">
        <v>52</v>
      </c>
      <c r="F1226" s="10" t="s">
        <v>61</v>
      </c>
      <c r="G1226" s="10" t="b">
        <f>FALSE()</f>
        <v>0</v>
      </c>
      <c r="H1226" s="10">
        <v>1</v>
      </c>
      <c r="I1226" s="10">
        <v>0</v>
      </c>
      <c r="J1226" s="10">
        <v>1</v>
      </c>
      <c r="K1226" s="10">
        <v>32</v>
      </c>
      <c r="L1226" s="10">
        <v>32</v>
      </c>
      <c r="M1226" s="10">
        <v>0</v>
      </c>
      <c r="N1226" s="10">
        <v>0</v>
      </c>
      <c r="O1226" s="10">
        <v>0</v>
      </c>
    </row>
    <row r="1227" spans="1:15" x14ac:dyDescent="0.2">
      <c r="A1227" s="10" t="s">
        <v>391</v>
      </c>
      <c r="B1227" s="10" t="s">
        <v>146</v>
      </c>
      <c r="C1227" s="10" t="s">
        <v>105</v>
      </c>
      <c r="D1227" s="10" t="s">
        <v>45</v>
      </c>
      <c r="E1227" s="10" t="s">
        <v>46</v>
      </c>
      <c r="F1227" s="10" t="s">
        <v>94</v>
      </c>
      <c r="G1227" s="10" t="b">
        <f>FALSE()</f>
        <v>0</v>
      </c>
      <c r="H1227" s="10">
        <v>1</v>
      </c>
      <c r="I1227" s="10">
        <v>0</v>
      </c>
      <c r="J1227" s="10">
        <v>1</v>
      </c>
      <c r="K1227" s="10">
        <v>39</v>
      </c>
      <c r="L1227" s="10">
        <v>32</v>
      </c>
      <c r="M1227" s="10">
        <v>0</v>
      </c>
      <c r="N1227" s="10">
        <v>0</v>
      </c>
      <c r="O1227" s="10">
        <v>0</v>
      </c>
    </row>
    <row r="1228" spans="1:15" x14ac:dyDescent="0.2">
      <c r="A1228" s="10" t="s">
        <v>848</v>
      </c>
      <c r="B1228" s="10" t="s">
        <v>419</v>
      </c>
      <c r="C1228" s="10" t="s">
        <v>50</v>
      </c>
      <c r="D1228" s="10" t="s">
        <v>51</v>
      </c>
      <c r="E1228" s="10" t="s">
        <v>52</v>
      </c>
      <c r="F1228" s="10" t="s">
        <v>94</v>
      </c>
      <c r="G1228" s="10" t="b">
        <f>FALSE()</f>
        <v>0</v>
      </c>
      <c r="H1228" s="10">
        <v>1</v>
      </c>
      <c r="I1228" s="10">
        <v>0</v>
      </c>
      <c r="J1228" s="10">
        <v>1</v>
      </c>
      <c r="K1228" s="10">
        <v>31</v>
      </c>
      <c r="L1228" s="10">
        <v>32</v>
      </c>
      <c r="M1228" s="10">
        <v>0</v>
      </c>
      <c r="N1228" s="10">
        <v>0</v>
      </c>
      <c r="O1228" s="10">
        <v>0</v>
      </c>
    </row>
    <row r="1229" spans="1:15" x14ac:dyDescent="0.2">
      <c r="A1229" s="10" t="s">
        <v>835</v>
      </c>
      <c r="B1229" s="10" t="s">
        <v>193</v>
      </c>
      <c r="C1229" s="10" t="s">
        <v>117</v>
      </c>
      <c r="D1229" s="10" t="s">
        <v>51</v>
      </c>
      <c r="E1229" s="10" t="s">
        <v>52</v>
      </c>
      <c r="F1229" s="10" t="s">
        <v>444</v>
      </c>
      <c r="G1229" s="10" t="b">
        <f>TRUE()</f>
        <v>1</v>
      </c>
      <c r="H1229" s="10">
        <v>1</v>
      </c>
      <c r="I1229" s="10">
        <v>0</v>
      </c>
      <c r="J1229" s="10">
        <v>1</v>
      </c>
      <c r="K1229" s="10">
        <v>32</v>
      </c>
      <c r="L1229" s="10">
        <v>32</v>
      </c>
      <c r="M1229" s="10">
        <v>0</v>
      </c>
      <c r="N1229" s="10">
        <v>0</v>
      </c>
      <c r="O1229" s="10">
        <v>0</v>
      </c>
    </row>
    <row r="1230" spans="1:15" x14ac:dyDescent="0.2">
      <c r="A1230" s="10" t="s">
        <v>849</v>
      </c>
      <c r="B1230" s="10" t="s">
        <v>188</v>
      </c>
      <c r="C1230" s="10" t="s">
        <v>112</v>
      </c>
      <c r="D1230" s="10" t="s">
        <v>51</v>
      </c>
      <c r="E1230" s="10" t="s">
        <v>52</v>
      </c>
      <c r="F1230" s="10" t="s">
        <v>251</v>
      </c>
      <c r="G1230" s="10" t="b">
        <f>FALSE()</f>
        <v>0</v>
      </c>
      <c r="H1230" s="10">
        <v>1</v>
      </c>
      <c r="I1230" s="10">
        <v>0</v>
      </c>
      <c r="J1230" s="10">
        <v>1</v>
      </c>
      <c r="K1230" s="10">
        <v>33</v>
      </c>
      <c r="L1230" s="10">
        <v>32</v>
      </c>
      <c r="M1230" s="10">
        <v>0</v>
      </c>
      <c r="N1230" s="10">
        <v>0</v>
      </c>
      <c r="O1230" s="10">
        <v>0</v>
      </c>
    </row>
    <row r="1231" spans="1:15" x14ac:dyDescent="0.2">
      <c r="A1231" s="10" t="s">
        <v>154</v>
      </c>
      <c r="B1231" s="10" t="s">
        <v>104</v>
      </c>
      <c r="C1231" s="10" t="s">
        <v>105</v>
      </c>
      <c r="D1231" s="10" t="s">
        <v>45</v>
      </c>
      <c r="E1231" s="10" t="s">
        <v>46</v>
      </c>
      <c r="F1231" s="10" t="s">
        <v>91</v>
      </c>
      <c r="G1231" s="10" t="b">
        <f>TRUE()</f>
        <v>1</v>
      </c>
      <c r="H1231" s="10">
        <v>1</v>
      </c>
      <c r="I1231" s="10">
        <v>1</v>
      </c>
      <c r="J1231" s="10">
        <v>1</v>
      </c>
      <c r="K1231" s="10">
        <v>60</v>
      </c>
      <c r="L1231" s="10">
        <v>31</v>
      </c>
      <c r="M1231" s="10">
        <v>1</v>
      </c>
      <c r="N1231" s="10">
        <v>117</v>
      </c>
      <c r="O1231" s="10">
        <v>114</v>
      </c>
    </row>
    <row r="1232" spans="1:15" x14ac:dyDescent="0.2">
      <c r="A1232" s="10" t="s">
        <v>560</v>
      </c>
      <c r="B1232" s="10" t="s">
        <v>96</v>
      </c>
      <c r="C1232" s="10" t="s">
        <v>50</v>
      </c>
      <c r="D1232" s="10" t="s">
        <v>51</v>
      </c>
      <c r="E1232" s="10" t="s">
        <v>52</v>
      </c>
      <c r="F1232" s="10" t="s">
        <v>75</v>
      </c>
      <c r="G1232" s="10" t="b">
        <f>FALSE()</f>
        <v>0</v>
      </c>
      <c r="H1232" s="10">
        <v>1</v>
      </c>
      <c r="I1232" s="10">
        <v>0</v>
      </c>
      <c r="J1232" s="10">
        <v>1</v>
      </c>
      <c r="K1232" s="10">
        <v>74</v>
      </c>
      <c r="L1232" s="10">
        <v>31</v>
      </c>
      <c r="M1232" s="10">
        <v>0</v>
      </c>
      <c r="N1232" s="10">
        <v>0</v>
      </c>
      <c r="O1232" s="10">
        <v>0</v>
      </c>
    </row>
    <row r="1233" spans="1:15" x14ac:dyDescent="0.2">
      <c r="A1233" s="10" t="s">
        <v>780</v>
      </c>
      <c r="B1233" s="10" t="s">
        <v>128</v>
      </c>
      <c r="C1233" s="10" t="s">
        <v>50</v>
      </c>
      <c r="D1233" s="10" t="s">
        <v>51</v>
      </c>
      <c r="E1233" s="10" t="s">
        <v>52</v>
      </c>
      <c r="F1233" s="10" t="s">
        <v>94</v>
      </c>
      <c r="G1233" s="10" t="b">
        <f>FALSE()</f>
        <v>0</v>
      </c>
      <c r="H1233" s="10">
        <v>1</v>
      </c>
      <c r="I1233" s="10">
        <v>0</v>
      </c>
      <c r="J1233" s="10">
        <v>2</v>
      </c>
      <c r="K1233" s="10">
        <v>43</v>
      </c>
      <c r="L1233" s="10">
        <v>31</v>
      </c>
      <c r="M1233" s="10">
        <v>0</v>
      </c>
      <c r="N1233" s="10">
        <v>0</v>
      </c>
      <c r="O1233" s="10">
        <v>0</v>
      </c>
    </row>
    <row r="1234" spans="1:15" x14ac:dyDescent="0.2">
      <c r="A1234" s="10" t="s">
        <v>416</v>
      </c>
      <c r="B1234" s="10" t="s">
        <v>218</v>
      </c>
      <c r="C1234" s="10" t="s">
        <v>73</v>
      </c>
      <c r="D1234" s="10" t="s">
        <v>45</v>
      </c>
      <c r="E1234" s="10" t="s">
        <v>46</v>
      </c>
      <c r="F1234" s="10" t="s">
        <v>331</v>
      </c>
      <c r="G1234" s="10" t="b">
        <f>FALSE()</f>
        <v>0</v>
      </c>
      <c r="H1234" s="10">
        <v>1</v>
      </c>
      <c r="I1234" s="10">
        <v>0</v>
      </c>
      <c r="J1234" s="10">
        <v>1</v>
      </c>
      <c r="K1234" s="10">
        <v>35</v>
      </c>
      <c r="L1234" s="10">
        <v>31</v>
      </c>
      <c r="M1234" s="10">
        <v>0</v>
      </c>
      <c r="N1234" s="10">
        <v>0</v>
      </c>
      <c r="O1234" s="10">
        <v>0</v>
      </c>
    </row>
    <row r="1235" spans="1:15" x14ac:dyDescent="0.2">
      <c r="A1235" s="10" t="s">
        <v>850</v>
      </c>
      <c r="B1235" s="10" t="s">
        <v>122</v>
      </c>
      <c r="C1235" s="10" t="s">
        <v>112</v>
      </c>
      <c r="D1235" s="10" t="s">
        <v>51</v>
      </c>
      <c r="E1235" s="10" t="s">
        <v>52</v>
      </c>
      <c r="F1235" s="10" t="s">
        <v>331</v>
      </c>
      <c r="G1235" s="10" t="b">
        <f>FALSE()</f>
        <v>0</v>
      </c>
      <c r="H1235" s="10">
        <v>1</v>
      </c>
      <c r="I1235" s="10">
        <v>0</v>
      </c>
      <c r="J1235" s="10">
        <v>1</v>
      </c>
      <c r="K1235" s="10">
        <v>33</v>
      </c>
      <c r="L1235" s="10">
        <v>31</v>
      </c>
      <c r="M1235" s="10">
        <v>0</v>
      </c>
      <c r="N1235" s="10">
        <v>0</v>
      </c>
      <c r="O1235" s="10">
        <v>0</v>
      </c>
    </row>
    <row r="1236" spans="1:15" x14ac:dyDescent="0.2">
      <c r="A1236" s="10" t="s">
        <v>732</v>
      </c>
      <c r="B1236" s="10" t="s">
        <v>165</v>
      </c>
      <c r="C1236" s="10" t="s">
        <v>112</v>
      </c>
      <c r="D1236" s="10" t="s">
        <v>51</v>
      </c>
      <c r="E1236" s="10" t="s">
        <v>52</v>
      </c>
      <c r="F1236" s="10" t="s">
        <v>535</v>
      </c>
      <c r="G1236" s="10" t="b">
        <f>TRUE()</f>
        <v>1</v>
      </c>
      <c r="H1236" s="10">
        <v>1</v>
      </c>
      <c r="I1236" s="10">
        <v>0</v>
      </c>
      <c r="J1236" s="10">
        <v>1</v>
      </c>
      <c r="K1236" s="10">
        <v>31</v>
      </c>
      <c r="L1236" s="10">
        <v>31</v>
      </c>
      <c r="M1236" s="10">
        <v>0</v>
      </c>
      <c r="N1236" s="10">
        <v>0</v>
      </c>
      <c r="O1236" s="10">
        <v>0</v>
      </c>
    </row>
    <row r="1237" spans="1:15" x14ac:dyDescent="0.2">
      <c r="A1237" s="10" t="s">
        <v>548</v>
      </c>
      <c r="B1237" s="10" t="s">
        <v>549</v>
      </c>
      <c r="C1237" s="10" t="s">
        <v>117</v>
      </c>
      <c r="D1237" s="10" t="s">
        <v>51</v>
      </c>
      <c r="E1237" s="10" t="s">
        <v>52</v>
      </c>
      <c r="F1237" s="10" t="s">
        <v>444</v>
      </c>
      <c r="G1237" s="10" t="b">
        <f>TRUE()</f>
        <v>1</v>
      </c>
      <c r="H1237" s="10">
        <v>1</v>
      </c>
      <c r="I1237" s="10">
        <v>0</v>
      </c>
      <c r="J1237" s="10">
        <v>1</v>
      </c>
      <c r="K1237" s="10">
        <v>31</v>
      </c>
      <c r="L1237" s="10">
        <v>31</v>
      </c>
      <c r="M1237" s="10">
        <v>0</v>
      </c>
      <c r="N1237" s="10">
        <v>0</v>
      </c>
      <c r="O1237" s="10">
        <v>0</v>
      </c>
    </row>
    <row r="1238" spans="1:15" x14ac:dyDescent="0.2">
      <c r="A1238" s="10" t="s">
        <v>851</v>
      </c>
      <c r="B1238" s="10" t="s">
        <v>289</v>
      </c>
      <c r="C1238" s="10" t="s">
        <v>50</v>
      </c>
      <c r="D1238" s="10" t="s">
        <v>51</v>
      </c>
      <c r="E1238" s="10" t="s">
        <v>52</v>
      </c>
      <c r="F1238" s="10" t="s">
        <v>132</v>
      </c>
      <c r="G1238" s="10" t="b">
        <f>FALSE()</f>
        <v>0</v>
      </c>
      <c r="H1238" s="10">
        <v>1</v>
      </c>
      <c r="I1238" s="10">
        <v>0</v>
      </c>
      <c r="J1238" s="10">
        <v>1</v>
      </c>
      <c r="K1238" s="10">
        <v>32</v>
      </c>
      <c r="L1238" s="10">
        <v>31</v>
      </c>
      <c r="M1238" s="10">
        <v>0</v>
      </c>
      <c r="N1238" s="10">
        <v>0</v>
      </c>
      <c r="O1238" s="10">
        <v>0</v>
      </c>
    </row>
    <row r="1239" spans="1:15" x14ac:dyDescent="0.2">
      <c r="A1239" s="10" t="s">
        <v>852</v>
      </c>
      <c r="B1239" s="10" t="s">
        <v>139</v>
      </c>
      <c r="C1239" s="10" t="s">
        <v>64</v>
      </c>
      <c r="D1239" s="10" t="s">
        <v>45</v>
      </c>
      <c r="E1239" s="10" t="s">
        <v>46</v>
      </c>
      <c r="F1239" s="10" t="s">
        <v>373</v>
      </c>
      <c r="G1239" s="10" t="b">
        <f>FALSE()</f>
        <v>0</v>
      </c>
      <c r="H1239" s="10">
        <v>1</v>
      </c>
      <c r="I1239" s="10">
        <v>0</v>
      </c>
      <c r="J1239" s="10">
        <v>2</v>
      </c>
      <c r="K1239" s="10">
        <v>24</v>
      </c>
      <c r="L1239" s="10">
        <v>31</v>
      </c>
      <c r="M1239" s="10">
        <v>0</v>
      </c>
      <c r="N1239" s="10">
        <v>0</v>
      </c>
      <c r="O1239" s="10">
        <v>0</v>
      </c>
    </row>
    <row r="1240" spans="1:15" x14ac:dyDescent="0.2">
      <c r="A1240" s="10" t="s">
        <v>853</v>
      </c>
      <c r="B1240" s="10" t="s">
        <v>456</v>
      </c>
      <c r="C1240" s="10" t="s">
        <v>245</v>
      </c>
      <c r="D1240" s="10" t="s">
        <v>51</v>
      </c>
      <c r="E1240" s="10" t="s">
        <v>52</v>
      </c>
      <c r="F1240" s="10" t="s">
        <v>61</v>
      </c>
      <c r="G1240" s="10" t="b">
        <f>FALSE()</f>
        <v>0</v>
      </c>
      <c r="H1240" s="10">
        <v>1</v>
      </c>
      <c r="I1240" s="10">
        <v>1</v>
      </c>
      <c r="J1240" s="10">
        <v>1</v>
      </c>
      <c r="K1240" s="10">
        <v>23</v>
      </c>
      <c r="L1240" s="10">
        <v>30</v>
      </c>
      <c r="M1240" s="10">
        <v>1</v>
      </c>
      <c r="N1240" s="10">
        <v>333</v>
      </c>
      <c r="O1240" s="10">
        <v>346</v>
      </c>
    </row>
    <row r="1241" spans="1:15" x14ac:dyDescent="0.2">
      <c r="A1241" s="10" t="s">
        <v>659</v>
      </c>
      <c r="B1241" s="10" t="s">
        <v>172</v>
      </c>
      <c r="C1241" s="10" t="s">
        <v>44</v>
      </c>
      <c r="D1241" s="10" t="s">
        <v>45</v>
      </c>
      <c r="E1241" s="10" t="s">
        <v>46</v>
      </c>
      <c r="F1241" s="10" t="s">
        <v>601</v>
      </c>
      <c r="G1241" s="10" t="b">
        <f>FALSE()</f>
        <v>0</v>
      </c>
      <c r="H1241" s="10">
        <v>1</v>
      </c>
      <c r="I1241" s="10">
        <v>1</v>
      </c>
      <c r="J1241" s="10">
        <v>2</v>
      </c>
      <c r="K1241" s="10">
        <v>33</v>
      </c>
      <c r="L1241" s="10">
        <v>30</v>
      </c>
      <c r="M1241" s="10">
        <v>1</v>
      </c>
      <c r="N1241" s="10">
        <v>44</v>
      </c>
      <c r="O1241" s="10">
        <v>37</v>
      </c>
    </row>
    <row r="1242" spans="1:15" x14ac:dyDescent="0.2">
      <c r="A1242" s="10" t="s">
        <v>185</v>
      </c>
      <c r="B1242" s="10" t="s">
        <v>104</v>
      </c>
      <c r="C1242" s="10" t="s">
        <v>105</v>
      </c>
      <c r="D1242" s="10" t="s">
        <v>45</v>
      </c>
      <c r="E1242" s="10" t="s">
        <v>46</v>
      </c>
      <c r="F1242" s="10" t="s">
        <v>854</v>
      </c>
      <c r="G1242" s="10" t="b">
        <f>FALSE()</f>
        <v>0</v>
      </c>
      <c r="H1242" s="10">
        <v>1</v>
      </c>
      <c r="I1242" s="10">
        <v>0</v>
      </c>
      <c r="J1242" s="10">
        <v>1</v>
      </c>
      <c r="K1242" s="10">
        <v>42</v>
      </c>
      <c r="L1242" s="10">
        <v>30</v>
      </c>
      <c r="M1242" s="10">
        <v>0</v>
      </c>
      <c r="N1242" s="10">
        <v>0</v>
      </c>
      <c r="O1242" s="10">
        <v>0</v>
      </c>
    </row>
    <row r="1243" spans="1:15" x14ac:dyDescent="0.2">
      <c r="A1243" s="10" t="s">
        <v>264</v>
      </c>
      <c r="B1243" s="10" t="s">
        <v>265</v>
      </c>
      <c r="C1243" s="10" t="s">
        <v>245</v>
      </c>
      <c r="D1243" s="10" t="s">
        <v>51</v>
      </c>
      <c r="E1243" s="10" t="s">
        <v>52</v>
      </c>
      <c r="F1243" s="10" t="s">
        <v>153</v>
      </c>
      <c r="G1243" s="10" t="b">
        <f>FALSE()</f>
        <v>0</v>
      </c>
      <c r="H1243" s="10">
        <v>1</v>
      </c>
      <c r="I1243" s="10">
        <v>0</v>
      </c>
      <c r="J1243" s="10">
        <v>1</v>
      </c>
      <c r="K1243" s="10">
        <v>60</v>
      </c>
      <c r="L1243" s="10">
        <v>30</v>
      </c>
      <c r="M1243" s="10">
        <v>0</v>
      </c>
      <c r="N1243" s="10">
        <v>0</v>
      </c>
      <c r="O1243" s="10">
        <v>0</v>
      </c>
    </row>
    <row r="1244" spans="1:15" x14ac:dyDescent="0.2">
      <c r="A1244" s="10" t="s">
        <v>560</v>
      </c>
      <c r="B1244" s="10" t="s">
        <v>96</v>
      </c>
      <c r="C1244" s="10" t="s">
        <v>50</v>
      </c>
      <c r="D1244" s="10" t="s">
        <v>51</v>
      </c>
      <c r="E1244" s="10" t="s">
        <v>52</v>
      </c>
      <c r="F1244" s="10" t="s">
        <v>251</v>
      </c>
      <c r="G1244" s="10" t="b">
        <f>FALSE()</f>
        <v>0</v>
      </c>
      <c r="H1244" s="10">
        <v>1</v>
      </c>
      <c r="I1244" s="10">
        <v>0</v>
      </c>
      <c r="J1244" s="10">
        <v>1</v>
      </c>
      <c r="K1244" s="10">
        <v>38</v>
      </c>
      <c r="L1244" s="10">
        <v>30</v>
      </c>
      <c r="M1244" s="10">
        <v>0</v>
      </c>
      <c r="N1244" s="10">
        <v>0</v>
      </c>
      <c r="O1244" s="10">
        <v>0</v>
      </c>
    </row>
    <row r="1245" spans="1:15" x14ac:dyDescent="0.2">
      <c r="A1245" s="10" t="s">
        <v>250</v>
      </c>
      <c r="B1245" s="10" t="s">
        <v>193</v>
      </c>
      <c r="C1245" s="10" t="s">
        <v>117</v>
      </c>
      <c r="D1245" s="10" t="s">
        <v>51</v>
      </c>
      <c r="E1245" s="10" t="s">
        <v>52</v>
      </c>
      <c r="F1245" s="10" t="s">
        <v>494</v>
      </c>
      <c r="G1245" s="10" t="b">
        <f>TRUE()</f>
        <v>1</v>
      </c>
      <c r="H1245" s="10">
        <v>1</v>
      </c>
      <c r="I1245" s="10">
        <v>0</v>
      </c>
      <c r="J1245" s="10">
        <v>1</v>
      </c>
      <c r="K1245" s="10">
        <v>30</v>
      </c>
      <c r="L1245" s="10">
        <v>30</v>
      </c>
      <c r="M1245" s="10">
        <v>0</v>
      </c>
      <c r="N1245" s="10">
        <v>0</v>
      </c>
      <c r="O1245" s="10">
        <v>0</v>
      </c>
    </row>
    <row r="1246" spans="1:15" x14ac:dyDescent="0.2">
      <c r="A1246" s="10" t="s">
        <v>790</v>
      </c>
      <c r="B1246" s="10" t="s">
        <v>405</v>
      </c>
      <c r="C1246" s="10" t="s">
        <v>112</v>
      </c>
      <c r="D1246" s="10" t="s">
        <v>51</v>
      </c>
      <c r="E1246" s="10" t="s">
        <v>52</v>
      </c>
      <c r="F1246" s="10" t="s">
        <v>113</v>
      </c>
      <c r="G1246" s="10" t="b">
        <f>TRUE()</f>
        <v>1</v>
      </c>
      <c r="H1246" s="10">
        <v>1</v>
      </c>
      <c r="I1246" s="10">
        <v>0</v>
      </c>
      <c r="J1246" s="10">
        <v>1</v>
      </c>
      <c r="K1246" s="10">
        <v>12</v>
      </c>
      <c r="L1246" s="10">
        <v>30</v>
      </c>
      <c r="M1246" s="10">
        <v>0</v>
      </c>
      <c r="N1246" s="10">
        <v>0</v>
      </c>
      <c r="O1246" s="10">
        <v>0</v>
      </c>
    </row>
    <row r="1247" spans="1:15" x14ac:dyDescent="0.2">
      <c r="A1247" s="10" t="s">
        <v>565</v>
      </c>
      <c r="B1247" s="10" t="s">
        <v>493</v>
      </c>
      <c r="C1247" s="10" t="s">
        <v>117</v>
      </c>
      <c r="D1247" s="10" t="s">
        <v>51</v>
      </c>
      <c r="E1247" s="10" t="s">
        <v>52</v>
      </c>
      <c r="F1247" s="10" t="s">
        <v>79</v>
      </c>
      <c r="G1247" s="10" t="b">
        <f>FALSE()</f>
        <v>0</v>
      </c>
      <c r="H1247" s="10">
        <v>1</v>
      </c>
      <c r="I1247" s="10">
        <v>0</v>
      </c>
      <c r="J1247" s="10">
        <v>1</v>
      </c>
      <c r="K1247" s="10">
        <v>33</v>
      </c>
      <c r="L1247" s="10">
        <v>30</v>
      </c>
      <c r="M1247" s="10">
        <v>0</v>
      </c>
      <c r="N1247" s="10">
        <v>0</v>
      </c>
      <c r="O1247" s="10">
        <v>0</v>
      </c>
    </row>
    <row r="1248" spans="1:15" x14ac:dyDescent="0.2">
      <c r="A1248" s="10" t="s">
        <v>367</v>
      </c>
      <c r="B1248" s="10" t="s">
        <v>368</v>
      </c>
      <c r="C1248" s="10" t="s">
        <v>50</v>
      </c>
      <c r="D1248" s="10" t="s">
        <v>51</v>
      </c>
      <c r="E1248" s="10" t="s">
        <v>52</v>
      </c>
      <c r="F1248" s="10" t="s">
        <v>183</v>
      </c>
      <c r="G1248" s="10" t="b">
        <f>FALSE()</f>
        <v>0</v>
      </c>
      <c r="H1248" s="10">
        <v>1</v>
      </c>
      <c r="I1248" s="10">
        <v>0</v>
      </c>
      <c r="J1248" s="10">
        <v>1</v>
      </c>
      <c r="K1248" s="10">
        <v>17</v>
      </c>
      <c r="L1248" s="10">
        <v>30</v>
      </c>
      <c r="M1248" s="10">
        <v>0</v>
      </c>
      <c r="N1248" s="10">
        <v>0</v>
      </c>
      <c r="O1248" s="10">
        <v>0</v>
      </c>
    </row>
    <row r="1249" spans="1:15" x14ac:dyDescent="0.2">
      <c r="A1249" s="10" t="s">
        <v>855</v>
      </c>
      <c r="B1249" s="10" t="s">
        <v>456</v>
      </c>
      <c r="C1249" s="10" t="s">
        <v>245</v>
      </c>
      <c r="D1249" s="10" t="s">
        <v>51</v>
      </c>
      <c r="E1249" s="10" t="s">
        <v>52</v>
      </c>
      <c r="F1249" s="10" t="s">
        <v>53</v>
      </c>
      <c r="G1249" s="10" t="b">
        <f>FALSE()</f>
        <v>0</v>
      </c>
      <c r="H1249" s="10">
        <v>1</v>
      </c>
      <c r="I1249" s="10">
        <v>0</v>
      </c>
      <c r="J1249" s="10">
        <v>1</v>
      </c>
      <c r="K1249" s="10">
        <v>32</v>
      </c>
      <c r="L1249" s="10">
        <v>30</v>
      </c>
      <c r="M1249" s="10">
        <v>0</v>
      </c>
      <c r="N1249" s="10">
        <v>0</v>
      </c>
      <c r="O1249" s="10">
        <v>0</v>
      </c>
    </row>
    <row r="1250" spans="1:15" x14ac:dyDescent="0.2">
      <c r="A1250" s="10" t="s">
        <v>156</v>
      </c>
      <c r="B1250" s="10" t="s">
        <v>157</v>
      </c>
      <c r="C1250" s="10" t="s">
        <v>64</v>
      </c>
      <c r="D1250" s="10" t="s">
        <v>45</v>
      </c>
      <c r="E1250" s="10" t="s">
        <v>46</v>
      </c>
      <c r="F1250" s="10" t="s">
        <v>94</v>
      </c>
      <c r="G1250" s="10" t="b">
        <f>FALSE()</f>
        <v>0</v>
      </c>
      <c r="H1250" s="10">
        <v>1</v>
      </c>
      <c r="I1250" s="10">
        <v>0</v>
      </c>
      <c r="J1250" s="10">
        <v>2</v>
      </c>
      <c r="K1250" s="10">
        <v>32</v>
      </c>
      <c r="L1250" s="10">
        <v>30</v>
      </c>
      <c r="M1250" s="10">
        <v>0</v>
      </c>
      <c r="N1250" s="10">
        <v>0</v>
      </c>
      <c r="O1250" s="10">
        <v>0</v>
      </c>
    </row>
    <row r="1251" spans="1:15" x14ac:dyDescent="0.2">
      <c r="A1251" s="10" t="s">
        <v>768</v>
      </c>
      <c r="B1251" s="10" t="s">
        <v>72</v>
      </c>
      <c r="C1251" s="10" t="s">
        <v>73</v>
      </c>
      <c r="D1251" s="10" t="s">
        <v>45</v>
      </c>
      <c r="E1251" s="10" t="s">
        <v>46</v>
      </c>
      <c r="F1251" s="10" t="s">
        <v>79</v>
      </c>
      <c r="G1251" s="10" t="b">
        <f>FALSE()</f>
        <v>0</v>
      </c>
      <c r="H1251" s="10">
        <v>1</v>
      </c>
      <c r="I1251" s="10">
        <v>0</v>
      </c>
      <c r="J1251" s="10">
        <v>1</v>
      </c>
      <c r="K1251" s="10">
        <v>31</v>
      </c>
      <c r="L1251" s="10">
        <v>30</v>
      </c>
      <c r="M1251" s="10">
        <v>0</v>
      </c>
      <c r="N1251" s="10">
        <v>0</v>
      </c>
      <c r="O1251" s="10">
        <v>0</v>
      </c>
    </row>
    <row r="1252" spans="1:15" x14ac:dyDescent="0.2">
      <c r="A1252" s="10" t="s">
        <v>856</v>
      </c>
      <c r="B1252" s="10" t="s">
        <v>857</v>
      </c>
      <c r="C1252" s="10" t="s">
        <v>90</v>
      </c>
      <c r="D1252" s="10" t="s">
        <v>51</v>
      </c>
      <c r="E1252" s="10" t="s">
        <v>52</v>
      </c>
      <c r="F1252" s="10" t="s">
        <v>180</v>
      </c>
      <c r="G1252" s="10" t="b">
        <f>FALSE()</f>
        <v>0</v>
      </c>
      <c r="H1252" s="10">
        <v>1</v>
      </c>
      <c r="I1252" s="10">
        <v>0</v>
      </c>
      <c r="J1252" s="10">
        <v>2</v>
      </c>
      <c r="K1252" s="10">
        <v>30</v>
      </c>
      <c r="L1252" s="10">
        <v>30</v>
      </c>
      <c r="M1252" s="10">
        <v>0</v>
      </c>
      <c r="N1252" s="10">
        <v>0</v>
      </c>
      <c r="O1252" s="10">
        <v>0</v>
      </c>
    </row>
    <row r="1253" spans="1:15" x14ac:dyDescent="0.2">
      <c r="A1253" s="10" t="s">
        <v>712</v>
      </c>
      <c r="B1253" s="10" t="s">
        <v>456</v>
      </c>
      <c r="C1253" s="10" t="s">
        <v>245</v>
      </c>
      <c r="D1253" s="10" t="s">
        <v>51</v>
      </c>
      <c r="E1253" s="10" t="s">
        <v>52</v>
      </c>
      <c r="F1253" s="10" t="s">
        <v>190</v>
      </c>
      <c r="G1253" s="10" t="b">
        <f>TRUE()</f>
        <v>1</v>
      </c>
      <c r="H1253" s="10">
        <v>1</v>
      </c>
      <c r="I1253" s="10">
        <v>0</v>
      </c>
      <c r="J1253" s="10">
        <v>1</v>
      </c>
      <c r="K1253" s="10">
        <v>32</v>
      </c>
      <c r="L1253" s="10">
        <v>30</v>
      </c>
      <c r="M1253" s="10">
        <v>0</v>
      </c>
      <c r="N1253" s="10">
        <v>0</v>
      </c>
      <c r="O1253" s="10">
        <v>0</v>
      </c>
    </row>
    <row r="1254" spans="1:15" x14ac:dyDescent="0.2">
      <c r="A1254" s="10" t="s">
        <v>592</v>
      </c>
      <c r="B1254" s="10" t="s">
        <v>405</v>
      </c>
      <c r="C1254" s="10" t="s">
        <v>117</v>
      </c>
      <c r="D1254" s="10" t="s">
        <v>51</v>
      </c>
      <c r="E1254" s="10" t="s">
        <v>52</v>
      </c>
      <c r="F1254" s="10" t="s">
        <v>251</v>
      </c>
      <c r="G1254" s="10" t="b">
        <f>FALSE()</f>
        <v>0</v>
      </c>
      <c r="H1254" s="10">
        <v>1</v>
      </c>
      <c r="I1254" s="10">
        <v>1</v>
      </c>
      <c r="J1254" s="10">
        <v>0</v>
      </c>
      <c r="K1254" s="10">
        <v>0</v>
      </c>
      <c r="L1254" s="10">
        <v>29</v>
      </c>
      <c r="M1254" s="10">
        <v>1</v>
      </c>
      <c r="N1254" s="10">
        <v>248</v>
      </c>
      <c r="O1254" s="10">
        <v>253</v>
      </c>
    </row>
    <row r="1255" spans="1:15" x14ac:dyDescent="0.2">
      <c r="A1255" s="10" t="s">
        <v>662</v>
      </c>
      <c r="B1255" s="10" t="s">
        <v>70</v>
      </c>
      <c r="C1255" s="10" t="s">
        <v>70</v>
      </c>
      <c r="D1255" s="10" t="s">
        <v>45</v>
      </c>
      <c r="E1255" s="10" t="s">
        <v>46</v>
      </c>
      <c r="F1255" s="10" t="s">
        <v>331</v>
      </c>
      <c r="G1255" s="10" t="b">
        <f>FALSE()</f>
        <v>0</v>
      </c>
      <c r="H1255" s="10">
        <v>1</v>
      </c>
      <c r="I1255" s="10">
        <v>1</v>
      </c>
      <c r="J1255" s="10">
        <v>1</v>
      </c>
      <c r="K1255" s="10">
        <v>39</v>
      </c>
      <c r="L1255" s="10">
        <v>29</v>
      </c>
      <c r="M1255" s="10">
        <v>1</v>
      </c>
      <c r="N1255" s="10">
        <v>145</v>
      </c>
      <c r="O1255" s="10">
        <v>142</v>
      </c>
    </row>
    <row r="1256" spans="1:15" x14ac:dyDescent="0.2">
      <c r="A1256" s="10" t="s">
        <v>858</v>
      </c>
      <c r="B1256" s="10" t="s">
        <v>116</v>
      </c>
      <c r="C1256" s="10" t="s">
        <v>117</v>
      </c>
      <c r="D1256" s="10" t="s">
        <v>51</v>
      </c>
      <c r="E1256" s="10" t="s">
        <v>52</v>
      </c>
      <c r="F1256" s="10" t="s">
        <v>601</v>
      </c>
      <c r="G1256" s="10" t="b">
        <f>FALSE()</f>
        <v>0</v>
      </c>
      <c r="H1256" s="10">
        <v>1</v>
      </c>
      <c r="I1256" s="10">
        <v>1</v>
      </c>
      <c r="J1256" s="10">
        <v>0</v>
      </c>
      <c r="K1256" s="10">
        <v>0</v>
      </c>
      <c r="L1256" s="10">
        <v>29</v>
      </c>
      <c r="M1256" s="10">
        <v>1</v>
      </c>
      <c r="N1256" s="10">
        <v>49</v>
      </c>
      <c r="O1256" s="10">
        <v>48</v>
      </c>
    </row>
    <row r="1257" spans="1:15" x14ac:dyDescent="0.2">
      <c r="A1257" s="10" t="s">
        <v>775</v>
      </c>
      <c r="B1257" s="10" t="s">
        <v>188</v>
      </c>
      <c r="C1257" s="10" t="s">
        <v>112</v>
      </c>
      <c r="D1257" s="10" t="s">
        <v>51</v>
      </c>
      <c r="E1257" s="10" t="s">
        <v>52</v>
      </c>
      <c r="F1257" s="10" t="s">
        <v>61</v>
      </c>
      <c r="G1257" s="10" t="b">
        <f>FALSE()</f>
        <v>0</v>
      </c>
      <c r="H1257" s="10">
        <v>1</v>
      </c>
      <c r="I1257" s="10">
        <v>1</v>
      </c>
      <c r="J1257" s="10">
        <v>1</v>
      </c>
      <c r="K1257" s="10">
        <v>12</v>
      </c>
      <c r="L1257" s="10">
        <v>29</v>
      </c>
      <c r="M1257" s="10">
        <v>1</v>
      </c>
      <c r="N1257" s="10">
        <v>15</v>
      </c>
      <c r="O1257" s="10">
        <v>15</v>
      </c>
    </row>
    <row r="1258" spans="1:15" x14ac:dyDescent="0.2">
      <c r="A1258" s="10" t="s">
        <v>586</v>
      </c>
      <c r="B1258" s="10" t="s">
        <v>587</v>
      </c>
      <c r="C1258" s="10" t="s">
        <v>50</v>
      </c>
      <c r="D1258" s="10" t="s">
        <v>51</v>
      </c>
      <c r="E1258" s="10" t="s">
        <v>52</v>
      </c>
      <c r="F1258" s="10" t="s">
        <v>345</v>
      </c>
      <c r="G1258" s="10" t="b">
        <f>FALSE()</f>
        <v>0</v>
      </c>
      <c r="H1258" s="10">
        <v>1</v>
      </c>
      <c r="I1258" s="10">
        <v>0</v>
      </c>
      <c r="J1258" s="10">
        <v>1</v>
      </c>
      <c r="K1258" s="10">
        <v>31</v>
      </c>
      <c r="L1258" s="10">
        <v>29</v>
      </c>
      <c r="M1258" s="10">
        <v>0</v>
      </c>
      <c r="N1258" s="10">
        <v>0</v>
      </c>
      <c r="O1258" s="10">
        <v>0</v>
      </c>
    </row>
    <row r="1259" spans="1:15" x14ac:dyDescent="0.2">
      <c r="A1259" s="10" t="s">
        <v>250</v>
      </c>
      <c r="B1259" s="10" t="s">
        <v>193</v>
      </c>
      <c r="C1259" s="10" t="s">
        <v>117</v>
      </c>
      <c r="D1259" s="10" t="s">
        <v>51</v>
      </c>
      <c r="E1259" s="10" t="s">
        <v>52</v>
      </c>
      <c r="F1259" s="10" t="s">
        <v>223</v>
      </c>
      <c r="G1259" s="10" t="b">
        <f>FALSE()</f>
        <v>0</v>
      </c>
      <c r="H1259" s="10">
        <v>1</v>
      </c>
      <c r="I1259" s="10">
        <v>0</v>
      </c>
      <c r="J1259" s="10">
        <v>0</v>
      </c>
      <c r="K1259" s="10">
        <v>0</v>
      </c>
      <c r="L1259" s="10">
        <v>29</v>
      </c>
      <c r="M1259" s="10">
        <v>0</v>
      </c>
      <c r="N1259" s="10">
        <v>0</v>
      </c>
      <c r="O1259" s="10">
        <v>0</v>
      </c>
    </row>
    <row r="1260" spans="1:15" x14ac:dyDescent="0.2">
      <c r="A1260" s="10" t="s">
        <v>835</v>
      </c>
      <c r="B1260" s="10" t="s">
        <v>193</v>
      </c>
      <c r="C1260" s="10" t="s">
        <v>117</v>
      </c>
      <c r="D1260" s="10" t="s">
        <v>51</v>
      </c>
      <c r="E1260" s="10" t="s">
        <v>52</v>
      </c>
      <c r="F1260" s="10" t="s">
        <v>190</v>
      </c>
      <c r="G1260" s="10" t="b">
        <f>TRUE()</f>
        <v>1</v>
      </c>
      <c r="H1260" s="10">
        <v>1</v>
      </c>
      <c r="I1260" s="10">
        <v>0</v>
      </c>
      <c r="J1260" s="10">
        <v>1</v>
      </c>
      <c r="K1260" s="10">
        <v>29</v>
      </c>
      <c r="L1260" s="10">
        <v>29</v>
      </c>
      <c r="M1260" s="10">
        <v>0</v>
      </c>
      <c r="N1260" s="10">
        <v>0</v>
      </c>
      <c r="O1260" s="10">
        <v>0</v>
      </c>
    </row>
    <row r="1261" spans="1:15" x14ac:dyDescent="0.2">
      <c r="A1261" s="10" t="s">
        <v>859</v>
      </c>
      <c r="B1261" s="10" t="s">
        <v>70</v>
      </c>
      <c r="C1261" s="10" t="s">
        <v>70</v>
      </c>
      <c r="D1261" s="10" t="s">
        <v>45</v>
      </c>
      <c r="E1261" s="10" t="s">
        <v>46</v>
      </c>
      <c r="F1261" s="10" t="s">
        <v>58</v>
      </c>
      <c r="G1261" s="10" t="b">
        <f>FALSE()</f>
        <v>0</v>
      </c>
      <c r="H1261" s="10">
        <v>1</v>
      </c>
      <c r="I1261" s="10">
        <v>1</v>
      </c>
      <c r="J1261" s="10">
        <v>1</v>
      </c>
      <c r="K1261" s="10">
        <v>57</v>
      </c>
      <c r="L1261" s="10">
        <v>28</v>
      </c>
      <c r="M1261" s="10">
        <v>1</v>
      </c>
      <c r="N1261" s="10">
        <v>26</v>
      </c>
      <c r="O1261" s="10">
        <v>26</v>
      </c>
    </row>
    <row r="1262" spans="1:15" x14ac:dyDescent="0.2">
      <c r="A1262" s="10" t="s">
        <v>860</v>
      </c>
      <c r="B1262" s="10" t="s">
        <v>456</v>
      </c>
      <c r="C1262" s="10" t="s">
        <v>245</v>
      </c>
      <c r="D1262" s="10" t="s">
        <v>51</v>
      </c>
      <c r="E1262" s="10" t="s">
        <v>52</v>
      </c>
      <c r="F1262" s="10" t="s">
        <v>183</v>
      </c>
      <c r="G1262" s="10" t="b">
        <f>FALSE()</f>
        <v>0</v>
      </c>
      <c r="H1262" s="10">
        <v>1</v>
      </c>
      <c r="I1262" s="10">
        <v>0</v>
      </c>
      <c r="J1262" s="10">
        <v>1</v>
      </c>
      <c r="K1262" s="10">
        <v>31</v>
      </c>
      <c r="L1262" s="10">
        <v>28</v>
      </c>
      <c r="M1262" s="10">
        <v>0</v>
      </c>
      <c r="N1262" s="10">
        <v>0</v>
      </c>
      <c r="O1262" s="10">
        <v>0</v>
      </c>
    </row>
    <row r="1263" spans="1:15" x14ac:dyDescent="0.2">
      <c r="A1263" s="10" t="s">
        <v>450</v>
      </c>
      <c r="B1263" s="10" t="s">
        <v>262</v>
      </c>
      <c r="C1263" s="10" t="s">
        <v>105</v>
      </c>
      <c r="D1263" s="10" t="s">
        <v>45</v>
      </c>
      <c r="E1263" s="10" t="s">
        <v>46</v>
      </c>
      <c r="F1263" s="10" t="s">
        <v>153</v>
      </c>
      <c r="G1263" s="10" t="b">
        <f>FALSE()</f>
        <v>0</v>
      </c>
      <c r="H1263" s="10">
        <v>1</v>
      </c>
      <c r="I1263" s="10">
        <v>0</v>
      </c>
      <c r="J1263" s="10">
        <v>1</v>
      </c>
      <c r="K1263" s="10">
        <v>26</v>
      </c>
      <c r="L1263" s="10">
        <v>28</v>
      </c>
      <c r="M1263" s="10">
        <v>0</v>
      </c>
      <c r="N1263" s="10">
        <v>0</v>
      </c>
      <c r="O1263" s="10">
        <v>0</v>
      </c>
    </row>
    <row r="1264" spans="1:15" x14ac:dyDescent="0.2">
      <c r="A1264" s="10" t="s">
        <v>550</v>
      </c>
      <c r="B1264" s="10" t="s">
        <v>72</v>
      </c>
      <c r="C1264" s="10" t="s">
        <v>73</v>
      </c>
      <c r="D1264" s="10" t="s">
        <v>45</v>
      </c>
      <c r="E1264" s="10" t="s">
        <v>46</v>
      </c>
      <c r="F1264" s="10" t="s">
        <v>79</v>
      </c>
      <c r="G1264" s="10" t="b">
        <f>FALSE()</f>
        <v>0</v>
      </c>
      <c r="H1264" s="10">
        <v>1</v>
      </c>
      <c r="I1264" s="10">
        <v>0</v>
      </c>
      <c r="J1264" s="10">
        <v>2</v>
      </c>
      <c r="K1264" s="10">
        <v>53</v>
      </c>
      <c r="L1264" s="10">
        <v>28</v>
      </c>
      <c r="M1264" s="10">
        <v>0</v>
      </c>
      <c r="N1264" s="10">
        <v>0</v>
      </c>
      <c r="O1264" s="10">
        <v>0</v>
      </c>
    </row>
    <row r="1265" spans="1:15" x14ac:dyDescent="0.2">
      <c r="A1265" s="10" t="s">
        <v>813</v>
      </c>
      <c r="B1265" s="10" t="s">
        <v>104</v>
      </c>
      <c r="C1265" s="10" t="s">
        <v>105</v>
      </c>
      <c r="D1265" s="10" t="s">
        <v>45</v>
      </c>
      <c r="E1265" s="10" t="s">
        <v>46</v>
      </c>
      <c r="F1265" s="10" t="s">
        <v>861</v>
      </c>
      <c r="G1265" s="10" t="b">
        <f>TRUE()</f>
        <v>1</v>
      </c>
      <c r="H1265" s="10">
        <v>1</v>
      </c>
      <c r="I1265" s="10">
        <v>0</v>
      </c>
      <c r="J1265" s="10">
        <v>0</v>
      </c>
      <c r="K1265" s="10">
        <v>0</v>
      </c>
      <c r="L1265" s="10">
        <v>28</v>
      </c>
      <c r="M1265" s="10">
        <v>0</v>
      </c>
      <c r="N1265" s="10">
        <v>0</v>
      </c>
      <c r="O1265" s="10">
        <v>0</v>
      </c>
    </row>
    <row r="1266" spans="1:15" x14ac:dyDescent="0.2">
      <c r="A1266" s="10" t="s">
        <v>862</v>
      </c>
      <c r="B1266" s="10" t="s">
        <v>498</v>
      </c>
      <c r="C1266" s="10" t="s">
        <v>245</v>
      </c>
      <c r="D1266" s="10" t="s">
        <v>51</v>
      </c>
      <c r="E1266" s="10" t="s">
        <v>52</v>
      </c>
      <c r="F1266" s="10" t="s">
        <v>53</v>
      </c>
      <c r="G1266" s="10" t="b">
        <f>FALSE()</f>
        <v>0</v>
      </c>
      <c r="H1266" s="10">
        <v>1</v>
      </c>
      <c r="I1266" s="10">
        <v>0</v>
      </c>
      <c r="J1266" s="10">
        <v>1</v>
      </c>
      <c r="K1266" s="10">
        <v>12</v>
      </c>
      <c r="L1266" s="10">
        <v>28</v>
      </c>
      <c r="M1266" s="10">
        <v>0</v>
      </c>
      <c r="N1266" s="10">
        <v>0</v>
      </c>
      <c r="O1266" s="10">
        <v>0</v>
      </c>
    </row>
    <row r="1267" spans="1:15" x14ac:dyDescent="0.2">
      <c r="A1267" s="10" t="s">
        <v>279</v>
      </c>
      <c r="B1267" s="10" t="s">
        <v>280</v>
      </c>
      <c r="C1267" s="10" t="s">
        <v>64</v>
      </c>
      <c r="D1267" s="10" t="s">
        <v>45</v>
      </c>
      <c r="E1267" s="10" t="s">
        <v>46</v>
      </c>
      <c r="F1267" s="10" t="s">
        <v>251</v>
      </c>
      <c r="G1267" s="10" t="b">
        <f>FALSE()</f>
        <v>0</v>
      </c>
      <c r="H1267" s="10">
        <v>1</v>
      </c>
      <c r="I1267" s="10">
        <v>0</v>
      </c>
      <c r="J1267" s="10">
        <v>1</v>
      </c>
      <c r="K1267" s="10">
        <v>29</v>
      </c>
      <c r="L1267" s="10">
        <v>28</v>
      </c>
      <c r="M1267" s="10">
        <v>0</v>
      </c>
      <c r="N1267" s="10">
        <v>0</v>
      </c>
      <c r="O1267" s="10">
        <v>0</v>
      </c>
    </row>
    <row r="1268" spans="1:15" x14ac:dyDescent="0.2">
      <c r="A1268" s="10" t="s">
        <v>863</v>
      </c>
      <c r="B1268" s="10" t="s">
        <v>104</v>
      </c>
      <c r="C1268" s="10" t="s">
        <v>105</v>
      </c>
      <c r="D1268" s="10" t="s">
        <v>45</v>
      </c>
      <c r="E1268" s="10" t="s">
        <v>46</v>
      </c>
      <c r="F1268" s="10" t="s">
        <v>85</v>
      </c>
      <c r="G1268" s="10" t="b">
        <f>FALSE()</f>
        <v>0</v>
      </c>
      <c r="H1268" s="10">
        <v>1</v>
      </c>
      <c r="I1268" s="10">
        <v>0</v>
      </c>
      <c r="J1268" s="10">
        <v>2</v>
      </c>
      <c r="K1268" s="10">
        <v>28</v>
      </c>
      <c r="L1268" s="10">
        <v>28</v>
      </c>
      <c r="M1268" s="10">
        <v>0</v>
      </c>
      <c r="N1268" s="10">
        <v>0</v>
      </c>
      <c r="O1268" s="10">
        <v>0</v>
      </c>
    </row>
    <row r="1269" spans="1:15" x14ac:dyDescent="0.2">
      <c r="A1269" s="10" t="s">
        <v>864</v>
      </c>
      <c r="B1269" s="10" t="s">
        <v>477</v>
      </c>
      <c r="C1269" s="10" t="s">
        <v>50</v>
      </c>
      <c r="D1269" s="10" t="s">
        <v>51</v>
      </c>
      <c r="E1269" s="10" t="s">
        <v>52</v>
      </c>
      <c r="F1269" s="10" t="s">
        <v>113</v>
      </c>
      <c r="G1269" s="10" t="b">
        <f>TRUE()</f>
        <v>1</v>
      </c>
      <c r="H1269" s="10">
        <v>1</v>
      </c>
      <c r="I1269" s="10">
        <v>0</v>
      </c>
      <c r="J1269" s="10">
        <v>1</v>
      </c>
      <c r="K1269" s="10">
        <v>32</v>
      </c>
      <c r="L1269" s="10">
        <v>28</v>
      </c>
      <c r="M1269" s="10">
        <v>0</v>
      </c>
      <c r="N1269" s="10">
        <v>0</v>
      </c>
      <c r="O1269" s="10">
        <v>0</v>
      </c>
    </row>
    <row r="1270" spans="1:15" x14ac:dyDescent="0.2">
      <c r="A1270" s="10" t="s">
        <v>800</v>
      </c>
      <c r="B1270" s="10" t="s">
        <v>163</v>
      </c>
      <c r="C1270" s="10" t="s">
        <v>90</v>
      </c>
      <c r="D1270" s="10" t="s">
        <v>51</v>
      </c>
      <c r="E1270" s="10" t="s">
        <v>52</v>
      </c>
      <c r="F1270" s="10" t="s">
        <v>251</v>
      </c>
      <c r="G1270" s="10" t="b">
        <f>FALSE()</f>
        <v>0</v>
      </c>
      <c r="H1270" s="10">
        <v>1</v>
      </c>
      <c r="I1270" s="10">
        <v>0</v>
      </c>
      <c r="J1270" s="10">
        <v>1</v>
      </c>
      <c r="K1270" s="10">
        <v>28</v>
      </c>
      <c r="L1270" s="10">
        <v>28</v>
      </c>
      <c r="M1270" s="10">
        <v>0</v>
      </c>
      <c r="N1270" s="10">
        <v>0</v>
      </c>
      <c r="O1270" s="10">
        <v>0</v>
      </c>
    </row>
    <row r="1271" spans="1:15" x14ac:dyDescent="0.2">
      <c r="A1271" s="10" t="s">
        <v>548</v>
      </c>
      <c r="B1271" s="10" t="s">
        <v>549</v>
      </c>
      <c r="C1271" s="10" t="s">
        <v>117</v>
      </c>
      <c r="D1271" s="10" t="s">
        <v>51</v>
      </c>
      <c r="E1271" s="10" t="s">
        <v>52</v>
      </c>
      <c r="F1271" s="10" t="s">
        <v>91</v>
      </c>
      <c r="G1271" s="10" t="b">
        <f>TRUE()</f>
        <v>1</v>
      </c>
      <c r="H1271" s="10">
        <v>1</v>
      </c>
      <c r="I1271" s="10">
        <v>0</v>
      </c>
      <c r="J1271" s="10">
        <v>1</v>
      </c>
      <c r="K1271" s="10">
        <v>28</v>
      </c>
      <c r="L1271" s="10">
        <v>28</v>
      </c>
      <c r="M1271" s="10">
        <v>0</v>
      </c>
      <c r="N1271" s="10">
        <v>0</v>
      </c>
      <c r="O1271" s="10">
        <v>0</v>
      </c>
    </row>
    <row r="1272" spans="1:15" x14ac:dyDescent="0.2">
      <c r="A1272" s="10" t="s">
        <v>865</v>
      </c>
      <c r="B1272" s="10" t="s">
        <v>493</v>
      </c>
      <c r="C1272" s="10" t="s">
        <v>117</v>
      </c>
      <c r="D1272" s="10" t="s">
        <v>51</v>
      </c>
      <c r="E1272" s="10" t="s">
        <v>52</v>
      </c>
      <c r="F1272" s="10" t="s">
        <v>102</v>
      </c>
      <c r="G1272" s="10" t="b">
        <f>TRUE()</f>
        <v>1</v>
      </c>
      <c r="H1272" s="10">
        <v>1</v>
      </c>
      <c r="I1272" s="10">
        <v>1</v>
      </c>
      <c r="J1272" s="10">
        <v>1</v>
      </c>
      <c r="K1272" s="10">
        <v>28</v>
      </c>
      <c r="L1272" s="10">
        <v>27</v>
      </c>
      <c r="M1272" s="10">
        <v>1</v>
      </c>
      <c r="N1272" s="10">
        <v>555</v>
      </c>
      <c r="O1272" s="10">
        <v>404</v>
      </c>
    </row>
    <row r="1273" spans="1:15" x14ac:dyDescent="0.2">
      <c r="A1273" s="10" t="s">
        <v>343</v>
      </c>
      <c r="B1273" s="10" t="s">
        <v>385</v>
      </c>
      <c r="C1273" s="10" t="s">
        <v>90</v>
      </c>
      <c r="D1273" s="10" t="s">
        <v>51</v>
      </c>
      <c r="E1273" s="10" t="s">
        <v>52</v>
      </c>
      <c r="F1273" s="10" t="s">
        <v>212</v>
      </c>
      <c r="G1273" s="10" t="b">
        <f>FALSE()</f>
        <v>0</v>
      </c>
      <c r="H1273" s="10">
        <v>1</v>
      </c>
      <c r="I1273" s="10">
        <v>1</v>
      </c>
      <c r="J1273" s="10">
        <v>1</v>
      </c>
      <c r="K1273" s="10">
        <v>89</v>
      </c>
      <c r="L1273" s="10">
        <v>27</v>
      </c>
      <c r="M1273" s="10">
        <v>1</v>
      </c>
      <c r="N1273" s="10">
        <v>46</v>
      </c>
      <c r="O1273" s="10">
        <v>33</v>
      </c>
    </row>
    <row r="1274" spans="1:15" x14ac:dyDescent="0.2">
      <c r="A1274" s="10" t="s">
        <v>866</v>
      </c>
      <c r="B1274" s="10" t="s">
        <v>652</v>
      </c>
      <c r="C1274" s="10" t="s">
        <v>117</v>
      </c>
      <c r="D1274" s="10" t="s">
        <v>51</v>
      </c>
      <c r="E1274" s="10" t="s">
        <v>52</v>
      </c>
      <c r="F1274" s="10" t="s">
        <v>345</v>
      </c>
      <c r="G1274" s="10" t="b">
        <f>FALSE()</f>
        <v>0</v>
      </c>
      <c r="H1274" s="10">
        <v>1</v>
      </c>
      <c r="I1274" s="10">
        <v>0</v>
      </c>
      <c r="J1274" s="10">
        <v>1</v>
      </c>
      <c r="K1274" s="10">
        <v>27</v>
      </c>
      <c r="L1274" s="10">
        <v>27</v>
      </c>
      <c r="M1274" s="10">
        <v>0</v>
      </c>
      <c r="N1274" s="10">
        <v>0</v>
      </c>
      <c r="O1274" s="10">
        <v>0</v>
      </c>
    </row>
    <row r="1275" spans="1:15" x14ac:dyDescent="0.2">
      <c r="A1275" s="10" t="s">
        <v>334</v>
      </c>
      <c r="B1275" s="10" t="s">
        <v>335</v>
      </c>
      <c r="C1275" s="10" t="s">
        <v>50</v>
      </c>
      <c r="D1275" s="10" t="s">
        <v>51</v>
      </c>
      <c r="E1275" s="10" t="s">
        <v>52</v>
      </c>
      <c r="F1275" s="10" t="s">
        <v>180</v>
      </c>
      <c r="G1275" s="10" t="b">
        <f>FALSE()</f>
        <v>0</v>
      </c>
      <c r="H1275" s="10">
        <v>1</v>
      </c>
      <c r="I1275" s="10">
        <v>0</v>
      </c>
      <c r="J1275" s="10">
        <v>2</v>
      </c>
      <c r="K1275" s="10">
        <v>30</v>
      </c>
      <c r="L1275" s="10">
        <v>27</v>
      </c>
      <c r="M1275" s="10">
        <v>0</v>
      </c>
      <c r="N1275" s="10">
        <v>0</v>
      </c>
      <c r="O1275" s="10">
        <v>0</v>
      </c>
    </row>
    <row r="1276" spans="1:15" x14ac:dyDescent="0.2">
      <c r="A1276" s="10" t="s">
        <v>250</v>
      </c>
      <c r="B1276" s="10" t="s">
        <v>193</v>
      </c>
      <c r="C1276" s="10" t="s">
        <v>117</v>
      </c>
      <c r="D1276" s="10" t="s">
        <v>51</v>
      </c>
      <c r="E1276" s="10" t="s">
        <v>52</v>
      </c>
      <c r="F1276" s="10" t="s">
        <v>588</v>
      </c>
      <c r="G1276" s="10" t="b">
        <f>TRUE()</f>
        <v>1</v>
      </c>
      <c r="H1276" s="10">
        <v>1</v>
      </c>
      <c r="I1276" s="10">
        <v>0</v>
      </c>
      <c r="J1276" s="10">
        <v>1</v>
      </c>
      <c r="K1276" s="10">
        <v>28</v>
      </c>
      <c r="L1276" s="10">
        <v>27</v>
      </c>
      <c r="M1276" s="10">
        <v>0</v>
      </c>
      <c r="N1276" s="10">
        <v>0</v>
      </c>
      <c r="O1276" s="10">
        <v>0</v>
      </c>
    </row>
    <row r="1277" spans="1:15" x14ac:dyDescent="0.2">
      <c r="A1277" s="10" t="s">
        <v>867</v>
      </c>
      <c r="B1277" s="10" t="s">
        <v>111</v>
      </c>
      <c r="C1277" s="10" t="s">
        <v>112</v>
      </c>
      <c r="D1277" s="10" t="s">
        <v>51</v>
      </c>
      <c r="E1277" s="10" t="s">
        <v>52</v>
      </c>
      <c r="F1277" s="10" t="s">
        <v>47</v>
      </c>
      <c r="G1277" s="10" t="b">
        <f>FALSE()</f>
        <v>0</v>
      </c>
      <c r="H1277" s="10">
        <v>1</v>
      </c>
      <c r="I1277" s="10">
        <v>0</v>
      </c>
      <c r="J1277" s="10">
        <v>1</v>
      </c>
      <c r="K1277" s="10">
        <v>50</v>
      </c>
      <c r="L1277" s="10">
        <v>27</v>
      </c>
      <c r="M1277" s="10">
        <v>0</v>
      </c>
      <c r="N1277" s="10">
        <v>0</v>
      </c>
      <c r="O1277" s="10">
        <v>0</v>
      </c>
    </row>
    <row r="1278" spans="1:15" x14ac:dyDescent="0.2">
      <c r="A1278" s="10" t="s">
        <v>790</v>
      </c>
      <c r="B1278" s="10" t="s">
        <v>405</v>
      </c>
      <c r="C1278" s="10" t="s">
        <v>112</v>
      </c>
      <c r="D1278" s="10" t="s">
        <v>51</v>
      </c>
      <c r="E1278" s="10" t="s">
        <v>52</v>
      </c>
      <c r="F1278" s="10" t="s">
        <v>132</v>
      </c>
      <c r="G1278" s="10" t="b">
        <f>FALSE()</f>
        <v>0</v>
      </c>
      <c r="H1278" s="10">
        <v>1</v>
      </c>
      <c r="I1278" s="10">
        <v>0</v>
      </c>
      <c r="J1278" s="10">
        <v>1</v>
      </c>
      <c r="K1278" s="10">
        <v>30</v>
      </c>
      <c r="L1278" s="10">
        <v>27</v>
      </c>
      <c r="M1278" s="10">
        <v>0</v>
      </c>
      <c r="N1278" s="10">
        <v>0</v>
      </c>
      <c r="O1278" s="10">
        <v>0</v>
      </c>
    </row>
    <row r="1279" spans="1:15" x14ac:dyDescent="0.2">
      <c r="A1279" s="10" t="s">
        <v>806</v>
      </c>
      <c r="B1279" s="10" t="s">
        <v>165</v>
      </c>
      <c r="C1279" s="10" t="s">
        <v>112</v>
      </c>
      <c r="D1279" s="10" t="s">
        <v>51</v>
      </c>
      <c r="E1279" s="10" t="s">
        <v>52</v>
      </c>
      <c r="F1279" s="10" t="s">
        <v>53</v>
      </c>
      <c r="G1279" s="10" t="b">
        <f>FALSE()</f>
        <v>0</v>
      </c>
      <c r="H1279" s="10">
        <v>1</v>
      </c>
      <c r="I1279" s="10">
        <v>0</v>
      </c>
      <c r="J1279" s="10">
        <v>1</v>
      </c>
      <c r="K1279" s="10">
        <v>28</v>
      </c>
      <c r="L1279" s="10">
        <v>27</v>
      </c>
      <c r="M1279" s="10">
        <v>0</v>
      </c>
      <c r="N1279" s="10">
        <v>0</v>
      </c>
      <c r="O1279" s="10">
        <v>0</v>
      </c>
    </row>
    <row r="1280" spans="1:15" x14ac:dyDescent="0.2">
      <c r="A1280" s="10" t="s">
        <v>868</v>
      </c>
      <c r="B1280" s="10" t="s">
        <v>89</v>
      </c>
      <c r="C1280" s="10" t="s">
        <v>90</v>
      </c>
      <c r="D1280" s="10" t="s">
        <v>51</v>
      </c>
      <c r="E1280" s="10" t="s">
        <v>52</v>
      </c>
      <c r="F1280" s="10" t="s">
        <v>190</v>
      </c>
      <c r="G1280" s="10" t="b">
        <f>TRUE()</f>
        <v>1</v>
      </c>
      <c r="H1280" s="10">
        <v>1</v>
      </c>
      <c r="I1280" s="10">
        <v>0</v>
      </c>
      <c r="J1280" s="10">
        <v>1</v>
      </c>
      <c r="K1280" s="10">
        <v>28</v>
      </c>
      <c r="L1280" s="10">
        <v>27</v>
      </c>
      <c r="M1280" s="10">
        <v>0</v>
      </c>
      <c r="N1280" s="10">
        <v>0</v>
      </c>
      <c r="O1280" s="10">
        <v>0</v>
      </c>
    </row>
    <row r="1281" spans="1:15" x14ac:dyDescent="0.2">
      <c r="A1281" s="10" t="s">
        <v>865</v>
      </c>
      <c r="B1281" s="10" t="s">
        <v>493</v>
      </c>
      <c r="C1281" s="10" t="s">
        <v>117</v>
      </c>
      <c r="D1281" s="10" t="s">
        <v>51</v>
      </c>
      <c r="E1281" s="10" t="s">
        <v>52</v>
      </c>
      <c r="F1281" s="10" t="s">
        <v>97</v>
      </c>
      <c r="G1281" s="10" t="b">
        <f>TRUE()</f>
        <v>1</v>
      </c>
      <c r="H1281" s="10">
        <v>1</v>
      </c>
      <c r="I1281" s="10">
        <v>1</v>
      </c>
      <c r="J1281" s="10">
        <v>1</v>
      </c>
      <c r="K1281" s="10">
        <v>54</v>
      </c>
      <c r="L1281" s="10">
        <v>26</v>
      </c>
      <c r="M1281" s="10">
        <v>1</v>
      </c>
      <c r="N1281" s="10">
        <v>242</v>
      </c>
      <c r="O1281" s="10">
        <v>217</v>
      </c>
    </row>
    <row r="1282" spans="1:15" x14ac:dyDescent="0.2">
      <c r="A1282" s="10" t="s">
        <v>592</v>
      </c>
      <c r="B1282" s="10" t="s">
        <v>405</v>
      </c>
      <c r="C1282" s="10" t="s">
        <v>117</v>
      </c>
      <c r="D1282" s="10" t="s">
        <v>51</v>
      </c>
      <c r="E1282" s="10" t="s">
        <v>52</v>
      </c>
      <c r="F1282" s="10" t="s">
        <v>363</v>
      </c>
      <c r="G1282" s="10" t="b">
        <f>FALSE()</f>
        <v>0</v>
      </c>
      <c r="H1282" s="10">
        <v>1</v>
      </c>
      <c r="I1282" s="10">
        <v>1</v>
      </c>
      <c r="J1282" s="10">
        <v>0</v>
      </c>
      <c r="K1282" s="10">
        <v>0</v>
      </c>
      <c r="L1282" s="10">
        <v>26</v>
      </c>
      <c r="M1282" s="10">
        <v>1</v>
      </c>
      <c r="N1282" s="10">
        <v>254</v>
      </c>
      <c r="O1282" s="10">
        <v>178</v>
      </c>
    </row>
    <row r="1283" spans="1:15" x14ac:dyDescent="0.2">
      <c r="A1283" s="10" t="s">
        <v>565</v>
      </c>
      <c r="B1283" s="10" t="s">
        <v>493</v>
      </c>
      <c r="C1283" s="10" t="s">
        <v>117</v>
      </c>
      <c r="D1283" s="10" t="s">
        <v>51</v>
      </c>
      <c r="E1283" s="10" t="s">
        <v>52</v>
      </c>
      <c r="F1283" s="10" t="s">
        <v>153</v>
      </c>
      <c r="G1283" s="10" t="b">
        <f>FALSE()</f>
        <v>0</v>
      </c>
      <c r="H1283" s="10">
        <v>1</v>
      </c>
      <c r="I1283" s="10">
        <v>1</v>
      </c>
      <c r="J1283" s="10">
        <v>2</v>
      </c>
      <c r="K1283" s="10">
        <v>47</v>
      </c>
      <c r="L1283" s="10">
        <v>26</v>
      </c>
      <c r="M1283" s="10">
        <v>1</v>
      </c>
      <c r="N1283" s="10">
        <v>102</v>
      </c>
      <c r="O1283" s="10">
        <v>86</v>
      </c>
    </row>
    <row r="1284" spans="1:15" x14ac:dyDescent="0.2">
      <c r="A1284" s="10" t="s">
        <v>374</v>
      </c>
      <c r="B1284" s="10" t="s">
        <v>375</v>
      </c>
      <c r="C1284" s="10" t="s">
        <v>117</v>
      </c>
      <c r="D1284" s="10" t="s">
        <v>51</v>
      </c>
      <c r="E1284" s="10" t="s">
        <v>52</v>
      </c>
      <c r="F1284" s="10" t="s">
        <v>251</v>
      </c>
      <c r="G1284" s="10" t="b">
        <f>FALSE()</f>
        <v>0</v>
      </c>
      <c r="H1284" s="10">
        <v>1</v>
      </c>
      <c r="I1284" s="10">
        <v>1</v>
      </c>
      <c r="J1284" s="10">
        <v>1</v>
      </c>
      <c r="K1284" s="10">
        <v>26</v>
      </c>
      <c r="L1284" s="10">
        <v>26</v>
      </c>
      <c r="M1284" s="10">
        <v>1</v>
      </c>
      <c r="N1284" s="10">
        <v>54</v>
      </c>
      <c r="O1284" s="10">
        <v>54</v>
      </c>
    </row>
    <row r="1285" spans="1:15" x14ac:dyDescent="0.2">
      <c r="A1285" s="10" t="s">
        <v>374</v>
      </c>
      <c r="B1285" s="10" t="s">
        <v>375</v>
      </c>
      <c r="C1285" s="10" t="s">
        <v>117</v>
      </c>
      <c r="D1285" s="10" t="s">
        <v>51</v>
      </c>
      <c r="E1285" s="10" t="s">
        <v>52</v>
      </c>
      <c r="F1285" s="10" t="s">
        <v>153</v>
      </c>
      <c r="G1285" s="10" t="b">
        <f>FALSE()</f>
        <v>0</v>
      </c>
      <c r="H1285" s="10">
        <v>1</v>
      </c>
      <c r="I1285" s="10">
        <v>1</v>
      </c>
      <c r="J1285" s="10">
        <v>1</v>
      </c>
      <c r="K1285" s="10">
        <v>26</v>
      </c>
      <c r="L1285" s="10">
        <v>26</v>
      </c>
      <c r="M1285" s="10">
        <v>1</v>
      </c>
      <c r="N1285" s="10">
        <v>52</v>
      </c>
      <c r="O1285" s="10">
        <v>52</v>
      </c>
    </row>
    <row r="1286" spans="1:15" x14ac:dyDescent="0.2">
      <c r="A1286" s="10" t="s">
        <v>869</v>
      </c>
      <c r="B1286" s="10" t="s">
        <v>485</v>
      </c>
      <c r="C1286" s="10" t="s">
        <v>245</v>
      </c>
      <c r="D1286" s="10" t="s">
        <v>51</v>
      </c>
      <c r="E1286" s="10" t="s">
        <v>52</v>
      </c>
      <c r="F1286" s="10" t="s">
        <v>74</v>
      </c>
      <c r="G1286" s="10" t="b">
        <f>FALSE()</f>
        <v>0</v>
      </c>
      <c r="H1286" s="10">
        <v>1</v>
      </c>
      <c r="I1286" s="10">
        <v>1</v>
      </c>
      <c r="J1286" s="10">
        <v>1</v>
      </c>
      <c r="K1286" s="10">
        <v>26</v>
      </c>
      <c r="L1286" s="10">
        <v>26</v>
      </c>
      <c r="M1286" s="10">
        <v>1</v>
      </c>
      <c r="N1286" s="10">
        <v>49</v>
      </c>
      <c r="O1286" s="10">
        <v>48</v>
      </c>
    </row>
    <row r="1287" spans="1:15" x14ac:dyDescent="0.2">
      <c r="A1287" s="10" t="s">
        <v>870</v>
      </c>
      <c r="B1287" s="10" t="s">
        <v>130</v>
      </c>
      <c r="C1287" s="10" t="s">
        <v>56</v>
      </c>
      <c r="D1287" s="10" t="s">
        <v>45</v>
      </c>
      <c r="E1287" s="10" t="s">
        <v>46</v>
      </c>
      <c r="F1287" s="10" t="s">
        <v>92</v>
      </c>
      <c r="G1287" s="10" t="b">
        <f>FALSE()</f>
        <v>0</v>
      </c>
      <c r="H1287" s="10">
        <v>1</v>
      </c>
      <c r="I1287" s="10">
        <v>1</v>
      </c>
      <c r="J1287" s="10">
        <v>1</v>
      </c>
      <c r="K1287" s="10">
        <v>67</v>
      </c>
      <c r="L1287" s="10">
        <v>26</v>
      </c>
      <c r="M1287" s="10">
        <v>1</v>
      </c>
      <c r="N1287" s="10">
        <v>16</v>
      </c>
      <c r="O1287" s="10">
        <v>16</v>
      </c>
    </row>
    <row r="1288" spans="1:15" x14ac:dyDescent="0.2">
      <c r="A1288" s="10" t="s">
        <v>250</v>
      </c>
      <c r="B1288" s="10" t="s">
        <v>193</v>
      </c>
      <c r="C1288" s="10" t="s">
        <v>117</v>
      </c>
      <c r="D1288" s="10" t="s">
        <v>51</v>
      </c>
      <c r="E1288" s="10" t="s">
        <v>52</v>
      </c>
      <c r="F1288" s="10" t="s">
        <v>220</v>
      </c>
      <c r="G1288" s="10" t="b">
        <f>FALSE()</f>
        <v>0</v>
      </c>
      <c r="H1288" s="10">
        <v>1</v>
      </c>
      <c r="I1288" s="10">
        <v>0</v>
      </c>
      <c r="J1288" s="10">
        <v>1</v>
      </c>
      <c r="K1288" s="10">
        <v>26</v>
      </c>
      <c r="L1288" s="10">
        <v>26</v>
      </c>
      <c r="M1288" s="10">
        <v>0</v>
      </c>
      <c r="N1288" s="10">
        <v>0</v>
      </c>
      <c r="O1288" s="10">
        <v>0</v>
      </c>
    </row>
    <row r="1289" spans="1:15" x14ac:dyDescent="0.2">
      <c r="A1289" s="10" t="s">
        <v>250</v>
      </c>
      <c r="B1289" s="10" t="s">
        <v>193</v>
      </c>
      <c r="C1289" s="10" t="s">
        <v>117</v>
      </c>
      <c r="D1289" s="10" t="s">
        <v>51</v>
      </c>
      <c r="E1289" s="10" t="s">
        <v>52</v>
      </c>
      <c r="F1289" s="10" t="s">
        <v>308</v>
      </c>
      <c r="G1289" s="10" t="b">
        <f>TRUE()</f>
        <v>1</v>
      </c>
      <c r="H1289" s="10">
        <v>1</v>
      </c>
      <c r="I1289" s="10">
        <v>0</v>
      </c>
      <c r="J1289" s="10">
        <v>1</v>
      </c>
      <c r="K1289" s="10">
        <v>26</v>
      </c>
      <c r="L1289" s="10">
        <v>26</v>
      </c>
      <c r="M1289" s="10">
        <v>0</v>
      </c>
      <c r="N1289" s="10">
        <v>0</v>
      </c>
      <c r="O1289" s="10">
        <v>0</v>
      </c>
    </row>
    <row r="1290" spans="1:15" x14ac:dyDescent="0.2">
      <c r="A1290" s="10" t="s">
        <v>804</v>
      </c>
      <c r="B1290" s="10" t="s">
        <v>111</v>
      </c>
      <c r="C1290" s="10" t="s">
        <v>112</v>
      </c>
      <c r="D1290" s="10" t="s">
        <v>51</v>
      </c>
      <c r="E1290" s="10" t="s">
        <v>52</v>
      </c>
      <c r="F1290" s="10" t="s">
        <v>61</v>
      </c>
      <c r="G1290" s="10" t="b">
        <f>FALSE()</f>
        <v>0</v>
      </c>
      <c r="H1290" s="10">
        <v>1</v>
      </c>
      <c r="I1290" s="10">
        <v>0</v>
      </c>
      <c r="J1290" s="10">
        <v>1</v>
      </c>
      <c r="K1290" s="10">
        <v>26</v>
      </c>
      <c r="L1290" s="10">
        <v>26</v>
      </c>
      <c r="M1290" s="10">
        <v>0</v>
      </c>
      <c r="N1290" s="10">
        <v>0</v>
      </c>
      <c r="O1290" s="10">
        <v>0</v>
      </c>
    </row>
    <row r="1291" spans="1:15" x14ac:dyDescent="0.2">
      <c r="A1291" s="10" t="s">
        <v>871</v>
      </c>
      <c r="B1291" s="10" t="s">
        <v>456</v>
      </c>
      <c r="C1291" s="10" t="s">
        <v>245</v>
      </c>
      <c r="D1291" s="10" t="s">
        <v>51</v>
      </c>
      <c r="E1291" s="10" t="s">
        <v>52</v>
      </c>
      <c r="F1291" s="10" t="s">
        <v>92</v>
      </c>
      <c r="G1291" s="10" t="b">
        <f>FALSE()</f>
        <v>0</v>
      </c>
      <c r="H1291" s="10">
        <v>1</v>
      </c>
      <c r="I1291" s="10">
        <v>0</v>
      </c>
      <c r="J1291" s="10">
        <v>1</v>
      </c>
      <c r="K1291" s="10">
        <v>27</v>
      </c>
      <c r="L1291" s="10">
        <v>26</v>
      </c>
      <c r="M1291" s="10">
        <v>0</v>
      </c>
      <c r="N1291" s="10">
        <v>0</v>
      </c>
      <c r="O1291" s="10">
        <v>0</v>
      </c>
    </row>
    <row r="1292" spans="1:15" x14ac:dyDescent="0.2">
      <c r="A1292" s="10" t="s">
        <v>872</v>
      </c>
      <c r="B1292" s="10" t="s">
        <v>846</v>
      </c>
      <c r="C1292" s="10" t="s">
        <v>50</v>
      </c>
      <c r="D1292" s="10" t="s">
        <v>51</v>
      </c>
      <c r="E1292" s="10" t="s">
        <v>52</v>
      </c>
      <c r="F1292" s="10" t="s">
        <v>180</v>
      </c>
      <c r="G1292" s="10" t="b">
        <f>FALSE()</f>
        <v>0</v>
      </c>
      <c r="H1292" s="10">
        <v>1</v>
      </c>
      <c r="I1292" s="10">
        <v>0</v>
      </c>
      <c r="J1292" s="10">
        <v>1</v>
      </c>
      <c r="K1292" s="10">
        <v>40</v>
      </c>
      <c r="L1292" s="10">
        <v>26</v>
      </c>
      <c r="M1292" s="10">
        <v>0</v>
      </c>
      <c r="N1292" s="10">
        <v>0</v>
      </c>
      <c r="O1292" s="10">
        <v>0</v>
      </c>
    </row>
    <row r="1293" spans="1:15" x14ac:dyDescent="0.2">
      <c r="A1293" s="10" t="s">
        <v>529</v>
      </c>
      <c r="B1293" s="10" t="s">
        <v>172</v>
      </c>
      <c r="C1293" s="10" t="s">
        <v>44</v>
      </c>
      <c r="D1293" s="10" t="s">
        <v>45</v>
      </c>
      <c r="E1293" s="10" t="s">
        <v>46</v>
      </c>
      <c r="F1293" s="10" t="s">
        <v>373</v>
      </c>
      <c r="G1293" s="10" t="b">
        <f>FALSE()</f>
        <v>0</v>
      </c>
      <c r="H1293" s="10">
        <v>1</v>
      </c>
      <c r="I1293" s="10">
        <v>1</v>
      </c>
      <c r="J1293" s="10">
        <v>3</v>
      </c>
      <c r="K1293" s="10">
        <v>165</v>
      </c>
      <c r="L1293" s="10">
        <v>25</v>
      </c>
      <c r="M1293" s="10">
        <v>1</v>
      </c>
      <c r="N1293" s="10">
        <v>1556</v>
      </c>
      <c r="O1293" s="10">
        <v>1506</v>
      </c>
    </row>
    <row r="1294" spans="1:15" x14ac:dyDescent="0.2">
      <c r="A1294" s="10" t="s">
        <v>325</v>
      </c>
      <c r="B1294" s="10" t="s">
        <v>89</v>
      </c>
      <c r="C1294" s="10" t="s">
        <v>90</v>
      </c>
      <c r="D1294" s="10" t="s">
        <v>51</v>
      </c>
      <c r="E1294" s="10" t="s">
        <v>52</v>
      </c>
      <c r="F1294" s="10" t="s">
        <v>91</v>
      </c>
      <c r="G1294" s="10" t="b">
        <f>TRUE()</f>
        <v>1</v>
      </c>
      <c r="H1294" s="10">
        <v>1</v>
      </c>
      <c r="I1294" s="10">
        <v>1</v>
      </c>
      <c r="J1294" s="10">
        <v>1</v>
      </c>
      <c r="K1294" s="10">
        <v>27</v>
      </c>
      <c r="L1294" s="10">
        <v>25</v>
      </c>
      <c r="M1294" s="10">
        <v>1</v>
      </c>
      <c r="N1294" s="10">
        <v>574</v>
      </c>
      <c r="O1294" s="10">
        <v>557</v>
      </c>
    </row>
    <row r="1295" spans="1:15" x14ac:dyDescent="0.2">
      <c r="A1295" s="10" t="s">
        <v>154</v>
      </c>
      <c r="B1295" s="10" t="s">
        <v>104</v>
      </c>
      <c r="C1295" s="10" t="s">
        <v>105</v>
      </c>
      <c r="D1295" s="10" t="s">
        <v>45</v>
      </c>
      <c r="E1295" s="10" t="s">
        <v>46</v>
      </c>
      <c r="F1295" s="10" t="s">
        <v>219</v>
      </c>
      <c r="G1295" s="10" t="b">
        <f>FALSE()</f>
        <v>0</v>
      </c>
      <c r="H1295" s="10">
        <v>1</v>
      </c>
      <c r="I1295" s="10">
        <v>1</v>
      </c>
      <c r="J1295" s="10">
        <v>1</v>
      </c>
      <c r="K1295" s="10">
        <v>25</v>
      </c>
      <c r="L1295" s="10">
        <v>25</v>
      </c>
      <c r="M1295" s="10">
        <v>1</v>
      </c>
      <c r="N1295" s="10">
        <v>192</v>
      </c>
      <c r="O1295" s="10">
        <v>187</v>
      </c>
    </row>
    <row r="1296" spans="1:15" x14ac:dyDescent="0.2">
      <c r="A1296" s="10" t="s">
        <v>429</v>
      </c>
      <c r="B1296" s="10" t="s">
        <v>169</v>
      </c>
      <c r="C1296" s="10" t="s">
        <v>117</v>
      </c>
      <c r="D1296" s="10" t="s">
        <v>51</v>
      </c>
      <c r="E1296" s="10" t="s">
        <v>52</v>
      </c>
      <c r="F1296" s="10" t="s">
        <v>251</v>
      </c>
      <c r="G1296" s="10" t="b">
        <f>FALSE()</f>
        <v>0</v>
      </c>
      <c r="H1296" s="10">
        <v>1</v>
      </c>
      <c r="I1296" s="10">
        <v>1</v>
      </c>
      <c r="J1296" s="10">
        <v>1</v>
      </c>
      <c r="K1296" s="10">
        <v>27</v>
      </c>
      <c r="L1296" s="10">
        <v>25</v>
      </c>
      <c r="M1296" s="10">
        <v>1</v>
      </c>
      <c r="N1296" s="10">
        <v>178</v>
      </c>
      <c r="O1296" s="10">
        <v>177</v>
      </c>
    </row>
    <row r="1297" spans="1:15" x14ac:dyDescent="0.2">
      <c r="A1297" s="10" t="s">
        <v>873</v>
      </c>
      <c r="B1297" s="10" t="s">
        <v>70</v>
      </c>
      <c r="C1297" s="10" t="s">
        <v>70</v>
      </c>
      <c r="D1297" s="10" t="s">
        <v>45</v>
      </c>
      <c r="E1297" s="10" t="s">
        <v>46</v>
      </c>
      <c r="F1297" s="10" t="s">
        <v>204</v>
      </c>
      <c r="G1297" s="10" t="b">
        <f>FALSE()</f>
        <v>0</v>
      </c>
      <c r="H1297" s="10">
        <v>1</v>
      </c>
      <c r="I1297" s="10">
        <v>1</v>
      </c>
      <c r="J1297" s="10">
        <v>1</v>
      </c>
      <c r="K1297" s="10">
        <v>31</v>
      </c>
      <c r="L1297" s="10">
        <v>25</v>
      </c>
      <c r="M1297" s="10">
        <v>1</v>
      </c>
      <c r="N1297" s="10">
        <v>165</v>
      </c>
      <c r="O1297" s="10">
        <v>165</v>
      </c>
    </row>
    <row r="1298" spans="1:15" x14ac:dyDescent="0.2">
      <c r="A1298" s="10" t="s">
        <v>343</v>
      </c>
      <c r="B1298" s="10" t="s">
        <v>385</v>
      </c>
      <c r="C1298" s="10" t="s">
        <v>90</v>
      </c>
      <c r="D1298" s="10" t="s">
        <v>51</v>
      </c>
      <c r="E1298" s="10" t="s">
        <v>52</v>
      </c>
      <c r="F1298" s="10" t="s">
        <v>153</v>
      </c>
      <c r="G1298" s="10" t="b">
        <f>FALSE()</f>
        <v>0</v>
      </c>
      <c r="H1298" s="10">
        <v>1</v>
      </c>
      <c r="I1298" s="10">
        <v>1</v>
      </c>
      <c r="J1298" s="10">
        <v>1</v>
      </c>
      <c r="K1298" s="10">
        <v>75</v>
      </c>
      <c r="L1298" s="10">
        <v>25</v>
      </c>
      <c r="M1298" s="10">
        <v>1</v>
      </c>
      <c r="N1298" s="10">
        <v>152</v>
      </c>
      <c r="O1298" s="10">
        <v>151</v>
      </c>
    </row>
    <row r="1299" spans="1:15" x14ac:dyDescent="0.2">
      <c r="A1299" s="10" t="s">
        <v>512</v>
      </c>
      <c r="B1299" s="10" t="s">
        <v>513</v>
      </c>
      <c r="C1299" s="10" t="s">
        <v>64</v>
      </c>
      <c r="D1299" s="10" t="s">
        <v>45</v>
      </c>
      <c r="E1299" s="10" t="s">
        <v>46</v>
      </c>
      <c r="F1299" s="10" t="s">
        <v>251</v>
      </c>
      <c r="G1299" s="10" t="b">
        <f>FALSE()</f>
        <v>0</v>
      </c>
      <c r="H1299" s="10">
        <v>1</v>
      </c>
      <c r="I1299" s="10">
        <v>1</v>
      </c>
      <c r="J1299" s="10">
        <v>1</v>
      </c>
      <c r="K1299" s="10">
        <v>25</v>
      </c>
      <c r="L1299" s="10">
        <v>25</v>
      </c>
      <c r="M1299" s="10">
        <v>1</v>
      </c>
      <c r="N1299" s="10">
        <v>75</v>
      </c>
      <c r="O1299" s="10">
        <v>75</v>
      </c>
    </row>
    <row r="1300" spans="1:15" x14ac:dyDescent="0.2">
      <c r="A1300" s="10" t="s">
        <v>763</v>
      </c>
      <c r="B1300" s="10" t="s">
        <v>562</v>
      </c>
      <c r="C1300" s="10" t="s">
        <v>245</v>
      </c>
      <c r="D1300" s="10" t="s">
        <v>51</v>
      </c>
      <c r="E1300" s="10" t="s">
        <v>52</v>
      </c>
      <c r="F1300" s="10" t="s">
        <v>183</v>
      </c>
      <c r="G1300" s="10" t="b">
        <f>FALSE()</f>
        <v>0</v>
      </c>
      <c r="H1300" s="10">
        <v>1</v>
      </c>
      <c r="I1300" s="10">
        <v>1</v>
      </c>
      <c r="J1300" s="10">
        <v>1</v>
      </c>
      <c r="K1300" s="10">
        <v>26</v>
      </c>
      <c r="L1300" s="10">
        <v>25</v>
      </c>
      <c r="M1300" s="10">
        <v>1</v>
      </c>
      <c r="N1300" s="10">
        <v>140</v>
      </c>
      <c r="O1300" s="10">
        <v>61</v>
      </c>
    </row>
    <row r="1301" spans="1:15" x14ac:dyDescent="0.2">
      <c r="A1301" s="10" t="s">
        <v>614</v>
      </c>
      <c r="B1301" s="10" t="s">
        <v>730</v>
      </c>
      <c r="C1301" s="10" t="s">
        <v>90</v>
      </c>
      <c r="D1301" s="10" t="s">
        <v>51</v>
      </c>
      <c r="E1301" s="10" t="s">
        <v>52</v>
      </c>
      <c r="F1301" s="10" t="s">
        <v>92</v>
      </c>
      <c r="G1301" s="10" t="b">
        <f>FALSE()</f>
        <v>0</v>
      </c>
      <c r="H1301" s="10">
        <v>1</v>
      </c>
      <c r="I1301" s="10">
        <v>1</v>
      </c>
      <c r="J1301" s="10">
        <v>1</v>
      </c>
      <c r="K1301" s="10">
        <v>25</v>
      </c>
      <c r="L1301" s="10">
        <v>25</v>
      </c>
      <c r="M1301" s="10">
        <v>1</v>
      </c>
      <c r="N1301" s="10">
        <v>44</v>
      </c>
      <c r="O1301" s="10">
        <v>44</v>
      </c>
    </row>
    <row r="1302" spans="1:15" x14ac:dyDescent="0.2">
      <c r="A1302" s="10" t="s">
        <v>824</v>
      </c>
      <c r="B1302" s="10" t="s">
        <v>244</v>
      </c>
      <c r="C1302" s="10" t="s">
        <v>245</v>
      </c>
      <c r="D1302" s="10" t="s">
        <v>51</v>
      </c>
      <c r="E1302" s="10" t="s">
        <v>52</v>
      </c>
      <c r="F1302" s="10" t="s">
        <v>123</v>
      </c>
      <c r="G1302" s="10" t="b">
        <f>FALSE()</f>
        <v>0</v>
      </c>
      <c r="H1302" s="10">
        <v>1</v>
      </c>
      <c r="I1302" s="10">
        <v>1</v>
      </c>
      <c r="J1302" s="10">
        <v>1</v>
      </c>
      <c r="K1302" s="10">
        <v>51</v>
      </c>
      <c r="L1302" s="10">
        <v>25</v>
      </c>
      <c r="M1302" s="10">
        <v>1</v>
      </c>
      <c r="N1302" s="10">
        <v>36</v>
      </c>
      <c r="O1302" s="10">
        <v>30</v>
      </c>
    </row>
    <row r="1303" spans="1:15" x14ac:dyDescent="0.2">
      <c r="A1303" s="10" t="s">
        <v>614</v>
      </c>
      <c r="B1303" s="10" t="s">
        <v>730</v>
      </c>
      <c r="C1303" s="10" t="s">
        <v>90</v>
      </c>
      <c r="D1303" s="10" t="s">
        <v>51</v>
      </c>
      <c r="E1303" s="10" t="s">
        <v>52</v>
      </c>
      <c r="F1303" s="10" t="s">
        <v>61</v>
      </c>
      <c r="G1303" s="10" t="b">
        <f>FALSE()</f>
        <v>0</v>
      </c>
      <c r="H1303" s="10">
        <v>1</v>
      </c>
      <c r="I1303" s="10">
        <v>1</v>
      </c>
      <c r="J1303" s="10">
        <v>1</v>
      </c>
      <c r="K1303" s="10">
        <v>25</v>
      </c>
      <c r="L1303" s="10">
        <v>25</v>
      </c>
      <c r="M1303" s="10">
        <v>1</v>
      </c>
      <c r="N1303" s="10">
        <v>25</v>
      </c>
      <c r="O1303" s="10">
        <v>25</v>
      </c>
    </row>
    <row r="1304" spans="1:15" x14ac:dyDescent="0.2">
      <c r="A1304" s="10" t="s">
        <v>733</v>
      </c>
      <c r="B1304" s="10" t="s">
        <v>89</v>
      </c>
      <c r="C1304" s="10" t="s">
        <v>90</v>
      </c>
      <c r="D1304" s="10" t="s">
        <v>51</v>
      </c>
      <c r="E1304" s="10" t="s">
        <v>52</v>
      </c>
      <c r="F1304" s="10" t="s">
        <v>393</v>
      </c>
      <c r="G1304" s="10" t="b">
        <f>FALSE()</f>
        <v>0</v>
      </c>
      <c r="H1304" s="10">
        <v>1</v>
      </c>
      <c r="I1304" s="10">
        <v>1</v>
      </c>
      <c r="J1304" s="10">
        <v>1</v>
      </c>
      <c r="K1304" s="10">
        <v>25</v>
      </c>
      <c r="L1304" s="10">
        <v>25</v>
      </c>
      <c r="M1304" s="10">
        <v>1</v>
      </c>
      <c r="N1304" s="10">
        <v>25</v>
      </c>
      <c r="O1304" s="10">
        <v>25</v>
      </c>
    </row>
    <row r="1305" spans="1:15" x14ac:dyDescent="0.2">
      <c r="A1305" s="10" t="s">
        <v>681</v>
      </c>
      <c r="B1305" s="10" t="s">
        <v>43</v>
      </c>
      <c r="C1305" s="10" t="s">
        <v>44</v>
      </c>
      <c r="D1305" s="10" t="s">
        <v>45</v>
      </c>
      <c r="E1305" s="10" t="s">
        <v>46</v>
      </c>
      <c r="F1305" s="10" t="s">
        <v>79</v>
      </c>
      <c r="G1305" s="10" t="b">
        <f>FALSE()</f>
        <v>0</v>
      </c>
      <c r="H1305" s="10">
        <v>1</v>
      </c>
      <c r="I1305" s="10">
        <v>1</v>
      </c>
      <c r="J1305" s="10">
        <v>1</v>
      </c>
      <c r="K1305" s="10">
        <v>25</v>
      </c>
      <c r="L1305" s="10">
        <v>25</v>
      </c>
      <c r="M1305" s="10">
        <v>1</v>
      </c>
      <c r="N1305" s="10">
        <v>24</v>
      </c>
      <c r="O1305" s="10">
        <v>23</v>
      </c>
    </row>
    <row r="1306" spans="1:15" x14ac:dyDescent="0.2">
      <c r="A1306" s="10" t="s">
        <v>131</v>
      </c>
      <c r="B1306" s="10" t="s">
        <v>70</v>
      </c>
      <c r="C1306" s="10" t="s">
        <v>70</v>
      </c>
      <c r="D1306" s="10" t="s">
        <v>45</v>
      </c>
      <c r="E1306" s="10" t="s">
        <v>46</v>
      </c>
      <c r="F1306" s="10" t="s">
        <v>186</v>
      </c>
      <c r="G1306" s="10" t="b">
        <f>TRUE()</f>
        <v>1</v>
      </c>
      <c r="H1306" s="10">
        <v>1</v>
      </c>
      <c r="I1306" s="10">
        <v>1</v>
      </c>
      <c r="J1306" s="10">
        <v>1</v>
      </c>
      <c r="K1306" s="10">
        <v>25</v>
      </c>
      <c r="L1306" s="10">
        <v>25</v>
      </c>
      <c r="M1306" s="10">
        <v>1</v>
      </c>
      <c r="N1306" s="10">
        <v>20</v>
      </c>
      <c r="O1306" s="10">
        <v>20</v>
      </c>
    </row>
    <row r="1307" spans="1:15" x14ac:dyDescent="0.2">
      <c r="A1307" s="10" t="s">
        <v>874</v>
      </c>
      <c r="B1307" s="10" t="s">
        <v>122</v>
      </c>
      <c r="C1307" s="10" t="s">
        <v>112</v>
      </c>
      <c r="D1307" s="10" t="s">
        <v>51</v>
      </c>
      <c r="E1307" s="10" t="s">
        <v>52</v>
      </c>
      <c r="F1307" s="10" t="s">
        <v>251</v>
      </c>
      <c r="G1307" s="10" t="b">
        <f>FALSE()</f>
        <v>0</v>
      </c>
      <c r="H1307" s="10">
        <v>1</v>
      </c>
      <c r="I1307" s="10">
        <v>1</v>
      </c>
      <c r="J1307" s="10">
        <v>1</v>
      </c>
      <c r="K1307" s="10">
        <v>25</v>
      </c>
      <c r="L1307" s="10">
        <v>25</v>
      </c>
      <c r="M1307" s="10">
        <v>1</v>
      </c>
      <c r="N1307" s="10">
        <v>19</v>
      </c>
      <c r="O1307" s="10">
        <v>19</v>
      </c>
    </row>
    <row r="1308" spans="1:15" x14ac:dyDescent="0.2">
      <c r="A1308" s="10" t="s">
        <v>875</v>
      </c>
      <c r="B1308" s="10" t="s">
        <v>513</v>
      </c>
      <c r="C1308" s="10" t="s">
        <v>64</v>
      </c>
      <c r="D1308" s="10" t="s">
        <v>45</v>
      </c>
      <c r="E1308" s="10" t="s">
        <v>46</v>
      </c>
      <c r="F1308" s="10" t="s">
        <v>85</v>
      </c>
      <c r="G1308" s="10" t="b">
        <f>FALSE()</f>
        <v>0</v>
      </c>
      <c r="H1308" s="10">
        <v>1</v>
      </c>
      <c r="I1308" s="10">
        <v>1</v>
      </c>
      <c r="J1308" s="10">
        <v>1</v>
      </c>
      <c r="K1308" s="10">
        <v>25</v>
      </c>
      <c r="L1308" s="10">
        <v>25</v>
      </c>
      <c r="M1308" s="10">
        <v>1</v>
      </c>
      <c r="N1308" s="10">
        <v>10</v>
      </c>
      <c r="O1308" s="10">
        <v>10</v>
      </c>
    </row>
    <row r="1309" spans="1:15" x14ac:dyDescent="0.2">
      <c r="A1309" s="10" t="s">
        <v>738</v>
      </c>
      <c r="B1309" s="10" t="s">
        <v>234</v>
      </c>
      <c r="C1309" s="10" t="s">
        <v>90</v>
      </c>
      <c r="D1309" s="10" t="s">
        <v>51</v>
      </c>
      <c r="E1309" s="10" t="s">
        <v>52</v>
      </c>
      <c r="F1309" s="10" t="s">
        <v>318</v>
      </c>
      <c r="G1309" s="10" t="b">
        <f>FALSE()</f>
        <v>0</v>
      </c>
      <c r="H1309" s="10">
        <v>1</v>
      </c>
      <c r="I1309" s="10">
        <v>0</v>
      </c>
      <c r="J1309" s="10">
        <v>1</v>
      </c>
      <c r="K1309" s="10">
        <v>25</v>
      </c>
      <c r="L1309" s="10">
        <v>25</v>
      </c>
      <c r="M1309" s="10">
        <v>0</v>
      </c>
      <c r="N1309" s="10">
        <v>0</v>
      </c>
      <c r="O1309" s="10">
        <v>0</v>
      </c>
    </row>
    <row r="1310" spans="1:15" x14ac:dyDescent="0.2">
      <c r="A1310" s="10" t="s">
        <v>738</v>
      </c>
      <c r="B1310" s="10" t="s">
        <v>234</v>
      </c>
      <c r="C1310" s="10" t="s">
        <v>90</v>
      </c>
      <c r="D1310" s="10" t="s">
        <v>51</v>
      </c>
      <c r="E1310" s="10" t="s">
        <v>52</v>
      </c>
      <c r="F1310" s="10" t="s">
        <v>345</v>
      </c>
      <c r="G1310" s="10" t="b">
        <f>FALSE()</f>
        <v>0</v>
      </c>
      <c r="H1310" s="10">
        <v>1</v>
      </c>
      <c r="I1310" s="10">
        <v>0</v>
      </c>
      <c r="J1310" s="10">
        <v>1</v>
      </c>
      <c r="K1310" s="10">
        <v>50</v>
      </c>
      <c r="L1310" s="10">
        <v>25</v>
      </c>
      <c r="M1310" s="10">
        <v>0</v>
      </c>
      <c r="N1310" s="10">
        <v>0</v>
      </c>
      <c r="O1310" s="10">
        <v>0</v>
      </c>
    </row>
    <row r="1311" spans="1:15" x14ac:dyDescent="0.2">
      <c r="A1311" s="10" t="s">
        <v>739</v>
      </c>
      <c r="B1311" s="10" t="s">
        <v>109</v>
      </c>
      <c r="C1311" s="10" t="s">
        <v>90</v>
      </c>
      <c r="D1311" s="10" t="s">
        <v>51</v>
      </c>
      <c r="E1311" s="10" t="s">
        <v>52</v>
      </c>
      <c r="F1311" s="10" t="s">
        <v>318</v>
      </c>
      <c r="G1311" s="10" t="b">
        <f>FALSE()</f>
        <v>0</v>
      </c>
      <c r="H1311" s="10">
        <v>1</v>
      </c>
      <c r="I1311" s="10">
        <v>0</v>
      </c>
      <c r="J1311" s="10">
        <v>1</v>
      </c>
      <c r="K1311" s="10">
        <v>25</v>
      </c>
      <c r="L1311" s="10">
        <v>25</v>
      </c>
      <c r="M1311" s="10">
        <v>0</v>
      </c>
      <c r="N1311" s="10">
        <v>0</v>
      </c>
      <c r="O1311" s="10">
        <v>0</v>
      </c>
    </row>
    <row r="1312" spans="1:15" x14ac:dyDescent="0.2">
      <c r="A1312" s="10" t="s">
        <v>316</v>
      </c>
      <c r="B1312" s="10" t="s">
        <v>317</v>
      </c>
      <c r="C1312" s="10" t="s">
        <v>90</v>
      </c>
      <c r="D1312" s="10" t="s">
        <v>51</v>
      </c>
      <c r="E1312" s="10" t="s">
        <v>52</v>
      </c>
      <c r="F1312" s="10" t="s">
        <v>180</v>
      </c>
      <c r="G1312" s="10" t="b">
        <f>FALSE()</f>
        <v>0</v>
      </c>
      <c r="H1312" s="10">
        <v>1</v>
      </c>
      <c r="I1312" s="10">
        <v>0</v>
      </c>
      <c r="J1312" s="10">
        <v>1</v>
      </c>
      <c r="K1312" s="10">
        <v>32</v>
      </c>
      <c r="L1312" s="10">
        <v>25</v>
      </c>
      <c r="M1312" s="10">
        <v>0</v>
      </c>
      <c r="N1312" s="10">
        <v>0</v>
      </c>
      <c r="O1312" s="10">
        <v>0</v>
      </c>
    </row>
    <row r="1313" spans="1:15" x14ac:dyDescent="0.2">
      <c r="A1313" s="10" t="s">
        <v>474</v>
      </c>
      <c r="B1313" s="10" t="s">
        <v>385</v>
      </c>
      <c r="C1313" s="10" t="s">
        <v>90</v>
      </c>
      <c r="D1313" s="10" t="s">
        <v>51</v>
      </c>
      <c r="E1313" s="10" t="s">
        <v>52</v>
      </c>
      <c r="F1313" s="10" t="s">
        <v>318</v>
      </c>
      <c r="G1313" s="10" t="b">
        <f>FALSE()</f>
        <v>0</v>
      </c>
      <c r="H1313" s="10">
        <v>1</v>
      </c>
      <c r="I1313" s="10">
        <v>0</v>
      </c>
      <c r="J1313" s="10">
        <v>1</v>
      </c>
      <c r="K1313" s="10">
        <v>25</v>
      </c>
      <c r="L1313" s="10">
        <v>25</v>
      </c>
      <c r="M1313" s="10">
        <v>0</v>
      </c>
      <c r="N1313" s="10">
        <v>0</v>
      </c>
      <c r="O1313" s="10">
        <v>0</v>
      </c>
    </row>
    <row r="1314" spans="1:15" x14ac:dyDescent="0.2">
      <c r="A1314" s="10" t="s">
        <v>876</v>
      </c>
      <c r="B1314" s="10" t="s">
        <v>163</v>
      </c>
      <c r="C1314" s="10" t="s">
        <v>90</v>
      </c>
      <c r="D1314" s="10" t="s">
        <v>51</v>
      </c>
      <c r="E1314" s="10" t="s">
        <v>52</v>
      </c>
      <c r="F1314" s="10" t="s">
        <v>345</v>
      </c>
      <c r="G1314" s="10" t="b">
        <f>FALSE()</f>
        <v>0</v>
      </c>
      <c r="H1314" s="10">
        <v>1</v>
      </c>
      <c r="I1314" s="10">
        <v>0</v>
      </c>
      <c r="J1314" s="10">
        <v>1</v>
      </c>
      <c r="K1314" s="10">
        <v>25</v>
      </c>
      <c r="L1314" s="10">
        <v>25</v>
      </c>
      <c r="M1314" s="10">
        <v>0</v>
      </c>
      <c r="N1314" s="10">
        <v>0</v>
      </c>
      <c r="O1314" s="10">
        <v>0</v>
      </c>
    </row>
    <row r="1315" spans="1:15" x14ac:dyDescent="0.2">
      <c r="A1315" s="10" t="s">
        <v>639</v>
      </c>
      <c r="B1315" s="10" t="s">
        <v>163</v>
      </c>
      <c r="C1315" s="10" t="s">
        <v>90</v>
      </c>
      <c r="D1315" s="10" t="s">
        <v>51</v>
      </c>
      <c r="E1315" s="10" t="s">
        <v>52</v>
      </c>
      <c r="F1315" s="10" t="s">
        <v>877</v>
      </c>
      <c r="G1315" s="10" t="b">
        <f>FALSE()</f>
        <v>0</v>
      </c>
      <c r="H1315" s="10">
        <v>1</v>
      </c>
      <c r="I1315" s="10">
        <v>0</v>
      </c>
      <c r="J1315" s="10">
        <v>1</v>
      </c>
      <c r="K1315" s="10">
        <v>25</v>
      </c>
      <c r="L1315" s="10">
        <v>25</v>
      </c>
      <c r="M1315" s="10">
        <v>0</v>
      </c>
      <c r="N1315" s="10">
        <v>0</v>
      </c>
      <c r="O1315" s="10">
        <v>0</v>
      </c>
    </row>
    <row r="1316" spans="1:15" x14ac:dyDescent="0.2">
      <c r="A1316" s="10" t="s">
        <v>612</v>
      </c>
      <c r="B1316" s="10" t="s">
        <v>249</v>
      </c>
      <c r="C1316" s="10" t="s">
        <v>90</v>
      </c>
      <c r="D1316" s="10" t="s">
        <v>51</v>
      </c>
      <c r="E1316" s="10" t="s">
        <v>52</v>
      </c>
      <c r="F1316" s="10" t="s">
        <v>318</v>
      </c>
      <c r="G1316" s="10" t="b">
        <f>FALSE()</f>
        <v>0</v>
      </c>
      <c r="H1316" s="10">
        <v>1</v>
      </c>
      <c r="I1316" s="10">
        <v>0</v>
      </c>
      <c r="J1316" s="10">
        <v>1</v>
      </c>
      <c r="K1316" s="10">
        <v>25</v>
      </c>
      <c r="L1316" s="10">
        <v>25</v>
      </c>
      <c r="M1316" s="10">
        <v>0</v>
      </c>
      <c r="N1316" s="10">
        <v>0</v>
      </c>
      <c r="O1316" s="10">
        <v>0</v>
      </c>
    </row>
    <row r="1317" spans="1:15" x14ac:dyDescent="0.2">
      <c r="A1317" s="10" t="s">
        <v>878</v>
      </c>
      <c r="B1317" s="10" t="s">
        <v>879</v>
      </c>
      <c r="C1317" s="10" t="s">
        <v>90</v>
      </c>
      <c r="D1317" s="10" t="s">
        <v>51</v>
      </c>
      <c r="E1317" s="10" t="s">
        <v>52</v>
      </c>
      <c r="F1317" s="10" t="s">
        <v>880</v>
      </c>
      <c r="G1317" s="10" t="b">
        <f>FALSE()</f>
        <v>0</v>
      </c>
      <c r="H1317" s="10">
        <v>1</v>
      </c>
      <c r="I1317" s="10">
        <v>0</v>
      </c>
      <c r="J1317" s="10">
        <v>1</v>
      </c>
      <c r="K1317" s="10">
        <v>25</v>
      </c>
      <c r="L1317" s="10">
        <v>25</v>
      </c>
      <c r="M1317" s="10">
        <v>0</v>
      </c>
      <c r="N1317" s="10">
        <v>0</v>
      </c>
      <c r="O1317" s="10">
        <v>0</v>
      </c>
    </row>
    <row r="1318" spans="1:15" x14ac:dyDescent="0.2">
      <c r="A1318" s="10" t="s">
        <v>878</v>
      </c>
      <c r="B1318" s="10" t="s">
        <v>879</v>
      </c>
      <c r="C1318" s="10" t="s">
        <v>90</v>
      </c>
      <c r="D1318" s="10" t="s">
        <v>51</v>
      </c>
      <c r="E1318" s="10" t="s">
        <v>52</v>
      </c>
      <c r="F1318" s="10" t="s">
        <v>180</v>
      </c>
      <c r="G1318" s="10" t="b">
        <f>FALSE()</f>
        <v>0</v>
      </c>
      <c r="H1318" s="10">
        <v>1</v>
      </c>
      <c r="I1318" s="10">
        <v>0</v>
      </c>
      <c r="J1318" s="10">
        <v>1</v>
      </c>
      <c r="K1318" s="10">
        <v>25</v>
      </c>
      <c r="L1318" s="10">
        <v>25</v>
      </c>
      <c r="M1318" s="10">
        <v>0</v>
      </c>
      <c r="N1318" s="10">
        <v>0</v>
      </c>
      <c r="O1318" s="10">
        <v>0</v>
      </c>
    </row>
    <row r="1319" spans="1:15" x14ac:dyDescent="0.2">
      <c r="A1319" s="10" t="s">
        <v>668</v>
      </c>
      <c r="B1319" s="10" t="s">
        <v>669</v>
      </c>
      <c r="C1319" s="10" t="s">
        <v>90</v>
      </c>
      <c r="D1319" s="10" t="s">
        <v>51</v>
      </c>
      <c r="E1319" s="10" t="s">
        <v>52</v>
      </c>
      <c r="F1319" s="10" t="s">
        <v>345</v>
      </c>
      <c r="G1319" s="10" t="b">
        <f>FALSE()</f>
        <v>0</v>
      </c>
      <c r="H1319" s="10">
        <v>1</v>
      </c>
      <c r="I1319" s="10">
        <v>0</v>
      </c>
      <c r="J1319" s="10">
        <v>1</v>
      </c>
      <c r="K1319" s="10">
        <v>25</v>
      </c>
      <c r="L1319" s="10">
        <v>25</v>
      </c>
      <c r="M1319" s="10">
        <v>0</v>
      </c>
      <c r="N1319" s="10">
        <v>0</v>
      </c>
      <c r="O1319" s="10">
        <v>0</v>
      </c>
    </row>
    <row r="1320" spans="1:15" x14ac:dyDescent="0.2">
      <c r="A1320" s="10" t="s">
        <v>881</v>
      </c>
      <c r="B1320" s="10" t="s">
        <v>517</v>
      </c>
      <c r="C1320" s="10" t="s">
        <v>90</v>
      </c>
      <c r="D1320" s="10" t="s">
        <v>51</v>
      </c>
      <c r="E1320" s="10" t="s">
        <v>52</v>
      </c>
      <c r="F1320" s="10" t="s">
        <v>345</v>
      </c>
      <c r="G1320" s="10" t="b">
        <f>FALSE()</f>
        <v>0</v>
      </c>
      <c r="H1320" s="10">
        <v>1</v>
      </c>
      <c r="I1320" s="10">
        <v>0</v>
      </c>
      <c r="J1320" s="10">
        <v>1</v>
      </c>
      <c r="K1320" s="10">
        <v>25</v>
      </c>
      <c r="L1320" s="10">
        <v>25</v>
      </c>
      <c r="M1320" s="10">
        <v>0</v>
      </c>
      <c r="N1320" s="10">
        <v>0</v>
      </c>
      <c r="O1320" s="10">
        <v>0</v>
      </c>
    </row>
    <row r="1321" spans="1:15" x14ac:dyDescent="0.2">
      <c r="A1321" s="10" t="s">
        <v>778</v>
      </c>
      <c r="B1321" s="10" t="s">
        <v>779</v>
      </c>
      <c r="C1321" s="10" t="s">
        <v>90</v>
      </c>
      <c r="D1321" s="10" t="s">
        <v>51</v>
      </c>
      <c r="E1321" s="10" t="s">
        <v>52</v>
      </c>
      <c r="F1321" s="10" t="s">
        <v>345</v>
      </c>
      <c r="G1321" s="10" t="b">
        <f>FALSE()</f>
        <v>0</v>
      </c>
      <c r="H1321" s="10">
        <v>1</v>
      </c>
      <c r="I1321" s="10">
        <v>0</v>
      </c>
      <c r="J1321" s="10">
        <v>1</v>
      </c>
      <c r="K1321" s="10">
        <v>25</v>
      </c>
      <c r="L1321" s="10">
        <v>25</v>
      </c>
      <c r="M1321" s="10">
        <v>0</v>
      </c>
      <c r="N1321" s="10">
        <v>0</v>
      </c>
      <c r="O1321" s="10">
        <v>0</v>
      </c>
    </row>
    <row r="1322" spans="1:15" x14ac:dyDescent="0.2">
      <c r="A1322" s="10" t="s">
        <v>560</v>
      </c>
      <c r="B1322" s="10" t="s">
        <v>96</v>
      </c>
      <c r="C1322" s="10" t="s">
        <v>50</v>
      </c>
      <c r="D1322" s="10" t="s">
        <v>51</v>
      </c>
      <c r="E1322" s="10" t="s">
        <v>52</v>
      </c>
      <c r="F1322" s="10" t="s">
        <v>47</v>
      </c>
      <c r="G1322" s="10" t="b">
        <f>FALSE()</f>
        <v>0</v>
      </c>
      <c r="H1322" s="10">
        <v>1</v>
      </c>
      <c r="I1322" s="10">
        <v>0</v>
      </c>
      <c r="J1322" s="10">
        <v>1</v>
      </c>
      <c r="K1322" s="10">
        <v>53</v>
      </c>
      <c r="L1322" s="10">
        <v>25</v>
      </c>
      <c r="M1322" s="10">
        <v>0</v>
      </c>
      <c r="N1322" s="10">
        <v>0</v>
      </c>
      <c r="O1322" s="10">
        <v>0</v>
      </c>
    </row>
    <row r="1323" spans="1:15" x14ac:dyDescent="0.2">
      <c r="A1323" s="10" t="s">
        <v>882</v>
      </c>
      <c r="B1323" s="10" t="s">
        <v>384</v>
      </c>
      <c r="C1323" s="10" t="s">
        <v>50</v>
      </c>
      <c r="D1323" s="10" t="s">
        <v>51</v>
      </c>
      <c r="E1323" s="10" t="s">
        <v>52</v>
      </c>
      <c r="F1323" s="10" t="s">
        <v>47</v>
      </c>
      <c r="G1323" s="10" t="b">
        <f>FALSE()</f>
        <v>0</v>
      </c>
      <c r="H1323" s="10">
        <v>1</v>
      </c>
      <c r="I1323" s="10">
        <v>0</v>
      </c>
      <c r="J1323" s="10">
        <v>1</v>
      </c>
      <c r="K1323" s="10">
        <v>25</v>
      </c>
      <c r="L1323" s="10">
        <v>25</v>
      </c>
      <c r="M1323" s="10">
        <v>0</v>
      </c>
      <c r="N1323" s="10">
        <v>0</v>
      </c>
      <c r="O1323" s="10">
        <v>0</v>
      </c>
    </row>
    <row r="1324" spans="1:15" x14ac:dyDescent="0.2">
      <c r="A1324" s="10" t="s">
        <v>250</v>
      </c>
      <c r="B1324" s="10" t="s">
        <v>193</v>
      </c>
      <c r="C1324" s="10" t="s">
        <v>117</v>
      </c>
      <c r="D1324" s="10" t="s">
        <v>51</v>
      </c>
      <c r="E1324" s="10" t="s">
        <v>52</v>
      </c>
      <c r="F1324" s="10" t="s">
        <v>183</v>
      </c>
      <c r="G1324" s="10" t="b">
        <f>FALSE()</f>
        <v>0</v>
      </c>
      <c r="H1324" s="10">
        <v>1</v>
      </c>
      <c r="I1324" s="10">
        <v>0</v>
      </c>
      <c r="J1324" s="10">
        <v>1</v>
      </c>
      <c r="K1324" s="10">
        <v>26</v>
      </c>
      <c r="L1324" s="10">
        <v>25</v>
      </c>
      <c r="M1324" s="10">
        <v>0</v>
      </c>
      <c r="N1324" s="10">
        <v>0</v>
      </c>
      <c r="O1324" s="10">
        <v>0</v>
      </c>
    </row>
    <row r="1325" spans="1:15" x14ac:dyDescent="0.2">
      <c r="A1325" s="10" t="s">
        <v>250</v>
      </c>
      <c r="B1325" s="10" t="s">
        <v>193</v>
      </c>
      <c r="C1325" s="10" t="s">
        <v>117</v>
      </c>
      <c r="D1325" s="10" t="s">
        <v>51</v>
      </c>
      <c r="E1325" s="10" t="s">
        <v>52</v>
      </c>
      <c r="F1325" s="10" t="s">
        <v>444</v>
      </c>
      <c r="G1325" s="10" t="b">
        <f>TRUE()</f>
        <v>1</v>
      </c>
      <c r="H1325" s="10">
        <v>1</v>
      </c>
      <c r="I1325" s="10">
        <v>0</v>
      </c>
      <c r="J1325" s="10">
        <v>1</v>
      </c>
      <c r="K1325" s="10">
        <v>27</v>
      </c>
      <c r="L1325" s="10">
        <v>25</v>
      </c>
      <c r="M1325" s="10">
        <v>0</v>
      </c>
      <c r="N1325" s="10">
        <v>0</v>
      </c>
      <c r="O1325" s="10">
        <v>0</v>
      </c>
    </row>
    <row r="1326" spans="1:15" x14ac:dyDescent="0.2">
      <c r="A1326" s="10" t="s">
        <v>250</v>
      </c>
      <c r="B1326" s="10" t="s">
        <v>193</v>
      </c>
      <c r="C1326" s="10" t="s">
        <v>117</v>
      </c>
      <c r="D1326" s="10" t="s">
        <v>51</v>
      </c>
      <c r="E1326" s="10" t="s">
        <v>52</v>
      </c>
      <c r="F1326" s="10" t="s">
        <v>132</v>
      </c>
      <c r="G1326" s="10" t="b">
        <f>FALSE()</f>
        <v>0</v>
      </c>
      <c r="H1326" s="10">
        <v>1</v>
      </c>
      <c r="I1326" s="10">
        <v>0</v>
      </c>
      <c r="J1326" s="10">
        <v>1</v>
      </c>
      <c r="K1326" s="10">
        <v>26</v>
      </c>
      <c r="L1326" s="10">
        <v>25</v>
      </c>
      <c r="M1326" s="10">
        <v>0</v>
      </c>
      <c r="N1326" s="10">
        <v>0</v>
      </c>
      <c r="O1326" s="10">
        <v>0</v>
      </c>
    </row>
    <row r="1327" spans="1:15" x14ac:dyDescent="0.2">
      <c r="A1327" s="10" t="s">
        <v>300</v>
      </c>
      <c r="B1327" s="10" t="s">
        <v>172</v>
      </c>
      <c r="C1327" s="10" t="s">
        <v>44</v>
      </c>
      <c r="D1327" s="10" t="s">
        <v>45</v>
      </c>
      <c r="E1327" s="10" t="s">
        <v>46</v>
      </c>
      <c r="F1327" s="10" t="s">
        <v>223</v>
      </c>
      <c r="G1327" s="10" t="b">
        <f>FALSE()</f>
        <v>0</v>
      </c>
      <c r="H1327" s="10">
        <v>1</v>
      </c>
      <c r="I1327" s="10">
        <v>0</v>
      </c>
      <c r="J1327" s="10">
        <v>1</v>
      </c>
      <c r="K1327" s="10">
        <v>48</v>
      </c>
      <c r="L1327" s="10">
        <v>25</v>
      </c>
      <c r="M1327" s="10">
        <v>0</v>
      </c>
      <c r="N1327" s="10">
        <v>0</v>
      </c>
      <c r="O1327" s="10">
        <v>0</v>
      </c>
    </row>
    <row r="1328" spans="1:15" x14ac:dyDescent="0.2">
      <c r="A1328" s="10" t="s">
        <v>182</v>
      </c>
      <c r="B1328" s="10" t="s">
        <v>104</v>
      </c>
      <c r="C1328" s="10" t="s">
        <v>105</v>
      </c>
      <c r="D1328" s="10" t="s">
        <v>45</v>
      </c>
      <c r="E1328" s="10" t="s">
        <v>46</v>
      </c>
      <c r="F1328" s="10" t="s">
        <v>223</v>
      </c>
      <c r="G1328" s="10" t="b">
        <f>FALSE()</f>
        <v>0</v>
      </c>
      <c r="H1328" s="10">
        <v>1</v>
      </c>
      <c r="I1328" s="10">
        <v>0</v>
      </c>
      <c r="J1328" s="10">
        <v>1</v>
      </c>
      <c r="K1328" s="10">
        <v>25</v>
      </c>
      <c r="L1328" s="10">
        <v>25</v>
      </c>
      <c r="M1328" s="10">
        <v>0</v>
      </c>
      <c r="N1328" s="10">
        <v>0</v>
      </c>
      <c r="O1328" s="10">
        <v>0</v>
      </c>
    </row>
    <row r="1329" spans="1:15" x14ac:dyDescent="0.2">
      <c r="A1329" s="10" t="s">
        <v>515</v>
      </c>
      <c r="B1329" s="10" t="s">
        <v>104</v>
      </c>
      <c r="C1329" s="10" t="s">
        <v>105</v>
      </c>
      <c r="D1329" s="10" t="s">
        <v>45</v>
      </c>
      <c r="E1329" s="10" t="s">
        <v>46</v>
      </c>
      <c r="F1329" s="10" t="s">
        <v>75</v>
      </c>
      <c r="G1329" s="10" t="b">
        <f>FALSE()</f>
        <v>0</v>
      </c>
      <c r="H1329" s="10">
        <v>1</v>
      </c>
      <c r="I1329" s="10">
        <v>0</v>
      </c>
      <c r="J1329" s="10">
        <v>1</v>
      </c>
      <c r="K1329" s="10">
        <v>50</v>
      </c>
      <c r="L1329" s="10">
        <v>25</v>
      </c>
      <c r="M1329" s="10">
        <v>0</v>
      </c>
      <c r="N1329" s="10">
        <v>0</v>
      </c>
      <c r="O1329" s="10">
        <v>0</v>
      </c>
    </row>
    <row r="1330" spans="1:15" x14ac:dyDescent="0.2">
      <c r="A1330" s="10" t="s">
        <v>883</v>
      </c>
      <c r="B1330" s="10" t="s">
        <v>793</v>
      </c>
      <c r="C1330" s="10" t="s">
        <v>90</v>
      </c>
      <c r="D1330" s="10" t="s">
        <v>51</v>
      </c>
      <c r="E1330" s="10" t="s">
        <v>52</v>
      </c>
      <c r="F1330" s="10" t="s">
        <v>183</v>
      </c>
      <c r="G1330" s="10" t="b">
        <f>FALSE()</f>
        <v>0</v>
      </c>
      <c r="H1330" s="10">
        <v>1</v>
      </c>
      <c r="I1330" s="10">
        <v>0</v>
      </c>
      <c r="J1330" s="10">
        <v>1</v>
      </c>
      <c r="K1330" s="10">
        <v>1</v>
      </c>
      <c r="L1330" s="10">
        <v>25</v>
      </c>
      <c r="M1330" s="10">
        <v>0</v>
      </c>
      <c r="N1330" s="10">
        <v>0</v>
      </c>
      <c r="O1330" s="10">
        <v>0</v>
      </c>
    </row>
    <row r="1331" spans="1:15" x14ac:dyDescent="0.2">
      <c r="A1331" s="10" t="s">
        <v>476</v>
      </c>
      <c r="B1331" s="10" t="s">
        <v>477</v>
      </c>
      <c r="C1331" s="10" t="s">
        <v>50</v>
      </c>
      <c r="D1331" s="10" t="s">
        <v>51</v>
      </c>
      <c r="E1331" s="10" t="s">
        <v>52</v>
      </c>
      <c r="F1331" s="10" t="s">
        <v>183</v>
      </c>
      <c r="G1331" s="10" t="b">
        <f>FALSE()</f>
        <v>0</v>
      </c>
      <c r="H1331" s="10">
        <v>1</v>
      </c>
      <c r="I1331" s="10">
        <v>0</v>
      </c>
      <c r="J1331" s="10">
        <v>1</v>
      </c>
      <c r="K1331" s="10">
        <v>25</v>
      </c>
      <c r="L1331" s="10">
        <v>25</v>
      </c>
      <c r="M1331" s="10">
        <v>0</v>
      </c>
      <c r="N1331" s="10">
        <v>0</v>
      </c>
      <c r="O1331" s="10">
        <v>0</v>
      </c>
    </row>
    <row r="1332" spans="1:15" x14ac:dyDescent="0.2">
      <c r="A1332" s="10" t="s">
        <v>476</v>
      </c>
      <c r="B1332" s="10" t="s">
        <v>477</v>
      </c>
      <c r="C1332" s="10" t="s">
        <v>50</v>
      </c>
      <c r="D1332" s="10" t="s">
        <v>51</v>
      </c>
      <c r="E1332" s="10" t="s">
        <v>52</v>
      </c>
      <c r="F1332" s="10" t="s">
        <v>107</v>
      </c>
      <c r="G1332" s="10" t="b">
        <f>FALSE()</f>
        <v>0</v>
      </c>
      <c r="H1332" s="10">
        <v>1</v>
      </c>
      <c r="I1332" s="10">
        <v>0</v>
      </c>
      <c r="J1332" s="10">
        <v>1</v>
      </c>
      <c r="K1332" s="10">
        <v>25</v>
      </c>
      <c r="L1332" s="10">
        <v>25</v>
      </c>
      <c r="M1332" s="10">
        <v>0</v>
      </c>
      <c r="N1332" s="10">
        <v>0</v>
      </c>
      <c r="O1332" s="10">
        <v>0</v>
      </c>
    </row>
    <row r="1333" spans="1:15" x14ac:dyDescent="0.2">
      <c r="A1333" s="10" t="s">
        <v>655</v>
      </c>
      <c r="B1333" s="10" t="s">
        <v>146</v>
      </c>
      <c r="C1333" s="10" t="s">
        <v>105</v>
      </c>
      <c r="D1333" s="10" t="s">
        <v>45</v>
      </c>
      <c r="E1333" s="10" t="s">
        <v>46</v>
      </c>
      <c r="F1333" s="10" t="s">
        <v>183</v>
      </c>
      <c r="G1333" s="10" t="b">
        <f>FALSE()</f>
        <v>0</v>
      </c>
      <c r="H1333" s="10">
        <v>1</v>
      </c>
      <c r="I1333" s="10">
        <v>0</v>
      </c>
      <c r="J1333" s="10">
        <v>1</v>
      </c>
      <c r="K1333" s="10">
        <v>25</v>
      </c>
      <c r="L1333" s="10">
        <v>25</v>
      </c>
      <c r="M1333" s="10">
        <v>0</v>
      </c>
      <c r="N1333" s="10">
        <v>0</v>
      </c>
      <c r="O1333" s="10">
        <v>0</v>
      </c>
    </row>
    <row r="1334" spans="1:15" x14ac:dyDescent="0.2">
      <c r="A1334" s="10" t="s">
        <v>884</v>
      </c>
      <c r="B1334" s="10" t="s">
        <v>384</v>
      </c>
      <c r="C1334" s="10" t="s">
        <v>50</v>
      </c>
      <c r="D1334" s="10" t="s">
        <v>51</v>
      </c>
      <c r="E1334" s="10" t="s">
        <v>52</v>
      </c>
      <c r="F1334" s="10" t="s">
        <v>183</v>
      </c>
      <c r="G1334" s="10" t="b">
        <f>FALSE()</f>
        <v>0</v>
      </c>
      <c r="H1334" s="10">
        <v>1</v>
      </c>
      <c r="I1334" s="10">
        <v>0</v>
      </c>
      <c r="J1334" s="10">
        <v>1</v>
      </c>
      <c r="K1334" s="10">
        <v>25</v>
      </c>
      <c r="L1334" s="10">
        <v>25</v>
      </c>
      <c r="M1334" s="10">
        <v>0</v>
      </c>
      <c r="N1334" s="10">
        <v>0</v>
      </c>
      <c r="O1334" s="10">
        <v>0</v>
      </c>
    </row>
    <row r="1335" spans="1:15" x14ac:dyDescent="0.2">
      <c r="A1335" s="10" t="s">
        <v>885</v>
      </c>
      <c r="B1335" s="10" t="s">
        <v>157</v>
      </c>
      <c r="C1335" s="10" t="s">
        <v>64</v>
      </c>
      <c r="D1335" s="10" t="s">
        <v>45</v>
      </c>
      <c r="E1335" s="10" t="s">
        <v>46</v>
      </c>
      <c r="F1335" s="10" t="s">
        <v>183</v>
      </c>
      <c r="G1335" s="10" t="b">
        <f>FALSE()</f>
        <v>0</v>
      </c>
      <c r="H1335" s="10">
        <v>1</v>
      </c>
      <c r="I1335" s="10">
        <v>0</v>
      </c>
      <c r="J1335" s="10">
        <v>1</v>
      </c>
      <c r="K1335" s="10">
        <v>27</v>
      </c>
      <c r="L1335" s="10">
        <v>25</v>
      </c>
      <c r="M1335" s="10">
        <v>0</v>
      </c>
      <c r="N1335" s="10">
        <v>0</v>
      </c>
      <c r="O1335" s="10">
        <v>0</v>
      </c>
    </row>
    <row r="1336" spans="1:15" x14ac:dyDescent="0.2">
      <c r="A1336" s="10" t="s">
        <v>855</v>
      </c>
      <c r="B1336" s="10" t="s">
        <v>456</v>
      </c>
      <c r="C1336" s="10" t="s">
        <v>245</v>
      </c>
      <c r="D1336" s="10" t="s">
        <v>51</v>
      </c>
      <c r="E1336" s="10" t="s">
        <v>52</v>
      </c>
      <c r="F1336" s="10" t="s">
        <v>183</v>
      </c>
      <c r="G1336" s="10" t="b">
        <f>FALSE()</f>
        <v>0</v>
      </c>
      <c r="H1336" s="10">
        <v>1</v>
      </c>
      <c r="I1336" s="10">
        <v>0</v>
      </c>
      <c r="J1336" s="10">
        <v>1</v>
      </c>
      <c r="K1336" s="10">
        <v>32</v>
      </c>
      <c r="L1336" s="10">
        <v>25</v>
      </c>
      <c r="M1336" s="10">
        <v>0</v>
      </c>
      <c r="N1336" s="10">
        <v>0</v>
      </c>
      <c r="O1336" s="10">
        <v>0</v>
      </c>
    </row>
    <row r="1337" spans="1:15" x14ac:dyDescent="0.2">
      <c r="A1337" s="10" t="s">
        <v>326</v>
      </c>
      <c r="B1337" s="10" t="s">
        <v>55</v>
      </c>
      <c r="C1337" s="10" t="s">
        <v>56</v>
      </c>
      <c r="D1337" s="10" t="s">
        <v>45</v>
      </c>
      <c r="E1337" s="10" t="s">
        <v>46</v>
      </c>
      <c r="F1337" s="10" t="s">
        <v>92</v>
      </c>
      <c r="G1337" s="10" t="b">
        <f>FALSE()</f>
        <v>0</v>
      </c>
      <c r="H1337" s="10">
        <v>1</v>
      </c>
      <c r="I1337" s="10">
        <v>0</v>
      </c>
      <c r="J1337" s="10">
        <v>1</v>
      </c>
      <c r="K1337" s="10">
        <v>25</v>
      </c>
      <c r="L1337" s="10">
        <v>25</v>
      </c>
      <c r="M1337" s="10">
        <v>0</v>
      </c>
      <c r="N1337" s="10">
        <v>0</v>
      </c>
      <c r="O1337" s="10">
        <v>0</v>
      </c>
    </row>
    <row r="1338" spans="1:15" x14ac:dyDescent="0.2">
      <c r="A1338" s="10" t="s">
        <v>684</v>
      </c>
      <c r="B1338" s="10" t="s">
        <v>633</v>
      </c>
      <c r="C1338" s="10" t="s">
        <v>90</v>
      </c>
      <c r="D1338" s="10" t="s">
        <v>51</v>
      </c>
      <c r="E1338" s="10" t="s">
        <v>52</v>
      </c>
      <c r="F1338" s="10" t="s">
        <v>74</v>
      </c>
      <c r="G1338" s="10" t="b">
        <f>FALSE()</f>
        <v>0</v>
      </c>
      <c r="H1338" s="10">
        <v>1</v>
      </c>
      <c r="I1338" s="10">
        <v>0</v>
      </c>
      <c r="J1338" s="10">
        <v>1</v>
      </c>
      <c r="K1338" s="10">
        <v>25</v>
      </c>
      <c r="L1338" s="10">
        <v>25</v>
      </c>
      <c r="M1338" s="10">
        <v>0</v>
      </c>
      <c r="N1338" s="10">
        <v>0</v>
      </c>
      <c r="O1338" s="10">
        <v>0</v>
      </c>
    </row>
    <row r="1339" spans="1:15" x14ac:dyDescent="0.2">
      <c r="A1339" s="10" t="s">
        <v>886</v>
      </c>
      <c r="B1339" s="10" t="s">
        <v>89</v>
      </c>
      <c r="C1339" s="10" t="s">
        <v>90</v>
      </c>
      <c r="D1339" s="10" t="s">
        <v>51</v>
      </c>
      <c r="E1339" s="10" t="s">
        <v>52</v>
      </c>
      <c r="F1339" s="10" t="s">
        <v>61</v>
      </c>
      <c r="G1339" s="10" t="b">
        <f>FALSE()</f>
        <v>0</v>
      </c>
      <c r="H1339" s="10">
        <v>1</v>
      </c>
      <c r="I1339" s="10">
        <v>0</v>
      </c>
      <c r="J1339" s="10">
        <v>1</v>
      </c>
      <c r="K1339" s="10">
        <v>25</v>
      </c>
      <c r="L1339" s="10">
        <v>25</v>
      </c>
      <c r="M1339" s="10">
        <v>0</v>
      </c>
      <c r="N1339" s="10">
        <v>0</v>
      </c>
      <c r="O1339" s="10">
        <v>0</v>
      </c>
    </row>
    <row r="1340" spans="1:15" x14ac:dyDescent="0.2">
      <c r="A1340" s="10" t="s">
        <v>886</v>
      </c>
      <c r="B1340" s="10" t="s">
        <v>89</v>
      </c>
      <c r="C1340" s="10" t="s">
        <v>90</v>
      </c>
      <c r="D1340" s="10" t="s">
        <v>51</v>
      </c>
      <c r="E1340" s="10" t="s">
        <v>52</v>
      </c>
      <c r="F1340" s="10" t="s">
        <v>251</v>
      </c>
      <c r="G1340" s="10" t="b">
        <f>FALSE()</f>
        <v>0</v>
      </c>
      <c r="H1340" s="10">
        <v>1</v>
      </c>
      <c r="I1340" s="10">
        <v>0</v>
      </c>
      <c r="J1340" s="10">
        <v>1</v>
      </c>
      <c r="K1340" s="10">
        <v>26</v>
      </c>
      <c r="L1340" s="10">
        <v>25</v>
      </c>
      <c r="M1340" s="10">
        <v>0</v>
      </c>
      <c r="N1340" s="10">
        <v>0</v>
      </c>
      <c r="O1340" s="10">
        <v>0</v>
      </c>
    </row>
    <row r="1341" spans="1:15" x14ac:dyDescent="0.2">
      <c r="A1341" s="10" t="s">
        <v>766</v>
      </c>
      <c r="B1341" s="10" t="s">
        <v>543</v>
      </c>
      <c r="C1341" s="10" t="s">
        <v>90</v>
      </c>
      <c r="D1341" s="10" t="s">
        <v>51</v>
      </c>
      <c r="E1341" s="10" t="s">
        <v>52</v>
      </c>
      <c r="F1341" s="10" t="s">
        <v>61</v>
      </c>
      <c r="G1341" s="10" t="b">
        <f>FALSE()</f>
        <v>0</v>
      </c>
      <c r="H1341" s="10">
        <v>1</v>
      </c>
      <c r="I1341" s="10">
        <v>0</v>
      </c>
      <c r="J1341" s="10">
        <v>1</v>
      </c>
      <c r="K1341" s="10">
        <v>25</v>
      </c>
      <c r="L1341" s="10">
        <v>25</v>
      </c>
      <c r="M1341" s="10">
        <v>0</v>
      </c>
      <c r="N1341" s="10">
        <v>0</v>
      </c>
      <c r="O1341" s="10">
        <v>0</v>
      </c>
    </row>
    <row r="1342" spans="1:15" x14ac:dyDescent="0.2">
      <c r="A1342" s="10" t="s">
        <v>887</v>
      </c>
      <c r="B1342" s="10" t="s">
        <v>456</v>
      </c>
      <c r="C1342" s="10" t="s">
        <v>245</v>
      </c>
      <c r="D1342" s="10" t="s">
        <v>51</v>
      </c>
      <c r="E1342" s="10" t="s">
        <v>52</v>
      </c>
      <c r="F1342" s="10" t="s">
        <v>61</v>
      </c>
      <c r="G1342" s="10" t="b">
        <f>FALSE()</f>
        <v>0</v>
      </c>
      <c r="H1342" s="10">
        <v>1</v>
      </c>
      <c r="I1342" s="10">
        <v>0</v>
      </c>
      <c r="J1342" s="10">
        <v>1</v>
      </c>
      <c r="K1342" s="10">
        <v>25</v>
      </c>
      <c r="L1342" s="10">
        <v>25</v>
      </c>
      <c r="M1342" s="10">
        <v>0</v>
      </c>
      <c r="N1342" s="10">
        <v>0</v>
      </c>
      <c r="O1342" s="10">
        <v>0</v>
      </c>
    </row>
    <row r="1343" spans="1:15" x14ac:dyDescent="0.2">
      <c r="A1343" s="10" t="s">
        <v>888</v>
      </c>
      <c r="B1343" s="10" t="s">
        <v>89</v>
      </c>
      <c r="C1343" s="10" t="s">
        <v>90</v>
      </c>
      <c r="D1343" s="10" t="s">
        <v>51</v>
      </c>
      <c r="E1343" s="10" t="s">
        <v>52</v>
      </c>
      <c r="F1343" s="10" t="s">
        <v>61</v>
      </c>
      <c r="G1343" s="10" t="b">
        <f>FALSE()</f>
        <v>0</v>
      </c>
      <c r="H1343" s="10">
        <v>1</v>
      </c>
      <c r="I1343" s="10">
        <v>0</v>
      </c>
      <c r="J1343" s="10">
        <v>1</v>
      </c>
      <c r="K1343" s="10">
        <v>25</v>
      </c>
      <c r="L1343" s="10">
        <v>25</v>
      </c>
      <c r="M1343" s="10">
        <v>0</v>
      </c>
      <c r="N1343" s="10">
        <v>0</v>
      </c>
      <c r="O1343" s="10">
        <v>0</v>
      </c>
    </row>
    <row r="1344" spans="1:15" x14ac:dyDescent="0.2">
      <c r="A1344" s="10" t="s">
        <v>888</v>
      </c>
      <c r="B1344" s="10" t="s">
        <v>89</v>
      </c>
      <c r="C1344" s="10" t="s">
        <v>90</v>
      </c>
      <c r="D1344" s="10" t="s">
        <v>51</v>
      </c>
      <c r="E1344" s="10" t="s">
        <v>52</v>
      </c>
      <c r="F1344" s="10" t="s">
        <v>190</v>
      </c>
      <c r="G1344" s="10" t="b">
        <f>TRUE()</f>
        <v>1</v>
      </c>
      <c r="H1344" s="10">
        <v>1</v>
      </c>
      <c r="I1344" s="10">
        <v>0</v>
      </c>
      <c r="J1344" s="10">
        <v>1</v>
      </c>
      <c r="K1344" s="10">
        <v>25</v>
      </c>
      <c r="L1344" s="10">
        <v>25</v>
      </c>
      <c r="M1344" s="10">
        <v>0</v>
      </c>
      <c r="N1344" s="10">
        <v>0</v>
      </c>
      <c r="O1344" s="10">
        <v>0</v>
      </c>
    </row>
    <row r="1345" spans="1:15" x14ac:dyDescent="0.2">
      <c r="A1345" s="10" t="s">
        <v>888</v>
      </c>
      <c r="B1345" s="10" t="s">
        <v>89</v>
      </c>
      <c r="C1345" s="10" t="s">
        <v>90</v>
      </c>
      <c r="D1345" s="10" t="s">
        <v>51</v>
      </c>
      <c r="E1345" s="10" t="s">
        <v>52</v>
      </c>
      <c r="F1345" s="10" t="s">
        <v>91</v>
      </c>
      <c r="G1345" s="10" t="b">
        <f>TRUE()</f>
        <v>1</v>
      </c>
      <c r="H1345" s="10">
        <v>1</v>
      </c>
      <c r="I1345" s="10">
        <v>0</v>
      </c>
      <c r="J1345" s="10">
        <v>1</v>
      </c>
      <c r="K1345" s="10">
        <v>25</v>
      </c>
      <c r="L1345" s="10">
        <v>25</v>
      </c>
      <c r="M1345" s="10">
        <v>0</v>
      </c>
      <c r="N1345" s="10">
        <v>0</v>
      </c>
      <c r="O1345" s="10">
        <v>0</v>
      </c>
    </row>
    <row r="1346" spans="1:15" x14ac:dyDescent="0.2">
      <c r="A1346" s="10" t="s">
        <v>888</v>
      </c>
      <c r="B1346" s="10" t="s">
        <v>89</v>
      </c>
      <c r="C1346" s="10" t="s">
        <v>90</v>
      </c>
      <c r="D1346" s="10" t="s">
        <v>51</v>
      </c>
      <c r="E1346" s="10" t="s">
        <v>52</v>
      </c>
      <c r="F1346" s="10" t="s">
        <v>308</v>
      </c>
      <c r="G1346" s="10" t="b">
        <f>TRUE()</f>
        <v>1</v>
      </c>
      <c r="H1346" s="10">
        <v>1</v>
      </c>
      <c r="I1346" s="10">
        <v>0</v>
      </c>
      <c r="J1346" s="10">
        <v>1</v>
      </c>
      <c r="K1346" s="10">
        <v>25</v>
      </c>
      <c r="L1346" s="10">
        <v>25</v>
      </c>
      <c r="M1346" s="10">
        <v>0</v>
      </c>
      <c r="N1346" s="10">
        <v>0</v>
      </c>
      <c r="O1346" s="10">
        <v>0</v>
      </c>
    </row>
    <row r="1347" spans="1:15" x14ac:dyDescent="0.2">
      <c r="A1347" s="10" t="s">
        <v>337</v>
      </c>
      <c r="B1347" s="10" t="s">
        <v>70</v>
      </c>
      <c r="C1347" s="10" t="s">
        <v>70</v>
      </c>
      <c r="D1347" s="10" t="s">
        <v>45</v>
      </c>
      <c r="E1347" s="10" t="s">
        <v>46</v>
      </c>
      <c r="F1347" s="10" t="s">
        <v>444</v>
      </c>
      <c r="G1347" s="10" t="b">
        <f>TRUE()</f>
        <v>1</v>
      </c>
      <c r="H1347" s="10">
        <v>1</v>
      </c>
      <c r="I1347" s="10">
        <v>0</v>
      </c>
      <c r="J1347" s="10">
        <v>1</v>
      </c>
      <c r="K1347" s="10">
        <v>25</v>
      </c>
      <c r="L1347" s="10">
        <v>25</v>
      </c>
      <c r="M1347" s="10">
        <v>0</v>
      </c>
      <c r="N1347" s="10">
        <v>0</v>
      </c>
      <c r="O1347" s="10">
        <v>0</v>
      </c>
    </row>
    <row r="1348" spans="1:15" x14ac:dyDescent="0.2">
      <c r="A1348" s="10" t="s">
        <v>889</v>
      </c>
      <c r="B1348" s="10" t="s">
        <v>890</v>
      </c>
      <c r="C1348" s="10" t="s">
        <v>112</v>
      </c>
      <c r="D1348" s="10" t="s">
        <v>51</v>
      </c>
      <c r="E1348" s="10" t="s">
        <v>52</v>
      </c>
      <c r="F1348" s="10" t="s">
        <v>94</v>
      </c>
      <c r="G1348" s="10" t="b">
        <f>FALSE()</f>
        <v>0</v>
      </c>
      <c r="H1348" s="10">
        <v>1</v>
      </c>
      <c r="I1348" s="10">
        <v>0</v>
      </c>
      <c r="J1348" s="10">
        <v>1</v>
      </c>
      <c r="K1348" s="10">
        <v>41</v>
      </c>
      <c r="L1348" s="10">
        <v>25</v>
      </c>
      <c r="M1348" s="10">
        <v>0</v>
      </c>
      <c r="N1348" s="10">
        <v>0</v>
      </c>
      <c r="O1348" s="10">
        <v>0</v>
      </c>
    </row>
    <row r="1349" spans="1:15" x14ac:dyDescent="0.2">
      <c r="A1349" s="10" t="s">
        <v>741</v>
      </c>
      <c r="B1349" s="10" t="s">
        <v>508</v>
      </c>
      <c r="C1349" s="10" t="s">
        <v>90</v>
      </c>
      <c r="D1349" s="10" t="s">
        <v>51</v>
      </c>
      <c r="E1349" s="10" t="s">
        <v>52</v>
      </c>
      <c r="F1349" s="10" t="s">
        <v>92</v>
      </c>
      <c r="G1349" s="10" t="b">
        <f>FALSE()</f>
        <v>0</v>
      </c>
      <c r="H1349" s="10">
        <v>1</v>
      </c>
      <c r="I1349" s="10">
        <v>0</v>
      </c>
      <c r="J1349" s="10">
        <v>1</v>
      </c>
      <c r="K1349" s="10">
        <v>25</v>
      </c>
      <c r="L1349" s="10">
        <v>25</v>
      </c>
      <c r="M1349" s="10">
        <v>0</v>
      </c>
      <c r="N1349" s="10">
        <v>0</v>
      </c>
      <c r="O1349" s="10">
        <v>0</v>
      </c>
    </row>
    <row r="1350" spans="1:15" x14ac:dyDescent="0.2">
      <c r="A1350" s="10" t="s">
        <v>632</v>
      </c>
      <c r="B1350" s="10" t="s">
        <v>633</v>
      </c>
      <c r="C1350" s="10" t="s">
        <v>90</v>
      </c>
      <c r="D1350" s="10" t="s">
        <v>51</v>
      </c>
      <c r="E1350" s="10" t="s">
        <v>52</v>
      </c>
      <c r="F1350" s="10" t="s">
        <v>207</v>
      </c>
      <c r="G1350" s="10" t="b">
        <f>FALSE()</f>
        <v>0</v>
      </c>
      <c r="H1350" s="10">
        <v>1</v>
      </c>
      <c r="I1350" s="10">
        <v>0</v>
      </c>
      <c r="J1350" s="10">
        <v>1</v>
      </c>
      <c r="K1350" s="10">
        <v>27</v>
      </c>
      <c r="L1350" s="10">
        <v>25</v>
      </c>
      <c r="M1350" s="10">
        <v>0</v>
      </c>
      <c r="N1350" s="10">
        <v>0</v>
      </c>
      <c r="O1350" s="10">
        <v>0</v>
      </c>
    </row>
    <row r="1351" spans="1:15" x14ac:dyDescent="0.2">
      <c r="A1351" s="10" t="s">
        <v>501</v>
      </c>
      <c r="B1351" s="10" t="s">
        <v>89</v>
      </c>
      <c r="C1351" s="10" t="s">
        <v>90</v>
      </c>
      <c r="D1351" s="10" t="s">
        <v>51</v>
      </c>
      <c r="E1351" s="10" t="s">
        <v>52</v>
      </c>
      <c r="F1351" s="10" t="s">
        <v>94</v>
      </c>
      <c r="G1351" s="10" t="b">
        <f>FALSE()</f>
        <v>0</v>
      </c>
      <c r="H1351" s="10">
        <v>1</v>
      </c>
      <c r="I1351" s="10">
        <v>0</v>
      </c>
      <c r="J1351" s="10">
        <v>2</v>
      </c>
      <c r="K1351" s="10">
        <v>29</v>
      </c>
      <c r="L1351" s="10">
        <v>25</v>
      </c>
      <c r="M1351" s="10">
        <v>0</v>
      </c>
      <c r="N1351" s="10">
        <v>0</v>
      </c>
      <c r="O1351" s="10">
        <v>0</v>
      </c>
    </row>
    <row r="1352" spans="1:15" x14ac:dyDescent="0.2">
      <c r="A1352" s="10" t="s">
        <v>746</v>
      </c>
      <c r="B1352" s="10" t="s">
        <v>146</v>
      </c>
      <c r="C1352" s="10" t="s">
        <v>105</v>
      </c>
      <c r="D1352" s="10" t="s">
        <v>45</v>
      </c>
      <c r="E1352" s="10" t="s">
        <v>46</v>
      </c>
      <c r="F1352" s="10" t="s">
        <v>251</v>
      </c>
      <c r="G1352" s="10" t="b">
        <f>FALSE()</f>
        <v>0</v>
      </c>
      <c r="H1352" s="10">
        <v>1</v>
      </c>
      <c r="I1352" s="10">
        <v>0</v>
      </c>
      <c r="J1352" s="10">
        <v>0</v>
      </c>
      <c r="K1352" s="10">
        <v>0</v>
      </c>
      <c r="L1352" s="10">
        <v>25</v>
      </c>
      <c r="M1352" s="10">
        <v>0</v>
      </c>
      <c r="N1352" s="10">
        <v>0</v>
      </c>
      <c r="O1352" s="10">
        <v>0</v>
      </c>
    </row>
    <row r="1353" spans="1:15" x14ac:dyDescent="0.2">
      <c r="A1353" s="10" t="s">
        <v>891</v>
      </c>
      <c r="B1353" s="10" t="s">
        <v>285</v>
      </c>
      <c r="C1353" s="10" t="s">
        <v>105</v>
      </c>
      <c r="D1353" s="10" t="s">
        <v>45</v>
      </c>
      <c r="E1353" s="10" t="s">
        <v>46</v>
      </c>
      <c r="F1353" s="10" t="s">
        <v>94</v>
      </c>
      <c r="G1353" s="10" t="b">
        <f>FALSE()</f>
        <v>0</v>
      </c>
      <c r="H1353" s="10">
        <v>1</v>
      </c>
      <c r="I1353" s="10">
        <v>0</v>
      </c>
      <c r="J1353" s="10">
        <v>0</v>
      </c>
      <c r="K1353" s="10">
        <v>0</v>
      </c>
      <c r="L1353" s="10">
        <v>25</v>
      </c>
      <c r="M1353" s="10">
        <v>0</v>
      </c>
      <c r="N1353" s="10">
        <v>0</v>
      </c>
      <c r="O1353" s="10">
        <v>0</v>
      </c>
    </row>
    <row r="1354" spans="1:15" x14ac:dyDescent="0.2">
      <c r="A1354" s="10" t="s">
        <v>892</v>
      </c>
      <c r="B1354" s="10" t="s">
        <v>285</v>
      </c>
      <c r="C1354" s="10" t="s">
        <v>105</v>
      </c>
      <c r="D1354" s="10" t="s">
        <v>45</v>
      </c>
      <c r="E1354" s="10" t="s">
        <v>46</v>
      </c>
      <c r="F1354" s="10" t="s">
        <v>94</v>
      </c>
      <c r="G1354" s="10" t="b">
        <f>FALSE()</f>
        <v>0</v>
      </c>
      <c r="H1354" s="10">
        <v>1</v>
      </c>
      <c r="I1354" s="10">
        <v>0</v>
      </c>
      <c r="J1354" s="10">
        <v>1</v>
      </c>
      <c r="K1354" s="10">
        <v>24</v>
      </c>
      <c r="L1354" s="10">
        <v>25</v>
      </c>
      <c r="M1354" s="10">
        <v>0</v>
      </c>
      <c r="N1354" s="10">
        <v>0</v>
      </c>
      <c r="O1354" s="10">
        <v>0</v>
      </c>
    </row>
    <row r="1355" spans="1:15" x14ac:dyDescent="0.2">
      <c r="A1355" s="10" t="s">
        <v>748</v>
      </c>
      <c r="B1355" s="10" t="s">
        <v>109</v>
      </c>
      <c r="C1355" s="10" t="s">
        <v>90</v>
      </c>
      <c r="D1355" s="10" t="s">
        <v>51</v>
      </c>
      <c r="E1355" s="10" t="s">
        <v>52</v>
      </c>
      <c r="F1355" s="10" t="s">
        <v>190</v>
      </c>
      <c r="G1355" s="10" t="b">
        <f>TRUE()</f>
        <v>1</v>
      </c>
      <c r="H1355" s="10">
        <v>1</v>
      </c>
      <c r="I1355" s="10">
        <v>0</v>
      </c>
      <c r="J1355" s="10">
        <v>1</v>
      </c>
      <c r="K1355" s="10">
        <v>25</v>
      </c>
      <c r="L1355" s="10">
        <v>25</v>
      </c>
      <c r="M1355" s="10">
        <v>0</v>
      </c>
      <c r="N1355" s="10">
        <v>0</v>
      </c>
      <c r="O1355" s="10">
        <v>0</v>
      </c>
    </row>
    <row r="1356" spans="1:15" x14ac:dyDescent="0.2">
      <c r="A1356" s="10" t="s">
        <v>576</v>
      </c>
      <c r="B1356" s="10" t="s">
        <v>517</v>
      </c>
      <c r="C1356" s="10" t="s">
        <v>90</v>
      </c>
      <c r="D1356" s="10" t="s">
        <v>51</v>
      </c>
      <c r="E1356" s="10" t="s">
        <v>52</v>
      </c>
      <c r="F1356" s="10" t="s">
        <v>92</v>
      </c>
      <c r="G1356" s="10" t="b">
        <f>FALSE()</f>
        <v>0</v>
      </c>
      <c r="H1356" s="10">
        <v>1</v>
      </c>
      <c r="I1356" s="10">
        <v>0</v>
      </c>
      <c r="J1356" s="10">
        <v>0</v>
      </c>
      <c r="K1356" s="10">
        <v>0</v>
      </c>
      <c r="L1356" s="10">
        <v>25</v>
      </c>
      <c r="M1356" s="10">
        <v>0</v>
      </c>
      <c r="N1356" s="10">
        <v>0</v>
      </c>
      <c r="O1356" s="10">
        <v>0</v>
      </c>
    </row>
    <row r="1357" spans="1:15" x14ac:dyDescent="0.2">
      <c r="A1357" s="10" t="s">
        <v>701</v>
      </c>
      <c r="B1357" s="10" t="s">
        <v>67</v>
      </c>
      <c r="C1357" s="10" t="s">
        <v>64</v>
      </c>
      <c r="D1357" s="10" t="s">
        <v>45</v>
      </c>
      <c r="E1357" s="10" t="s">
        <v>46</v>
      </c>
      <c r="F1357" s="10" t="s">
        <v>893</v>
      </c>
      <c r="G1357" s="10" t="b">
        <f>FALSE()</f>
        <v>0</v>
      </c>
      <c r="H1357" s="10">
        <v>1</v>
      </c>
      <c r="I1357" s="10">
        <v>0</v>
      </c>
      <c r="J1357" s="10">
        <v>1</v>
      </c>
      <c r="K1357" s="10">
        <v>39</v>
      </c>
      <c r="L1357" s="10">
        <v>25</v>
      </c>
      <c r="M1357" s="10">
        <v>0</v>
      </c>
      <c r="N1357" s="10">
        <v>0</v>
      </c>
      <c r="O1357" s="10">
        <v>0</v>
      </c>
    </row>
    <row r="1358" spans="1:15" x14ac:dyDescent="0.2">
      <c r="A1358" s="10" t="s">
        <v>894</v>
      </c>
      <c r="B1358" s="10" t="s">
        <v>70</v>
      </c>
      <c r="C1358" s="10" t="s">
        <v>70</v>
      </c>
      <c r="D1358" s="10" t="s">
        <v>45</v>
      </c>
      <c r="E1358" s="10" t="s">
        <v>46</v>
      </c>
      <c r="F1358" s="10" t="s">
        <v>74</v>
      </c>
      <c r="G1358" s="10" t="b">
        <f>FALSE()</f>
        <v>0</v>
      </c>
      <c r="H1358" s="10">
        <v>1</v>
      </c>
      <c r="I1358" s="10">
        <v>0</v>
      </c>
      <c r="J1358" s="10">
        <v>1</v>
      </c>
      <c r="K1358" s="10">
        <v>25</v>
      </c>
      <c r="L1358" s="10">
        <v>25</v>
      </c>
      <c r="M1358" s="10">
        <v>0</v>
      </c>
      <c r="N1358" s="10">
        <v>0</v>
      </c>
      <c r="O1358" s="10">
        <v>0</v>
      </c>
    </row>
    <row r="1359" spans="1:15" x14ac:dyDescent="0.2">
      <c r="A1359" s="10" t="s">
        <v>537</v>
      </c>
      <c r="B1359" s="10" t="s">
        <v>538</v>
      </c>
      <c r="C1359" s="10" t="s">
        <v>90</v>
      </c>
      <c r="D1359" s="10" t="s">
        <v>51</v>
      </c>
      <c r="E1359" s="10" t="s">
        <v>52</v>
      </c>
      <c r="F1359" s="10" t="s">
        <v>207</v>
      </c>
      <c r="G1359" s="10" t="b">
        <f>FALSE()</f>
        <v>0</v>
      </c>
      <c r="H1359" s="10">
        <v>1</v>
      </c>
      <c r="I1359" s="10">
        <v>0</v>
      </c>
      <c r="J1359" s="10">
        <v>2</v>
      </c>
      <c r="K1359" s="10">
        <v>50</v>
      </c>
      <c r="L1359" s="10">
        <v>25</v>
      </c>
      <c r="M1359" s="10">
        <v>0</v>
      </c>
      <c r="N1359" s="10">
        <v>0</v>
      </c>
      <c r="O1359" s="10">
        <v>0</v>
      </c>
    </row>
    <row r="1360" spans="1:15" x14ac:dyDescent="0.2">
      <c r="A1360" s="10" t="s">
        <v>895</v>
      </c>
      <c r="B1360" s="10" t="s">
        <v>232</v>
      </c>
      <c r="C1360" s="10" t="s">
        <v>90</v>
      </c>
      <c r="D1360" s="10" t="s">
        <v>51</v>
      </c>
      <c r="E1360" s="10" t="s">
        <v>52</v>
      </c>
      <c r="F1360" s="10" t="s">
        <v>79</v>
      </c>
      <c r="G1360" s="10" t="b">
        <f>FALSE()</f>
        <v>0</v>
      </c>
      <c r="H1360" s="10">
        <v>1</v>
      </c>
      <c r="I1360" s="10">
        <v>0</v>
      </c>
      <c r="J1360" s="10">
        <v>1</v>
      </c>
      <c r="K1360" s="10">
        <v>25</v>
      </c>
      <c r="L1360" s="10">
        <v>25</v>
      </c>
      <c r="M1360" s="10">
        <v>0</v>
      </c>
      <c r="N1360" s="10">
        <v>0</v>
      </c>
      <c r="O1360" s="10">
        <v>0</v>
      </c>
    </row>
    <row r="1361" spans="1:15" x14ac:dyDescent="0.2">
      <c r="A1361" s="10" t="s">
        <v>95</v>
      </c>
      <c r="B1361" s="10" t="s">
        <v>480</v>
      </c>
      <c r="C1361" s="10" t="s">
        <v>245</v>
      </c>
      <c r="D1361" s="10" t="s">
        <v>51</v>
      </c>
      <c r="E1361" s="10" t="s">
        <v>52</v>
      </c>
      <c r="F1361" s="10" t="s">
        <v>102</v>
      </c>
      <c r="G1361" s="10" t="b">
        <f>TRUE()</f>
        <v>1</v>
      </c>
      <c r="H1361" s="10">
        <v>1</v>
      </c>
      <c r="I1361" s="10">
        <v>0</v>
      </c>
      <c r="J1361" s="10">
        <v>2</v>
      </c>
      <c r="K1361" s="10">
        <v>100</v>
      </c>
      <c r="L1361" s="10">
        <v>25</v>
      </c>
      <c r="M1361" s="10">
        <v>0</v>
      </c>
      <c r="N1361" s="10">
        <v>0</v>
      </c>
      <c r="O1361" s="10">
        <v>0</v>
      </c>
    </row>
    <row r="1362" spans="1:15" x14ac:dyDescent="0.2">
      <c r="A1362" s="10" t="s">
        <v>618</v>
      </c>
      <c r="B1362" s="10" t="s">
        <v>109</v>
      </c>
      <c r="C1362" s="10" t="s">
        <v>90</v>
      </c>
      <c r="D1362" s="10" t="s">
        <v>51</v>
      </c>
      <c r="E1362" s="10" t="s">
        <v>52</v>
      </c>
      <c r="F1362" s="10" t="s">
        <v>190</v>
      </c>
      <c r="G1362" s="10" t="b">
        <f>TRUE()</f>
        <v>1</v>
      </c>
      <c r="H1362" s="10">
        <v>1</v>
      </c>
      <c r="I1362" s="10">
        <v>0</v>
      </c>
      <c r="J1362" s="10">
        <v>1</v>
      </c>
      <c r="K1362" s="10">
        <v>28</v>
      </c>
      <c r="L1362" s="10">
        <v>25</v>
      </c>
      <c r="M1362" s="10">
        <v>0</v>
      </c>
      <c r="N1362" s="10">
        <v>0</v>
      </c>
      <c r="O1362" s="10">
        <v>0</v>
      </c>
    </row>
    <row r="1363" spans="1:15" x14ac:dyDescent="0.2">
      <c r="A1363" s="10" t="s">
        <v>896</v>
      </c>
      <c r="B1363" s="10" t="s">
        <v>89</v>
      </c>
      <c r="C1363" s="10" t="s">
        <v>90</v>
      </c>
      <c r="D1363" s="10" t="s">
        <v>51</v>
      </c>
      <c r="E1363" s="10" t="s">
        <v>52</v>
      </c>
      <c r="F1363" s="10" t="s">
        <v>75</v>
      </c>
      <c r="G1363" s="10" t="b">
        <f>FALSE()</f>
        <v>0</v>
      </c>
      <c r="H1363" s="10">
        <v>1</v>
      </c>
      <c r="I1363" s="10">
        <v>0</v>
      </c>
      <c r="J1363" s="10">
        <v>1</v>
      </c>
      <c r="K1363" s="10">
        <v>25</v>
      </c>
      <c r="L1363" s="10">
        <v>25</v>
      </c>
      <c r="M1363" s="10">
        <v>0</v>
      </c>
      <c r="N1363" s="10">
        <v>0</v>
      </c>
      <c r="O1363" s="10">
        <v>0</v>
      </c>
    </row>
    <row r="1364" spans="1:15" x14ac:dyDescent="0.2">
      <c r="A1364" s="10" t="s">
        <v>897</v>
      </c>
      <c r="B1364" s="10" t="s">
        <v>456</v>
      </c>
      <c r="C1364" s="10" t="s">
        <v>245</v>
      </c>
      <c r="D1364" s="10" t="s">
        <v>51</v>
      </c>
      <c r="E1364" s="10" t="s">
        <v>52</v>
      </c>
      <c r="F1364" s="10" t="s">
        <v>251</v>
      </c>
      <c r="G1364" s="10" t="b">
        <f>FALSE()</f>
        <v>0</v>
      </c>
      <c r="H1364" s="10">
        <v>1</v>
      </c>
      <c r="I1364" s="10">
        <v>0</v>
      </c>
      <c r="J1364" s="10">
        <v>0</v>
      </c>
      <c r="K1364" s="10">
        <v>0</v>
      </c>
      <c r="L1364" s="10">
        <v>25</v>
      </c>
      <c r="M1364" s="10">
        <v>0</v>
      </c>
      <c r="N1364" s="10">
        <v>0</v>
      </c>
      <c r="O1364" s="10">
        <v>0</v>
      </c>
    </row>
    <row r="1365" spans="1:15" x14ac:dyDescent="0.2">
      <c r="A1365" s="10" t="s">
        <v>898</v>
      </c>
      <c r="B1365" s="10" t="s">
        <v>879</v>
      </c>
      <c r="C1365" s="10" t="s">
        <v>90</v>
      </c>
      <c r="D1365" s="10" t="s">
        <v>51</v>
      </c>
      <c r="E1365" s="10" t="s">
        <v>52</v>
      </c>
      <c r="F1365" s="10" t="s">
        <v>180</v>
      </c>
      <c r="G1365" s="10" t="b">
        <f>FALSE()</f>
        <v>0</v>
      </c>
      <c r="H1365" s="10">
        <v>1</v>
      </c>
      <c r="I1365" s="10">
        <v>0</v>
      </c>
      <c r="J1365" s="10">
        <v>1</v>
      </c>
      <c r="K1365" s="10">
        <v>25</v>
      </c>
      <c r="L1365" s="10">
        <v>25</v>
      </c>
      <c r="M1365" s="10">
        <v>0</v>
      </c>
      <c r="N1365" s="10">
        <v>0</v>
      </c>
      <c r="O1365" s="10">
        <v>0</v>
      </c>
    </row>
    <row r="1366" spans="1:15" x14ac:dyDescent="0.2">
      <c r="A1366" s="10" t="s">
        <v>899</v>
      </c>
      <c r="B1366" s="10" t="s">
        <v>777</v>
      </c>
      <c r="C1366" s="10" t="s">
        <v>90</v>
      </c>
      <c r="D1366" s="10" t="s">
        <v>51</v>
      </c>
      <c r="E1366" s="10" t="s">
        <v>52</v>
      </c>
      <c r="F1366" s="10" t="s">
        <v>180</v>
      </c>
      <c r="G1366" s="10" t="b">
        <f>FALSE()</f>
        <v>0</v>
      </c>
      <c r="H1366" s="10">
        <v>1</v>
      </c>
      <c r="I1366" s="10">
        <v>0</v>
      </c>
      <c r="J1366" s="10">
        <v>1</v>
      </c>
      <c r="K1366" s="10">
        <v>25</v>
      </c>
      <c r="L1366" s="10">
        <v>25</v>
      </c>
      <c r="M1366" s="10">
        <v>0</v>
      </c>
      <c r="N1366" s="10">
        <v>0</v>
      </c>
      <c r="O1366" s="10">
        <v>0</v>
      </c>
    </row>
    <row r="1367" spans="1:15" x14ac:dyDescent="0.2">
      <c r="A1367" s="10" t="s">
        <v>900</v>
      </c>
      <c r="B1367" s="10" t="s">
        <v>456</v>
      </c>
      <c r="C1367" s="10" t="s">
        <v>245</v>
      </c>
      <c r="D1367" s="10" t="s">
        <v>51</v>
      </c>
      <c r="E1367" s="10" t="s">
        <v>52</v>
      </c>
      <c r="F1367" s="10" t="s">
        <v>91</v>
      </c>
      <c r="G1367" s="10" t="b">
        <f>TRUE()</f>
        <v>1</v>
      </c>
      <c r="H1367" s="10">
        <v>1</v>
      </c>
      <c r="I1367" s="10">
        <v>0</v>
      </c>
      <c r="J1367" s="10">
        <v>0</v>
      </c>
      <c r="K1367" s="10">
        <v>0</v>
      </c>
      <c r="L1367" s="10">
        <v>25</v>
      </c>
      <c r="M1367" s="10">
        <v>0</v>
      </c>
      <c r="N1367" s="10">
        <v>0</v>
      </c>
      <c r="O1367" s="10">
        <v>0</v>
      </c>
    </row>
    <row r="1368" spans="1:15" x14ac:dyDescent="0.2">
      <c r="A1368" s="10" t="s">
        <v>859</v>
      </c>
      <c r="B1368" s="10" t="s">
        <v>70</v>
      </c>
      <c r="C1368" s="10" t="s">
        <v>70</v>
      </c>
      <c r="D1368" s="10" t="s">
        <v>45</v>
      </c>
      <c r="E1368" s="10" t="s">
        <v>46</v>
      </c>
      <c r="F1368" s="10" t="s">
        <v>153</v>
      </c>
      <c r="G1368" s="10" t="b">
        <f>FALSE()</f>
        <v>0</v>
      </c>
      <c r="H1368" s="10">
        <v>1</v>
      </c>
      <c r="I1368" s="10">
        <v>1</v>
      </c>
      <c r="J1368" s="10">
        <v>1</v>
      </c>
      <c r="K1368" s="10">
        <v>50</v>
      </c>
      <c r="L1368" s="10">
        <v>24</v>
      </c>
      <c r="M1368" s="10">
        <v>1</v>
      </c>
      <c r="N1368" s="10">
        <v>238</v>
      </c>
      <c r="O1368" s="10">
        <v>238</v>
      </c>
    </row>
    <row r="1369" spans="1:15" x14ac:dyDescent="0.2">
      <c r="A1369" s="10" t="s">
        <v>901</v>
      </c>
      <c r="B1369" s="10" t="s">
        <v>902</v>
      </c>
      <c r="C1369" s="10" t="s">
        <v>50</v>
      </c>
      <c r="D1369" s="10" t="s">
        <v>51</v>
      </c>
      <c r="E1369" s="10" t="s">
        <v>52</v>
      </c>
      <c r="F1369" s="10" t="s">
        <v>113</v>
      </c>
      <c r="G1369" s="10" t="b">
        <f>TRUE()</f>
        <v>1</v>
      </c>
      <c r="H1369" s="10">
        <v>1</v>
      </c>
      <c r="I1369" s="10">
        <v>1</v>
      </c>
      <c r="J1369" s="10">
        <v>1</v>
      </c>
      <c r="K1369" s="10">
        <v>41</v>
      </c>
      <c r="L1369" s="10">
        <v>24</v>
      </c>
      <c r="M1369" s="10">
        <v>1</v>
      </c>
      <c r="N1369" s="10">
        <v>50</v>
      </c>
      <c r="O1369" s="10">
        <v>50</v>
      </c>
    </row>
    <row r="1370" spans="1:15" x14ac:dyDescent="0.2">
      <c r="A1370" s="10" t="s">
        <v>903</v>
      </c>
      <c r="B1370" s="10" t="s">
        <v>163</v>
      </c>
      <c r="C1370" s="10" t="s">
        <v>90</v>
      </c>
      <c r="D1370" s="10" t="s">
        <v>51</v>
      </c>
      <c r="E1370" s="10" t="s">
        <v>52</v>
      </c>
      <c r="F1370" s="10" t="s">
        <v>61</v>
      </c>
      <c r="G1370" s="10" t="b">
        <f>FALSE()</f>
        <v>0</v>
      </c>
      <c r="H1370" s="10">
        <v>1</v>
      </c>
      <c r="I1370" s="10">
        <v>1</v>
      </c>
      <c r="J1370" s="10">
        <v>1</v>
      </c>
      <c r="K1370" s="10">
        <v>25</v>
      </c>
      <c r="L1370" s="10">
        <v>24</v>
      </c>
      <c r="M1370" s="10">
        <v>1</v>
      </c>
      <c r="N1370" s="10">
        <v>42</v>
      </c>
      <c r="O1370" s="10">
        <v>41</v>
      </c>
    </row>
    <row r="1371" spans="1:15" x14ac:dyDescent="0.2">
      <c r="A1371" s="10" t="s">
        <v>250</v>
      </c>
      <c r="B1371" s="10" t="s">
        <v>193</v>
      </c>
      <c r="C1371" s="10" t="s">
        <v>117</v>
      </c>
      <c r="D1371" s="10" t="s">
        <v>51</v>
      </c>
      <c r="E1371" s="10" t="s">
        <v>52</v>
      </c>
      <c r="F1371" s="10" t="s">
        <v>530</v>
      </c>
      <c r="G1371" s="10" t="b">
        <f>TRUE()</f>
        <v>1</v>
      </c>
      <c r="H1371" s="10">
        <v>1</v>
      </c>
      <c r="I1371" s="10">
        <v>0</v>
      </c>
      <c r="J1371" s="10">
        <v>0</v>
      </c>
      <c r="K1371" s="10">
        <v>0</v>
      </c>
      <c r="L1371" s="10">
        <v>24</v>
      </c>
      <c r="M1371" s="10">
        <v>0</v>
      </c>
      <c r="N1371" s="10">
        <v>0</v>
      </c>
      <c r="O1371" s="10">
        <v>0</v>
      </c>
    </row>
    <row r="1372" spans="1:15" x14ac:dyDescent="0.2">
      <c r="A1372" s="10" t="s">
        <v>355</v>
      </c>
      <c r="B1372" s="10" t="s">
        <v>119</v>
      </c>
      <c r="C1372" s="10" t="s">
        <v>56</v>
      </c>
      <c r="D1372" s="10" t="s">
        <v>45</v>
      </c>
      <c r="E1372" s="10" t="s">
        <v>46</v>
      </c>
      <c r="F1372" s="10" t="s">
        <v>496</v>
      </c>
      <c r="G1372" s="10" t="b">
        <f>FALSE()</f>
        <v>0</v>
      </c>
      <c r="H1372" s="10">
        <v>1</v>
      </c>
      <c r="I1372" s="10">
        <v>0</v>
      </c>
      <c r="J1372" s="10">
        <v>1</v>
      </c>
      <c r="K1372" s="10">
        <v>25</v>
      </c>
      <c r="L1372" s="10">
        <v>24</v>
      </c>
      <c r="M1372" s="10">
        <v>0</v>
      </c>
      <c r="N1372" s="10">
        <v>0</v>
      </c>
      <c r="O1372" s="10">
        <v>0</v>
      </c>
    </row>
    <row r="1373" spans="1:15" x14ac:dyDescent="0.2">
      <c r="A1373" s="10" t="s">
        <v>463</v>
      </c>
      <c r="B1373" s="10" t="s">
        <v>72</v>
      </c>
      <c r="C1373" s="10" t="s">
        <v>73</v>
      </c>
      <c r="D1373" s="10" t="s">
        <v>45</v>
      </c>
      <c r="E1373" s="10" t="s">
        <v>46</v>
      </c>
      <c r="F1373" s="10" t="s">
        <v>183</v>
      </c>
      <c r="G1373" s="10" t="b">
        <f>FALSE()</f>
        <v>0</v>
      </c>
      <c r="H1373" s="10">
        <v>1</v>
      </c>
      <c r="I1373" s="10">
        <v>0</v>
      </c>
      <c r="J1373" s="10">
        <v>0</v>
      </c>
      <c r="K1373" s="10">
        <v>0</v>
      </c>
      <c r="L1373" s="10">
        <v>24</v>
      </c>
      <c r="M1373" s="10">
        <v>0</v>
      </c>
      <c r="N1373" s="10">
        <v>0</v>
      </c>
      <c r="O1373" s="10">
        <v>0</v>
      </c>
    </row>
    <row r="1374" spans="1:15" x14ac:dyDescent="0.2">
      <c r="A1374" s="10" t="s">
        <v>476</v>
      </c>
      <c r="B1374" s="10" t="s">
        <v>477</v>
      </c>
      <c r="C1374" s="10" t="s">
        <v>50</v>
      </c>
      <c r="D1374" s="10" t="s">
        <v>51</v>
      </c>
      <c r="E1374" s="10" t="s">
        <v>52</v>
      </c>
      <c r="F1374" s="10" t="s">
        <v>251</v>
      </c>
      <c r="G1374" s="10" t="b">
        <f>FALSE()</f>
        <v>0</v>
      </c>
      <c r="H1374" s="10">
        <v>1</v>
      </c>
      <c r="I1374" s="10">
        <v>0</v>
      </c>
      <c r="J1374" s="10">
        <v>1</v>
      </c>
      <c r="K1374" s="10">
        <v>50</v>
      </c>
      <c r="L1374" s="10">
        <v>24</v>
      </c>
      <c r="M1374" s="10">
        <v>0</v>
      </c>
      <c r="N1374" s="10">
        <v>0</v>
      </c>
      <c r="O1374" s="10">
        <v>0</v>
      </c>
    </row>
    <row r="1375" spans="1:15" x14ac:dyDescent="0.2">
      <c r="A1375" s="10" t="s">
        <v>647</v>
      </c>
      <c r="B1375" s="10" t="s">
        <v>262</v>
      </c>
      <c r="C1375" s="10" t="s">
        <v>105</v>
      </c>
      <c r="D1375" s="10" t="s">
        <v>45</v>
      </c>
      <c r="E1375" s="10" t="s">
        <v>46</v>
      </c>
      <c r="F1375" s="10" t="s">
        <v>183</v>
      </c>
      <c r="G1375" s="10" t="b">
        <f>FALSE()</f>
        <v>0</v>
      </c>
      <c r="H1375" s="10">
        <v>1</v>
      </c>
      <c r="I1375" s="10">
        <v>0</v>
      </c>
      <c r="J1375" s="10">
        <v>1</v>
      </c>
      <c r="K1375" s="10">
        <v>24</v>
      </c>
      <c r="L1375" s="10">
        <v>24</v>
      </c>
      <c r="M1375" s="10">
        <v>0</v>
      </c>
      <c r="N1375" s="10">
        <v>0</v>
      </c>
      <c r="O1375" s="10">
        <v>0</v>
      </c>
    </row>
    <row r="1376" spans="1:15" x14ac:dyDescent="0.2">
      <c r="A1376" s="10" t="s">
        <v>904</v>
      </c>
      <c r="B1376" s="10" t="s">
        <v>498</v>
      </c>
      <c r="C1376" s="10" t="s">
        <v>245</v>
      </c>
      <c r="D1376" s="10" t="s">
        <v>51</v>
      </c>
      <c r="E1376" s="10" t="s">
        <v>52</v>
      </c>
      <c r="F1376" s="10" t="s">
        <v>61</v>
      </c>
      <c r="G1376" s="10" t="b">
        <f>FALSE()</f>
        <v>0</v>
      </c>
      <c r="H1376" s="10">
        <v>1</v>
      </c>
      <c r="I1376" s="10">
        <v>0</v>
      </c>
      <c r="J1376" s="10">
        <v>1</v>
      </c>
      <c r="K1376" s="10">
        <v>40</v>
      </c>
      <c r="L1376" s="10">
        <v>24</v>
      </c>
      <c r="M1376" s="10">
        <v>0</v>
      </c>
      <c r="N1376" s="10">
        <v>0</v>
      </c>
      <c r="O1376" s="10">
        <v>0</v>
      </c>
    </row>
    <row r="1377" spans="1:15" x14ac:dyDescent="0.2">
      <c r="A1377" s="10" t="s">
        <v>905</v>
      </c>
      <c r="B1377" s="10" t="s">
        <v>247</v>
      </c>
      <c r="C1377" s="10" t="s">
        <v>245</v>
      </c>
      <c r="D1377" s="10" t="s">
        <v>51</v>
      </c>
      <c r="E1377" s="10" t="s">
        <v>52</v>
      </c>
      <c r="F1377" s="10" t="s">
        <v>61</v>
      </c>
      <c r="G1377" s="10" t="b">
        <f>FALSE()</f>
        <v>0</v>
      </c>
      <c r="H1377" s="10">
        <v>1</v>
      </c>
      <c r="I1377" s="10">
        <v>0</v>
      </c>
      <c r="J1377" s="10">
        <v>2</v>
      </c>
      <c r="K1377" s="10">
        <v>24</v>
      </c>
      <c r="L1377" s="10">
        <v>24</v>
      </c>
      <c r="M1377" s="10">
        <v>0</v>
      </c>
      <c r="N1377" s="10">
        <v>0</v>
      </c>
      <c r="O1377" s="10">
        <v>0</v>
      </c>
    </row>
    <row r="1378" spans="1:15" x14ac:dyDescent="0.2">
      <c r="A1378" s="10" t="s">
        <v>177</v>
      </c>
      <c r="B1378" s="10" t="s">
        <v>178</v>
      </c>
      <c r="C1378" s="10" t="s">
        <v>73</v>
      </c>
      <c r="D1378" s="10" t="s">
        <v>45</v>
      </c>
      <c r="E1378" s="10" t="s">
        <v>46</v>
      </c>
      <c r="F1378" s="10" t="s">
        <v>53</v>
      </c>
      <c r="G1378" s="10" t="b">
        <f>FALSE()</f>
        <v>0</v>
      </c>
      <c r="H1378" s="10">
        <v>1</v>
      </c>
      <c r="I1378" s="10">
        <v>0</v>
      </c>
      <c r="J1378" s="10">
        <v>0</v>
      </c>
      <c r="K1378" s="10">
        <v>0</v>
      </c>
      <c r="L1378" s="10">
        <v>24</v>
      </c>
      <c r="M1378" s="10">
        <v>0</v>
      </c>
      <c r="N1378" s="10">
        <v>0</v>
      </c>
      <c r="O1378" s="10">
        <v>0</v>
      </c>
    </row>
    <row r="1379" spans="1:15" x14ac:dyDescent="0.2">
      <c r="A1379" s="10" t="s">
        <v>366</v>
      </c>
      <c r="B1379" s="10" t="s">
        <v>78</v>
      </c>
      <c r="C1379" s="10" t="s">
        <v>50</v>
      </c>
      <c r="D1379" s="10" t="s">
        <v>51</v>
      </c>
      <c r="E1379" s="10" t="s">
        <v>52</v>
      </c>
      <c r="F1379" s="10" t="s">
        <v>61</v>
      </c>
      <c r="G1379" s="10" t="b">
        <f>FALSE()</f>
        <v>0</v>
      </c>
      <c r="H1379" s="10">
        <v>1</v>
      </c>
      <c r="I1379" s="10">
        <v>0</v>
      </c>
      <c r="J1379" s="10">
        <v>2</v>
      </c>
      <c r="K1379" s="10">
        <v>50</v>
      </c>
      <c r="L1379" s="10">
        <v>24</v>
      </c>
      <c r="M1379" s="10">
        <v>0</v>
      </c>
      <c r="N1379" s="10">
        <v>0</v>
      </c>
      <c r="O1379" s="10">
        <v>0</v>
      </c>
    </row>
    <row r="1380" spans="1:15" x14ac:dyDescent="0.2">
      <c r="A1380" s="10" t="s">
        <v>906</v>
      </c>
      <c r="B1380" s="10" t="s">
        <v>188</v>
      </c>
      <c r="C1380" s="10" t="s">
        <v>112</v>
      </c>
      <c r="D1380" s="10" t="s">
        <v>51</v>
      </c>
      <c r="E1380" s="10" t="s">
        <v>52</v>
      </c>
      <c r="F1380" s="10" t="s">
        <v>123</v>
      </c>
      <c r="G1380" s="10" t="b">
        <f>FALSE()</f>
        <v>0</v>
      </c>
      <c r="H1380" s="10">
        <v>1</v>
      </c>
      <c r="I1380" s="10">
        <v>0</v>
      </c>
      <c r="J1380" s="10">
        <v>1</v>
      </c>
      <c r="K1380" s="10">
        <v>43</v>
      </c>
      <c r="L1380" s="10">
        <v>24</v>
      </c>
      <c r="M1380" s="10">
        <v>0</v>
      </c>
      <c r="N1380" s="10">
        <v>0</v>
      </c>
      <c r="O1380" s="10">
        <v>0</v>
      </c>
    </row>
    <row r="1381" spans="1:15" x14ac:dyDescent="0.2">
      <c r="A1381" s="10" t="s">
        <v>634</v>
      </c>
      <c r="B1381" s="10" t="s">
        <v>321</v>
      </c>
      <c r="C1381" s="10" t="s">
        <v>245</v>
      </c>
      <c r="D1381" s="10" t="s">
        <v>51</v>
      </c>
      <c r="E1381" s="10" t="s">
        <v>52</v>
      </c>
      <c r="F1381" s="10" t="s">
        <v>53</v>
      </c>
      <c r="G1381" s="10" t="b">
        <f>FALSE()</f>
        <v>0</v>
      </c>
      <c r="H1381" s="10">
        <v>1</v>
      </c>
      <c r="I1381" s="10">
        <v>0</v>
      </c>
      <c r="J1381" s="10">
        <v>1</v>
      </c>
      <c r="K1381" s="10">
        <v>25</v>
      </c>
      <c r="L1381" s="10">
        <v>24</v>
      </c>
      <c r="M1381" s="10">
        <v>0</v>
      </c>
      <c r="N1381" s="10">
        <v>0</v>
      </c>
      <c r="O1381" s="10">
        <v>0</v>
      </c>
    </row>
    <row r="1382" spans="1:15" x14ac:dyDescent="0.2">
      <c r="A1382" s="10" t="s">
        <v>907</v>
      </c>
      <c r="B1382" s="10" t="s">
        <v>193</v>
      </c>
      <c r="C1382" s="10" t="s">
        <v>117</v>
      </c>
      <c r="D1382" s="10" t="s">
        <v>51</v>
      </c>
      <c r="E1382" s="10" t="s">
        <v>52</v>
      </c>
      <c r="F1382" s="10" t="s">
        <v>53</v>
      </c>
      <c r="G1382" s="10" t="b">
        <f>FALSE()</f>
        <v>0</v>
      </c>
      <c r="H1382" s="10">
        <v>1</v>
      </c>
      <c r="I1382" s="10">
        <v>0</v>
      </c>
      <c r="J1382" s="10">
        <v>1</v>
      </c>
      <c r="K1382" s="10">
        <v>53</v>
      </c>
      <c r="L1382" s="10">
        <v>24</v>
      </c>
      <c r="M1382" s="10">
        <v>0</v>
      </c>
      <c r="N1382" s="10">
        <v>0</v>
      </c>
      <c r="O1382" s="10">
        <v>0</v>
      </c>
    </row>
    <row r="1383" spans="1:15" x14ac:dyDescent="0.2">
      <c r="A1383" s="10" t="s">
        <v>907</v>
      </c>
      <c r="B1383" s="10" t="s">
        <v>193</v>
      </c>
      <c r="C1383" s="10" t="s">
        <v>117</v>
      </c>
      <c r="D1383" s="10" t="s">
        <v>51</v>
      </c>
      <c r="E1383" s="10" t="s">
        <v>52</v>
      </c>
      <c r="F1383" s="10" t="s">
        <v>79</v>
      </c>
      <c r="G1383" s="10" t="b">
        <f>FALSE()</f>
        <v>0</v>
      </c>
      <c r="H1383" s="10">
        <v>1</v>
      </c>
      <c r="I1383" s="10">
        <v>0</v>
      </c>
      <c r="J1383" s="10">
        <v>1</v>
      </c>
      <c r="K1383" s="10">
        <v>26</v>
      </c>
      <c r="L1383" s="10">
        <v>24</v>
      </c>
      <c r="M1383" s="10">
        <v>0</v>
      </c>
      <c r="N1383" s="10">
        <v>0</v>
      </c>
      <c r="O1383" s="10">
        <v>0</v>
      </c>
    </row>
    <row r="1384" spans="1:15" x14ac:dyDescent="0.2">
      <c r="A1384" s="10" t="s">
        <v>625</v>
      </c>
      <c r="B1384" s="10" t="s">
        <v>232</v>
      </c>
      <c r="C1384" s="10" t="s">
        <v>90</v>
      </c>
      <c r="D1384" s="10" t="s">
        <v>51</v>
      </c>
      <c r="E1384" s="10" t="s">
        <v>52</v>
      </c>
      <c r="F1384" s="10" t="s">
        <v>113</v>
      </c>
      <c r="G1384" s="10" t="b">
        <f>TRUE()</f>
        <v>1</v>
      </c>
      <c r="H1384" s="10">
        <v>1</v>
      </c>
      <c r="I1384" s="10">
        <v>0</v>
      </c>
      <c r="J1384" s="10">
        <v>1</v>
      </c>
      <c r="K1384" s="10">
        <v>25</v>
      </c>
      <c r="L1384" s="10">
        <v>24</v>
      </c>
      <c r="M1384" s="10">
        <v>0</v>
      </c>
      <c r="N1384" s="10">
        <v>0</v>
      </c>
      <c r="O1384" s="10">
        <v>0</v>
      </c>
    </row>
    <row r="1385" spans="1:15" x14ac:dyDescent="0.2">
      <c r="A1385" s="10" t="s">
        <v>908</v>
      </c>
      <c r="B1385" s="10" t="s">
        <v>72</v>
      </c>
      <c r="C1385" s="10" t="s">
        <v>73</v>
      </c>
      <c r="D1385" s="10" t="s">
        <v>45</v>
      </c>
      <c r="E1385" s="10" t="s">
        <v>46</v>
      </c>
      <c r="F1385" s="10" t="s">
        <v>126</v>
      </c>
      <c r="G1385" s="10" t="b">
        <f>FALSE()</f>
        <v>0</v>
      </c>
      <c r="H1385" s="10">
        <v>1</v>
      </c>
      <c r="I1385" s="10">
        <v>0</v>
      </c>
      <c r="J1385" s="10">
        <v>1</v>
      </c>
      <c r="K1385" s="10">
        <v>24</v>
      </c>
      <c r="L1385" s="10">
        <v>24</v>
      </c>
      <c r="M1385" s="10">
        <v>0</v>
      </c>
      <c r="N1385" s="10">
        <v>0</v>
      </c>
      <c r="O1385" s="10">
        <v>0</v>
      </c>
    </row>
    <row r="1386" spans="1:15" x14ac:dyDescent="0.2">
      <c r="A1386" s="10" t="s">
        <v>681</v>
      </c>
      <c r="B1386" s="10" t="s">
        <v>43</v>
      </c>
      <c r="C1386" s="10" t="s">
        <v>44</v>
      </c>
      <c r="D1386" s="10" t="s">
        <v>45</v>
      </c>
      <c r="E1386" s="10" t="s">
        <v>46</v>
      </c>
      <c r="F1386" s="10" t="s">
        <v>251</v>
      </c>
      <c r="G1386" s="10" t="b">
        <f>FALSE()</f>
        <v>0</v>
      </c>
      <c r="H1386" s="10">
        <v>1</v>
      </c>
      <c r="I1386" s="10">
        <v>1</v>
      </c>
      <c r="J1386" s="10">
        <v>1</v>
      </c>
      <c r="K1386" s="10">
        <v>25</v>
      </c>
      <c r="L1386" s="10">
        <v>23</v>
      </c>
      <c r="M1386" s="10">
        <v>1</v>
      </c>
      <c r="N1386" s="10">
        <v>556</v>
      </c>
      <c r="O1386" s="10">
        <v>556</v>
      </c>
    </row>
    <row r="1387" spans="1:15" x14ac:dyDescent="0.2">
      <c r="A1387" s="10" t="s">
        <v>725</v>
      </c>
      <c r="B1387" s="10" t="s">
        <v>60</v>
      </c>
      <c r="C1387" s="10" t="s">
        <v>50</v>
      </c>
      <c r="D1387" s="10" t="s">
        <v>51</v>
      </c>
      <c r="E1387" s="10" t="s">
        <v>52</v>
      </c>
      <c r="F1387" s="10" t="s">
        <v>251</v>
      </c>
      <c r="G1387" s="10" t="b">
        <f>FALSE()</f>
        <v>0</v>
      </c>
      <c r="H1387" s="10">
        <v>1</v>
      </c>
      <c r="I1387" s="10">
        <v>0</v>
      </c>
      <c r="J1387" s="10">
        <v>2</v>
      </c>
      <c r="K1387" s="10">
        <v>44</v>
      </c>
      <c r="L1387" s="10">
        <v>23</v>
      </c>
      <c r="M1387" s="10">
        <v>0</v>
      </c>
      <c r="N1387" s="10">
        <v>0</v>
      </c>
      <c r="O1387" s="10">
        <v>0</v>
      </c>
    </row>
    <row r="1388" spans="1:15" x14ac:dyDescent="0.2">
      <c r="A1388" s="10" t="s">
        <v>882</v>
      </c>
      <c r="B1388" s="10" t="s">
        <v>384</v>
      </c>
      <c r="C1388" s="10" t="s">
        <v>50</v>
      </c>
      <c r="D1388" s="10" t="s">
        <v>51</v>
      </c>
      <c r="E1388" s="10" t="s">
        <v>52</v>
      </c>
      <c r="F1388" s="10" t="s">
        <v>791</v>
      </c>
      <c r="G1388" s="10" t="b">
        <f>FALSE()</f>
        <v>0</v>
      </c>
      <c r="H1388" s="10">
        <v>1</v>
      </c>
      <c r="I1388" s="10">
        <v>0</v>
      </c>
      <c r="J1388" s="10">
        <v>0</v>
      </c>
      <c r="K1388" s="10">
        <v>0</v>
      </c>
      <c r="L1388" s="10">
        <v>23</v>
      </c>
      <c r="M1388" s="10">
        <v>0</v>
      </c>
      <c r="N1388" s="10">
        <v>0</v>
      </c>
      <c r="O1388" s="10">
        <v>0</v>
      </c>
    </row>
    <row r="1389" spans="1:15" x14ac:dyDescent="0.2">
      <c r="A1389" s="10" t="s">
        <v>250</v>
      </c>
      <c r="B1389" s="10" t="s">
        <v>193</v>
      </c>
      <c r="C1389" s="10" t="s">
        <v>117</v>
      </c>
      <c r="D1389" s="10" t="s">
        <v>51</v>
      </c>
      <c r="E1389" s="10" t="s">
        <v>52</v>
      </c>
      <c r="F1389" s="10" t="s">
        <v>190</v>
      </c>
      <c r="G1389" s="10" t="b">
        <f>TRUE()</f>
        <v>1</v>
      </c>
      <c r="H1389" s="10">
        <v>1</v>
      </c>
      <c r="I1389" s="10">
        <v>0</v>
      </c>
      <c r="J1389" s="10">
        <v>2</v>
      </c>
      <c r="K1389" s="10">
        <v>47</v>
      </c>
      <c r="L1389" s="10">
        <v>23</v>
      </c>
      <c r="M1389" s="10">
        <v>0</v>
      </c>
      <c r="N1389" s="10">
        <v>0</v>
      </c>
      <c r="O1389" s="10">
        <v>0</v>
      </c>
    </row>
    <row r="1390" spans="1:15" x14ac:dyDescent="0.2">
      <c r="A1390" s="10" t="s">
        <v>780</v>
      </c>
      <c r="B1390" s="10" t="s">
        <v>128</v>
      </c>
      <c r="C1390" s="10" t="s">
        <v>50</v>
      </c>
      <c r="D1390" s="10" t="s">
        <v>51</v>
      </c>
      <c r="E1390" s="10" t="s">
        <v>52</v>
      </c>
      <c r="F1390" s="10" t="s">
        <v>251</v>
      </c>
      <c r="G1390" s="10" t="b">
        <f>FALSE()</f>
        <v>0</v>
      </c>
      <c r="H1390" s="10">
        <v>1</v>
      </c>
      <c r="I1390" s="10">
        <v>0</v>
      </c>
      <c r="J1390" s="10">
        <v>1</v>
      </c>
      <c r="K1390" s="10">
        <v>38</v>
      </c>
      <c r="L1390" s="10">
        <v>23</v>
      </c>
      <c r="M1390" s="10">
        <v>0</v>
      </c>
      <c r="N1390" s="10">
        <v>0</v>
      </c>
      <c r="O1390" s="10">
        <v>0</v>
      </c>
    </row>
    <row r="1391" spans="1:15" x14ac:dyDescent="0.2">
      <c r="A1391" s="10" t="s">
        <v>884</v>
      </c>
      <c r="B1391" s="10" t="s">
        <v>384</v>
      </c>
      <c r="C1391" s="10" t="s">
        <v>50</v>
      </c>
      <c r="D1391" s="10" t="s">
        <v>51</v>
      </c>
      <c r="E1391" s="10" t="s">
        <v>52</v>
      </c>
      <c r="F1391" s="10" t="s">
        <v>132</v>
      </c>
      <c r="G1391" s="10" t="b">
        <f>FALSE()</f>
        <v>0</v>
      </c>
      <c r="H1391" s="10">
        <v>1</v>
      </c>
      <c r="I1391" s="10">
        <v>0</v>
      </c>
      <c r="J1391" s="10">
        <v>1</v>
      </c>
      <c r="K1391" s="10">
        <v>24</v>
      </c>
      <c r="L1391" s="10">
        <v>23</v>
      </c>
      <c r="M1391" s="10">
        <v>0</v>
      </c>
      <c r="N1391" s="10">
        <v>0</v>
      </c>
      <c r="O1391" s="10">
        <v>0</v>
      </c>
    </row>
    <row r="1392" spans="1:15" x14ac:dyDescent="0.2">
      <c r="A1392" s="10" t="s">
        <v>718</v>
      </c>
      <c r="B1392" s="10" t="s">
        <v>719</v>
      </c>
      <c r="C1392" s="10" t="s">
        <v>117</v>
      </c>
      <c r="D1392" s="10" t="s">
        <v>51</v>
      </c>
      <c r="E1392" s="10" t="s">
        <v>52</v>
      </c>
      <c r="F1392" s="10" t="s">
        <v>92</v>
      </c>
      <c r="G1392" s="10" t="b">
        <f>FALSE()</f>
        <v>0</v>
      </c>
      <c r="H1392" s="10">
        <v>1</v>
      </c>
      <c r="I1392" s="10">
        <v>0</v>
      </c>
      <c r="J1392" s="10">
        <v>1</v>
      </c>
      <c r="K1392" s="10">
        <v>2</v>
      </c>
      <c r="L1392" s="10">
        <v>23</v>
      </c>
      <c r="M1392" s="10">
        <v>0</v>
      </c>
      <c r="N1392" s="10">
        <v>0</v>
      </c>
      <c r="O1392" s="10">
        <v>0</v>
      </c>
    </row>
    <row r="1393" spans="1:15" x14ac:dyDescent="0.2">
      <c r="A1393" s="10" t="s">
        <v>632</v>
      </c>
      <c r="B1393" s="10" t="s">
        <v>633</v>
      </c>
      <c r="C1393" s="10" t="s">
        <v>90</v>
      </c>
      <c r="D1393" s="10" t="s">
        <v>51</v>
      </c>
      <c r="E1393" s="10" t="s">
        <v>52</v>
      </c>
      <c r="F1393" s="10" t="s">
        <v>113</v>
      </c>
      <c r="G1393" s="10" t="b">
        <f>TRUE()</f>
        <v>1</v>
      </c>
      <c r="H1393" s="10">
        <v>1</v>
      </c>
      <c r="I1393" s="10">
        <v>0</v>
      </c>
      <c r="J1393" s="10">
        <v>2</v>
      </c>
      <c r="K1393" s="10">
        <v>28</v>
      </c>
      <c r="L1393" s="10">
        <v>23</v>
      </c>
      <c r="M1393" s="10">
        <v>0</v>
      </c>
      <c r="N1393" s="10">
        <v>0</v>
      </c>
      <c r="O1393" s="10">
        <v>0</v>
      </c>
    </row>
    <row r="1394" spans="1:15" x14ac:dyDescent="0.2">
      <c r="A1394" s="10" t="s">
        <v>909</v>
      </c>
      <c r="B1394" s="10" t="s">
        <v>116</v>
      </c>
      <c r="C1394" s="10" t="s">
        <v>117</v>
      </c>
      <c r="D1394" s="10" t="s">
        <v>51</v>
      </c>
      <c r="E1394" s="10" t="s">
        <v>52</v>
      </c>
      <c r="F1394" s="10" t="s">
        <v>53</v>
      </c>
      <c r="G1394" s="10" t="b">
        <f>FALSE()</f>
        <v>0</v>
      </c>
      <c r="H1394" s="10">
        <v>1</v>
      </c>
      <c r="I1394" s="10">
        <v>0</v>
      </c>
      <c r="J1394" s="10">
        <v>1</v>
      </c>
      <c r="K1394" s="10">
        <v>35</v>
      </c>
      <c r="L1394" s="10">
        <v>23</v>
      </c>
      <c r="M1394" s="10">
        <v>0</v>
      </c>
      <c r="N1394" s="10">
        <v>0</v>
      </c>
      <c r="O1394" s="10">
        <v>0</v>
      </c>
    </row>
    <row r="1395" spans="1:15" x14ac:dyDescent="0.2">
      <c r="A1395" s="10" t="s">
        <v>279</v>
      </c>
      <c r="B1395" s="10" t="s">
        <v>280</v>
      </c>
      <c r="C1395" s="10" t="s">
        <v>64</v>
      </c>
      <c r="D1395" s="10" t="s">
        <v>45</v>
      </c>
      <c r="E1395" s="10" t="s">
        <v>46</v>
      </c>
      <c r="F1395" s="10" t="s">
        <v>92</v>
      </c>
      <c r="G1395" s="10" t="b">
        <f>FALSE()</f>
        <v>0</v>
      </c>
      <c r="H1395" s="10">
        <v>1</v>
      </c>
      <c r="I1395" s="10">
        <v>0</v>
      </c>
      <c r="J1395" s="10">
        <v>1</v>
      </c>
      <c r="K1395" s="10">
        <v>25</v>
      </c>
      <c r="L1395" s="10">
        <v>23</v>
      </c>
      <c r="M1395" s="10">
        <v>0</v>
      </c>
      <c r="N1395" s="10">
        <v>0</v>
      </c>
      <c r="O1395" s="10">
        <v>0</v>
      </c>
    </row>
    <row r="1396" spans="1:15" x14ac:dyDescent="0.2">
      <c r="A1396" s="10" t="s">
        <v>584</v>
      </c>
      <c r="B1396" s="10" t="s">
        <v>247</v>
      </c>
      <c r="C1396" s="10" t="s">
        <v>245</v>
      </c>
      <c r="D1396" s="10" t="s">
        <v>51</v>
      </c>
      <c r="E1396" s="10" t="s">
        <v>52</v>
      </c>
      <c r="F1396" s="10" t="s">
        <v>186</v>
      </c>
      <c r="G1396" s="10" t="b">
        <f>TRUE()</f>
        <v>1</v>
      </c>
      <c r="H1396" s="10">
        <v>1</v>
      </c>
      <c r="I1396" s="10">
        <v>0</v>
      </c>
      <c r="J1396" s="10">
        <v>0</v>
      </c>
      <c r="K1396" s="10">
        <v>0</v>
      </c>
      <c r="L1396" s="10">
        <v>23</v>
      </c>
      <c r="M1396" s="10">
        <v>0</v>
      </c>
      <c r="N1396" s="10">
        <v>0</v>
      </c>
      <c r="O1396" s="10">
        <v>0</v>
      </c>
    </row>
    <row r="1397" spans="1:15" x14ac:dyDescent="0.2">
      <c r="A1397" s="10" t="s">
        <v>584</v>
      </c>
      <c r="B1397" s="10" t="s">
        <v>247</v>
      </c>
      <c r="C1397" s="10" t="s">
        <v>245</v>
      </c>
      <c r="D1397" s="10" t="s">
        <v>51</v>
      </c>
      <c r="E1397" s="10" t="s">
        <v>52</v>
      </c>
      <c r="F1397" s="10" t="s">
        <v>660</v>
      </c>
      <c r="G1397" s="10" t="b">
        <f>FALSE()</f>
        <v>0</v>
      </c>
      <c r="H1397" s="10">
        <v>1</v>
      </c>
      <c r="I1397" s="10">
        <v>0</v>
      </c>
      <c r="J1397" s="10">
        <v>0</v>
      </c>
      <c r="K1397" s="10">
        <v>0</v>
      </c>
      <c r="L1397" s="10">
        <v>23</v>
      </c>
      <c r="M1397" s="10">
        <v>0</v>
      </c>
      <c r="N1397" s="10">
        <v>0</v>
      </c>
      <c r="O1397" s="10">
        <v>0</v>
      </c>
    </row>
    <row r="1398" spans="1:15" x14ac:dyDescent="0.2">
      <c r="A1398" s="10" t="s">
        <v>868</v>
      </c>
      <c r="B1398" s="10" t="s">
        <v>89</v>
      </c>
      <c r="C1398" s="10" t="s">
        <v>90</v>
      </c>
      <c r="D1398" s="10" t="s">
        <v>51</v>
      </c>
      <c r="E1398" s="10" t="s">
        <v>52</v>
      </c>
      <c r="F1398" s="10" t="s">
        <v>74</v>
      </c>
      <c r="G1398" s="10" t="b">
        <f>FALSE()</f>
        <v>0</v>
      </c>
      <c r="H1398" s="10">
        <v>1</v>
      </c>
      <c r="I1398" s="10">
        <v>0</v>
      </c>
      <c r="J1398" s="10">
        <v>1</v>
      </c>
      <c r="K1398" s="10">
        <v>26</v>
      </c>
      <c r="L1398" s="10">
        <v>23</v>
      </c>
      <c r="M1398" s="10">
        <v>0</v>
      </c>
      <c r="N1398" s="10">
        <v>0</v>
      </c>
      <c r="O1398" s="10">
        <v>0</v>
      </c>
    </row>
    <row r="1399" spans="1:15" x14ac:dyDescent="0.2">
      <c r="A1399" s="10" t="s">
        <v>818</v>
      </c>
      <c r="B1399" s="10" t="s">
        <v>70</v>
      </c>
      <c r="C1399" s="10" t="s">
        <v>70</v>
      </c>
      <c r="D1399" s="10" t="s">
        <v>45</v>
      </c>
      <c r="E1399" s="10" t="s">
        <v>46</v>
      </c>
      <c r="F1399" s="10" t="s">
        <v>113</v>
      </c>
      <c r="G1399" s="10" t="b">
        <f>TRUE()</f>
        <v>1</v>
      </c>
      <c r="H1399" s="10">
        <v>1</v>
      </c>
      <c r="I1399" s="10">
        <v>0</v>
      </c>
      <c r="J1399" s="10">
        <v>1</v>
      </c>
      <c r="K1399" s="10">
        <v>26</v>
      </c>
      <c r="L1399" s="10">
        <v>23</v>
      </c>
      <c r="M1399" s="10">
        <v>0</v>
      </c>
      <c r="N1399" s="10">
        <v>0</v>
      </c>
      <c r="O1399" s="10">
        <v>0</v>
      </c>
    </row>
    <row r="1400" spans="1:15" x14ac:dyDescent="0.2">
      <c r="A1400" s="10" t="s">
        <v>910</v>
      </c>
      <c r="B1400" s="10" t="s">
        <v>247</v>
      </c>
      <c r="C1400" s="10" t="s">
        <v>245</v>
      </c>
      <c r="D1400" s="10" t="s">
        <v>51</v>
      </c>
      <c r="E1400" s="10" t="s">
        <v>52</v>
      </c>
      <c r="F1400" s="10" t="s">
        <v>75</v>
      </c>
      <c r="G1400" s="10" t="b">
        <f>FALSE()</f>
        <v>0</v>
      </c>
      <c r="H1400" s="10">
        <v>1</v>
      </c>
      <c r="I1400" s="10">
        <v>0</v>
      </c>
      <c r="J1400" s="10">
        <v>2</v>
      </c>
      <c r="K1400" s="10">
        <v>23</v>
      </c>
      <c r="L1400" s="10">
        <v>23</v>
      </c>
      <c r="M1400" s="10">
        <v>0</v>
      </c>
      <c r="N1400" s="10">
        <v>0</v>
      </c>
      <c r="O1400" s="10">
        <v>0</v>
      </c>
    </row>
    <row r="1401" spans="1:15" x14ac:dyDescent="0.2">
      <c r="A1401" s="10" t="s">
        <v>911</v>
      </c>
      <c r="B1401" s="10" t="s">
        <v>344</v>
      </c>
      <c r="C1401" s="10" t="s">
        <v>50</v>
      </c>
      <c r="D1401" s="10" t="s">
        <v>51</v>
      </c>
      <c r="E1401" s="10" t="s">
        <v>52</v>
      </c>
      <c r="F1401" s="10" t="s">
        <v>180</v>
      </c>
      <c r="G1401" s="10" t="b">
        <f>FALSE()</f>
        <v>0</v>
      </c>
      <c r="H1401" s="10">
        <v>1</v>
      </c>
      <c r="I1401" s="10">
        <v>0</v>
      </c>
      <c r="J1401" s="10">
        <v>1</v>
      </c>
      <c r="K1401" s="10">
        <v>25</v>
      </c>
      <c r="L1401" s="10">
        <v>23</v>
      </c>
      <c r="M1401" s="10">
        <v>0</v>
      </c>
      <c r="N1401" s="10">
        <v>0</v>
      </c>
      <c r="O1401" s="10">
        <v>0</v>
      </c>
    </row>
    <row r="1402" spans="1:15" x14ac:dyDescent="0.2">
      <c r="A1402" s="10" t="s">
        <v>912</v>
      </c>
      <c r="B1402" s="10" t="s">
        <v>70</v>
      </c>
      <c r="C1402" s="10" t="s">
        <v>70</v>
      </c>
      <c r="D1402" s="10" t="s">
        <v>45</v>
      </c>
      <c r="E1402" s="10" t="s">
        <v>46</v>
      </c>
      <c r="F1402" s="10" t="s">
        <v>403</v>
      </c>
      <c r="G1402" s="10" t="b">
        <f>TRUE()</f>
        <v>1</v>
      </c>
      <c r="H1402" s="10">
        <v>1</v>
      </c>
      <c r="I1402" s="10">
        <v>0</v>
      </c>
      <c r="J1402" s="10">
        <v>1</v>
      </c>
      <c r="K1402" s="10">
        <v>25</v>
      </c>
      <c r="L1402" s="10">
        <v>23</v>
      </c>
      <c r="M1402" s="10">
        <v>0</v>
      </c>
      <c r="N1402" s="10">
        <v>0</v>
      </c>
      <c r="O1402" s="10">
        <v>0</v>
      </c>
    </row>
    <row r="1403" spans="1:15" x14ac:dyDescent="0.2">
      <c r="A1403" s="10" t="s">
        <v>913</v>
      </c>
      <c r="B1403" s="10" t="s">
        <v>456</v>
      </c>
      <c r="C1403" s="10" t="s">
        <v>245</v>
      </c>
      <c r="D1403" s="10" t="s">
        <v>51</v>
      </c>
      <c r="E1403" s="10" t="s">
        <v>52</v>
      </c>
      <c r="F1403" s="10" t="s">
        <v>91</v>
      </c>
      <c r="G1403" s="10" t="b">
        <f>TRUE()</f>
        <v>1</v>
      </c>
      <c r="H1403" s="10">
        <v>1</v>
      </c>
      <c r="I1403" s="10">
        <v>0</v>
      </c>
      <c r="J1403" s="10">
        <v>1</v>
      </c>
      <c r="K1403" s="10">
        <v>23</v>
      </c>
      <c r="L1403" s="10">
        <v>23</v>
      </c>
      <c r="M1403" s="10">
        <v>0</v>
      </c>
      <c r="N1403" s="10">
        <v>0</v>
      </c>
      <c r="O1403" s="10">
        <v>0</v>
      </c>
    </row>
    <row r="1404" spans="1:15" x14ac:dyDescent="0.2">
      <c r="A1404" s="10" t="s">
        <v>591</v>
      </c>
      <c r="B1404" s="10" t="s">
        <v>262</v>
      </c>
      <c r="C1404" s="10" t="s">
        <v>105</v>
      </c>
      <c r="D1404" s="10" t="s">
        <v>45</v>
      </c>
      <c r="E1404" s="10" t="s">
        <v>46</v>
      </c>
      <c r="F1404" s="10" t="s">
        <v>97</v>
      </c>
      <c r="G1404" s="10" t="b">
        <f>TRUE()</f>
        <v>1</v>
      </c>
      <c r="H1404" s="10">
        <v>1</v>
      </c>
      <c r="I1404" s="10">
        <v>1</v>
      </c>
      <c r="J1404" s="10">
        <v>2</v>
      </c>
      <c r="K1404" s="10">
        <v>22</v>
      </c>
      <c r="L1404" s="10">
        <v>22</v>
      </c>
      <c r="M1404" s="10">
        <v>1</v>
      </c>
      <c r="N1404" s="10">
        <v>121</v>
      </c>
      <c r="O1404" s="10">
        <v>121</v>
      </c>
    </row>
    <row r="1405" spans="1:15" x14ac:dyDescent="0.2">
      <c r="A1405" s="10" t="s">
        <v>580</v>
      </c>
      <c r="B1405" s="10" t="s">
        <v>78</v>
      </c>
      <c r="C1405" s="10" t="s">
        <v>50</v>
      </c>
      <c r="D1405" s="10" t="s">
        <v>51</v>
      </c>
      <c r="E1405" s="10" t="s">
        <v>52</v>
      </c>
      <c r="F1405" s="10" t="s">
        <v>535</v>
      </c>
      <c r="G1405" s="10" t="b">
        <f>TRUE()</f>
        <v>1</v>
      </c>
      <c r="H1405" s="10">
        <v>1</v>
      </c>
      <c r="I1405" s="10">
        <v>1</v>
      </c>
      <c r="J1405" s="10">
        <v>1</v>
      </c>
      <c r="K1405" s="10">
        <v>22</v>
      </c>
      <c r="L1405" s="10">
        <v>22</v>
      </c>
      <c r="M1405" s="10">
        <v>1</v>
      </c>
      <c r="N1405" s="10">
        <v>21</v>
      </c>
      <c r="O1405" s="10">
        <v>21</v>
      </c>
    </row>
    <row r="1406" spans="1:15" x14ac:dyDescent="0.2">
      <c r="A1406" s="10" t="s">
        <v>185</v>
      </c>
      <c r="B1406" s="10" t="s">
        <v>104</v>
      </c>
      <c r="C1406" s="10" t="s">
        <v>105</v>
      </c>
      <c r="D1406" s="10" t="s">
        <v>45</v>
      </c>
      <c r="E1406" s="10" t="s">
        <v>46</v>
      </c>
      <c r="F1406" s="10" t="s">
        <v>914</v>
      </c>
      <c r="G1406" s="10" t="b">
        <f>FALSE()</f>
        <v>0</v>
      </c>
      <c r="H1406" s="10">
        <v>1</v>
      </c>
      <c r="I1406" s="10">
        <v>0</v>
      </c>
      <c r="J1406" s="10">
        <v>1</v>
      </c>
      <c r="K1406" s="10">
        <v>43</v>
      </c>
      <c r="L1406" s="10">
        <v>22</v>
      </c>
      <c r="M1406" s="10">
        <v>0</v>
      </c>
      <c r="N1406" s="10">
        <v>0</v>
      </c>
      <c r="O1406" s="10">
        <v>0</v>
      </c>
    </row>
    <row r="1407" spans="1:15" x14ac:dyDescent="0.2">
      <c r="A1407" s="10" t="s">
        <v>915</v>
      </c>
      <c r="B1407" s="10" t="s">
        <v>916</v>
      </c>
      <c r="C1407" s="10" t="s">
        <v>117</v>
      </c>
      <c r="D1407" s="10" t="s">
        <v>51</v>
      </c>
      <c r="E1407" s="10" t="s">
        <v>52</v>
      </c>
      <c r="F1407" s="10" t="s">
        <v>180</v>
      </c>
      <c r="G1407" s="10" t="b">
        <f>FALSE()</f>
        <v>0</v>
      </c>
      <c r="H1407" s="10">
        <v>1</v>
      </c>
      <c r="I1407" s="10">
        <v>0</v>
      </c>
      <c r="J1407" s="10">
        <v>1</v>
      </c>
      <c r="K1407" s="10">
        <v>22</v>
      </c>
      <c r="L1407" s="10">
        <v>22</v>
      </c>
      <c r="M1407" s="10">
        <v>0</v>
      </c>
      <c r="N1407" s="10">
        <v>0</v>
      </c>
      <c r="O1407" s="10">
        <v>0</v>
      </c>
    </row>
    <row r="1408" spans="1:15" x14ac:dyDescent="0.2">
      <c r="A1408" s="10" t="s">
        <v>560</v>
      </c>
      <c r="B1408" s="10" t="s">
        <v>96</v>
      </c>
      <c r="C1408" s="10" t="s">
        <v>50</v>
      </c>
      <c r="D1408" s="10" t="s">
        <v>51</v>
      </c>
      <c r="E1408" s="10" t="s">
        <v>52</v>
      </c>
      <c r="F1408" s="10" t="s">
        <v>291</v>
      </c>
      <c r="G1408" s="10" t="b">
        <f>FALSE()</f>
        <v>0</v>
      </c>
      <c r="H1408" s="10">
        <v>1</v>
      </c>
      <c r="I1408" s="10">
        <v>0</v>
      </c>
      <c r="J1408" s="10">
        <v>0</v>
      </c>
      <c r="K1408" s="10">
        <v>0</v>
      </c>
      <c r="L1408" s="10">
        <v>22</v>
      </c>
      <c r="M1408" s="10">
        <v>0</v>
      </c>
      <c r="N1408" s="10">
        <v>0</v>
      </c>
      <c r="O1408" s="10">
        <v>0</v>
      </c>
    </row>
    <row r="1409" spans="1:15" x14ac:dyDescent="0.2">
      <c r="A1409" s="10" t="s">
        <v>882</v>
      </c>
      <c r="B1409" s="10" t="s">
        <v>384</v>
      </c>
      <c r="C1409" s="10" t="s">
        <v>50</v>
      </c>
      <c r="D1409" s="10" t="s">
        <v>51</v>
      </c>
      <c r="E1409" s="10" t="s">
        <v>52</v>
      </c>
      <c r="F1409" s="10" t="s">
        <v>113</v>
      </c>
      <c r="G1409" s="10" t="b">
        <f>TRUE()</f>
        <v>1</v>
      </c>
      <c r="H1409" s="10">
        <v>1</v>
      </c>
      <c r="I1409" s="10">
        <v>0</v>
      </c>
      <c r="J1409" s="10">
        <v>1</v>
      </c>
      <c r="K1409" s="10">
        <v>22</v>
      </c>
      <c r="L1409" s="10">
        <v>22</v>
      </c>
      <c r="M1409" s="10">
        <v>0</v>
      </c>
      <c r="N1409" s="10">
        <v>0</v>
      </c>
      <c r="O1409" s="10">
        <v>0</v>
      </c>
    </row>
    <row r="1410" spans="1:15" x14ac:dyDescent="0.2">
      <c r="A1410" s="10" t="s">
        <v>664</v>
      </c>
      <c r="B1410" s="10" t="s">
        <v>136</v>
      </c>
      <c r="C1410" s="10" t="s">
        <v>73</v>
      </c>
      <c r="D1410" s="10" t="s">
        <v>45</v>
      </c>
      <c r="E1410" s="10" t="s">
        <v>46</v>
      </c>
      <c r="F1410" s="10" t="s">
        <v>113</v>
      </c>
      <c r="G1410" s="10" t="b">
        <f>TRUE()</f>
        <v>1</v>
      </c>
      <c r="H1410" s="10">
        <v>1</v>
      </c>
      <c r="I1410" s="10">
        <v>0</v>
      </c>
      <c r="J1410" s="10">
        <v>1</v>
      </c>
      <c r="K1410" s="10">
        <v>28</v>
      </c>
      <c r="L1410" s="10">
        <v>22</v>
      </c>
      <c r="M1410" s="10">
        <v>0</v>
      </c>
      <c r="N1410" s="10">
        <v>0</v>
      </c>
      <c r="O1410" s="10">
        <v>0</v>
      </c>
    </row>
    <row r="1411" spans="1:15" x14ac:dyDescent="0.2">
      <c r="A1411" s="10" t="s">
        <v>790</v>
      </c>
      <c r="B1411" s="10" t="s">
        <v>405</v>
      </c>
      <c r="C1411" s="10" t="s">
        <v>112</v>
      </c>
      <c r="D1411" s="10" t="s">
        <v>51</v>
      </c>
      <c r="E1411" s="10" t="s">
        <v>52</v>
      </c>
      <c r="F1411" s="10" t="s">
        <v>74</v>
      </c>
      <c r="G1411" s="10" t="b">
        <f>FALSE()</f>
        <v>0</v>
      </c>
      <c r="H1411" s="10">
        <v>1</v>
      </c>
      <c r="I1411" s="10">
        <v>0</v>
      </c>
      <c r="J1411" s="10">
        <v>1</v>
      </c>
      <c r="K1411" s="10">
        <v>27</v>
      </c>
      <c r="L1411" s="10">
        <v>22</v>
      </c>
      <c r="M1411" s="10">
        <v>0</v>
      </c>
      <c r="N1411" s="10">
        <v>0</v>
      </c>
      <c r="O1411" s="10">
        <v>0</v>
      </c>
    </row>
    <row r="1412" spans="1:15" x14ac:dyDescent="0.2">
      <c r="A1412" s="10" t="s">
        <v>110</v>
      </c>
      <c r="B1412" s="10" t="s">
        <v>111</v>
      </c>
      <c r="C1412" s="10" t="s">
        <v>112</v>
      </c>
      <c r="D1412" s="10" t="s">
        <v>51</v>
      </c>
      <c r="E1412" s="10" t="s">
        <v>52</v>
      </c>
      <c r="F1412" s="10" t="s">
        <v>212</v>
      </c>
      <c r="G1412" s="10" t="b">
        <f>FALSE()</f>
        <v>0</v>
      </c>
      <c r="H1412" s="10">
        <v>1</v>
      </c>
      <c r="I1412" s="10">
        <v>0</v>
      </c>
      <c r="J1412" s="10">
        <v>1</v>
      </c>
      <c r="K1412" s="10">
        <v>22</v>
      </c>
      <c r="L1412" s="10">
        <v>22</v>
      </c>
      <c r="M1412" s="10">
        <v>0</v>
      </c>
      <c r="N1412" s="10">
        <v>0</v>
      </c>
      <c r="O1412" s="10">
        <v>0</v>
      </c>
    </row>
    <row r="1413" spans="1:15" x14ac:dyDescent="0.2">
      <c r="A1413" s="10" t="s">
        <v>780</v>
      </c>
      <c r="B1413" s="10" t="s">
        <v>128</v>
      </c>
      <c r="C1413" s="10" t="s">
        <v>50</v>
      </c>
      <c r="D1413" s="10" t="s">
        <v>51</v>
      </c>
      <c r="E1413" s="10" t="s">
        <v>52</v>
      </c>
      <c r="F1413" s="10" t="s">
        <v>113</v>
      </c>
      <c r="G1413" s="10" t="b">
        <f>TRUE()</f>
        <v>1</v>
      </c>
      <c r="H1413" s="10">
        <v>1</v>
      </c>
      <c r="I1413" s="10">
        <v>0</v>
      </c>
      <c r="J1413" s="10">
        <v>0</v>
      </c>
      <c r="K1413" s="10">
        <v>0</v>
      </c>
      <c r="L1413" s="10">
        <v>22</v>
      </c>
      <c r="M1413" s="10">
        <v>0</v>
      </c>
      <c r="N1413" s="10">
        <v>0</v>
      </c>
      <c r="O1413" s="10">
        <v>0</v>
      </c>
    </row>
    <row r="1414" spans="1:15" x14ac:dyDescent="0.2">
      <c r="A1414" s="10" t="s">
        <v>82</v>
      </c>
      <c r="B1414" s="10" t="s">
        <v>70</v>
      </c>
      <c r="C1414" s="10" t="s">
        <v>70</v>
      </c>
      <c r="D1414" s="10" t="s">
        <v>45</v>
      </c>
      <c r="E1414" s="10" t="s">
        <v>46</v>
      </c>
      <c r="F1414" s="10" t="s">
        <v>917</v>
      </c>
      <c r="G1414" s="10" t="b">
        <f>FALSE()</f>
        <v>0</v>
      </c>
      <c r="H1414" s="10">
        <v>1</v>
      </c>
      <c r="I1414" s="10">
        <v>0</v>
      </c>
      <c r="J1414" s="10">
        <v>1</v>
      </c>
      <c r="K1414" s="10">
        <v>28</v>
      </c>
      <c r="L1414" s="10">
        <v>22</v>
      </c>
      <c r="M1414" s="10">
        <v>0</v>
      </c>
      <c r="N1414" s="10">
        <v>0</v>
      </c>
      <c r="O1414" s="10">
        <v>0</v>
      </c>
    </row>
    <row r="1415" spans="1:15" x14ac:dyDescent="0.2">
      <c r="A1415" s="10" t="s">
        <v>885</v>
      </c>
      <c r="B1415" s="10" t="s">
        <v>157</v>
      </c>
      <c r="C1415" s="10" t="s">
        <v>64</v>
      </c>
      <c r="D1415" s="10" t="s">
        <v>45</v>
      </c>
      <c r="E1415" s="10" t="s">
        <v>46</v>
      </c>
      <c r="F1415" s="10" t="s">
        <v>79</v>
      </c>
      <c r="G1415" s="10" t="b">
        <f>FALSE()</f>
        <v>0</v>
      </c>
      <c r="H1415" s="10">
        <v>1</v>
      </c>
      <c r="I1415" s="10">
        <v>0</v>
      </c>
      <c r="J1415" s="10">
        <v>1</v>
      </c>
      <c r="K1415" s="10">
        <v>25</v>
      </c>
      <c r="L1415" s="10">
        <v>22</v>
      </c>
      <c r="M1415" s="10">
        <v>0</v>
      </c>
      <c r="N1415" s="10">
        <v>0</v>
      </c>
      <c r="O1415" s="10">
        <v>0</v>
      </c>
    </row>
    <row r="1416" spans="1:15" x14ac:dyDescent="0.2">
      <c r="A1416" s="10" t="s">
        <v>918</v>
      </c>
      <c r="B1416" s="10" t="s">
        <v>498</v>
      </c>
      <c r="C1416" s="10" t="s">
        <v>245</v>
      </c>
      <c r="D1416" s="10" t="s">
        <v>51</v>
      </c>
      <c r="E1416" s="10" t="s">
        <v>52</v>
      </c>
      <c r="F1416" s="10" t="s">
        <v>61</v>
      </c>
      <c r="G1416" s="10" t="b">
        <f>FALSE()</f>
        <v>0</v>
      </c>
      <c r="H1416" s="10">
        <v>1</v>
      </c>
      <c r="I1416" s="10">
        <v>0</v>
      </c>
      <c r="J1416" s="10">
        <v>1</v>
      </c>
      <c r="K1416" s="10">
        <v>22</v>
      </c>
      <c r="L1416" s="10">
        <v>22</v>
      </c>
      <c r="M1416" s="10">
        <v>0</v>
      </c>
      <c r="N1416" s="10">
        <v>0</v>
      </c>
      <c r="O1416" s="10">
        <v>0</v>
      </c>
    </row>
    <row r="1417" spans="1:15" x14ac:dyDescent="0.2">
      <c r="A1417" s="10" t="s">
        <v>270</v>
      </c>
      <c r="B1417" s="10" t="s">
        <v>172</v>
      </c>
      <c r="C1417" s="10" t="s">
        <v>44</v>
      </c>
      <c r="D1417" s="10" t="s">
        <v>45</v>
      </c>
      <c r="E1417" s="10" t="s">
        <v>46</v>
      </c>
      <c r="F1417" s="10" t="s">
        <v>61</v>
      </c>
      <c r="G1417" s="10" t="b">
        <f>FALSE()</f>
        <v>0</v>
      </c>
      <c r="H1417" s="10">
        <v>1</v>
      </c>
      <c r="I1417" s="10">
        <v>0</v>
      </c>
      <c r="J1417" s="10">
        <v>4</v>
      </c>
      <c r="K1417" s="10">
        <v>224</v>
      </c>
      <c r="L1417" s="10">
        <v>22</v>
      </c>
      <c r="M1417" s="10">
        <v>0</v>
      </c>
      <c r="N1417" s="10">
        <v>0</v>
      </c>
      <c r="O1417" s="10">
        <v>0</v>
      </c>
    </row>
    <row r="1418" spans="1:15" x14ac:dyDescent="0.2">
      <c r="A1418" s="10" t="s">
        <v>870</v>
      </c>
      <c r="B1418" s="10" t="s">
        <v>70</v>
      </c>
      <c r="C1418" s="10" t="s">
        <v>70</v>
      </c>
      <c r="D1418" s="10" t="s">
        <v>45</v>
      </c>
      <c r="E1418" s="10" t="s">
        <v>46</v>
      </c>
      <c r="F1418" s="10" t="s">
        <v>92</v>
      </c>
      <c r="G1418" s="10" t="b">
        <f>FALSE()</f>
        <v>0</v>
      </c>
      <c r="H1418" s="10">
        <v>1</v>
      </c>
      <c r="I1418" s="10">
        <v>0</v>
      </c>
      <c r="J1418" s="10">
        <v>1</v>
      </c>
      <c r="K1418" s="10">
        <v>25</v>
      </c>
      <c r="L1418" s="10">
        <v>22</v>
      </c>
      <c r="M1418" s="10">
        <v>0</v>
      </c>
      <c r="N1418" s="10">
        <v>0</v>
      </c>
      <c r="O1418" s="10">
        <v>0</v>
      </c>
    </row>
    <row r="1419" spans="1:15" x14ac:dyDescent="0.2">
      <c r="A1419" s="10" t="s">
        <v>919</v>
      </c>
      <c r="B1419" s="10" t="s">
        <v>122</v>
      </c>
      <c r="C1419" s="10" t="s">
        <v>112</v>
      </c>
      <c r="D1419" s="10" t="s">
        <v>51</v>
      </c>
      <c r="E1419" s="10" t="s">
        <v>52</v>
      </c>
      <c r="F1419" s="10" t="s">
        <v>92</v>
      </c>
      <c r="G1419" s="10" t="b">
        <f>FALSE()</f>
        <v>0</v>
      </c>
      <c r="H1419" s="10">
        <v>1</v>
      </c>
      <c r="I1419" s="10">
        <v>0</v>
      </c>
      <c r="J1419" s="10">
        <v>1</v>
      </c>
      <c r="K1419" s="10">
        <v>33</v>
      </c>
      <c r="L1419" s="10">
        <v>22</v>
      </c>
      <c r="M1419" s="10">
        <v>0</v>
      </c>
      <c r="N1419" s="10">
        <v>0</v>
      </c>
      <c r="O1419" s="10">
        <v>0</v>
      </c>
    </row>
    <row r="1420" spans="1:15" x14ac:dyDescent="0.2">
      <c r="A1420" s="10" t="s">
        <v>920</v>
      </c>
      <c r="B1420" s="10" t="s">
        <v>157</v>
      </c>
      <c r="C1420" s="10" t="s">
        <v>64</v>
      </c>
      <c r="D1420" s="10" t="s">
        <v>45</v>
      </c>
      <c r="E1420" s="10" t="s">
        <v>46</v>
      </c>
      <c r="F1420" s="10" t="s">
        <v>94</v>
      </c>
      <c r="G1420" s="10" t="b">
        <f>FALSE()</f>
        <v>0</v>
      </c>
      <c r="H1420" s="10">
        <v>1</v>
      </c>
      <c r="I1420" s="10">
        <v>0</v>
      </c>
      <c r="J1420" s="10">
        <v>1</v>
      </c>
      <c r="K1420" s="10">
        <v>22</v>
      </c>
      <c r="L1420" s="10">
        <v>22</v>
      </c>
      <c r="M1420" s="10">
        <v>0</v>
      </c>
      <c r="N1420" s="10">
        <v>0</v>
      </c>
      <c r="O1420" s="10">
        <v>0</v>
      </c>
    </row>
    <row r="1421" spans="1:15" x14ac:dyDescent="0.2">
      <c r="A1421" s="10" t="s">
        <v>921</v>
      </c>
      <c r="B1421" s="10" t="s">
        <v>60</v>
      </c>
      <c r="C1421" s="10" t="s">
        <v>50</v>
      </c>
      <c r="D1421" s="10" t="s">
        <v>51</v>
      </c>
      <c r="E1421" s="10" t="s">
        <v>52</v>
      </c>
      <c r="F1421" s="10" t="s">
        <v>94</v>
      </c>
      <c r="G1421" s="10" t="b">
        <f>FALSE()</f>
        <v>0</v>
      </c>
      <c r="H1421" s="10">
        <v>1</v>
      </c>
      <c r="I1421" s="10">
        <v>0</v>
      </c>
      <c r="J1421" s="10">
        <v>4</v>
      </c>
      <c r="K1421" s="10">
        <v>97</v>
      </c>
      <c r="L1421" s="10">
        <v>22</v>
      </c>
      <c r="M1421" s="10">
        <v>0</v>
      </c>
      <c r="N1421" s="10">
        <v>0</v>
      </c>
      <c r="O1421" s="10">
        <v>0</v>
      </c>
    </row>
    <row r="1422" spans="1:15" x14ac:dyDescent="0.2">
      <c r="A1422" s="10" t="s">
        <v>922</v>
      </c>
      <c r="B1422" s="10" t="s">
        <v>289</v>
      </c>
      <c r="C1422" s="10" t="s">
        <v>50</v>
      </c>
      <c r="D1422" s="10" t="s">
        <v>51</v>
      </c>
      <c r="E1422" s="10" t="s">
        <v>52</v>
      </c>
      <c r="F1422" s="10" t="s">
        <v>94</v>
      </c>
      <c r="G1422" s="10" t="b">
        <f>FALSE()</f>
        <v>0</v>
      </c>
      <c r="H1422" s="10">
        <v>1</v>
      </c>
      <c r="I1422" s="10">
        <v>0</v>
      </c>
      <c r="J1422" s="10">
        <v>1</v>
      </c>
      <c r="K1422" s="10">
        <v>68</v>
      </c>
      <c r="L1422" s="10">
        <v>22</v>
      </c>
      <c r="M1422" s="10">
        <v>0</v>
      </c>
      <c r="N1422" s="10">
        <v>0</v>
      </c>
      <c r="O1422" s="10">
        <v>0</v>
      </c>
    </row>
    <row r="1423" spans="1:15" x14ac:dyDescent="0.2">
      <c r="A1423" s="10" t="s">
        <v>923</v>
      </c>
      <c r="B1423" s="10" t="s">
        <v>167</v>
      </c>
      <c r="C1423" s="10" t="s">
        <v>64</v>
      </c>
      <c r="D1423" s="10" t="s">
        <v>45</v>
      </c>
      <c r="E1423" s="10" t="s">
        <v>46</v>
      </c>
      <c r="F1423" s="10" t="s">
        <v>85</v>
      </c>
      <c r="G1423" s="10" t="b">
        <f>FALSE()</f>
        <v>0</v>
      </c>
      <c r="H1423" s="10">
        <v>1</v>
      </c>
      <c r="I1423" s="10">
        <v>0</v>
      </c>
      <c r="J1423" s="10">
        <v>1</v>
      </c>
      <c r="K1423" s="10">
        <v>22</v>
      </c>
      <c r="L1423" s="10">
        <v>22</v>
      </c>
      <c r="M1423" s="10">
        <v>0</v>
      </c>
      <c r="N1423" s="10">
        <v>0</v>
      </c>
      <c r="O1423" s="10">
        <v>0</v>
      </c>
    </row>
    <row r="1424" spans="1:15" x14ac:dyDescent="0.2">
      <c r="A1424" s="10" t="s">
        <v>584</v>
      </c>
      <c r="B1424" s="10" t="s">
        <v>247</v>
      </c>
      <c r="C1424" s="10" t="s">
        <v>245</v>
      </c>
      <c r="D1424" s="10" t="s">
        <v>51</v>
      </c>
      <c r="E1424" s="10" t="s">
        <v>52</v>
      </c>
      <c r="F1424" s="10" t="s">
        <v>83</v>
      </c>
      <c r="G1424" s="10" t="b">
        <f>TRUE()</f>
        <v>1</v>
      </c>
      <c r="H1424" s="10">
        <v>1</v>
      </c>
      <c r="I1424" s="10">
        <v>0</v>
      </c>
      <c r="J1424" s="10">
        <v>0</v>
      </c>
      <c r="K1424" s="10">
        <v>0</v>
      </c>
      <c r="L1424" s="10">
        <v>22</v>
      </c>
      <c r="M1424" s="10">
        <v>0</v>
      </c>
      <c r="N1424" s="10">
        <v>0</v>
      </c>
      <c r="O1424" s="10">
        <v>0</v>
      </c>
    </row>
    <row r="1425" spans="1:15" x14ac:dyDescent="0.2">
      <c r="A1425" s="10" t="s">
        <v>924</v>
      </c>
      <c r="B1425" s="10" t="s">
        <v>104</v>
      </c>
      <c r="C1425" s="10" t="s">
        <v>105</v>
      </c>
      <c r="D1425" s="10" t="s">
        <v>45</v>
      </c>
      <c r="E1425" s="10" t="s">
        <v>46</v>
      </c>
      <c r="F1425" s="10" t="s">
        <v>207</v>
      </c>
      <c r="G1425" s="10" t="b">
        <f>FALSE()</f>
        <v>0</v>
      </c>
      <c r="H1425" s="10">
        <v>1</v>
      </c>
      <c r="I1425" s="10">
        <v>0</v>
      </c>
      <c r="J1425" s="10">
        <v>1</v>
      </c>
      <c r="K1425" s="10">
        <v>25</v>
      </c>
      <c r="L1425" s="10">
        <v>22</v>
      </c>
      <c r="M1425" s="10">
        <v>0</v>
      </c>
      <c r="N1425" s="10">
        <v>0</v>
      </c>
      <c r="O1425" s="10">
        <v>0</v>
      </c>
    </row>
    <row r="1426" spans="1:15" x14ac:dyDescent="0.2">
      <c r="A1426" s="10" t="s">
        <v>925</v>
      </c>
      <c r="B1426" s="10" t="s">
        <v>831</v>
      </c>
      <c r="C1426" s="10" t="s">
        <v>117</v>
      </c>
      <c r="D1426" s="10" t="s">
        <v>51</v>
      </c>
      <c r="E1426" s="10" t="s">
        <v>52</v>
      </c>
      <c r="F1426" s="10" t="s">
        <v>791</v>
      </c>
      <c r="G1426" s="10" t="b">
        <f>FALSE()</f>
        <v>0</v>
      </c>
      <c r="H1426" s="10">
        <v>1</v>
      </c>
      <c r="I1426" s="10">
        <v>0</v>
      </c>
      <c r="J1426" s="10">
        <v>1</v>
      </c>
      <c r="K1426" s="10">
        <v>25</v>
      </c>
      <c r="L1426" s="10">
        <v>22</v>
      </c>
      <c r="M1426" s="10">
        <v>0</v>
      </c>
      <c r="N1426" s="10">
        <v>0</v>
      </c>
      <c r="O1426" s="10">
        <v>0</v>
      </c>
    </row>
    <row r="1427" spans="1:15" x14ac:dyDescent="0.2">
      <c r="A1427" s="10" t="s">
        <v>926</v>
      </c>
      <c r="B1427" s="10" t="s">
        <v>633</v>
      </c>
      <c r="C1427" s="10" t="s">
        <v>90</v>
      </c>
      <c r="D1427" s="10" t="s">
        <v>51</v>
      </c>
      <c r="E1427" s="10" t="s">
        <v>52</v>
      </c>
      <c r="F1427" s="10" t="s">
        <v>180</v>
      </c>
      <c r="G1427" s="10" t="b">
        <f>FALSE()</f>
        <v>0</v>
      </c>
      <c r="H1427" s="10">
        <v>1</v>
      </c>
      <c r="I1427" s="10">
        <v>0</v>
      </c>
      <c r="J1427" s="10">
        <v>1</v>
      </c>
      <c r="K1427" s="10">
        <v>22</v>
      </c>
      <c r="L1427" s="10">
        <v>22</v>
      </c>
      <c r="M1427" s="10">
        <v>0</v>
      </c>
      <c r="N1427" s="10">
        <v>0</v>
      </c>
      <c r="O1427" s="10">
        <v>0</v>
      </c>
    </row>
    <row r="1428" spans="1:15" x14ac:dyDescent="0.2">
      <c r="A1428" s="10" t="s">
        <v>803</v>
      </c>
      <c r="B1428" s="10" t="s">
        <v>756</v>
      </c>
      <c r="C1428" s="10" t="s">
        <v>245</v>
      </c>
      <c r="D1428" s="10" t="s">
        <v>51</v>
      </c>
      <c r="E1428" s="10" t="s">
        <v>52</v>
      </c>
      <c r="F1428" s="10" t="s">
        <v>61</v>
      </c>
      <c r="G1428" s="10" t="b">
        <f>FALSE()</f>
        <v>0</v>
      </c>
      <c r="H1428" s="10">
        <v>1</v>
      </c>
      <c r="I1428" s="10">
        <v>1</v>
      </c>
      <c r="J1428" s="10">
        <v>1</v>
      </c>
      <c r="K1428" s="10">
        <v>24</v>
      </c>
      <c r="L1428" s="10">
        <v>21</v>
      </c>
      <c r="M1428" s="10">
        <v>1</v>
      </c>
      <c r="N1428" s="10">
        <v>282</v>
      </c>
      <c r="O1428" s="10">
        <v>281</v>
      </c>
    </row>
    <row r="1429" spans="1:15" x14ac:dyDescent="0.2">
      <c r="A1429" s="10" t="s">
        <v>803</v>
      </c>
      <c r="B1429" s="10" t="s">
        <v>756</v>
      </c>
      <c r="C1429" s="10" t="s">
        <v>245</v>
      </c>
      <c r="D1429" s="10" t="s">
        <v>51</v>
      </c>
      <c r="E1429" s="10" t="s">
        <v>52</v>
      </c>
      <c r="F1429" s="10" t="s">
        <v>251</v>
      </c>
      <c r="G1429" s="10" t="b">
        <f>FALSE()</f>
        <v>0</v>
      </c>
      <c r="H1429" s="10">
        <v>1</v>
      </c>
      <c r="I1429" s="10">
        <v>1</v>
      </c>
      <c r="J1429" s="10">
        <v>1</v>
      </c>
      <c r="K1429" s="10">
        <v>23</v>
      </c>
      <c r="L1429" s="10">
        <v>21</v>
      </c>
      <c r="M1429" s="10">
        <v>1</v>
      </c>
      <c r="N1429" s="10">
        <v>29</v>
      </c>
      <c r="O1429" s="10">
        <v>29</v>
      </c>
    </row>
    <row r="1430" spans="1:15" x14ac:dyDescent="0.2">
      <c r="A1430" s="10" t="s">
        <v>725</v>
      </c>
      <c r="B1430" s="10" t="s">
        <v>60</v>
      </c>
      <c r="C1430" s="10" t="s">
        <v>50</v>
      </c>
      <c r="D1430" s="10" t="s">
        <v>51</v>
      </c>
      <c r="E1430" s="10" t="s">
        <v>52</v>
      </c>
      <c r="F1430" s="10" t="s">
        <v>92</v>
      </c>
      <c r="G1430" s="10" t="b">
        <f>FALSE()</f>
        <v>0</v>
      </c>
      <c r="H1430" s="10">
        <v>1</v>
      </c>
      <c r="I1430" s="10">
        <v>0</v>
      </c>
      <c r="J1430" s="10">
        <v>2</v>
      </c>
      <c r="K1430" s="10">
        <v>67</v>
      </c>
      <c r="L1430" s="10">
        <v>21</v>
      </c>
      <c r="M1430" s="10">
        <v>0</v>
      </c>
      <c r="N1430" s="10">
        <v>0</v>
      </c>
      <c r="O1430" s="10">
        <v>0</v>
      </c>
    </row>
    <row r="1431" spans="1:15" x14ac:dyDescent="0.2">
      <c r="A1431" s="10" t="s">
        <v>514</v>
      </c>
      <c r="B1431" s="10" t="s">
        <v>238</v>
      </c>
      <c r="C1431" s="10" t="s">
        <v>90</v>
      </c>
      <c r="D1431" s="10" t="s">
        <v>51</v>
      </c>
      <c r="E1431" s="10" t="s">
        <v>52</v>
      </c>
      <c r="F1431" s="10" t="s">
        <v>92</v>
      </c>
      <c r="G1431" s="10" t="b">
        <f>FALSE()</f>
        <v>0</v>
      </c>
      <c r="H1431" s="10">
        <v>1</v>
      </c>
      <c r="I1431" s="10">
        <v>0</v>
      </c>
      <c r="J1431" s="10">
        <v>1</v>
      </c>
      <c r="K1431" s="10">
        <v>25</v>
      </c>
      <c r="L1431" s="10">
        <v>21</v>
      </c>
      <c r="M1431" s="10">
        <v>0</v>
      </c>
      <c r="N1431" s="10">
        <v>0</v>
      </c>
      <c r="O1431" s="10">
        <v>0</v>
      </c>
    </row>
    <row r="1432" spans="1:15" x14ac:dyDescent="0.2">
      <c r="A1432" s="10" t="s">
        <v>790</v>
      </c>
      <c r="B1432" s="10" t="s">
        <v>405</v>
      </c>
      <c r="C1432" s="10" t="s">
        <v>112</v>
      </c>
      <c r="D1432" s="10" t="s">
        <v>51</v>
      </c>
      <c r="E1432" s="10" t="s">
        <v>52</v>
      </c>
      <c r="F1432" s="10" t="s">
        <v>220</v>
      </c>
      <c r="G1432" s="10" t="b">
        <f>FALSE()</f>
        <v>0</v>
      </c>
      <c r="H1432" s="10">
        <v>1</v>
      </c>
      <c r="I1432" s="10">
        <v>0</v>
      </c>
      <c r="J1432" s="10">
        <v>1</v>
      </c>
      <c r="K1432" s="10">
        <v>25</v>
      </c>
      <c r="L1432" s="10">
        <v>21</v>
      </c>
      <c r="M1432" s="10">
        <v>0</v>
      </c>
      <c r="N1432" s="10">
        <v>0</v>
      </c>
      <c r="O1432" s="10">
        <v>0</v>
      </c>
    </row>
    <row r="1433" spans="1:15" x14ac:dyDescent="0.2">
      <c r="A1433" s="10" t="s">
        <v>450</v>
      </c>
      <c r="B1433" s="10" t="s">
        <v>262</v>
      </c>
      <c r="C1433" s="10" t="s">
        <v>105</v>
      </c>
      <c r="D1433" s="10" t="s">
        <v>45</v>
      </c>
      <c r="E1433" s="10" t="s">
        <v>46</v>
      </c>
      <c r="F1433" s="10" t="s">
        <v>183</v>
      </c>
      <c r="G1433" s="10" t="b">
        <f>FALSE()</f>
        <v>0</v>
      </c>
      <c r="H1433" s="10">
        <v>1</v>
      </c>
      <c r="I1433" s="10">
        <v>0</v>
      </c>
      <c r="J1433" s="10">
        <v>1</v>
      </c>
      <c r="K1433" s="10">
        <v>50</v>
      </c>
      <c r="L1433" s="10">
        <v>21</v>
      </c>
      <c r="M1433" s="10">
        <v>0</v>
      </c>
      <c r="N1433" s="10">
        <v>0</v>
      </c>
      <c r="O1433" s="10">
        <v>0</v>
      </c>
    </row>
    <row r="1434" spans="1:15" x14ac:dyDescent="0.2">
      <c r="A1434" s="10" t="s">
        <v>927</v>
      </c>
      <c r="B1434" s="10" t="s">
        <v>456</v>
      </c>
      <c r="C1434" s="10" t="s">
        <v>245</v>
      </c>
      <c r="D1434" s="10" t="s">
        <v>51</v>
      </c>
      <c r="E1434" s="10" t="s">
        <v>52</v>
      </c>
      <c r="F1434" s="10" t="s">
        <v>61</v>
      </c>
      <c r="G1434" s="10" t="b">
        <f>FALSE()</f>
        <v>0</v>
      </c>
      <c r="H1434" s="10">
        <v>1</v>
      </c>
      <c r="I1434" s="10">
        <v>0</v>
      </c>
      <c r="J1434" s="10">
        <v>1</v>
      </c>
      <c r="K1434" s="10">
        <v>21</v>
      </c>
      <c r="L1434" s="10">
        <v>21</v>
      </c>
      <c r="M1434" s="10">
        <v>0</v>
      </c>
      <c r="N1434" s="10">
        <v>0</v>
      </c>
      <c r="O1434" s="10">
        <v>0</v>
      </c>
    </row>
    <row r="1435" spans="1:15" x14ac:dyDescent="0.2">
      <c r="A1435" s="10" t="s">
        <v>615</v>
      </c>
      <c r="B1435" s="10" t="s">
        <v>456</v>
      </c>
      <c r="C1435" s="10" t="s">
        <v>245</v>
      </c>
      <c r="D1435" s="10" t="s">
        <v>51</v>
      </c>
      <c r="E1435" s="10" t="s">
        <v>52</v>
      </c>
      <c r="F1435" s="10" t="s">
        <v>153</v>
      </c>
      <c r="G1435" s="10" t="b">
        <f>FALSE()</f>
        <v>0</v>
      </c>
      <c r="H1435" s="10">
        <v>1</v>
      </c>
      <c r="I1435" s="10">
        <v>0</v>
      </c>
      <c r="J1435" s="10">
        <v>0</v>
      </c>
      <c r="K1435" s="10">
        <v>0</v>
      </c>
      <c r="L1435" s="10">
        <v>21</v>
      </c>
      <c r="M1435" s="10">
        <v>0</v>
      </c>
      <c r="N1435" s="10">
        <v>0</v>
      </c>
      <c r="O1435" s="10">
        <v>0</v>
      </c>
    </row>
    <row r="1436" spans="1:15" x14ac:dyDescent="0.2">
      <c r="A1436" s="10" t="s">
        <v>732</v>
      </c>
      <c r="B1436" s="10" t="s">
        <v>165</v>
      </c>
      <c r="C1436" s="10" t="s">
        <v>112</v>
      </c>
      <c r="D1436" s="10" t="s">
        <v>51</v>
      </c>
      <c r="E1436" s="10" t="s">
        <v>52</v>
      </c>
      <c r="F1436" s="10" t="s">
        <v>190</v>
      </c>
      <c r="G1436" s="10" t="b">
        <f>TRUE()</f>
        <v>1</v>
      </c>
      <c r="H1436" s="10">
        <v>1</v>
      </c>
      <c r="I1436" s="10">
        <v>0</v>
      </c>
      <c r="J1436" s="10">
        <v>1</v>
      </c>
      <c r="K1436" s="10">
        <v>43</v>
      </c>
      <c r="L1436" s="10">
        <v>21</v>
      </c>
      <c r="M1436" s="10">
        <v>0</v>
      </c>
      <c r="N1436" s="10">
        <v>0</v>
      </c>
      <c r="O1436" s="10">
        <v>0</v>
      </c>
    </row>
    <row r="1437" spans="1:15" x14ac:dyDescent="0.2">
      <c r="A1437" s="10" t="s">
        <v>928</v>
      </c>
      <c r="B1437" s="10" t="s">
        <v>96</v>
      </c>
      <c r="C1437" s="10" t="s">
        <v>50</v>
      </c>
      <c r="D1437" s="10" t="s">
        <v>51</v>
      </c>
      <c r="E1437" s="10" t="s">
        <v>52</v>
      </c>
      <c r="F1437" s="10" t="s">
        <v>660</v>
      </c>
      <c r="G1437" s="10" t="b">
        <f>FALSE()</f>
        <v>0</v>
      </c>
      <c r="H1437" s="10">
        <v>1</v>
      </c>
      <c r="I1437" s="10">
        <v>0</v>
      </c>
      <c r="J1437" s="10">
        <v>1</v>
      </c>
      <c r="K1437" s="10">
        <v>11</v>
      </c>
      <c r="L1437" s="10">
        <v>21</v>
      </c>
      <c r="M1437" s="10">
        <v>0</v>
      </c>
      <c r="N1437" s="10">
        <v>0</v>
      </c>
      <c r="O1437" s="10">
        <v>0</v>
      </c>
    </row>
    <row r="1438" spans="1:15" x14ac:dyDescent="0.2">
      <c r="A1438" s="10" t="s">
        <v>929</v>
      </c>
      <c r="B1438" s="10" t="s">
        <v>321</v>
      </c>
      <c r="C1438" s="10" t="s">
        <v>245</v>
      </c>
      <c r="D1438" s="10" t="s">
        <v>51</v>
      </c>
      <c r="E1438" s="10" t="s">
        <v>52</v>
      </c>
      <c r="F1438" s="10" t="s">
        <v>212</v>
      </c>
      <c r="G1438" s="10" t="b">
        <f>FALSE()</f>
        <v>0</v>
      </c>
      <c r="H1438" s="10">
        <v>1</v>
      </c>
      <c r="I1438" s="10">
        <v>0</v>
      </c>
      <c r="J1438" s="10">
        <v>0</v>
      </c>
      <c r="K1438" s="10">
        <v>0</v>
      </c>
      <c r="L1438" s="10">
        <v>21</v>
      </c>
      <c r="M1438" s="10">
        <v>0</v>
      </c>
      <c r="N1438" s="10">
        <v>0</v>
      </c>
      <c r="O1438" s="10">
        <v>0</v>
      </c>
    </row>
    <row r="1439" spans="1:15" x14ac:dyDescent="0.2">
      <c r="A1439" s="10" t="s">
        <v>776</v>
      </c>
      <c r="B1439" s="10" t="s">
        <v>777</v>
      </c>
      <c r="C1439" s="10" t="s">
        <v>90</v>
      </c>
      <c r="D1439" s="10" t="s">
        <v>51</v>
      </c>
      <c r="E1439" s="10" t="s">
        <v>52</v>
      </c>
      <c r="F1439" s="10" t="s">
        <v>180</v>
      </c>
      <c r="G1439" s="10" t="b">
        <f>FALSE()</f>
        <v>0</v>
      </c>
      <c r="H1439" s="10">
        <v>1</v>
      </c>
      <c r="I1439" s="10">
        <v>0</v>
      </c>
      <c r="J1439" s="10">
        <v>1</v>
      </c>
      <c r="K1439" s="10">
        <v>20</v>
      </c>
      <c r="L1439" s="10">
        <v>20</v>
      </c>
      <c r="M1439" s="10">
        <v>0</v>
      </c>
      <c r="N1439" s="10">
        <v>0</v>
      </c>
      <c r="O1439" s="10">
        <v>0</v>
      </c>
    </row>
    <row r="1440" spans="1:15" x14ac:dyDescent="0.2">
      <c r="A1440" s="10" t="s">
        <v>514</v>
      </c>
      <c r="B1440" s="10" t="s">
        <v>238</v>
      </c>
      <c r="C1440" s="10" t="s">
        <v>90</v>
      </c>
      <c r="D1440" s="10" t="s">
        <v>51</v>
      </c>
      <c r="E1440" s="10" t="s">
        <v>52</v>
      </c>
      <c r="F1440" s="10" t="s">
        <v>113</v>
      </c>
      <c r="G1440" s="10" t="b">
        <f>TRUE()</f>
        <v>1</v>
      </c>
      <c r="H1440" s="10">
        <v>1</v>
      </c>
      <c r="I1440" s="10">
        <v>0</v>
      </c>
      <c r="J1440" s="10">
        <v>1</v>
      </c>
      <c r="K1440" s="10">
        <v>20</v>
      </c>
      <c r="L1440" s="10">
        <v>20</v>
      </c>
      <c r="M1440" s="10">
        <v>0</v>
      </c>
      <c r="N1440" s="10">
        <v>0</v>
      </c>
      <c r="O1440" s="10">
        <v>0</v>
      </c>
    </row>
    <row r="1441" spans="1:15" x14ac:dyDescent="0.2">
      <c r="A1441" s="10" t="s">
        <v>264</v>
      </c>
      <c r="B1441" s="10" t="s">
        <v>265</v>
      </c>
      <c r="C1441" s="10" t="s">
        <v>245</v>
      </c>
      <c r="D1441" s="10" t="s">
        <v>51</v>
      </c>
      <c r="E1441" s="10" t="s">
        <v>52</v>
      </c>
      <c r="F1441" s="10" t="s">
        <v>318</v>
      </c>
      <c r="G1441" s="10" t="b">
        <f>FALSE()</f>
        <v>0</v>
      </c>
      <c r="H1441" s="10">
        <v>1</v>
      </c>
      <c r="I1441" s="10">
        <v>0</v>
      </c>
      <c r="J1441" s="10">
        <v>1</v>
      </c>
      <c r="K1441" s="10">
        <v>20</v>
      </c>
      <c r="L1441" s="10">
        <v>20</v>
      </c>
      <c r="M1441" s="10">
        <v>0</v>
      </c>
      <c r="N1441" s="10">
        <v>0</v>
      </c>
      <c r="O1441" s="10">
        <v>0</v>
      </c>
    </row>
    <row r="1442" spans="1:15" x14ac:dyDescent="0.2">
      <c r="A1442" s="10" t="s">
        <v>876</v>
      </c>
      <c r="B1442" s="10" t="s">
        <v>163</v>
      </c>
      <c r="C1442" s="10" t="s">
        <v>90</v>
      </c>
      <c r="D1442" s="10" t="s">
        <v>51</v>
      </c>
      <c r="E1442" s="10" t="s">
        <v>52</v>
      </c>
      <c r="F1442" s="10" t="s">
        <v>318</v>
      </c>
      <c r="G1442" s="10" t="b">
        <f>FALSE()</f>
        <v>0</v>
      </c>
      <c r="H1442" s="10">
        <v>1</v>
      </c>
      <c r="I1442" s="10">
        <v>0</v>
      </c>
      <c r="J1442" s="10">
        <v>1</v>
      </c>
      <c r="K1442" s="10">
        <v>20</v>
      </c>
      <c r="L1442" s="10">
        <v>20</v>
      </c>
      <c r="M1442" s="10">
        <v>0</v>
      </c>
      <c r="N1442" s="10">
        <v>0</v>
      </c>
      <c r="O1442" s="10">
        <v>0</v>
      </c>
    </row>
    <row r="1443" spans="1:15" x14ac:dyDescent="0.2">
      <c r="A1443" s="10" t="s">
        <v>668</v>
      </c>
      <c r="B1443" s="10" t="s">
        <v>669</v>
      </c>
      <c r="C1443" s="10" t="s">
        <v>90</v>
      </c>
      <c r="D1443" s="10" t="s">
        <v>51</v>
      </c>
      <c r="E1443" s="10" t="s">
        <v>52</v>
      </c>
      <c r="F1443" s="10" t="s">
        <v>74</v>
      </c>
      <c r="G1443" s="10" t="b">
        <f>FALSE()</f>
        <v>0</v>
      </c>
      <c r="H1443" s="10">
        <v>1</v>
      </c>
      <c r="I1443" s="10">
        <v>0</v>
      </c>
      <c r="J1443" s="10">
        <v>1</v>
      </c>
      <c r="K1443" s="10">
        <v>20</v>
      </c>
      <c r="L1443" s="10">
        <v>20</v>
      </c>
      <c r="M1443" s="10">
        <v>0</v>
      </c>
      <c r="N1443" s="10">
        <v>0</v>
      </c>
      <c r="O1443" s="10">
        <v>0</v>
      </c>
    </row>
    <row r="1444" spans="1:15" x14ac:dyDescent="0.2">
      <c r="A1444" s="10" t="s">
        <v>715</v>
      </c>
      <c r="B1444" s="10" t="s">
        <v>193</v>
      </c>
      <c r="C1444" s="10" t="s">
        <v>117</v>
      </c>
      <c r="D1444" s="10" t="s">
        <v>51</v>
      </c>
      <c r="E1444" s="10" t="s">
        <v>52</v>
      </c>
      <c r="F1444" s="10" t="s">
        <v>204</v>
      </c>
      <c r="G1444" s="10" t="b">
        <f>FALSE()</f>
        <v>0</v>
      </c>
      <c r="H1444" s="10">
        <v>1</v>
      </c>
      <c r="I1444" s="10">
        <v>0</v>
      </c>
      <c r="J1444" s="10">
        <v>1</v>
      </c>
      <c r="K1444" s="10">
        <v>17</v>
      </c>
      <c r="L1444" s="10">
        <v>20</v>
      </c>
      <c r="M1444" s="10">
        <v>0</v>
      </c>
      <c r="N1444" s="10">
        <v>0</v>
      </c>
      <c r="O1444" s="10">
        <v>0</v>
      </c>
    </row>
    <row r="1445" spans="1:15" x14ac:dyDescent="0.2">
      <c r="A1445" s="10" t="s">
        <v>560</v>
      </c>
      <c r="B1445" s="10" t="s">
        <v>96</v>
      </c>
      <c r="C1445" s="10" t="s">
        <v>50</v>
      </c>
      <c r="D1445" s="10" t="s">
        <v>51</v>
      </c>
      <c r="E1445" s="10" t="s">
        <v>52</v>
      </c>
      <c r="F1445" s="10" t="s">
        <v>481</v>
      </c>
      <c r="G1445" s="10" t="b">
        <f>FALSE()</f>
        <v>0</v>
      </c>
      <c r="H1445" s="10">
        <v>1</v>
      </c>
      <c r="I1445" s="10">
        <v>0</v>
      </c>
      <c r="J1445" s="10">
        <v>2</v>
      </c>
      <c r="K1445" s="10">
        <v>44</v>
      </c>
      <c r="L1445" s="10">
        <v>20</v>
      </c>
      <c r="M1445" s="10">
        <v>0</v>
      </c>
      <c r="N1445" s="10">
        <v>0</v>
      </c>
      <c r="O1445" s="10">
        <v>0</v>
      </c>
    </row>
    <row r="1446" spans="1:15" x14ac:dyDescent="0.2">
      <c r="A1446" s="10" t="s">
        <v>560</v>
      </c>
      <c r="B1446" s="10" t="s">
        <v>96</v>
      </c>
      <c r="C1446" s="10" t="s">
        <v>50</v>
      </c>
      <c r="D1446" s="10" t="s">
        <v>51</v>
      </c>
      <c r="E1446" s="10" t="s">
        <v>52</v>
      </c>
      <c r="F1446" s="10" t="s">
        <v>155</v>
      </c>
      <c r="G1446" s="10" t="b">
        <f>TRUE()</f>
        <v>1</v>
      </c>
      <c r="H1446" s="10">
        <v>1</v>
      </c>
      <c r="I1446" s="10">
        <v>0</v>
      </c>
      <c r="J1446" s="10">
        <v>0</v>
      </c>
      <c r="K1446" s="10">
        <v>0</v>
      </c>
      <c r="L1446" s="10">
        <v>20</v>
      </c>
      <c r="M1446" s="10">
        <v>0</v>
      </c>
      <c r="N1446" s="10">
        <v>0</v>
      </c>
      <c r="O1446" s="10">
        <v>0</v>
      </c>
    </row>
    <row r="1447" spans="1:15" x14ac:dyDescent="0.2">
      <c r="A1447" s="10" t="s">
        <v>455</v>
      </c>
      <c r="B1447" s="10" t="s">
        <v>456</v>
      </c>
      <c r="C1447" s="10" t="s">
        <v>245</v>
      </c>
      <c r="D1447" s="10" t="s">
        <v>51</v>
      </c>
      <c r="E1447" s="10" t="s">
        <v>52</v>
      </c>
      <c r="F1447" s="10" t="s">
        <v>97</v>
      </c>
      <c r="G1447" s="10" t="b">
        <f>TRUE()</f>
        <v>1</v>
      </c>
      <c r="H1447" s="10">
        <v>1</v>
      </c>
      <c r="I1447" s="10">
        <v>0</v>
      </c>
      <c r="J1447" s="10">
        <v>1</v>
      </c>
      <c r="K1447" s="10">
        <v>20</v>
      </c>
      <c r="L1447" s="10">
        <v>20</v>
      </c>
      <c r="M1447" s="10">
        <v>0</v>
      </c>
      <c r="N1447" s="10">
        <v>0</v>
      </c>
      <c r="O1447" s="10">
        <v>0</v>
      </c>
    </row>
    <row r="1448" spans="1:15" x14ac:dyDescent="0.2">
      <c r="A1448" s="10" t="s">
        <v>366</v>
      </c>
      <c r="B1448" s="10" t="s">
        <v>78</v>
      </c>
      <c r="C1448" s="10" t="s">
        <v>50</v>
      </c>
      <c r="D1448" s="10" t="s">
        <v>51</v>
      </c>
      <c r="E1448" s="10" t="s">
        <v>52</v>
      </c>
      <c r="F1448" s="10" t="s">
        <v>91</v>
      </c>
      <c r="G1448" s="10" t="b">
        <f>TRUE()</f>
        <v>1</v>
      </c>
      <c r="H1448" s="10">
        <v>1</v>
      </c>
      <c r="I1448" s="10">
        <v>0</v>
      </c>
      <c r="J1448" s="10">
        <v>1</v>
      </c>
      <c r="K1448" s="10">
        <v>20</v>
      </c>
      <c r="L1448" s="10">
        <v>20</v>
      </c>
      <c r="M1448" s="10">
        <v>0</v>
      </c>
      <c r="N1448" s="10">
        <v>0</v>
      </c>
      <c r="O1448" s="10">
        <v>0</v>
      </c>
    </row>
    <row r="1449" spans="1:15" x14ac:dyDescent="0.2">
      <c r="A1449" s="10" t="s">
        <v>580</v>
      </c>
      <c r="B1449" s="10" t="s">
        <v>78</v>
      </c>
      <c r="C1449" s="10" t="s">
        <v>50</v>
      </c>
      <c r="D1449" s="10" t="s">
        <v>51</v>
      </c>
      <c r="E1449" s="10" t="s">
        <v>52</v>
      </c>
      <c r="F1449" s="10" t="s">
        <v>113</v>
      </c>
      <c r="G1449" s="10" t="b">
        <f>TRUE()</f>
        <v>1</v>
      </c>
      <c r="H1449" s="10">
        <v>1</v>
      </c>
      <c r="I1449" s="10">
        <v>0</v>
      </c>
      <c r="J1449" s="10">
        <v>2</v>
      </c>
      <c r="K1449" s="10">
        <v>46</v>
      </c>
      <c r="L1449" s="10">
        <v>20</v>
      </c>
      <c r="M1449" s="10">
        <v>0</v>
      </c>
      <c r="N1449" s="10">
        <v>0</v>
      </c>
      <c r="O1449" s="10">
        <v>0</v>
      </c>
    </row>
    <row r="1450" spans="1:15" x14ac:dyDescent="0.2">
      <c r="A1450" s="10" t="s">
        <v>930</v>
      </c>
      <c r="B1450" s="10" t="s">
        <v>165</v>
      </c>
      <c r="C1450" s="10" t="s">
        <v>112</v>
      </c>
      <c r="D1450" s="10" t="s">
        <v>51</v>
      </c>
      <c r="E1450" s="10" t="s">
        <v>52</v>
      </c>
      <c r="F1450" s="10" t="s">
        <v>53</v>
      </c>
      <c r="G1450" s="10" t="b">
        <f>FALSE()</f>
        <v>0</v>
      </c>
      <c r="H1450" s="10">
        <v>1</v>
      </c>
      <c r="I1450" s="10">
        <v>0</v>
      </c>
      <c r="J1450" s="10">
        <v>1</v>
      </c>
      <c r="K1450" s="10">
        <v>20</v>
      </c>
      <c r="L1450" s="10">
        <v>20</v>
      </c>
      <c r="M1450" s="10">
        <v>0</v>
      </c>
      <c r="N1450" s="10">
        <v>0</v>
      </c>
      <c r="O1450" s="10">
        <v>0</v>
      </c>
    </row>
    <row r="1451" spans="1:15" x14ac:dyDescent="0.2">
      <c r="A1451" s="10" t="s">
        <v>931</v>
      </c>
      <c r="B1451" s="10" t="s">
        <v>282</v>
      </c>
      <c r="C1451" s="10" t="s">
        <v>50</v>
      </c>
      <c r="D1451" s="10" t="s">
        <v>51</v>
      </c>
      <c r="E1451" s="10" t="s">
        <v>52</v>
      </c>
      <c r="F1451" s="10" t="s">
        <v>92</v>
      </c>
      <c r="G1451" s="10" t="b">
        <f>FALSE()</f>
        <v>0</v>
      </c>
      <c r="H1451" s="10">
        <v>1</v>
      </c>
      <c r="I1451" s="10">
        <v>0</v>
      </c>
      <c r="J1451" s="10">
        <v>1</v>
      </c>
      <c r="K1451" s="10">
        <v>39</v>
      </c>
      <c r="L1451" s="10">
        <v>20</v>
      </c>
      <c r="M1451" s="10">
        <v>0</v>
      </c>
      <c r="N1451" s="10">
        <v>0</v>
      </c>
      <c r="O1451" s="10">
        <v>0</v>
      </c>
    </row>
    <row r="1452" spans="1:15" x14ac:dyDescent="0.2">
      <c r="A1452" s="10" t="s">
        <v>932</v>
      </c>
      <c r="B1452" s="10" t="s">
        <v>111</v>
      </c>
      <c r="C1452" s="10" t="s">
        <v>112</v>
      </c>
      <c r="D1452" s="10" t="s">
        <v>51</v>
      </c>
      <c r="E1452" s="10" t="s">
        <v>52</v>
      </c>
      <c r="F1452" s="10" t="s">
        <v>331</v>
      </c>
      <c r="G1452" s="10" t="b">
        <f>FALSE()</f>
        <v>0</v>
      </c>
      <c r="H1452" s="10">
        <v>1</v>
      </c>
      <c r="I1452" s="10">
        <v>0</v>
      </c>
      <c r="J1452" s="10">
        <v>1</v>
      </c>
      <c r="K1452" s="10">
        <v>50</v>
      </c>
      <c r="L1452" s="10">
        <v>20</v>
      </c>
      <c r="M1452" s="10">
        <v>0</v>
      </c>
      <c r="N1452" s="10">
        <v>0</v>
      </c>
      <c r="O1452" s="10">
        <v>0</v>
      </c>
    </row>
    <row r="1453" spans="1:15" x14ac:dyDescent="0.2">
      <c r="A1453" s="10" t="s">
        <v>732</v>
      </c>
      <c r="B1453" s="10" t="s">
        <v>165</v>
      </c>
      <c r="C1453" s="10" t="s">
        <v>112</v>
      </c>
      <c r="D1453" s="10" t="s">
        <v>51</v>
      </c>
      <c r="E1453" s="10" t="s">
        <v>52</v>
      </c>
      <c r="F1453" s="10" t="s">
        <v>207</v>
      </c>
      <c r="G1453" s="10" t="b">
        <f>FALSE()</f>
        <v>0</v>
      </c>
      <c r="H1453" s="10">
        <v>1</v>
      </c>
      <c r="I1453" s="10">
        <v>0</v>
      </c>
      <c r="J1453" s="10">
        <v>1</v>
      </c>
      <c r="K1453" s="10">
        <v>31</v>
      </c>
      <c r="L1453" s="10">
        <v>20</v>
      </c>
      <c r="M1453" s="10">
        <v>0</v>
      </c>
      <c r="N1453" s="10">
        <v>0</v>
      </c>
      <c r="O1453" s="10">
        <v>0</v>
      </c>
    </row>
    <row r="1454" spans="1:15" x14ac:dyDescent="0.2">
      <c r="A1454" s="10" t="s">
        <v>676</v>
      </c>
      <c r="B1454" s="10" t="s">
        <v>70</v>
      </c>
      <c r="C1454" s="10" t="s">
        <v>70</v>
      </c>
      <c r="D1454" s="10" t="s">
        <v>45</v>
      </c>
      <c r="E1454" s="10" t="s">
        <v>46</v>
      </c>
      <c r="F1454" s="10" t="s">
        <v>153</v>
      </c>
      <c r="G1454" s="10" t="b">
        <f>FALSE()</f>
        <v>0</v>
      </c>
      <c r="H1454" s="10">
        <v>1</v>
      </c>
      <c r="I1454" s="10">
        <v>0</v>
      </c>
      <c r="J1454" s="10">
        <v>1</v>
      </c>
      <c r="K1454" s="10">
        <v>20</v>
      </c>
      <c r="L1454" s="10">
        <v>20</v>
      </c>
      <c r="M1454" s="10">
        <v>0</v>
      </c>
      <c r="N1454" s="10">
        <v>0</v>
      </c>
      <c r="O1454" s="10">
        <v>0</v>
      </c>
    </row>
    <row r="1455" spans="1:15" x14ac:dyDescent="0.2">
      <c r="A1455" s="10" t="s">
        <v>933</v>
      </c>
      <c r="B1455" s="10" t="s">
        <v>146</v>
      </c>
      <c r="C1455" s="10" t="s">
        <v>105</v>
      </c>
      <c r="D1455" s="10" t="s">
        <v>45</v>
      </c>
      <c r="E1455" s="10" t="s">
        <v>46</v>
      </c>
      <c r="F1455" s="10" t="s">
        <v>85</v>
      </c>
      <c r="G1455" s="10" t="b">
        <f>FALSE()</f>
        <v>0</v>
      </c>
      <c r="H1455" s="10">
        <v>1</v>
      </c>
      <c r="I1455" s="10">
        <v>1</v>
      </c>
      <c r="J1455" s="10">
        <v>1</v>
      </c>
      <c r="K1455" s="10">
        <v>20</v>
      </c>
      <c r="L1455" s="10">
        <v>19</v>
      </c>
      <c r="M1455" s="10">
        <v>1</v>
      </c>
      <c r="N1455" s="10">
        <v>623</v>
      </c>
      <c r="O1455" s="10">
        <v>613</v>
      </c>
    </row>
    <row r="1456" spans="1:15" x14ac:dyDescent="0.2">
      <c r="A1456" s="10" t="s">
        <v>691</v>
      </c>
      <c r="B1456" s="10" t="s">
        <v>136</v>
      </c>
      <c r="C1456" s="10" t="s">
        <v>73</v>
      </c>
      <c r="D1456" s="10" t="s">
        <v>45</v>
      </c>
      <c r="E1456" s="10" t="s">
        <v>46</v>
      </c>
      <c r="F1456" s="10" t="s">
        <v>47</v>
      </c>
      <c r="G1456" s="10" t="b">
        <f>FALSE()</f>
        <v>0</v>
      </c>
      <c r="H1456" s="10">
        <v>1</v>
      </c>
      <c r="I1456" s="10">
        <v>1</v>
      </c>
      <c r="J1456" s="10">
        <v>1</v>
      </c>
      <c r="K1456" s="10">
        <v>19</v>
      </c>
      <c r="L1456" s="10">
        <v>19</v>
      </c>
      <c r="M1456" s="10">
        <v>1</v>
      </c>
      <c r="N1456" s="10">
        <v>315</v>
      </c>
      <c r="O1456" s="10">
        <v>315</v>
      </c>
    </row>
    <row r="1457" spans="1:15" x14ac:dyDescent="0.2">
      <c r="A1457" s="10" t="s">
        <v>764</v>
      </c>
      <c r="B1457" s="10" t="s">
        <v>398</v>
      </c>
      <c r="C1457" s="10" t="s">
        <v>112</v>
      </c>
      <c r="D1457" s="10" t="s">
        <v>51</v>
      </c>
      <c r="E1457" s="10" t="s">
        <v>52</v>
      </c>
      <c r="F1457" s="10" t="s">
        <v>91</v>
      </c>
      <c r="G1457" s="10" t="b">
        <f>TRUE()</f>
        <v>1</v>
      </c>
      <c r="H1457" s="10">
        <v>1</v>
      </c>
      <c r="I1457" s="10">
        <v>1</v>
      </c>
      <c r="J1457" s="10">
        <v>1</v>
      </c>
      <c r="K1457" s="10">
        <v>20</v>
      </c>
      <c r="L1457" s="10">
        <v>19</v>
      </c>
      <c r="M1457" s="10">
        <v>1</v>
      </c>
      <c r="N1457" s="10">
        <v>143</v>
      </c>
      <c r="O1457" s="10">
        <v>141</v>
      </c>
    </row>
    <row r="1458" spans="1:15" x14ac:dyDescent="0.2">
      <c r="A1458" s="10" t="s">
        <v>803</v>
      </c>
      <c r="B1458" s="10" t="s">
        <v>756</v>
      </c>
      <c r="C1458" s="10" t="s">
        <v>245</v>
      </c>
      <c r="D1458" s="10" t="s">
        <v>51</v>
      </c>
      <c r="E1458" s="10" t="s">
        <v>52</v>
      </c>
      <c r="F1458" s="10" t="s">
        <v>223</v>
      </c>
      <c r="G1458" s="10" t="b">
        <f>FALSE()</f>
        <v>0</v>
      </c>
      <c r="H1458" s="10">
        <v>1</v>
      </c>
      <c r="I1458" s="10">
        <v>1</v>
      </c>
      <c r="J1458" s="10">
        <v>0</v>
      </c>
      <c r="K1458" s="10">
        <v>0</v>
      </c>
      <c r="L1458" s="10">
        <v>19</v>
      </c>
      <c r="M1458" s="10">
        <v>1</v>
      </c>
      <c r="N1458" s="10">
        <v>28</v>
      </c>
      <c r="O1458" s="10">
        <v>28</v>
      </c>
    </row>
    <row r="1459" spans="1:15" x14ac:dyDescent="0.2">
      <c r="A1459" s="10" t="s">
        <v>838</v>
      </c>
      <c r="B1459" s="10" t="s">
        <v>774</v>
      </c>
      <c r="C1459" s="10" t="s">
        <v>117</v>
      </c>
      <c r="D1459" s="10" t="s">
        <v>51</v>
      </c>
      <c r="E1459" s="10" t="s">
        <v>52</v>
      </c>
      <c r="F1459" s="10" t="s">
        <v>318</v>
      </c>
      <c r="G1459" s="10" t="b">
        <f>FALSE()</f>
        <v>0</v>
      </c>
      <c r="H1459" s="10">
        <v>1</v>
      </c>
      <c r="I1459" s="10">
        <v>0</v>
      </c>
      <c r="J1459" s="10">
        <v>1</v>
      </c>
      <c r="K1459" s="10">
        <v>19</v>
      </c>
      <c r="L1459" s="10">
        <v>19</v>
      </c>
      <c r="M1459" s="10">
        <v>0</v>
      </c>
      <c r="N1459" s="10">
        <v>0</v>
      </c>
      <c r="O1459" s="10">
        <v>0</v>
      </c>
    </row>
    <row r="1460" spans="1:15" x14ac:dyDescent="0.2">
      <c r="A1460" s="10" t="s">
        <v>264</v>
      </c>
      <c r="B1460" s="10" t="s">
        <v>265</v>
      </c>
      <c r="C1460" s="10" t="s">
        <v>245</v>
      </c>
      <c r="D1460" s="10" t="s">
        <v>51</v>
      </c>
      <c r="E1460" s="10" t="s">
        <v>52</v>
      </c>
      <c r="F1460" s="10" t="s">
        <v>251</v>
      </c>
      <c r="G1460" s="10" t="b">
        <f>FALSE()</f>
        <v>0</v>
      </c>
      <c r="H1460" s="10">
        <v>1</v>
      </c>
      <c r="I1460" s="10">
        <v>0</v>
      </c>
      <c r="J1460" s="10">
        <v>1</v>
      </c>
      <c r="K1460" s="10">
        <v>19</v>
      </c>
      <c r="L1460" s="10">
        <v>19</v>
      </c>
      <c r="M1460" s="10">
        <v>0</v>
      </c>
      <c r="N1460" s="10">
        <v>0</v>
      </c>
      <c r="O1460" s="10">
        <v>0</v>
      </c>
    </row>
    <row r="1461" spans="1:15" x14ac:dyDescent="0.2">
      <c r="A1461" s="10" t="s">
        <v>639</v>
      </c>
      <c r="B1461" s="10" t="s">
        <v>163</v>
      </c>
      <c r="C1461" s="10" t="s">
        <v>90</v>
      </c>
      <c r="D1461" s="10" t="s">
        <v>51</v>
      </c>
      <c r="E1461" s="10" t="s">
        <v>52</v>
      </c>
      <c r="F1461" s="10" t="s">
        <v>318</v>
      </c>
      <c r="G1461" s="10" t="b">
        <f>FALSE()</f>
        <v>0</v>
      </c>
      <c r="H1461" s="10">
        <v>1</v>
      </c>
      <c r="I1461" s="10">
        <v>0</v>
      </c>
      <c r="J1461" s="10">
        <v>1</v>
      </c>
      <c r="K1461" s="10">
        <v>20</v>
      </c>
      <c r="L1461" s="10">
        <v>19</v>
      </c>
      <c r="M1461" s="10">
        <v>0</v>
      </c>
      <c r="N1461" s="10">
        <v>0</v>
      </c>
      <c r="O1461" s="10">
        <v>0</v>
      </c>
    </row>
    <row r="1462" spans="1:15" x14ac:dyDescent="0.2">
      <c r="A1462" s="10" t="s">
        <v>934</v>
      </c>
      <c r="B1462" s="10" t="s">
        <v>477</v>
      </c>
      <c r="C1462" s="10" t="s">
        <v>50</v>
      </c>
      <c r="D1462" s="10" t="s">
        <v>51</v>
      </c>
      <c r="E1462" s="10" t="s">
        <v>52</v>
      </c>
      <c r="F1462" s="10" t="s">
        <v>488</v>
      </c>
      <c r="G1462" s="10" t="b">
        <f>FALSE()</f>
        <v>0</v>
      </c>
      <c r="H1462" s="10">
        <v>1</v>
      </c>
      <c r="I1462" s="10">
        <v>0</v>
      </c>
      <c r="J1462" s="10">
        <v>2</v>
      </c>
      <c r="K1462" s="10">
        <v>63</v>
      </c>
      <c r="L1462" s="10">
        <v>19</v>
      </c>
      <c r="M1462" s="10">
        <v>0</v>
      </c>
      <c r="N1462" s="10">
        <v>0</v>
      </c>
      <c r="O1462" s="10">
        <v>0</v>
      </c>
    </row>
    <row r="1463" spans="1:15" x14ac:dyDescent="0.2">
      <c r="A1463" s="10" t="s">
        <v>570</v>
      </c>
      <c r="B1463" s="10" t="s">
        <v>321</v>
      </c>
      <c r="C1463" s="10" t="s">
        <v>245</v>
      </c>
      <c r="D1463" s="10" t="s">
        <v>51</v>
      </c>
      <c r="E1463" s="10" t="s">
        <v>52</v>
      </c>
      <c r="F1463" s="10" t="s">
        <v>212</v>
      </c>
      <c r="G1463" s="10" t="b">
        <f>FALSE()</f>
        <v>0</v>
      </c>
      <c r="H1463" s="10">
        <v>1</v>
      </c>
      <c r="I1463" s="10">
        <v>0</v>
      </c>
      <c r="J1463" s="10">
        <v>1</v>
      </c>
      <c r="K1463" s="10">
        <v>19</v>
      </c>
      <c r="L1463" s="10">
        <v>19</v>
      </c>
      <c r="M1463" s="10">
        <v>0</v>
      </c>
      <c r="N1463" s="10">
        <v>0</v>
      </c>
      <c r="O1463" s="10">
        <v>0</v>
      </c>
    </row>
    <row r="1464" spans="1:15" x14ac:dyDescent="0.2">
      <c r="A1464" s="10" t="s">
        <v>502</v>
      </c>
      <c r="B1464" s="10" t="s">
        <v>302</v>
      </c>
      <c r="C1464" s="10" t="s">
        <v>117</v>
      </c>
      <c r="D1464" s="10" t="s">
        <v>51</v>
      </c>
      <c r="E1464" s="10" t="s">
        <v>52</v>
      </c>
      <c r="F1464" s="10" t="s">
        <v>393</v>
      </c>
      <c r="G1464" s="10" t="b">
        <f>FALSE()</f>
        <v>0</v>
      </c>
      <c r="H1464" s="10">
        <v>1</v>
      </c>
      <c r="I1464" s="10">
        <v>0</v>
      </c>
      <c r="J1464" s="10">
        <v>1</v>
      </c>
      <c r="K1464" s="10">
        <v>48</v>
      </c>
      <c r="L1464" s="10">
        <v>19</v>
      </c>
      <c r="M1464" s="10">
        <v>0</v>
      </c>
      <c r="N1464" s="10">
        <v>0</v>
      </c>
      <c r="O1464" s="10">
        <v>0</v>
      </c>
    </row>
    <row r="1465" spans="1:15" x14ac:dyDescent="0.2">
      <c r="A1465" s="10" t="s">
        <v>367</v>
      </c>
      <c r="B1465" s="10" t="s">
        <v>368</v>
      </c>
      <c r="C1465" s="10" t="s">
        <v>50</v>
      </c>
      <c r="D1465" s="10" t="s">
        <v>51</v>
      </c>
      <c r="E1465" s="10" t="s">
        <v>52</v>
      </c>
      <c r="F1465" s="10" t="s">
        <v>47</v>
      </c>
      <c r="G1465" s="10" t="b">
        <f>FALSE()</f>
        <v>0</v>
      </c>
      <c r="H1465" s="10">
        <v>1</v>
      </c>
      <c r="I1465" s="10">
        <v>0</v>
      </c>
      <c r="J1465" s="10">
        <v>1</v>
      </c>
      <c r="K1465" s="10">
        <v>8</v>
      </c>
      <c r="L1465" s="10">
        <v>19</v>
      </c>
      <c r="M1465" s="10">
        <v>0</v>
      </c>
      <c r="N1465" s="10">
        <v>0</v>
      </c>
      <c r="O1465" s="10">
        <v>0</v>
      </c>
    </row>
    <row r="1466" spans="1:15" x14ac:dyDescent="0.2">
      <c r="A1466" s="10" t="s">
        <v>935</v>
      </c>
      <c r="B1466" s="10" t="s">
        <v>262</v>
      </c>
      <c r="C1466" s="10" t="s">
        <v>105</v>
      </c>
      <c r="D1466" s="10" t="s">
        <v>45</v>
      </c>
      <c r="E1466" s="10" t="s">
        <v>46</v>
      </c>
      <c r="F1466" s="10" t="s">
        <v>183</v>
      </c>
      <c r="G1466" s="10" t="b">
        <f>FALSE()</f>
        <v>0</v>
      </c>
      <c r="H1466" s="10">
        <v>1</v>
      </c>
      <c r="I1466" s="10">
        <v>0</v>
      </c>
      <c r="J1466" s="10">
        <v>0</v>
      </c>
      <c r="K1466" s="10">
        <v>0</v>
      </c>
      <c r="L1466" s="10">
        <v>19</v>
      </c>
      <c r="M1466" s="10">
        <v>0</v>
      </c>
      <c r="N1466" s="10">
        <v>0</v>
      </c>
      <c r="O1466" s="10">
        <v>0</v>
      </c>
    </row>
    <row r="1467" spans="1:15" x14ac:dyDescent="0.2">
      <c r="A1467" s="10" t="s">
        <v>629</v>
      </c>
      <c r="B1467" s="10" t="s">
        <v>96</v>
      </c>
      <c r="C1467" s="10" t="s">
        <v>50</v>
      </c>
      <c r="D1467" s="10" t="s">
        <v>51</v>
      </c>
      <c r="E1467" s="10" t="s">
        <v>52</v>
      </c>
      <c r="F1467" s="10" t="s">
        <v>207</v>
      </c>
      <c r="G1467" s="10" t="b">
        <f>FALSE()</f>
        <v>0</v>
      </c>
      <c r="H1467" s="10">
        <v>1</v>
      </c>
      <c r="I1467" s="10">
        <v>0</v>
      </c>
      <c r="J1467" s="10">
        <v>2</v>
      </c>
      <c r="K1467" s="10">
        <v>19</v>
      </c>
      <c r="L1467" s="10">
        <v>19</v>
      </c>
      <c r="M1467" s="10">
        <v>0</v>
      </c>
      <c r="N1467" s="10">
        <v>0</v>
      </c>
      <c r="O1467" s="10">
        <v>0</v>
      </c>
    </row>
    <row r="1468" spans="1:15" x14ac:dyDescent="0.2">
      <c r="A1468" s="10" t="s">
        <v>855</v>
      </c>
      <c r="B1468" s="10" t="s">
        <v>456</v>
      </c>
      <c r="C1468" s="10" t="s">
        <v>245</v>
      </c>
      <c r="D1468" s="10" t="s">
        <v>51</v>
      </c>
      <c r="E1468" s="10" t="s">
        <v>52</v>
      </c>
      <c r="F1468" s="10" t="s">
        <v>61</v>
      </c>
      <c r="G1468" s="10" t="b">
        <f>FALSE()</f>
        <v>0</v>
      </c>
      <c r="H1468" s="10">
        <v>1</v>
      </c>
      <c r="I1468" s="10">
        <v>0</v>
      </c>
      <c r="J1468" s="10">
        <v>0</v>
      </c>
      <c r="K1468" s="10">
        <v>0</v>
      </c>
      <c r="L1468" s="10">
        <v>19</v>
      </c>
      <c r="M1468" s="10">
        <v>0</v>
      </c>
      <c r="N1468" s="10">
        <v>0</v>
      </c>
      <c r="O1468" s="10">
        <v>0</v>
      </c>
    </row>
    <row r="1469" spans="1:15" x14ac:dyDescent="0.2">
      <c r="A1469" s="10" t="s">
        <v>510</v>
      </c>
      <c r="B1469" s="10" t="s">
        <v>55</v>
      </c>
      <c r="C1469" s="10" t="s">
        <v>56</v>
      </c>
      <c r="D1469" s="10" t="s">
        <v>45</v>
      </c>
      <c r="E1469" s="10" t="s">
        <v>46</v>
      </c>
      <c r="F1469" s="10" t="s">
        <v>434</v>
      </c>
      <c r="G1469" s="10" t="b">
        <f>FALSE()</f>
        <v>0</v>
      </c>
      <c r="H1469" s="10">
        <v>1</v>
      </c>
      <c r="I1469" s="10">
        <v>0</v>
      </c>
      <c r="J1469" s="10">
        <v>1</v>
      </c>
      <c r="K1469" s="10">
        <v>52</v>
      </c>
      <c r="L1469" s="10">
        <v>19</v>
      </c>
      <c r="M1469" s="10">
        <v>0</v>
      </c>
      <c r="N1469" s="10">
        <v>0</v>
      </c>
      <c r="O1469" s="10">
        <v>0</v>
      </c>
    </row>
    <row r="1470" spans="1:15" x14ac:dyDescent="0.2">
      <c r="A1470" s="10" t="s">
        <v>919</v>
      </c>
      <c r="B1470" s="10" t="s">
        <v>122</v>
      </c>
      <c r="C1470" s="10" t="s">
        <v>112</v>
      </c>
      <c r="D1470" s="10" t="s">
        <v>51</v>
      </c>
      <c r="E1470" s="10" t="s">
        <v>52</v>
      </c>
      <c r="F1470" s="10" t="s">
        <v>94</v>
      </c>
      <c r="G1470" s="10" t="b">
        <f>FALSE()</f>
        <v>0</v>
      </c>
      <c r="H1470" s="10">
        <v>1</v>
      </c>
      <c r="I1470" s="10">
        <v>0</v>
      </c>
      <c r="J1470" s="10">
        <v>2</v>
      </c>
      <c r="K1470" s="10">
        <v>39</v>
      </c>
      <c r="L1470" s="10">
        <v>19</v>
      </c>
      <c r="M1470" s="10">
        <v>0</v>
      </c>
      <c r="N1470" s="10">
        <v>0</v>
      </c>
      <c r="O1470" s="10">
        <v>0</v>
      </c>
    </row>
    <row r="1471" spans="1:15" x14ac:dyDescent="0.2">
      <c r="A1471" s="10" t="s">
        <v>936</v>
      </c>
      <c r="B1471" s="10" t="s">
        <v>247</v>
      </c>
      <c r="C1471" s="10" t="s">
        <v>245</v>
      </c>
      <c r="D1471" s="10" t="s">
        <v>51</v>
      </c>
      <c r="E1471" s="10" t="s">
        <v>52</v>
      </c>
      <c r="F1471" s="10" t="s">
        <v>53</v>
      </c>
      <c r="G1471" s="10" t="b">
        <f>FALSE()</f>
        <v>0</v>
      </c>
      <c r="H1471" s="10">
        <v>1</v>
      </c>
      <c r="I1471" s="10">
        <v>0</v>
      </c>
      <c r="J1471" s="10">
        <v>1</v>
      </c>
      <c r="K1471" s="10">
        <v>20</v>
      </c>
      <c r="L1471" s="10">
        <v>19</v>
      </c>
      <c r="M1471" s="10">
        <v>0</v>
      </c>
      <c r="N1471" s="10">
        <v>0</v>
      </c>
      <c r="O1471" s="10">
        <v>0</v>
      </c>
    </row>
    <row r="1472" spans="1:15" x14ac:dyDescent="0.2">
      <c r="A1472" s="10" t="s">
        <v>868</v>
      </c>
      <c r="B1472" s="10" t="s">
        <v>89</v>
      </c>
      <c r="C1472" s="10" t="s">
        <v>90</v>
      </c>
      <c r="D1472" s="10" t="s">
        <v>51</v>
      </c>
      <c r="E1472" s="10" t="s">
        <v>52</v>
      </c>
      <c r="F1472" s="10" t="s">
        <v>91</v>
      </c>
      <c r="G1472" s="10" t="b">
        <f>TRUE()</f>
        <v>1</v>
      </c>
      <c r="H1472" s="10">
        <v>1</v>
      </c>
      <c r="I1472" s="10">
        <v>0</v>
      </c>
      <c r="J1472" s="10">
        <v>1</v>
      </c>
      <c r="K1472" s="10">
        <v>20</v>
      </c>
      <c r="L1472" s="10">
        <v>19</v>
      </c>
      <c r="M1472" s="10">
        <v>0</v>
      </c>
      <c r="N1472" s="10">
        <v>0</v>
      </c>
      <c r="O1472" s="10">
        <v>0</v>
      </c>
    </row>
    <row r="1473" spans="1:15" x14ac:dyDescent="0.2">
      <c r="A1473" s="10" t="s">
        <v>937</v>
      </c>
      <c r="B1473" s="10" t="s">
        <v>128</v>
      </c>
      <c r="C1473" s="10" t="s">
        <v>50</v>
      </c>
      <c r="D1473" s="10" t="s">
        <v>51</v>
      </c>
      <c r="E1473" s="10" t="s">
        <v>52</v>
      </c>
      <c r="F1473" s="10" t="s">
        <v>190</v>
      </c>
      <c r="G1473" s="10" t="b">
        <f>TRUE()</f>
        <v>1</v>
      </c>
      <c r="H1473" s="10">
        <v>1</v>
      </c>
      <c r="I1473" s="10">
        <v>0</v>
      </c>
      <c r="J1473" s="10">
        <v>2</v>
      </c>
      <c r="K1473" s="10">
        <v>50</v>
      </c>
      <c r="L1473" s="10">
        <v>19</v>
      </c>
      <c r="M1473" s="10">
        <v>0</v>
      </c>
      <c r="N1473" s="10">
        <v>0</v>
      </c>
      <c r="O1473" s="10">
        <v>0</v>
      </c>
    </row>
    <row r="1474" spans="1:15" x14ac:dyDescent="0.2">
      <c r="A1474" s="10" t="s">
        <v>636</v>
      </c>
      <c r="B1474" s="10" t="s">
        <v>165</v>
      </c>
      <c r="C1474" s="10" t="s">
        <v>112</v>
      </c>
      <c r="D1474" s="10" t="s">
        <v>51</v>
      </c>
      <c r="E1474" s="10" t="s">
        <v>52</v>
      </c>
      <c r="F1474" s="10" t="s">
        <v>92</v>
      </c>
      <c r="G1474" s="10" t="b">
        <f>FALSE()</f>
        <v>0</v>
      </c>
      <c r="H1474" s="10">
        <v>1</v>
      </c>
      <c r="I1474" s="10">
        <v>1</v>
      </c>
      <c r="J1474" s="10">
        <v>1</v>
      </c>
      <c r="K1474" s="10">
        <v>37</v>
      </c>
      <c r="L1474" s="10">
        <v>18</v>
      </c>
      <c r="M1474" s="10">
        <v>1</v>
      </c>
      <c r="N1474" s="10">
        <v>263</v>
      </c>
      <c r="O1474" s="10">
        <v>265</v>
      </c>
    </row>
    <row r="1475" spans="1:15" x14ac:dyDescent="0.2">
      <c r="A1475" s="10" t="s">
        <v>673</v>
      </c>
      <c r="B1475" s="10" t="s">
        <v>122</v>
      </c>
      <c r="C1475" s="10" t="s">
        <v>112</v>
      </c>
      <c r="D1475" s="10" t="s">
        <v>51</v>
      </c>
      <c r="E1475" s="10" t="s">
        <v>52</v>
      </c>
      <c r="F1475" s="10" t="s">
        <v>190</v>
      </c>
      <c r="G1475" s="10" t="b">
        <f>TRUE()</f>
        <v>1</v>
      </c>
      <c r="H1475" s="10">
        <v>1</v>
      </c>
      <c r="I1475" s="10">
        <v>1</v>
      </c>
      <c r="J1475" s="10">
        <v>1</v>
      </c>
      <c r="K1475" s="10">
        <v>19</v>
      </c>
      <c r="L1475" s="10">
        <v>18</v>
      </c>
      <c r="M1475" s="10">
        <v>1</v>
      </c>
      <c r="N1475" s="10">
        <v>50</v>
      </c>
      <c r="O1475" s="10">
        <v>50</v>
      </c>
    </row>
    <row r="1476" spans="1:15" x14ac:dyDescent="0.2">
      <c r="A1476" s="10" t="s">
        <v>570</v>
      </c>
      <c r="B1476" s="10" t="s">
        <v>321</v>
      </c>
      <c r="C1476" s="10" t="s">
        <v>245</v>
      </c>
      <c r="D1476" s="10" t="s">
        <v>51</v>
      </c>
      <c r="E1476" s="10" t="s">
        <v>52</v>
      </c>
      <c r="F1476" s="10" t="s">
        <v>236</v>
      </c>
      <c r="G1476" s="10" t="b">
        <f>FALSE()</f>
        <v>0</v>
      </c>
      <c r="H1476" s="10">
        <v>1</v>
      </c>
      <c r="I1476" s="10">
        <v>0</v>
      </c>
      <c r="J1476" s="10">
        <v>0</v>
      </c>
      <c r="K1476" s="10">
        <v>0</v>
      </c>
      <c r="L1476" s="10">
        <v>18</v>
      </c>
      <c r="M1476" s="10">
        <v>0</v>
      </c>
      <c r="N1476" s="10">
        <v>0</v>
      </c>
      <c r="O1476" s="10">
        <v>0</v>
      </c>
    </row>
    <row r="1477" spans="1:15" x14ac:dyDescent="0.2">
      <c r="A1477" s="10" t="s">
        <v>716</v>
      </c>
      <c r="B1477" s="10" t="s">
        <v>562</v>
      </c>
      <c r="C1477" s="10" t="s">
        <v>245</v>
      </c>
      <c r="D1477" s="10" t="s">
        <v>51</v>
      </c>
      <c r="E1477" s="10" t="s">
        <v>52</v>
      </c>
      <c r="F1477" s="10" t="s">
        <v>183</v>
      </c>
      <c r="G1477" s="10" t="b">
        <f>FALSE()</f>
        <v>0</v>
      </c>
      <c r="H1477" s="10">
        <v>1</v>
      </c>
      <c r="I1477" s="10">
        <v>0</v>
      </c>
      <c r="J1477" s="10">
        <v>0</v>
      </c>
      <c r="K1477" s="10">
        <v>0</v>
      </c>
      <c r="L1477" s="10">
        <v>18</v>
      </c>
      <c r="M1477" s="10">
        <v>0</v>
      </c>
      <c r="N1477" s="10">
        <v>0</v>
      </c>
      <c r="O1477" s="10">
        <v>0</v>
      </c>
    </row>
    <row r="1478" spans="1:15" x14ac:dyDescent="0.2">
      <c r="A1478" s="10" t="s">
        <v>918</v>
      </c>
      <c r="B1478" s="10" t="s">
        <v>498</v>
      </c>
      <c r="C1478" s="10" t="s">
        <v>245</v>
      </c>
      <c r="D1478" s="10" t="s">
        <v>51</v>
      </c>
      <c r="E1478" s="10" t="s">
        <v>52</v>
      </c>
      <c r="F1478" s="10" t="s">
        <v>47</v>
      </c>
      <c r="G1478" s="10" t="b">
        <f>FALSE()</f>
        <v>0</v>
      </c>
      <c r="H1478" s="10">
        <v>1</v>
      </c>
      <c r="I1478" s="10">
        <v>0</v>
      </c>
      <c r="J1478" s="10">
        <v>1</v>
      </c>
      <c r="K1478" s="10">
        <v>18</v>
      </c>
      <c r="L1478" s="10">
        <v>18</v>
      </c>
      <c r="M1478" s="10">
        <v>0</v>
      </c>
      <c r="N1478" s="10">
        <v>0</v>
      </c>
      <c r="O1478" s="10">
        <v>0</v>
      </c>
    </row>
    <row r="1479" spans="1:15" x14ac:dyDescent="0.2">
      <c r="A1479" s="10" t="s">
        <v>578</v>
      </c>
      <c r="B1479" s="10" t="s">
        <v>178</v>
      </c>
      <c r="C1479" s="10" t="s">
        <v>73</v>
      </c>
      <c r="D1479" s="10" t="s">
        <v>45</v>
      </c>
      <c r="E1479" s="10" t="s">
        <v>46</v>
      </c>
      <c r="F1479" s="10" t="s">
        <v>91</v>
      </c>
      <c r="G1479" s="10" t="b">
        <f>TRUE()</f>
        <v>1</v>
      </c>
      <c r="H1479" s="10">
        <v>1</v>
      </c>
      <c r="I1479" s="10">
        <v>0</v>
      </c>
      <c r="J1479" s="10">
        <v>1</v>
      </c>
      <c r="K1479" s="10">
        <v>39</v>
      </c>
      <c r="L1479" s="10">
        <v>18</v>
      </c>
      <c r="M1479" s="10">
        <v>0</v>
      </c>
      <c r="N1479" s="10">
        <v>0</v>
      </c>
      <c r="O1479" s="10">
        <v>0</v>
      </c>
    </row>
    <row r="1480" spans="1:15" x14ac:dyDescent="0.2">
      <c r="A1480" s="10" t="s">
        <v>706</v>
      </c>
      <c r="B1480" s="10" t="s">
        <v>477</v>
      </c>
      <c r="C1480" s="10" t="s">
        <v>50</v>
      </c>
      <c r="D1480" s="10" t="s">
        <v>51</v>
      </c>
      <c r="E1480" s="10" t="s">
        <v>52</v>
      </c>
      <c r="F1480" s="10" t="s">
        <v>74</v>
      </c>
      <c r="G1480" s="10" t="b">
        <f>FALSE()</f>
        <v>0</v>
      </c>
      <c r="H1480" s="10">
        <v>1</v>
      </c>
      <c r="I1480" s="10">
        <v>1</v>
      </c>
      <c r="J1480" s="10">
        <v>1</v>
      </c>
      <c r="K1480" s="10">
        <v>39</v>
      </c>
      <c r="L1480" s="10">
        <v>17</v>
      </c>
      <c r="M1480" s="10">
        <v>1</v>
      </c>
      <c r="N1480" s="10">
        <v>69</v>
      </c>
      <c r="O1480" s="10">
        <v>68</v>
      </c>
    </row>
    <row r="1481" spans="1:15" x14ac:dyDescent="0.2">
      <c r="A1481" s="10" t="s">
        <v>150</v>
      </c>
      <c r="B1481" s="10" t="s">
        <v>151</v>
      </c>
      <c r="C1481" s="10" t="s">
        <v>64</v>
      </c>
      <c r="D1481" s="10" t="s">
        <v>45</v>
      </c>
      <c r="E1481" s="10" t="s">
        <v>46</v>
      </c>
      <c r="F1481" s="10" t="s">
        <v>85</v>
      </c>
      <c r="G1481" s="10" t="b">
        <f>FALSE()</f>
        <v>0</v>
      </c>
      <c r="H1481" s="10">
        <v>1</v>
      </c>
      <c r="I1481" s="10">
        <v>1</v>
      </c>
      <c r="J1481" s="10">
        <v>1</v>
      </c>
      <c r="K1481" s="10">
        <v>17</v>
      </c>
      <c r="L1481" s="10">
        <v>17</v>
      </c>
      <c r="M1481" s="10">
        <v>1</v>
      </c>
      <c r="N1481" s="10">
        <v>20</v>
      </c>
      <c r="O1481" s="10">
        <v>18</v>
      </c>
    </row>
    <row r="1482" spans="1:15" x14ac:dyDescent="0.2">
      <c r="A1482" s="10" t="s">
        <v>938</v>
      </c>
      <c r="B1482" s="10" t="s">
        <v>265</v>
      </c>
      <c r="C1482" s="10" t="s">
        <v>245</v>
      </c>
      <c r="D1482" s="10" t="s">
        <v>51</v>
      </c>
      <c r="E1482" s="10" t="s">
        <v>52</v>
      </c>
      <c r="F1482" s="10" t="s">
        <v>318</v>
      </c>
      <c r="G1482" s="10" t="b">
        <f>FALSE()</f>
        <v>0</v>
      </c>
      <c r="H1482" s="10">
        <v>1</v>
      </c>
      <c r="I1482" s="10">
        <v>0</v>
      </c>
      <c r="J1482" s="10">
        <v>1</v>
      </c>
      <c r="K1482" s="10">
        <v>17</v>
      </c>
      <c r="L1482" s="10">
        <v>17</v>
      </c>
      <c r="M1482" s="10">
        <v>0</v>
      </c>
      <c r="N1482" s="10">
        <v>0</v>
      </c>
      <c r="O1482" s="10">
        <v>0</v>
      </c>
    </row>
    <row r="1483" spans="1:15" x14ac:dyDescent="0.2">
      <c r="A1483" s="10" t="s">
        <v>514</v>
      </c>
      <c r="B1483" s="10" t="s">
        <v>238</v>
      </c>
      <c r="C1483" s="10" t="s">
        <v>90</v>
      </c>
      <c r="D1483" s="10" t="s">
        <v>51</v>
      </c>
      <c r="E1483" s="10" t="s">
        <v>52</v>
      </c>
      <c r="F1483" s="10" t="s">
        <v>475</v>
      </c>
      <c r="G1483" s="10" t="b">
        <f>FALSE()</f>
        <v>0</v>
      </c>
      <c r="H1483" s="10">
        <v>1</v>
      </c>
      <c r="I1483" s="10">
        <v>0</v>
      </c>
      <c r="J1483" s="10">
        <v>1</v>
      </c>
      <c r="K1483" s="10">
        <v>20</v>
      </c>
      <c r="L1483" s="10">
        <v>17</v>
      </c>
      <c r="M1483" s="10">
        <v>0</v>
      </c>
      <c r="N1483" s="10">
        <v>0</v>
      </c>
      <c r="O1483" s="10">
        <v>0</v>
      </c>
    </row>
    <row r="1484" spans="1:15" x14ac:dyDescent="0.2">
      <c r="A1484" s="10" t="s">
        <v>939</v>
      </c>
      <c r="B1484" s="10" t="s">
        <v>289</v>
      </c>
      <c r="C1484" s="10" t="s">
        <v>50</v>
      </c>
      <c r="D1484" s="10" t="s">
        <v>51</v>
      </c>
      <c r="E1484" s="10" t="s">
        <v>52</v>
      </c>
      <c r="F1484" s="10" t="s">
        <v>940</v>
      </c>
      <c r="G1484" s="10" t="b">
        <f>FALSE()</f>
        <v>0</v>
      </c>
      <c r="H1484" s="10">
        <v>1</v>
      </c>
      <c r="I1484" s="10">
        <v>0</v>
      </c>
      <c r="J1484" s="10">
        <v>1</v>
      </c>
      <c r="K1484" s="10">
        <v>34</v>
      </c>
      <c r="L1484" s="10">
        <v>17</v>
      </c>
      <c r="M1484" s="10">
        <v>0</v>
      </c>
      <c r="N1484" s="10">
        <v>0</v>
      </c>
      <c r="O1484" s="10">
        <v>0</v>
      </c>
    </row>
    <row r="1485" spans="1:15" x14ac:dyDescent="0.2">
      <c r="A1485" s="10" t="s">
        <v>939</v>
      </c>
      <c r="B1485" s="10" t="s">
        <v>289</v>
      </c>
      <c r="C1485" s="10" t="s">
        <v>50</v>
      </c>
      <c r="D1485" s="10" t="s">
        <v>51</v>
      </c>
      <c r="E1485" s="10" t="s">
        <v>52</v>
      </c>
      <c r="F1485" s="10" t="s">
        <v>941</v>
      </c>
      <c r="G1485" s="10" t="b">
        <f>FALSE()</f>
        <v>0</v>
      </c>
      <c r="H1485" s="10">
        <v>1</v>
      </c>
      <c r="I1485" s="10">
        <v>0</v>
      </c>
      <c r="J1485" s="10">
        <v>1</v>
      </c>
      <c r="K1485" s="10">
        <v>47</v>
      </c>
      <c r="L1485" s="10">
        <v>17</v>
      </c>
      <c r="M1485" s="10">
        <v>0</v>
      </c>
      <c r="N1485" s="10">
        <v>0</v>
      </c>
      <c r="O1485" s="10">
        <v>0</v>
      </c>
    </row>
    <row r="1486" spans="1:15" x14ac:dyDescent="0.2">
      <c r="A1486" s="10" t="s">
        <v>780</v>
      </c>
      <c r="B1486" s="10" t="s">
        <v>128</v>
      </c>
      <c r="C1486" s="10" t="s">
        <v>50</v>
      </c>
      <c r="D1486" s="10" t="s">
        <v>51</v>
      </c>
      <c r="E1486" s="10" t="s">
        <v>52</v>
      </c>
      <c r="F1486" s="10" t="s">
        <v>47</v>
      </c>
      <c r="G1486" s="10" t="b">
        <f>FALSE()</f>
        <v>0</v>
      </c>
      <c r="H1486" s="10">
        <v>1</v>
      </c>
      <c r="I1486" s="10">
        <v>0</v>
      </c>
      <c r="J1486" s="10">
        <v>1</v>
      </c>
      <c r="K1486" s="10">
        <v>23</v>
      </c>
      <c r="L1486" s="10">
        <v>17</v>
      </c>
      <c r="M1486" s="10">
        <v>0</v>
      </c>
      <c r="N1486" s="10">
        <v>0</v>
      </c>
      <c r="O1486" s="10">
        <v>0</v>
      </c>
    </row>
    <row r="1487" spans="1:15" x14ac:dyDescent="0.2">
      <c r="A1487" s="10" t="s">
        <v>855</v>
      </c>
      <c r="B1487" s="10" t="s">
        <v>456</v>
      </c>
      <c r="C1487" s="10" t="s">
        <v>245</v>
      </c>
      <c r="D1487" s="10" t="s">
        <v>51</v>
      </c>
      <c r="E1487" s="10" t="s">
        <v>52</v>
      </c>
      <c r="F1487" s="10" t="s">
        <v>79</v>
      </c>
      <c r="G1487" s="10" t="b">
        <f>FALSE()</f>
        <v>0</v>
      </c>
      <c r="H1487" s="10">
        <v>1</v>
      </c>
      <c r="I1487" s="10">
        <v>0</v>
      </c>
      <c r="J1487" s="10">
        <v>1</v>
      </c>
      <c r="K1487" s="10">
        <v>18</v>
      </c>
      <c r="L1487" s="10">
        <v>17</v>
      </c>
      <c r="M1487" s="10">
        <v>0</v>
      </c>
      <c r="N1487" s="10">
        <v>0</v>
      </c>
      <c r="O1487" s="10">
        <v>0</v>
      </c>
    </row>
    <row r="1488" spans="1:15" x14ac:dyDescent="0.2">
      <c r="A1488" s="10" t="s">
        <v>313</v>
      </c>
      <c r="B1488" s="10" t="s">
        <v>96</v>
      </c>
      <c r="C1488" s="10" t="s">
        <v>50</v>
      </c>
      <c r="D1488" s="10" t="s">
        <v>51</v>
      </c>
      <c r="E1488" s="10" t="s">
        <v>52</v>
      </c>
      <c r="F1488" s="10" t="s">
        <v>53</v>
      </c>
      <c r="G1488" s="10" t="b">
        <f>FALSE()</f>
        <v>0</v>
      </c>
      <c r="H1488" s="10">
        <v>1</v>
      </c>
      <c r="I1488" s="10">
        <v>0</v>
      </c>
      <c r="J1488" s="10">
        <v>2</v>
      </c>
      <c r="K1488" s="10">
        <v>40</v>
      </c>
      <c r="L1488" s="10">
        <v>17</v>
      </c>
      <c r="M1488" s="10">
        <v>0</v>
      </c>
      <c r="N1488" s="10">
        <v>0</v>
      </c>
      <c r="O1488" s="10">
        <v>0</v>
      </c>
    </row>
    <row r="1489" spans="1:15" x14ac:dyDescent="0.2">
      <c r="A1489" s="10" t="s">
        <v>833</v>
      </c>
      <c r="B1489" s="10" t="s">
        <v>165</v>
      </c>
      <c r="C1489" s="10" t="s">
        <v>112</v>
      </c>
      <c r="D1489" s="10" t="s">
        <v>51</v>
      </c>
      <c r="E1489" s="10" t="s">
        <v>52</v>
      </c>
      <c r="F1489" s="10" t="s">
        <v>640</v>
      </c>
      <c r="G1489" s="10" t="b">
        <f>FALSE()</f>
        <v>0</v>
      </c>
      <c r="H1489" s="10">
        <v>1</v>
      </c>
      <c r="I1489" s="10">
        <v>0</v>
      </c>
      <c r="J1489" s="10">
        <v>1</v>
      </c>
      <c r="K1489" s="10">
        <v>24</v>
      </c>
      <c r="L1489" s="10">
        <v>17</v>
      </c>
      <c r="M1489" s="10">
        <v>0</v>
      </c>
      <c r="N1489" s="10">
        <v>0</v>
      </c>
      <c r="O1489" s="10">
        <v>0</v>
      </c>
    </row>
    <row r="1490" spans="1:15" x14ac:dyDescent="0.2">
      <c r="A1490" s="10" t="s">
        <v>887</v>
      </c>
      <c r="B1490" s="10" t="s">
        <v>456</v>
      </c>
      <c r="C1490" s="10" t="s">
        <v>245</v>
      </c>
      <c r="D1490" s="10" t="s">
        <v>51</v>
      </c>
      <c r="E1490" s="10" t="s">
        <v>52</v>
      </c>
      <c r="F1490" s="10" t="s">
        <v>47</v>
      </c>
      <c r="G1490" s="10" t="b">
        <f>FALSE()</f>
        <v>0</v>
      </c>
      <c r="H1490" s="10">
        <v>1</v>
      </c>
      <c r="I1490" s="10">
        <v>0</v>
      </c>
      <c r="J1490" s="10">
        <v>1</v>
      </c>
      <c r="K1490" s="10">
        <v>19</v>
      </c>
      <c r="L1490" s="10">
        <v>17</v>
      </c>
      <c r="M1490" s="10">
        <v>0</v>
      </c>
      <c r="N1490" s="10">
        <v>0</v>
      </c>
      <c r="O1490" s="10">
        <v>0</v>
      </c>
    </row>
    <row r="1491" spans="1:15" x14ac:dyDescent="0.2">
      <c r="A1491" s="10" t="s">
        <v>942</v>
      </c>
      <c r="B1491" s="10" t="s">
        <v>188</v>
      </c>
      <c r="C1491" s="10" t="s">
        <v>112</v>
      </c>
      <c r="D1491" s="10" t="s">
        <v>51</v>
      </c>
      <c r="E1491" s="10" t="s">
        <v>52</v>
      </c>
      <c r="F1491" s="10" t="s">
        <v>53</v>
      </c>
      <c r="G1491" s="10" t="b">
        <f>FALSE()</f>
        <v>0</v>
      </c>
      <c r="H1491" s="10">
        <v>1</v>
      </c>
      <c r="I1491" s="10">
        <v>0</v>
      </c>
      <c r="J1491" s="10">
        <v>1</v>
      </c>
      <c r="K1491" s="10">
        <v>17</v>
      </c>
      <c r="L1491" s="10">
        <v>17</v>
      </c>
      <c r="M1491" s="10">
        <v>0</v>
      </c>
      <c r="N1491" s="10">
        <v>0</v>
      </c>
      <c r="O1491" s="10">
        <v>0</v>
      </c>
    </row>
    <row r="1492" spans="1:15" x14ac:dyDescent="0.2">
      <c r="A1492" s="10" t="s">
        <v>943</v>
      </c>
      <c r="B1492" s="10" t="s">
        <v>165</v>
      </c>
      <c r="C1492" s="10" t="s">
        <v>112</v>
      </c>
      <c r="D1492" s="10" t="s">
        <v>51</v>
      </c>
      <c r="E1492" s="10" t="s">
        <v>52</v>
      </c>
      <c r="F1492" s="10" t="s">
        <v>53</v>
      </c>
      <c r="G1492" s="10" t="b">
        <f>FALSE()</f>
        <v>0</v>
      </c>
      <c r="H1492" s="10">
        <v>1</v>
      </c>
      <c r="I1492" s="10">
        <v>0</v>
      </c>
      <c r="J1492" s="10">
        <v>0</v>
      </c>
      <c r="K1492" s="10">
        <v>0</v>
      </c>
      <c r="L1492" s="10">
        <v>17</v>
      </c>
      <c r="M1492" s="10">
        <v>0</v>
      </c>
      <c r="N1492" s="10">
        <v>0</v>
      </c>
      <c r="O1492" s="10">
        <v>0</v>
      </c>
    </row>
    <row r="1493" spans="1:15" x14ac:dyDescent="0.2">
      <c r="A1493" s="10" t="s">
        <v>944</v>
      </c>
      <c r="B1493" s="10" t="s">
        <v>405</v>
      </c>
      <c r="C1493" s="10" t="s">
        <v>112</v>
      </c>
      <c r="D1493" s="10" t="s">
        <v>51</v>
      </c>
      <c r="E1493" s="10" t="s">
        <v>52</v>
      </c>
      <c r="F1493" s="10" t="s">
        <v>92</v>
      </c>
      <c r="G1493" s="10" t="b">
        <f>FALSE()</f>
        <v>0</v>
      </c>
      <c r="H1493" s="10">
        <v>1</v>
      </c>
      <c r="I1493" s="10">
        <v>0</v>
      </c>
      <c r="J1493" s="10">
        <v>1</v>
      </c>
      <c r="K1493" s="10">
        <v>17</v>
      </c>
      <c r="L1493" s="10">
        <v>17</v>
      </c>
      <c r="M1493" s="10">
        <v>0</v>
      </c>
      <c r="N1493" s="10">
        <v>0</v>
      </c>
      <c r="O1493" s="10">
        <v>0</v>
      </c>
    </row>
    <row r="1494" spans="1:15" x14ac:dyDescent="0.2">
      <c r="A1494" s="10" t="s">
        <v>944</v>
      </c>
      <c r="B1494" s="10" t="s">
        <v>405</v>
      </c>
      <c r="C1494" s="10" t="s">
        <v>112</v>
      </c>
      <c r="D1494" s="10" t="s">
        <v>51</v>
      </c>
      <c r="E1494" s="10" t="s">
        <v>52</v>
      </c>
      <c r="F1494" s="10" t="s">
        <v>153</v>
      </c>
      <c r="G1494" s="10" t="b">
        <f>FALSE()</f>
        <v>0</v>
      </c>
      <c r="H1494" s="10">
        <v>1</v>
      </c>
      <c r="I1494" s="10">
        <v>0</v>
      </c>
      <c r="J1494" s="10">
        <v>1</v>
      </c>
      <c r="K1494" s="10">
        <v>44</v>
      </c>
      <c r="L1494" s="10">
        <v>17</v>
      </c>
      <c r="M1494" s="10">
        <v>0</v>
      </c>
      <c r="N1494" s="10">
        <v>0</v>
      </c>
      <c r="O1494" s="10">
        <v>0</v>
      </c>
    </row>
    <row r="1495" spans="1:15" x14ac:dyDescent="0.2">
      <c r="A1495" s="10" t="s">
        <v>945</v>
      </c>
      <c r="B1495" s="10" t="s">
        <v>128</v>
      </c>
      <c r="C1495" s="10" t="s">
        <v>50</v>
      </c>
      <c r="D1495" s="10" t="s">
        <v>51</v>
      </c>
      <c r="E1495" s="10" t="s">
        <v>52</v>
      </c>
      <c r="F1495" s="10" t="s">
        <v>102</v>
      </c>
      <c r="G1495" s="10" t="b">
        <f>TRUE()</f>
        <v>1</v>
      </c>
      <c r="H1495" s="10">
        <v>1</v>
      </c>
      <c r="I1495" s="10">
        <v>0</v>
      </c>
      <c r="J1495" s="10">
        <v>1</v>
      </c>
      <c r="K1495" s="10">
        <v>30</v>
      </c>
      <c r="L1495" s="10">
        <v>17</v>
      </c>
      <c r="M1495" s="10">
        <v>0</v>
      </c>
      <c r="N1495" s="10">
        <v>0</v>
      </c>
      <c r="O1495" s="10">
        <v>0</v>
      </c>
    </row>
    <row r="1496" spans="1:15" x14ac:dyDescent="0.2">
      <c r="A1496" s="10" t="s">
        <v>788</v>
      </c>
      <c r="B1496" s="10" t="s">
        <v>759</v>
      </c>
      <c r="C1496" s="10" t="s">
        <v>112</v>
      </c>
      <c r="D1496" s="10" t="s">
        <v>51</v>
      </c>
      <c r="E1496" s="10" t="s">
        <v>52</v>
      </c>
      <c r="F1496" s="10" t="s">
        <v>91</v>
      </c>
      <c r="G1496" s="10" t="b">
        <f>TRUE()</f>
        <v>1</v>
      </c>
      <c r="H1496" s="10">
        <v>1</v>
      </c>
      <c r="I1496" s="10">
        <v>0</v>
      </c>
      <c r="J1496" s="10">
        <v>1</v>
      </c>
      <c r="K1496" s="10">
        <v>17</v>
      </c>
      <c r="L1496" s="10">
        <v>17</v>
      </c>
      <c r="M1496" s="10">
        <v>0</v>
      </c>
      <c r="N1496" s="10">
        <v>0</v>
      </c>
      <c r="O1496" s="10">
        <v>0</v>
      </c>
    </row>
    <row r="1497" spans="1:15" x14ac:dyDescent="0.2">
      <c r="A1497" s="10" t="s">
        <v>946</v>
      </c>
      <c r="B1497" s="10" t="s">
        <v>89</v>
      </c>
      <c r="C1497" s="10" t="s">
        <v>90</v>
      </c>
      <c r="D1497" s="10" t="s">
        <v>51</v>
      </c>
      <c r="E1497" s="10" t="s">
        <v>52</v>
      </c>
      <c r="F1497" s="10" t="s">
        <v>47</v>
      </c>
      <c r="G1497" s="10" t="b">
        <f>FALSE()</f>
        <v>0</v>
      </c>
      <c r="H1497" s="10">
        <v>1</v>
      </c>
      <c r="I1497" s="10">
        <v>1</v>
      </c>
      <c r="J1497" s="10">
        <v>1</v>
      </c>
      <c r="K1497" s="10">
        <v>16</v>
      </c>
      <c r="L1497" s="10">
        <v>16</v>
      </c>
      <c r="M1497" s="10">
        <v>1</v>
      </c>
      <c r="N1497" s="10">
        <v>124</v>
      </c>
      <c r="O1497" s="10">
        <v>136</v>
      </c>
    </row>
    <row r="1498" spans="1:15" x14ac:dyDescent="0.2">
      <c r="A1498" s="10" t="s">
        <v>502</v>
      </c>
      <c r="B1498" s="10" t="s">
        <v>302</v>
      </c>
      <c r="C1498" s="10" t="s">
        <v>117</v>
      </c>
      <c r="D1498" s="10" t="s">
        <v>51</v>
      </c>
      <c r="E1498" s="10" t="s">
        <v>52</v>
      </c>
      <c r="F1498" s="10" t="s">
        <v>251</v>
      </c>
      <c r="G1498" s="10" t="b">
        <f>FALSE()</f>
        <v>0</v>
      </c>
      <c r="H1498" s="10">
        <v>1</v>
      </c>
      <c r="I1498" s="10">
        <v>1</v>
      </c>
      <c r="J1498" s="10">
        <v>1</v>
      </c>
      <c r="K1498" s="10">
        <v>72</v>
      </c>
      <c r="L1498" s="10">
        <v>16</v>
      </c>
      <c r="M1498" s="10">
        <v>1</v>
      </c>
      <c r="N1498" s="10">
        <v>79</v>
      </c>
      <c r="O1498" s="10">
        <v>79</v>
      </c>
    </row>
    <row r="1499" spans="1:15" x14ac:dyDescent="0.2">
      <c r="A1499" s="10" t="s">
        <v>915</v>
      </c>
      <c r="B1499" s="10" t="s">
        <v>916</v>
      </c>
      <c r="C1499" s="10" t="s">
        <v>117</v>
      </c>
      <c r="D1499" s="10" t="s">
        <v>51</v>
      </c>
      <c r="E1499" s="10" t="s">
        <v>52</v>
      </c>
      <c r="F1499" s="10" t="s">
        <v>318</v>
      </c>
      <c r="G1499" s="10" t="b">
        <f>FALSE()</f>
        <v>0</v>
      </c>
      <c r="H1499" s="10">
        <v>1</v>
      </c>
      <c r="I1499" s="10">
        <v>0</v>
      </c>
      <c r="J1499" s="10">
        <v>0</v>
      </c>
      <c r="K1499" s="10">
        <v>0</v>
      </c>
      <c r="L1499" s="10">
        <v>16</v>
      </c>
      <c r="M1499" s="10">
        <v>0</v>
      </c>
      <c r="N1499" s="10">
        <v>0</v>
      </c>
      <c r="O1499" s="10">
        <v>0</v>
      </c>
    </row>
    <row r="1500" spans="1:15" x14ac:dyDescent="0.2">
      <c r="A1500" s="10" t="s">
        <v>715</v>
      </c>
      <c r="B1500" s="10" t="s">
        <v>193</v>
      </c>
      <c r="C1500" s="10" t="s">
        <v>117</v>
      </c>
      <c r="D1500" s="10" t="s">
        <v>51</v>
      </c>
      <c r="E1500" s="10" t="s">
        <v>52</v>
      </c>
      <c r="F1500" s="10" t="s">
        <v>947</v>
      </c>
      <c r="G1500" s="10" t="b">
        <f>FALSE()</f>
        <v>0</v>
      </c>
      <c r="H1500" s="10">
        <v>1</v>
      </c>
      <c r="I1500" s="10">
        <v>0</v>
      </c>
      <c r="J1500" s="10">
        <v>1</v>
      </c>
      <c r="K1500" s="10">
        <v>13</v>
      </c>
      <c r="L1500" s="10">
        <v>16</v>
      </c>
      <c r="M1500" s="10">
        <v>0</v>
      </c>
      <c r="N1500" s="10">
        <v>0</v>
      </c>
      <c r="O1500" s="10">
        <v>0</v>
      </c>
    </row>
    <row r="1501" spans="1:15" x14ac:dyDescent="0.2">
      <c r="A1501" s="10" t="s">
        <v>803</v>
      </c>
      <c r="B1501" s="10" t="s">
        <v>756</v>
      </c>
      <c r="C1501" s="10" t="s">
        <v>245</v>
      </c>
      <c r="D1501" s="10" t="s">
        <v>51</v>
      </c>
      <c r="E1501" s="10" t="s">
        <v>52</v>
      </c>
      <c r="F1501" s="10" t="s">
        <v>206</v>
      </c>
      <c r="G1501" s="10" t="b">
        <f>FALSE()</f>
        <v>0</v>
      </c>
      <c r="H1501" s="10">
        <v>1</v>
      </c>
      <c r="I1501" s="10">
        <v>0</v>
      </c>
      <c r="J1501" s="10">
        <v>1</v>
      </c>
      <c r="K1501" s="10">
        <v>30</v>
      </c>
      <c r="L1501" s="10">
        <v>16</v>
      </c>
      <c r="M1501" s="10">
        <v>0</v>
      </c>
      <c r="N1501" s="10">
        <v>0</v>
      </c>
      <c r="O1501" s="10">
        <v>0</v>
      </c>
    </row>
    <row r="1502" spans="1:15" x14ac:dyDescent="0.2">
      <c r="A1502" s="10" t="s">
        <v>780</v>
      </c>
      <c r="B1502" s="10" t="s">
        <v>128</v>
      </c>
      <c r="C1502" s="10" t="s">
        <v>50</v>
      </c>
      <c r="D1502" s="10" t="s">
        <v>51</v>
      </c>
      <c r="E1502" s="10" t="s">
        <v>52</v>
      </c>
      <c r="F1502" s="10" t="s">
        <v>207</v>
      </c>
      <c r="G1502" s="10" t="b">
        <f>FALSE()</f>
        <v>0</v>
      </c>
      <c r="H1502" s="10">
        <v>1</v>
      </c>
      <c r="I1502" s="10">
        <v>0</v>
      </c>
      <c r="J1502" s="10">
        <v>1</v>
      </c>
      <c r="K1502" s="10">
        <v>15</v>
      </c>
      <c r="L1502" s="10">
        <v>16</v>
      </c>
      <c r="M1502" s="10">
        <v>0</v>
      </c>
      <c r="N1502" s="10">
        <v>0</v>
      </c>
      <c r="O1502" s="10">
        <v>0</v>
      </c>
    </row>
    <row r="1503" spans="1:15" x14ac:dyDescent="0.2">
      <c r="A1503" s="10" t="s">
        <v>353</v>
      </c>
      <c r="B1503" s="10" t="s">
        <v>160</v>
      </c>
      <c r="C1503" s="10" t="s">
        <v>56</v>
      </c>
      <c r="D1503" s="10" t="s">
        <v>45</v>
      </c>
      <c r="E1503" s="10" t="s">
        <v>46</v>
      </c>
      <c r="F1503" s="10" t="s">
        <v>948</v>
      </c>
      <c r="G1503" s="10" t="b">
        <f>FALSE()</f>
        <v>0</v>
      </c>
      <c r="H1503" s="10">
        <v>1</v>
      </c>
      <c r="I1503" s="10">
        <v>0</v>
      </c>
      <c r="J1503" s="10">
        <v>2</v>
      </c>
      <c r="K1503" s="10">
        <v>17</v>
      </c>
      <c r="L1503" s="10">
        <v>16</v>
      </c>
      <c r="M1503" s="10">
        <v>0</v>
      </c>
      <c r="N1503" s="10">
        <v>0</v>
      </c>
      <c r="O1503" s="10">
        <v>0</v>
      </c>
    </row>
    <row r="1504" spans="1:15" x14ac:dyDescent="0.2">
      <c r="A1504" s="10" t="s">
        <v>524</v>
      </c>
      <c r="B1504" s="10" t="s">
        <v>285</v>
      </c>
      <c r="C1504" s="10" t="s">
        <v>105</v>
      </c>
      <c r="D1504" s="10" t="s">
        <v>45</v>
      </c>
      <c r="E1504" s="10" t="s">
        <v>46</v>
      </c>
      <c r="F1504" s="10" t="s">
        <v>153</v>
      </c>
      <c r="G1504" s="10" t="b">
        <f>FALSE()</f>
        <v>0</v>
      </c>
      <c r="H1504" s="10">
        <v>1</v>
      </c>
      <c r="I1504" s="10">
        <v>0</v>
      </c>
      <c r="J1504" s="10">
        <v>2</v>
      </c>
      <c r="K1504" s="10">
        <v>46</v>
      </c>
      <c r="L1504" s="10">
        <v>16</v>
      </c>
      <c r="M1504" s="10">
        <v>0</v>
      </c>
      <c r="N1504" s="10">
        <v>0</v>
      </c>
      <c r="O1504" s="10">
        <v>0</v>
      </c>
    </row>
    <row r="1505" spans="1:15" x14ac:dyDescent="0.2">
      <c r="A1505" s="10" t="s">
        <v>949</v>
      </c>
      <c r="B1505" s="10" t="s">
        <v>165</v>
      </c>
      <c r="C1505" s="10" t="s">
        <v>112</v>
      </c>
      <c r="D1505" s="10" t="s">
        <v>51</v>
      </c>
      <c r="E1505" s="10" t="s">
        <v>52</v>
      </c>
      <c r="F1505" s="10" t="s">
        <v>53</v>
      </c>
      <c r="G1505" s="10" t="b">
        <f>FALSE()</f>
        <v>0</v>
      </c>
      <c r="H1505" s="10">
        <v>1</v>
      </c>
      <c r="I1505" s="10">
        <v>0</v>
      </c>
      <c r="J1505" s="10">
        <v>1</v>
      </c>
      <c r="K1505" s="10">
        <v>17</v>
      </c>
      <c r="L1505" s="10">
        <v>16</v>
      </c>
      <c r="M1505" s="10">
        <v>0</v>
      </c>
      <c r="N1505" s="10">
        <v>0</v>
      </c>
      <c r="O1505" s="10">
        <v>0</v>
      </c>
    </row>
    <row r="1506" spans="1:15" x14ac:dyDescent="0.2">
      <c r="A1506" s="10" t="s">
        <v>950</v>
      </c>
      <c r="B1506" s="10" t="s">
        <v>116</v>
      </c>
      <c r="C1506" s="10" t="s">
        <v>117</v>
      </c>
      <c r="D1506" s="10" t="s">
        <v>51</v>
      </c>
      <c r="E1506" s="10" t="s">
        <v>52</v>
      </c>
      <c r="F1506" s="10" t="s">
        <v>92</v>
      </c>
      <c r="G1506" s="10" t="b">
        <f>FALSE()</f>
        <v>0</v>
      </c>
      <c r="H1506" s="10">
        <v>1</v>
      </c>
      <c r="I1506" s="10">
        <v>0</v>
      </c>
      <c r="J1506" s="10">
        <v>0</v>
      </c>
      <c r="K1506" s="10">
        <v>0</v>
      </c>
      <c r="L1506" s="10">
        <v>16</v>
      </c>
      <c r="M1506" s="10">
        <v>0</v>
      </c>
      <c r="N1506" s="10">
        <v>0</v>
      </c>
      <c r="O1506" s="10">
        <v>0</v>
      </c>
    </row>
    <row r="1507" spans="1:15" x14ac:dyDescent="0.2">
      <c r="A1507" s="10" t="s">
        <v>951</v>
      </c>
      <c r="B1507" s="10" t="s">
        <v>122</v>
      </c>
      <c r="C1507" s="10" t="s">
        <v>112</v>
      </c>
      <c r="D1507" s="10" t="s">
        <v>51</v>
      </c>
      <c r="E1507" s="10" t="s">
        <v>52</v>
      </c>
      <c r="F1507" s="10" t="s">
        <v>92</v>
      </c>
      <c r="G1507" s="10" t="b">
        <f>FALSE()</f>
        <v>0</v>
      </c>
      <c r="H1507" s="10">
        <v>1</v>
      </c>
      <c r="I1507" s="10">
        <v>0</v>
      </c>
      <c r="J1507" s="10">
        <v>0</v>
      </c>
      <c r="K1507" s="10">
        <v>0</v>
      </c>
      <c r="L1507" s="10">
        <v>16</v>
      </c>
      <c r="M1507" s="10">
        <v>0</v>
      </c>
      <c r="N1507" s="10">
        <v>0</v>
      </c>
      <c r="O1507" s="10">
        <v>0</v>
      </c>
    </row>
    <row r="1508" spans="1:15" x14ac:dyDescent="0.2">
      <c r="A1508" s="10" t="s">
        <v>732</v>
      </c>
      <c r="B1508" s="10" t="s">
        <v>165</v>
      </c>
      <c r="C1508" s="10" t="s">
        <v>112</v>
      </c>
      <c r="D1508" s="10" t="s">
        <v>51</v>
      </c>
      <c r="E1508" s="10" t="s">
        <v>52</v>
      </c>
      <c r="F1508" s="10" t="s">
        <v>91</v>
      </c>
      <c r="G1508" s="10" t="b">
        <f>TRUE()</f>
        <v>1</v>
      </c>
      <c r="H1508" s="10">
        <v>1</v>
      </c>
      <c r="I1508" s="10">
        <v>0</v>
      </c>
      <c r="J1508" s="10">
        <v>1</v>
      </c>
      <c r="K1508" s="10">
        <v>19</v>
      </c>
      <c r="L1508" s="10">
        <v>16</v>
      </c>
      <c r="M1508" s="10">
        <v>0</v>
      </c>
      <c r="N1508" s="10">
        <v>0</v>
      </c>
      <c r="O1508" s="10">
        <v>0</v>
      </c>
    </row>
    <row r="1509" spans="1:15" x14ac:dyDescent="0.2">
      <c r="A1509" s="10" t="s">
        <v>675</v>
      </c>
      <c r="B1509" s="10" t="s">
        <v>130</v>
      </c>
      <c r="C1509" s="10" t="s">
        <v>56</v>
      </c>
      <c r="D1509" s="10" t="s">
        <v>45</v>
      </c>
      <c r="E1509" s="10" t="s">
        <v>46</v>
      </c>
      <c r="F1509" s="10" t="s">
        <v>132</v>
      </c>
      <c r="G1509" s="10" t="b">
        <f>FALSE()</f>
        <v>0</v>
      </c>
      <c r="H1509" s="10">
        <v>1</v>
      </c>
      <c r="I1509" s="10">
        <v>0</v>
      </c>
      <c r="J1509" s="10">
        <v>1</v>
      </c>
      <c r="K1509" s="10">
        <v>20</v>
      </c>
      <c r="L1509" s="10">
        <v>16</v>
      </c>
      <c r="M1509" s="10">
        <v>0</v>
      </c>
      <c r="N1509" s="10">
        <v>0</v>
      </c>
      <c r="O1509" s="10">
        <v>0</v>
      </c>
    </row>
    <row r="1510" spans="1:15" x14ac:dyDescent="0.2">
      <c r="A1510" s="10" t="s">
        <v>952</v>
      </c>
      <c r="B1510" s="10" t="s">
        <v>188</v>
      </c>
      <c r="C1510" s="10" t="s">
        <v>112</v>
      </c>
      <c r="D1510" s="10" t="s">
        <v>51</v>
      </c>
      <c r="E1510" s="10" t="s">
        <v>52</v>
      </c>
      <c r="F1510" s="10" t="s">
        <v>113</v>
      </c>
      <c r="G1510" s="10" t="b">
        <f>TRUE()</f>
        <v>1</v>
      </c>
      <c r="H1510" s="10">
        <v>1</v>
      </c>
      <c r="I1510" s="10">
        <v>0</v>
      </c>
      <c r="J1510" s="10">
        <v>1</v>
      </c>
      <c r="K1510" s="10">
        <v>16</v>
      </c>
      <c r="L1510" s="10">
        <v>16</v>
      </c>
      <c r="M1510" s="10">
        <v>0</v>
      </c>
      <c r="N1510" s="10">
        <v>0</v>
      </c>
      <c r="O1510" s="10">
        <v>0</v>
      </c>
    </row>
    <row r="1511" spans="1:15" x14ac:dyDescent="0.2">
      <c r="A1511" s="10" t="s">
        <v>913</v>
      </c>
      <c r="B1511" s="10" t="s">
        <v>456</v>
      </c>
      <c r="C1511" s="10" t="s">
        <v>245</v>
      </c>
      <c r="D1511" s="10" t="s">
        <v>51</v>
      </c>
      <c r="E1511" s="10" t="s">
        <v>52</v>
      </c>
      <c r="F1511" s="10" t="s">
        <v>190</v>
      </c>
      <c r="G1511" s="10" t="b">
        <f>TRUE()</f>
        <v>1</v>
      </c>
      <c r="H1511" s="10">
        <v>1</v>
      </c>
      <c r="I1511" s="10">
        <v>0</v>
      </c>
      <c r="J1511" s="10">
        <v>1</v>
      </c>
      <c r="K1511" s="10">
        <v>18</v>
      </c>
      <c r="L1511" s="10">
        <v>16</v>
      </c>
      <c r="M1511" s="10">
        <v>0</v>
      </c>
      <c r="N1511" s="10">
        <v>0</v>
      </c>
      <c r="O1511" s="10">
        <v>0</v>
      </c>
    </row>
    <row r="1512" spans="1:15" x14ac:dyDescent="0.2">
      <c r="A1512" s="10" t="s">
        <v>953</v>
      </c>
      <c r="B1512" s="10" t="s">
        <v>477</v>
      </c>
      <c r="C1512" s="10" t="s">
        <v>50</v>
      </c>
      <c r="D1512" s="10" t="s">
        <v>51</v>
      </c>
      <c r="E1512" s="10" t="s">
        <v>52</v>
      </c>
      <c r="F1512" s="10" t="s">
        <v>65</v>
      </c>
      <c r="G1512" s="10" t="b">
        <f>FALSE()</f>
        <v>0</v>
      </c>
      <c r="H1512" s="10">
        <v>1</v>
      </c>
      <c r="I1512" s="10">
        <v>0</v>
      </c>
      <c r="J1512" s="10">
        <v>1</v>
      </c>
      <c r="K1512" s="10">
        <v>16</v>
      </c>
      <c r="L1512" s="10">
        <v>16</v>
      </c>
      <c r="M1512" s="10">
        <v>0</v>
      </c>
      <c r="N1512" s="10">
        <v>0</v>
      </c>
      <c r="O1512" s="10">
        <v>0</v>
      </c>
    </row>
    <row r="1513" spans="1:15" x14ac:dyDescent="0.2">
      <c r="A1513" s="10" t="s">
        <v>361</v>
      </c>
      <c r="B1513" s="10" t="s">
        <v>122</v>
      </c>
      <c r="C1513" s="10" t="s">
        <v>112</v>
      </c>
      <c r="D1513" s="10" t="s">
        <v>51</v>
      </c>
      <c r="E1513" s="10" t="s">
        <v>52</v>
      </c>
      <c r="F1513" s="10" t="s">
        <v>155</v>
      </c>
      <c r="G1513" s="10" t="b">
        <f>TRUE()</f>
        <v>1</v>
      </c>
      <c r="H1513" s="10">
        <v>1</v>
      </c>
      <c r="I1513" s="10">
        <v>1</v>
      </c>
      <c r="J1513" s="10">
        <v>1</v>
      </c>
      <c r="K1513" s="10">
        <v>16</v>
      </c>
      <c r="L1513" s="10">
        <v>15</v>
      </c>
      <c r="M1513" s="10">
        <v>1</v>
      </c>
      <c r="N1513" s="10">
        <v>87</v>
      </c>
      <c r="O1513" s="10">
        <v>87</v>
      </c>
    </row>
    <row r="1514" spans="1:15" x14ac:dyDescent="0.2">
      <c r="A1514" s="10" t="s">
        <v>560</v>
      </c>
      <c r="B1514" s="10" t="s">
        <v>96</v>
      </c>
      <c r="C1514" s="10" t="s">
        <v>50</v>
      </c>
      <c r="D1514" s="10" t="s">
        <v>51</v>
      </c>
      <c r="E1514" s="10" t="s">
        <v>52</v>
      </c>
      <c r="F1514" s="10" t="s">
        <v>331</v>
      </c>
      <c r="G1514" s="10" t="b">
        <f>FALSE()</f>
        <v>0</v>
      </c>
      <c r="H1514" s="10">
        <v>1</v>
      </c>
      <c r="I1514" s="10">
        <v>0</v>
      </c>
      <c r="J1514" s="10">
        <v>1</v>
      </c>
      <c r="K1514" s="10">
        <v>20</v>
      </c>
      <c r="L1514" s="10">
        <v>15</v>
      </c>
      <c r="M1514" s="10">
        <v>0</v>
      </c>
      <c r="N1514" s="10">
        <v>0</v>
      </c>
      <c r="O1514" s="10">
        <v>0</v>
      </c>
    </row>
    <row r="1515" spans="1:15" x14ac:dyDescent="0.2">
      <c r="A1515" s="10" t="s">
        <v>560</v>
      </c>
      <c r="B1515" s="10" t="s">
        <v>96</v>
      </c>
      <c r="C1515" s="10" t="s">
        <v>50</v>
      </c>
      <c r="D1515" s="10" t="s">
        <v>51</v>
      </c>
      <c r="E1515" s="10" t="s">
        <v>52</v>
      </c>
      <c r="F1515" s="10" t="s">
        <v>91</v>
      </c>
      <c r="G1515" s="10" t="b">
        <f>TRUE()</f>
        <v>1</v>
      </c>
      <c r="H1515" s="10">
        <v>1</v>
      </c>
      <c r="I1515" s="10">
        <v>0</v>
      </c>
      <c r="J1515" s="10">
        <v>3</v>
      </c>
      <c r="K1515" s="10">
        <v>58</v>
      </c>
      <c r="L1515" s="10">
        <v>15</v>
      </c>
      <c r="M1515" s="10">
        <v>0</v>
      </c>
      <c r="N1515" s="10">
        <v>0</v>
      </c>
      <c r="O1515" s="10">
        <v>0</v>
      </c>
    </row>
    <row r="1516" spans="1:15" x14ac:dyDescent="0.2">
      <c r="A1516" s="10" t="s">
        <v>372</v>
      </c>
      <c r="B1516" s="10" t="s">
        <v>130</v>
      </c>
      <c r="C1516" s="10" t="s">
        <v>56</v>
      </c>
      <c r="D1516" s="10" t="s">
        <v>45</v>
      </c>
      <c r="E1516" s="10" t="s">
        <v>46</v>
      </c>
      <c r="F1516" s="10" t="s">
        <v>92</v>
      </c>
      <c r="G1516" s="10" t="b">
        <f>FALSE()</f>
        <v>0</v>
      </c>
      <c r="H1516" s="10">
        <v>1</v>
      </c>
      <c r="I1516" s="10">
        <v>0</v>
      </c>
      <c r="J1516" s="10">
        <v>1</v>
      </c>
      <c r="K1516" s="10">
        <v>18</v>
      </c>
      <c r="L1516" s="10">
        <v>15</v>
      </c>
      <c r="M1516" s="10">
        <v>0</v>
      </c>
      <c r="N1516" s="10">
        <v>0</v>
      </c>
      <c r="O1516" s="10">
        <v>0</v>
      </c>
    </row>
    <row r="1517" spans="1:15" x14ac:dyDescent="0.2">
      <c r="A1517" s="10" t="s">
        <v>718</v>
      </c>
      <c r="B1517" s="10" t="s">
        <v>719</v>
      </c>
      <c r="C1517" s="10" t="s">
        <v>117</v>
      </c>
      <c r="D1517" s="10" t="s">
        <v>51</v>
      </c>
      <c r="E1517" s="10" t="s">
        <v>52</v>
      </c>
      <c r="F1517" s="10" t="s">
        <v>61</v>
      </c>
      <c r="G1517" s="10" t="b">
        <f>FALSE()</f>
        <v>0</v>
      </c>
      <c r="H1517" s="10">
        <v>1</v>
      </c>
      <c r="I1517" s="10">
        <v>0</v>
      </c>
      <c r="J1517" s="10">
        <v>1</v>
      </c>
      <c r="K1517" s="10">
        <v>15</v>
      </c>
      <c r="L1517" s="10">
        <v>15</v>
      </c>
      <c r="M1517" s="10">
        <v>0</v>
      </c>
      <c r="N1517" s="10">
        <v>0</v>
      </c>
      <c r="O1517" s="10">
        <v>0</v>
      </c>
    </row>
    <row r="1518" spans="1:15" x14ac:dyDescent="0.2">
      <c r="A1518" s="10" t="s">
        <v>889</v>
      </c>
      <c r="B1518" s="10" t="s">
        <v>890</v>
      </c>
      <c r="C1518" s="10" t="s">
        <v>112</v>
      </c>
      <c r="D1518" s="10" t="s">
        <v>51</v>
      </c>
      <c r="E1518" s="10" t="s">
        <v>52</v>
      </c>
      <c r="F1518" s="10" t="s">
        <v>61</v>
      </c>
      <c r="G1518" s="10" t="b">
        <f>FALSE()</f>
        <v>0</v>
      </c>
      <c r="H1518" s="10">
        <v>1</v>
      </c>
      <c r="I1518" s="10">
        <v>0</v>
      </c>
      <c r="J1518" s="10">
        <v>1</v>
      </c>
      <c r="K1518" s="10">
        <v>16</v>
      </c>
      <c r="L1518" s="10">
        <v>15</v>
      </c>
      <c r="M1518" s="10">
        <v>0</v>
      </c>
      <c r="N1518" s="10">
        <v>0</v>
      </c>
      <c r="O1518" s="10">
        <v>0</v>
      </c>
    </row>
    <row r="1519" spans="1:15" x14ac:dyDescent="0.2">
      <c r="A1519" s="10" t="s">
        <v>954</v>
      </c>
      <c r="B1519" s="10" t="s">
        <v>439</v>
      </c>
      <c r="C1519" s="10" t="s">
        <v>112</v>
      </c>
      <c r="D1519" s="10" t="s">
        <v>51</v>
      </c>
      <c r="E1519" s="10" t="s">
        <v>52</v>
      </c>
      <c r="F1519" s="10" t="s">
        <v>61</v>
      </c>
      <c r="G1519" s="10" t="b">
        <f>FALSE()</f>
        <v>0</v>
      </c>
      <c r="H1519" s="10">
        <v>1</v>
      </c>
      <c r="I1519" s="10">
        <v>0</v>
      </c>
      <c r="J1519" s="10">
        <v>1</v>
      </c>
      <c r="K1519" s="10">
        <v>15</v>
      </c>
      <c r="L1519" s="10">
        <v>15</v>
      </c>
      <c r="M1519" s="10">
        <v>0</v>
      </c>
      <c r="N1519" s="10">
        <v>0</v>
      </c>
      <c r="O1519" s="10">
        <v>0</v>
      </c>
    </row>
    <row r="1520" spans="1:15" x14ac:dyDescent="0.2">
      <c r="A1520" s="10" t="s">
        <v>955</v>
      </c>
      <c r="B1520" s="10" t="s">
        <v>285</v>
      </c>
      <c r="C1520" s="10" t="s">
        <v>105</v>
      </c>
      <c r="D1520" s="10" t="s">
        <v>45</v>
      </c>
      <c r="E1520" s="10" t="s">
        <v>46</v>
      </c>
      <c r="F1520" s="10" t="s">
        <v>94</v>
      </c>
      <c r="G1520" s="10" t="b">
        <f>FALSE()</f>
        <v>0</v>
      </c>
      <c r="H1520" s="10">
        <v>1</v>
      </c>
      <c r="I1520" s="10">
        <v>0</v>
      </c>
      <c r="J1520" s="10">
        <v>1</v>
      </c>
      <c r="K1520" s="10">
        <v>41</v>
      </c>
      <c r="L1520" s="10">
        <v>15</v>
      </c>
      <c r="M1520" s="10">
        <v>0</v>
      </c>
      <c r="N1520" s="10">
        <v>0</v>
      </c>
      <c r="O1520" s="10">
        <v>0</v>
      </c>
    </row>
    <row r="1521" spans="1:15" x14ac:dyDescent="0.2">
      <c r="A1521" s="10" t="s">
        <v>956</v>
      </c>
      <c r="B1521" s="10" t="s">
        <v>78</v>
      </c>
      <c r="C1521" s="10" t="s">
        <v>50</v>
      </c>
      <c r="D1521" s="10" t="s">
        <v>51</v>
      </c>
      <c r="E1521" s="10" t="s">
        <v>52</v>
      </c>
      <c r="F1521" s="10" t="s">
        <v>957</v>
      </c>
      <c r="G1521" s="10" t="b">
        <f>FALSE()</f>
        <v>0</v>
      </c>
      <c r="H1521" s="10">
        <v>1</v>
      </c>
      <c r="I1521" s="10">
        <v>0</v>
      </c>
      <c r="J1521" s="10">
        <v>1</v>
      </c>
      <c r="K1521" s="10">
        <v>9</v>
      </c>
      <c r="L1521" s="10">
        <v>15</v>
      </c>
      <c r="M1521" s="10">
        <v>0</v>
      </c>
      <c r="N1521" s="10">
        <v>0</v>
      </c>
      <c r="O1521" s="10">
        <v>0</v>
      </c>
    </row>
    <row r="1522" spans="1:15" x14ac:dyDescent="0.2">
      <c r="A1522" s="10" t="s">
        <v>519</v>
      </c>
      <c r="B1522" s="10" t="s">
        <v>258</v>
      </c>
      <c r="C1522" s="10" t="s">
        <v>90</v>
      </c>
      <c r="D1522" s="10" t="s">
        <v>51</v>
      </c>
      <c r="E1522" s="10" t="s">
        <v>52</v>
      </c>
      <c r="F1522" s="10" t="s">
        <v>153</v>
      </c>
      <c r="G1522" s="10" t="b">
        <f>FALSE()</f>
        <v>0</v>
      </c>
      <c r="H1522" s="10">
        <v>1</v>
      </c>
      <c r="I1522" s="10">
        <v>0</v>
      </c>
      <c r="J1522" s="10">
        <v>1</v>
      </c>
      <c r="K1522" s="10">
        <v>50</v>
      </c>
      <c r="L1522" s="10">
        <v>15</v>
      </c>
      <c r="M1522" s="10">
        <v>0</v>
      </c>
      <c r="N1522" s="10">
        <v>0</v>
      </c>
      <c r="O1522" s="10">
        <v>0</v>
      </c>
    </row>
    <row r="1523" spans="1:15" x14ac:dyDescent="0.2">
      <c r="A1523" s="10" t="s">
        <v>958</v>
      </c>
      <c r="B1523" s="10" t="s">
        <v>165</v>
      </c>
      <c r="C1523" s="10" t="s">
        <v>112</v>
      </c>
      <c r="D1523" s="10" t="s">
        <v>51</v>
      </c>
      <c r="E1523" s="10" t="s">
        <v>52</v>
      </c>
      <c r="F1523" s="10" t="s">
        <v>75</v>
      </c>
      <c r="G1523" s="10" t="b">
        <f>FALSE()</f>
        <v>0</v>
      </c>
      <c r="H1523" s="10">
        <v>1</v>
      </c>
      <c r="I1523" s="10">
        <v>0</v>
      </c>
      <c r="J1523" s="10">
        <v>1</v>
      </c>
      <c r="K1523" s="10">
        <v>17</v>
      </c>
      <c r="L1523" s="10">
        <v>15</v>
      </c>
      <c r="M1523" s="10">
        <v>0</v>
      </c>
      <c r="N1523" s="10">
        <v>0</v>
      </c>
      <c r="O1523" s="10">
        <v>0</v>
      </c>
    </row>
    <row r="1524" spans="1:15" x14ac:dyDescent="0.2">
      <c r="A1524" s="10" t="s">
        <v>959</v>
      </c>
      <c r="B1524" s="10" t="s">
        <v>119</v>
      </c>
      <c r="C1524" s="10" t="s">
        <v>56</v>
      </c>
      <c r="D1524" s="10" t="s">
        <v>45</v>
      </c>
      <c r="E1524" s="10" t="s">
        <v>46</v>
      </c>
      <c r="F1524" s="10" t="s">
        <v>212</v>
      </c>
      <c r="G1524" s="10" t="b">
        <f>FALSE()</f>
        <v>0</v>
      </c>
      <c r="H1524" s="10">
        <v>1</v>
      </c>
      <c r="I1524" s="10">
        <v>0</v>
      </c>
      <c r="J1524" s="10">
        <v>1</v>
      </c>
      <c r="K1524" s="10">
        <v>40</v>
      </c>
      <c r="L1524" s="10">
        <v>15</v>
      </c>
      <c r="M1524" s="10">
        <v>0</v>
      </c>
      <c r="N1524" s="10">
        <v>0</v>
      </c>
      <c r="O1524" s="10">
        <v>0</v>
      </c>
    </row>
    <row r="1525" spans="1:15" x14ac:dyDescent="0.2">
      <c r="A1525" s="10" t="s">
        <v>150</v>
      </c>
      <c r="B1525" s="10" t="s">
        <v>151</v>
      </c>
      <c r="C1525" s="10" t="s">
        <v>64</v>
      </c>
      <c r="D1525" s="10" t="s">
        <v>45</v>
      </c>
      <c r="E1525" s="10" t="s">
        <v>46</v>
      </c>
      <c r="F1525" s="10" t="s">
        <v>94</v>
      </c>
      <c r="G1525" s="10" t="b">
        <f>FALSE()</f>
        <v>0</v>
      </c>
      <c r="H1525" s="10">
        <v>1</v>
      </c>
      <c r="I1525" s="10">
        <v>1</v>
      </c>
      <c r="J1525" s="10">
        <v>1</v>
      </c>
      <c r="K1525" s="10">
        <v>17</v>
      </c>
      <c r="L1525" s="10">
        <v>14</v>
      </c>
      <c r="M1525" s="10">
        <v>1</v>
      </c>
      <c r="N1525" s="10">
        <v>444</v>
      </c>
      <c r="O1525" s="10">
        <v>444</v>
      </c>
    </row>
    <row r="1526" spans="1:15" x14ac:dyDescent="0.2">
      <c r="A1526" s="10" t="s">
        <v>383</v>
      </c>
      <c r="B1526" s="10" t="s">
        <v>384</v>
      </c>
      <c r="C1526" s="10" t="s">
        <v>50</v>
      </c>
      <c r="D1526" s="10" t="s">
        <v>51</v>
      </c>
      <c r="E1526" s="10" t="s">
        <v>52</v>
      </c>
      <c r="F1526" s="10" t="s">
        <v>251</v>
      </c>
      <c r="G1526" s="10" t="b">
        <f>FALSE()</f>
        <v>0</v>
      </c>
      <c r="H1526" s="10">
        <v>1</v>
      </c>
      <c r="I1526" s="10">
        <v>1</v>
      </c>
      <c r="J1526" s="10">
        <v>2</v>
      </c>
      <c r="K1526" s="10">
        <v>38</v>
      </c>
      <c r="L1526" s="10">
        <v>14</v>
      </c>
      <c r="M1526" s="10">
        <v>1</v>
      </c>
      <c r="N1526" s="10">
        <v>38</v>
      </c>
      <c r="O1526" s="10">
        <v>38</v>
      </c>
    </row>
    <row r="1527" spans="1:15" x14ac:dyDescent="0.2">
      <c r="A1527" s="10" t="s">
        <v>960</v>
      </c>
      <c r="B1527" s="10" t="s">
        <v>63</v>
      </c>
      <c r="C1527" s="10" t="s">
        <v>64</v>
      </c>
      <c r="D1527" s="10" t="s">
        <v>45</v>
      </c>
      <c r="E1527" s="10" t="s">
        <v>46</v>
      </c>
      <c r="F1527" s="10" t="s">
        <v>373</v>
      </c>
      <c r="G1527" s="10" t="b">
        <f>FALSE()</f>
        <v>0</v>
      </c>
      <c r="H1527" s="10">
        <v>1</v>
      </c>
      <c r="I1527" s="10">
        <v>1</v>
      </c>
      <c r="J1527" s="10">
        <v>2</v>
      </c>
      <c r="K1527" s="10">
        <v>20</v>
      </c>
      <c r="L1527" s="10">
        <v>14</v>
      </c>
      <c r="M1527" s="10">
        <v>1</v>
      </c>
      <c r="N1527" s="10">
        <v>23</v>
      </c>
      <c r="O1527" s="10">
        <v>23</v>
      </c>
    </row>
    <row r="1528" spans="1:15" x14ac:dyDescent="0.2">
      <c r="A1528" s="10" t="s">
        <v>961</v>
      </c>
      <c r="B1528" s="10" t="s">
        <v>70</v>
      </c>
      <c r="C1528" s="10" t="s">
        <v>70</v>
      </c>
      <c r="D1528" s="10" t="s">
        <v>45</v>
      </c>
      <c r="E1528" s="10" t="s">
        <v>46</v>
      </c>
      <c r="F1528" s="10" t="s">
        <v>94</v>
      </c>
      <c r="G1528" s="10" t="b">
        <f>FALSE()</f>
        <v>0</v>
      </c>
      <c r="H1528" s="10">
        <v>1</v>
      </c>
      <c r="I1528" s="10">
        <v>1</v>
      </c>
      <c r="J1528" s="10">
        <v>1</v>
      </c>
      <c r="K1528" s="10">
        <v>15</v>
      </c>
      <c r="L1528" s="10">
        <v>14</v>
      </c>
      <c r="M1528" s="10">
        <v>1</v>
      </c>
      <c r="N1528" s="10">
        <v>14</v>
      </c>
      <c r="O1528" s="10">
        <v>14</v>
      </c>
    </row>
    <row r="1529" spans="1:15" x14ac:dyDescent="0.2">
      <c r="A1529" s="10" t="s">
        <v>560</v>
      </c>
      <c r="B1529" s="10" t="s">
        <v>96</v>
      </c>
      <c r="C1529" s="10" t="s">
        <v>50</v>
      </c>
      <c r="D1529" s="10" t="s">
        <v>51</v>
      </c>
      <c r="E1529" s="10" t="s">
        <v>52</v>
      </c>
      <c r="F1529" s="10" t="s">
        <v>92</v>
      </c>
      <c r="G1529" s="10" t="b">
        <f>FALSE()</f>
        <v>0</v>
      </c>
      <c r="H1529" s="10">
        <v>1</v>
      </c>
      <c r="I1529" s="10">
        <v>0</v>
      </c>
      <c r="J1529" s="10">
        <v>1</v>
      </c>
      <c r="K1529" s="10">
        <v>18</v>
      </c>
      <c r="L1529" s="10">
        <v>14</v>
      </c>
      <c r="M1529" s="10">
        <v>0</v>
      </c>
      <c r="N1529" s="10">
        <v>0</v>
      </c>
      <c r="O1529" s="10">
        <v>0</v>
      </c>
    </row>
    <row r="1530" spans="1:15" x14ac:dyDescent="0.2">
      <c r="A1530" s="10" t="s">
        <v>82</v>
      </c>
      <c r="B1530" s="10" t="s">
        <v>70</v>
      </c>
      <c r="C1530" s="10" t="s">
        <v>70</v>
      </c>
      <c r="D1530" s="10" t="s">
        <v>45</v>
      </c>
      <c r="E1530" s="10" t="s">
        <v>46</v>
      </c>
      <c r="F1530" s="10" t="s">
        <v>212</v>
      </c>
      <c r="G1530" s="10" t="b">
        <f>FALSE()</f>
        <v>0</v>
      </c>
      <c r="H1530" s="10">
        <v>1</v>
      </c>
      <c r="I1530" s="10">
        <v>0</v>
      </c>
      <c r="J1530" s="10">
        <v>1</v>
      </c>
      <c r="K1530" s="10">
        <v>14</v>
      </c>
      <c r="L1530" s="10">
        <v>14</v>
      </c>
      <c r="M1530" s="10">
        <v>0</v>
      </c>
      <c r="N1530" s="10">
        <v>0</v>
      </c>
      <c r="O1530" s="10">
        <v>0</v>
      </c>
    </row>
    <row r="1531" spans="1:15" x14ac:dyDescent="0.2">
      <c r="A1531" s="10" t="s">
        <v>108</v>
      </c>
      <c r="B1531" s="10" t="s">
        <v>109</v>
      </c>
      <c r="C1531" s="10" t="s">
        <v>90</v>
      </c>
      <c r="D1531" s="10" t="s">
        <v>51</v>
      </c>
      <c r="E1531" s="10" t="s">
        <v>52</v>
      </c>
      <c r="F1531" s="10" t="s">
        <v>212</v>
      </c>
      <c r="G1531" s="10" t="b">
        <f>FALSE()</f>
        <v>0</v>
      </c>
      <c r="H1531" s="10">
        <v>1</v>
      </c>
      <c r="I1531" s="10">
        <v>0</v>
      </c>
      <c r="J1531" s="10">
        <v>0</v>
      </c>
      <c r="K1531" s="10">
        <v>0</v>
      </c>
      <c r="L1531" s="10">
        <v>14</v>
      </c>
      <c r="M1531" s="10">
        <v>0</v>
      </c>
      <c r="N1531" s="10">
        <v>0</v>
      </c>
      <c r="O1531" s="10">
        <v>0</v>
      </c>
    </row>
    <row r="1532" spans="1:15" x14ac:dyDescent="0.2">
      <c r="A1532" s="10" t="s">
        <v>564</v>
      </c>
      <c r="B1532" s="10" t="s">
        <v>562</v>
      </c>
      <c r="C1532" s="10" t="s">
        <v>245</v>
      </c>
      <c r="D1532" s="10" t="s">
        <v>51</v>
      </c>
      <c r="E1532" s="10" t="s">
        <v>52</v>
      </c>
      <c r="F1532" s="10" t="s">
        <v>212</v>
      </c>
      <c r="G1532" s="10" t="b">
        <f>FALSE()</f>
        <v>0</v>
      </c>
      <c r="H1532" s="10">
        <v>1</v>
      </c>
      <c r="I1532" s="10">
        <v>0</v>
      </c>
      <c r="J1532" s="10">
        <v>2</v>
      </c>
      <c r="K1532" s="10">
        <v>36</v>
      </c>
      <c r="L1532" s="10">
        <v>14</v>
      </c>
      <c r="M1532" s="10">
        <v>0</v>
      </c>
      <c r="N1532" s="10">
        <v>0</v>
      </c>
      <c r="O1532" s="10">
        <v>0</v>
      </c>
    </row>
    <row r="1533" spans="1:15" x14ac:dyDescent="0.2">
      <c r="A1533" s="10" t="s">
        <v>962</v>
      </c>
      <c r="B1533" s="10" t="s">
        <v>477</v>
      </c>
      <c r="C1533" s="10" t="s">
        <v>50</v>
      </c>
      <c r="D1533" s="10" t="s">
        <v>51</v>
      </c>
      <c r="E1533" s="10" t="s">
        <v>52</v>
      </c>
      <c r="F1533" s="10" t="s">
        <v>94</v>
      </c>
      <c r="G1533" s="10" t="b">
        <f>FALSE()</f>
        <v>0</v>
      </c>
      <c r="H1533" s="10">
        <v>1</v>
      </c>
      <c r="I1533" s="10">
        <v>0</v>
      </c>
      <c r="J1533" s="10">
        <v>0</v>
      </c>
      <c r="K1533" s="10">
        <v>0</v>
      </c>
      <c r="L1533" s="10">
        <v>14</v>
      </c>
      <c r="M1533" s="10">
        <v>0</v>
      </c>
      <c r="N1533" s="10">
        <v>0</v>
      </c>
      <c r="O1533" s="10">
        <v>0</v>
      </c>
    </row>
    <row r="1534" spans="1:15" x14ac:dyDescent="0.2">
      <c r="A1534" s="10" t="s">
        <v>615</v>
      </c>
      <c r="B1534" s="10" t="s">
        <v>456</v>
      </c>
      <c r="C1534" s="10" t="s">
        <v>245</v>
      </c>
      <c r="D1534" s="10" t="s">
        <v>51</v>
      </c>
      <c r="E1534" s="10" t="s">
        <v>52</v>
      </c>
      <c r="F1534" s="10" t="s">
        <v>331</v>
      </c>
      <c r="G1534" s="10" t="b">
        <f>FALSE()</f>
        <v>0</v>
      </c>
      <c r="H1534" s="10">
        <v>1</v>
      </c>
      <c r="I1534" s="10">
        <v>0</v>
      </c>
      <c r="J1534" s="10">
        <v>0</v>
      </c>
      <c r="K1534" s="10">
        <v>0</v>
      </c>
      <c r="L1534" s="10">
        <v>14</v>
      </c>
      <c r="M1534" s="10">
        <v>0</v>
      </c>
      <c r="N1534" s="10">
        <v>0</v>
      </c>
      <c r="O1534" s="10">
        <v>0</v>
      </c>
    </row>
    <row r="1535" spans="1:15" x14ac:dyDescent="0.2">
      <c r="A1535" s="10" t="s">
        <v>575</v>
      </c>
      <c r="B1535" s="10" t="s">
        <v>55</v>
      </c>
      <c r="C1535" s="10" t="s">
        <v>56</v>
      </c>
      <c r="D1535" s="10" t="s">
        <v>45</v>
      </c>
      <c r="E1535" s="10" t="s">
        <v>46</v>
      </c>
      <c r="F1535" s="10" t="s">
        <v>601</v>
      </c>
      <c r="G1535" s="10" t="b">
        <f>FALSE()</f>
        <v>0</v>
      </c>
      <c r="H1535" s="10">
        <v>1</v>
      </c>
      <c r="I1535" s="10">
        <v>0</v>
      </c>
      <c r="J1535" s="10">
        <v>0</v>
      </c>
      <c r="K1535" s="10">
        <v>0</v>
      </c>
      <c r="L1535" s="10">
        <v>14</v>
      </c>
      <c r="M1535" s="10">
        <v>0</v>
      </c>
      <c r="N1535" s="10">
        <v>0</v>
      </c>
      <c r="O1535" s="10">
        <v>0</v>
      </c>
    </row>
    <row r="1536" spans="1:15" x14ac:dyDescent="0.2">
      <c r="A1536" s="10" t="s">
        <v>584</v>
      </c>
      <c r="B1536" s="10" t="s">
        <v>247</v>
      </c>
      <c r="C1536" s="10" t="s">
        <v>245</v>
      </c>
      <c r="D1536" s="10" t="s">
        <v>51</v>
      </c>
      <c r="E1536" s="10" t="s">
        <v>52</v>
      </c>
      <c r="F1536" s="10" t="s">
        <v>207</v>
      </c>
      <c r="G1536" s="10" t="b">
        <f>FALSE()</f>
        <v>0</v>
      </c>
      <c r="H1536" s="10">
        <v>1</v>
      </c>
      <c r="I1536" s="10">
        <v>0</v>
      </c>
      <c r="J1536" s="10">
        <v>1</v>
      </c>
      <c r="K1536" s="10">
        <v>14</v>
      </c>
      <c r="L1536" s="10">
        <v>14</v>
      </c>
      <c r="M1536" s="10">
        <v>0</v>
      </c>
      <c r="N1536" s="10">
        <v>0</v>
      </c>
      <c r="O1536" s="10">
        <v>0</v>
      </c>
    </row>
    <row r="1537" spans="1:15" x14ac:dyDescent="0.2">
      <c r="A1537" s="10" t="s">
        <v>963</v>
      </c>
      <c r="B1537" s="10" t="s">
        <v>70</v>
      </c>
      <c r="C1537" s="10" t="s">
        <v>70</v>
      </c>
      <c r="D1537" s="10" t="s">
        <v>45</v>
      </c>
      <c r="E1537" s="10" t="s">
        <v>46</v>
      </c>
      <c r="F1537" s="10" t="s">
        <v>79</v>
      </c>
      <c r="G1537" s="10" t="b">
        <f>FALSE()</f>
        <v>0</v>
      </c>
      <c r="H1537" s="10">
        <v>1</v>
      </c>
      <c r="I1537" s="10">
        <v>0</v>
      </c>
      <c r="J1537" s="10">
        <v>1</v>
      </c>
      <c r="K1537" s="10">
        <v>16</v>
      </c>
      <c r="L1537" s="10">
        <v>14</v>
      </c>
      <c r="M1537" s="10">
        <v>0</v>
      </c>
      <c r="N1537" s="10">
        <v>0</v>
      </c>
      <c r="O1537" s="10">
        <v>0</v>
      </c>
    </row>
    <row r="1538" spans="1:15" x14ac:dyDescent="0.2">
      <c r="A1538" s="10" t="s">
        <v>803</v>
      </c>
      <c r="B1538" s="10" t="s">
        <v>756</v>
      </c>
      <c r="C1538" s="10" t="s">
        <v>245</v>
      </c>
      <c r="D1538" s="10" t="s">
        <v>51</v>
      </c>
      <c r="E1538" s="10" t="s">
        <v>52</v>
      </c>
      <c r="F1538" s="10" t="s">
        <v>79</v>
      </c>
      <c r="G1538" s="10" t="b">
        <f>FALSE()</f>
        <v>0</v>
      </c>
      <c r="H1538" s="10">
        <v>1</v>
      </c>
      <c r="I1538" s="10">
        <v>1</v>
      </c>
      <c r="J1538" s="10">
        <v>1</v>
      </c>
      <c r="K1538" s="10">
        <v>13</v>
      </c>
      <c r="L1538" s="10">
        <v>13</v>
      </c>
      <c r="M1538" s="10">
        <v>1</v>
      </c>
      <c r="N1538" s="10">
        <v>37</v>
      </c>
      <c r="O1538" s="10">
        <v>26</v>
      </c>
    </row>
    <row r="1539" spans="1:15" x14ac:dyDescent="0.2">
      <c r="A1539" s="10" t="s">
        <v>383</v>
      </c>
      <c r="B1539" s="10" t="s">
        <v>384</v>
      </c>
      <c r="C1539" s="10" t="s">
        <v>50</v>
      </c>
      <c r="D1539" s="10" t="s">
        <v>51</v>
      </c>
      <c r="E1539" s="10" t="s">
        <v>52</v>
      </c>
      <c r="F1539" s="10" t="s">
        <v>186</v>
      </c>
      <c r="G1539" s="10" t="b">
        <f>TRUE()</f>
        <v>1</v>
      </c>
      <c r="H1539" s="10">
        <v>1</v>
      </c>
      <c r="I1539" s="10">
        <v>1</v>
      </c>
      <c r="J1539" s="10">
        <v>1</v>
      </c>
      <c r="K1539" s="10">
        <v>13</v>
      </c>
      <c r="L1539" s="10">
        <v>13</v>
      </c>
      <c r="M1539" s="10">
        <v>1</v>
      </c>
      <c r="N1539" s="10">
        <v>15</v>
      </c>
      <c r="O1539" s="10">
        <v>15</v>
      </c>
    </row>
    <row r="1540" spans="1:15" x14ac:dyDescent="0.2">
      <c r="A1540" s="10" t="s">
        <v>372</v>
      </c>
      <c r="B1540" s="10" t="s">
        <v>130</v>
      </c>
      <c r="C1540" s="10" t="s">
        <v>56</v>
      </c>
      <c r="D1540" s="10" t="s">
        <v>45</v>
      </c>
      <c r="E1540" s="10" t="s">
        <v>46</v>
      </c>
      <c r="F1540" s="10" t="s">
        <v>183</v>
      </c>
      <c r="G1540" s="10" t="b">
        <f>FALSE()</f>
        <v>0</v>
      </c>
      <c r="H1540" s="10">
        <v>1</v>
      </c>
      <c r="I1540" s="10">
        <v>0</v>
      </c>
      <c r="J1540" s="10">
        <v>2</v>
      </c>
      <c r="K1540" s="10">
        <v>71</v>
      </c>
      <c r="L1540" s="10">
        <v>13</v>
      </c>
      <c r="M1540" s="10">
        <v>0</v>
      </c>
      <c r="N1540" s="10">
        <v>0</v>
      </c>
      <c r="O1540" s="10">
        <v>0</v>
      </c>
    </row>
    <row r="1541" spans="1:15" x14ac:dyDescent="0.2">
      <c r="A1541" s="10" t="s">
        <v>629</v>
      </c>
      <c r="B1541" s="10" t="s">
        <v>96</v>
      </c>
      <c r="C1541" s="10" t="s">
        <v>50</v>
      </c>
      <c r="D1541" s="10" t="s">
        <v>51</v>
      </c>
      <c r="E1541" s="10" t="s">
        <v>52</v>
      </c>
      <c r="F1541" s="10" t="s">
        <v>183</v>
      </c>
      <c r="G1541" s="10" t="b">
        <f>FALSE()</f>
        <v>0</v>
      </c>
      <c r="H1541" s="10">
        <v>1</v>
      </c>
      <c r="I1541" s="10">
        <v>0</v>
      </c>
      <c r="J1541" s="10">
        <v>1</v>
      </c>
      <c r="K1541" s="10">
        <v>13</v>
      </c>
      <c r="L1541" s="10">
        <v>13</v>
      </c>
      <c r="M1541" s="10">
        <v>0</v>
      </c>
      <c r="N1541" s="10">
        <v>0</v>
      </c>
      <c r="O1541" s="10">
        <v>0</v>
      </c>
    </row>
    <row r="1542" spans="1:15" x14ac:dyDescent="0.2">
      <c r="A1542" s="10" t="s">
        <v>964</v>
      </c>
      <c r="B1542" s="10" t="s">
        <v>439</v>
      </c>
      <c r="C1542" s="10" t="s">
        <v>112</v>
      </c>
      <c r="D1542" s="10" t="s">
        <v>51</v>
      </c>
      <c r="E1542" s="10" t="s">
        <v>52</v>
      </c>
      <c r="F1542" s="10" t="s">
        <v>94</v>
      </c>
      <c r="G1542" s="10" t="b">
        <f>FALSE()</f>
        <v>0</v>
      </c>
      <c r="H1542" s="10">
        <v>1</v>
      </c>
      <c r="I1542" s="10">
        <v>0</v>
      </c>
      <c r="J1542" s="10">
        <v>2</v>
      </c>
      <c r="K1542" s="10">
        <v>27</v>
      </c>
      <c r="L1542" s="10">
        <v>13</v>
      </c>
      <c r="M1542" s="10">
        <v>0</v>
      </c>
      <c r="N1542" s="10">
        <v>0</v>
      </c>
      <c r="O1542" s="10">
        <v>0</v>
      </c>
    </row>
    <row r="1543" spans="1:15" x14ac:dyDescent="0.2">
      <c r="A1543" s="10" t="s">
        <v>955</v>
      </c>
      <c r="B1543" s="10" t="s">
        <v>285</v>
      </c>
      <c r="C1543" s="10" t="s">
        <v>105</v>
      </c>
      <c r="D1543" s="10" t="s">
        <v>45</v>
      </c>
      <c r="E1543" s="10" t="s">
        <v>46</v>
      </c>
      <c r="F1543" s="10" t="s">
        <v>660</v>
      </c>
      <c r="G1543" s="10" t="b">
        <f>FALSE()</f>
        <v>0</v>
      </c>
      <c r="H1543" s="10">
        <v>1</v>
      </c>
      <c r="I1543" s="10">
        <v>0</v>
      </c>
      <c r="J1543" s="10">
        <v>1</v>
      </c>
      <c r="K1543" s="10">
        <v>21</v>
      </c>
      <c r="L1543" s="10">
        <v>13</v>
      </c>
      <c r="M1543" s="10">
        <v>0</v>
      </c>
      <c r="N1543" s="10">
        <v>0</v>
      </c>
      <c r="O1543" s="10">
        <v>0</v>
      </c>
    </row>
    <row r="1544" spans="1:15" x14ac:dyDescent="0.2">
      <c r="A1544" s="10" t="s">
        <v>965</v>
      </c>
      <c r="B1544" s="10" t="s">
        <v>480</v>
      </c>
      <c r="C1544" s="10" t="s">
        <v>245</v>
      </c>
      <c r="D1544" s="10" t="s">
        <v>51</v>
      </c>
      <c r="E1544" s="10" t="s">
        <v>52</v>
      </c>
      <c r="F1544" s="10" t="s">
        <v>180</v>
      </c>
      <c r="G1544" s="10" t="b">
        <f>FALSE()</f>
        <v>0</v>
      </c>
      <c r="H1544" s="10">
        <v>1</v>
      </c>
      <c r="I1544" s="10">
        <v>0</v>
      </c>
      <c r="J1544" s="10">
        <v>1</v>
      </c>
      <c r="K1544" s="10">
        <v>13</v>
      </c>
      <c r="L1544" s="10">
        <v>13</v>
      </c>
      <c r="M1544" s="10">
        <v>0</v>
      </c>
      <c r="N1544" s="10">
        <v>0</v>
      </c>
      <c r="O1544" s="10">
        <v>0</v>
      </c>
    </row>
    <row r="1545" spans="1:15" x14ac:dyDescent="0.2">
      <c r="A1545" s="10" t="s">
        <v>664</v>
      </c>
      <c r="B1545" s="10" t="s">
        <v>136</v>
      </c>
      <c r="C1545" s="10" t="s">
        <v>73</v>
      </c>
      <c r="D1545" s="10" t="s">
        <v>45</v>
      </c>
      <c r="E1545" s="10" t="s">
        <v>46</v>
      </c>
      <c r="F1545" s="10" t="s">
        <v>190</v>
      </c>
      <c r="G1545" s="10" t="b">
        <f>TRUE()</f>
        <v>1</v>
      </c>
      <c r="H1545" s="10">
        <v>1</v>
      </c>
      <c r="I1545" s="10">
        <v>1</v>
      </c>
      <c r="J1545" s="10">
        <v>1</v>
      </c>
      <c r="K1545" s="10">
        <v>27</v>
      </c>
      <c r="L1545" s="10">
        <v>12</v>
      </c>
      <c r="M1545" s="10">
        <v>1</v>
      </c>
      <c r="N1545" s="10">
        <v>12</v>
      </c>
      <c r="O1545" s="10">
        <v>12</v>
      </c>
    </row>
    <row r="1546" spans="1:15" x14ac:dyDescent="0.2">
      <c r="A1546" s="10" t="s">
        <v>938</v>
      </c>
      <c r="B1546" s="10" t="s">
        <v>265</v>
      </c>
      <c r="C1546" s="10" t="s">
        <v>245</v>
      </c>
      <c r="D1546" s="10" t="s">
        <v>51</v>
      </c>
      <c r="E1546" s="10" t="s">
        <v>52</v>
      </c>
      <c r="F1546" s="10" t="s">
        <v>61</v>
      </c>
      <c r="G1546" s="10" t="b">
        <f>FALSE()</f>
        <v>0</v>
      </c>
      <c r="H1546" s="10">
        <v>1</v>
      </c>
      <c r="I1546" s="10">
        <v>0</v>
      </c>
      <c r="J1546" s="10">
        <v>1</v>
      </c>
      <c r="K1546" s="10">
        <v>12</v>
      </c>
      <c r="L1546" s="10">
        <v>12</v>
      </c>
      <c r="M1546" s="10">
        <v>0</v>
      </c>
      <c r="N1546" s="10">
        <v>0</v>
      </c>
      <c r="O1546" s="10">
        <v>0</v>
      </c>
    </row>
    <row r="1547" spans="1:15" x14ac:dyDescent="0.2">
      <c r="A1547" s="10" t="s">
        <v>455</v>
      </c>
      <c r="B1547" s="10" t="s">
        <v>456</v>
      </c>
      <c r="C1547" s="10" t="s">
        <v>245</v>
      </c>
      <c r="D1547" s="10" t="s">
        <v>51</v>
      </c>
      <c r="E1547" s="10" t="s">
        <v>52</v>
      </c>
      <c r="F1547" s="10" t="s">
        <v>251</v>
      </c>
      <c r="G1547" s="10" t="b">
        <f>FALSE()</f>
        <v>0</v>
      </c>
      <c r="H1547" s="10">
        <v>1</v>
      </c>
      <c r="I1547" s="10">
        <v>0</v>
      </c>
      <c r="J1547" s="10">
        <v>1</v>
      </c>
      <c r="K1547" s="10">
        <v>14</v>
      </c>
      <c r="L1547" s="10">
        <v>12</v>
      </c>
      <c r="M1547" s="10">
        <v>0</v>
      </c>
      <c r="N1547" s="10">
        <v>0</v>
      </c>
      <c r="O1547" s="10">
        <v>0</v>
      </c>
    </row>
    <row r="1548" spans="1:15" x14ac:dyDescent="0.2">
      <c r="A1548" s="10" t="s">
        <v>596</v>
      </c>
      <c r="B1548" s="10" t="s">
        <v>262</v>
      </c>
      <c r="C1548" s="10" t="s">
        <v>105</v>
      </c>
      <c r="D1548" s="10" t="s">
        <v>45</v>
      </c>
      <c r="E1548" s="10" t="s">
        <v>46</v>
      </c>
      <c r="F1548" s="10" t="s">
        <v>363</v>
      </c>
      <c r="G1548" s="10" t="b">
        <f>FALSE()</f>
        <v>0</v>
      </c>
      <c r="H1548" s="10">
        <v>1</v>
      </c>
      <c r="I1548" s="10">
        <v>0</v>
      </c>
      <c r="J1548" s="10">
        <v>0</v>
      </c>
      <c r="K1548" s="10">
        <v>0</v>
      </c>
      <c r="L1548" s="10">
        <v>12</v>
      </c>
      <c r="M1548" s="10">
        <v>0</v>
      </c>
      <c r="N1548" s="10">
        <v>0</v>
      </c>
      <c r="O1548" s="10">
        <v>0</v>
      </c>
    </row>
    <row r="1549" spans="1:15" x14ac:dyDescent="0.2">
      <c r="A1549" s="10" t="s">
        <v>870</v>
      </c>
      <c r="B1549" s="10" t="s">
        <v>70</v>
      </c>
      <c r="C1549" s="10" t="s">
        <v>70</v>
      </c>
      <c r="D1549" s="10" t="s">
        <v>45</v>
      </c>
      <c r="E1549" s="10" t="s">
        <v>46</v>
      </c>
      <c r="F1549" s="10" t="s">
        <v>61</v>
      </c>
      <c r="G1549" s="10" t="b">
        <f>FALSE()</f>
        <v>0</v>
      </c>
      <c r="H1549" s="10">
        <v>1</v>
      </c>
      <c r="I1549" s="10">
        <v>0</v>
      </c>
      <c r="J1549" s="10">
        <v>1</v>
      </c>
      <c r="K1549" s="10">
        <v>33</v>
      </c>
      <c r="L1549" s="10">
        <v>12</v>
      </c>
      <c r="M1549" s="10">
        <v>0</v>
      </c>
      <c r="N1549" s="10">
        <v>0</v>
      </c>
      <c r="O1549" s="10">
        <v>0</v>
      </c>
    </row>
    <row r="1550" spans="1:15" x14ac:dyDescent="0.2">
      <c r="A1550" s="10" t="s">
        <v>966</v>
      </c>
      <c r="B1550" s="10" t="s">
        <v>122</v>
      </c>
      <c r="C1550" s="10" t="s">
        <v>112</v>
      </c>
      <c r="D1550" s="10" t="s">
        <v>51</v>
      </c>
      <c r="E1550" s="10" t="s">
        <v>52</v>
      </c>
      <c r="F1550" s="10" t="s">
        <v>123</v>
      </c>
      <c r="G1550" s="10" t="b">
        <f>FALSE()</f>
        <v>0</v>
      </c>
      <c r="H1550" s="10">
        <v>1</v>
      </c>
      <c r="I1550" s="10">
        <v>0</v>
      </c>
      <c r="J1550" s="10">
        <v>1</v>
      </c>
      <c r="K1550" s="10">
        <v>16</v>
      </c>
      <c r="L1550" s="10">
        <v>12</v>
      </c>
      <c r="M1550" s="10">
        <v>0</v>
      </c>
      <c r="N1550" s="10">
        <v>0</v>
      </c>
      <c r="O1550" s="10">
        <v>0</v>
      </c>
    </row>
    <row r="1551" spans="1:15" x14ac:dyDescent="0.2">
      <c r="A1551" s="10" t="s">
        <v>705</v>
      </c>
      <c r="B1551" s="10" t="s">
        <v>119</v>
      </c>
      <c r="C1551" s="10" t="s">
        <v>56</v>
      </c>
      <c r="D1551" s="10" t="s">
        <v>45</v>
      </c>
      <c r="E1551" s="10" t="s">
        <v>46</v>
      </c>
      <c r="F1551" s="10" t="s">
        <v>967</v>
      </c>
      <c r="G1551" s="10" t="b">
        <f>FALSE()</f>
        <v>0</v>
      </c>
      <c r="H1551" s="10">
        <v>1</v>
      </c>
      <c r="I1551" s="10">
        <v>0</v>
      </c>
      <c r="J1551" s="10">
        <v>1</v>
      </c>
      <c r="K1551" s="10">
        <v>12</v>
      </c>
      <c r="L1551" s="10">
        <v>12</v>
      </c>
      <c r="M1551" s="10">
        <v>0</v>
      </c>
      <c r="N1551" s="10">
        <v>0</v>
      </c>
      <c r="O1551" s="10">
        <v>0</v>
      </c>
    </row>
    <row r="1552" spans="1:15" x14ac:dyDescent="0.2">
      <c r="A1552" s="10" t="s">
        <v>968</v>
      </c>
      <c r="B1552" s="10" t="s">
        <v>122</v>
      </c>
      <c r="C1552" s="10" t="s">
        <v>112</v>
      </c>
      <c r="D1552" s="10" t="s">
        <v>51</v>
      </c>
      <c r="E1552" s="10" t="s">
        <v>52</v>
      </c>
      <c r="F1552" s="10" t="s">
        <v>85</v>
      </c>
      <c r="G1552" s="10" t="b">
        <f>FALSE()</f>
        <v>0</v>
      </c>
      <c r="H1552" s="10">
        <v>1</v>
      </c>
      <c r="I1552" s="10">
        <v>0</v>
      </c>
      <c r="J1552" s="10">
        <v>2</v>
      </c>
      <c r="K1552" s="10">
        <v>22</v>
      </c>
      <c r="L1552" s="10">
        <v>12</v>
      </c>
      <c r="M1552" s="10">
        <v>0</v>
      </c>
      <c r="N1552" s="10">
        <v>0</v>
      </c>
      <c r="O1552" s="10">
        <v>0</v>
      </c>
    </row>
    <row r="1553" spans="1:15" x14ac:dyDescent="0.2">
      <c r="A1553" s="10" t="s">
        <v>828</v>
      </c>
      <c r="B1553" s="10" t="s">
        <v>99</v>
      </c>
      <c r="C1553" s="10" t="s">
        <v>50</v>
      </c>
      <c r="D1553" s="10" t="s">
        <v>51</v>
      </c>
      <c r="E1553" s="10" t="s">
        <v>52</v>
      </c>
      <c r="F1553" s="10" t="s">
        <v>94</v>
      </c>
      <c r="G1553" s="10" t="b">
        <f>FALSE()</f>
        <v>0</v>
      </c>
      <c r="H1553" s="10">
        <v>1</v>
      </c>
      <c r="I1553" s="10">
        <v>1</v>
      </c>
      <c r="J1553" s="10">
        <v>1</v>
      </c>
      <c r="K1553" s="10">
        <v>50</v>
      </c>
      <c r="L1553" s="10">
        <v>11</v>
      </c>
      <c r="M1553" s="10">
        <v>1</v>
      </c>
      <c r="N1553" s="10">
        <v>402</v>
      </c>
      <c r="O1553" s="10">
        <v>402</v>
      </c>
    </row>
    <row r="1554" spans="1:15" x14ac:dyDescent="0.2">
      <c r="A1554" s="10" t="s">
        <v>969</v>
      </c>
      <c r="B1554" s="10" t="s">
        <v>456</v>
      </c>
      <c r="C1554" s="10" t="s">
        <v>245</v>
      </c>
      <c r="D1554" s="10" t="s">
        <v>51</v>
      </c>
      <c r="E1554" s="10" t="s">
        <v>52</v>
      </c>
      <c r="F1554" s="10" t="s">
        <v>223</v>
      </c>
      <c r="G1554" s="10" t="b">
        <f>FALSE()</f>
        <v>0</v>
      </c>
      <c r="H1554" s="10">
        <v>1</v>
      </c>
      <c r="I1554" s="10">
        <v>1</v>
      </c>
      <c r="J1554" s="10">
        <v>1</v>
      </c>
      <c r="K1554" s="10">
        <v>11</v>
      </c>
      <c r="L1554" s="10">
        <v>11</v>
      </c>
      <c r="M1554" s="10">
        <v>1</v>
      </c>
      <c r="N1554" s="10">
        <v>56</v>
      </c>
      <c r="O1554" s="10">
        <v>56</v>
      </c>
    </row>
    <row r="1555" spans="1:15" x14ac:dyDescent="0.2">
      <c r="A1555" s="10" t="s">
        <v>664</v>
      </c>
      <c r="B1555" s="10" t="s">
        <v>136</v>
      </c>
      <c r="C1555" s="10" t="s">
        <v>73</v>
      </c>
      <c r="D1555" s="10" t="s">
        <v>45</v>
      </c>
      <c r="E1555" s="10" t="s">
        <v>46</v>
      </c>
      <c r="F1555" s="10" t="s">
        <v>223</v>
      </c>
      <c r="G1555" s="10" t="b">
        <f>FALSE()</f>
        <v>0</v>
      </c>
      <c r="H1555" s="10">
        <v>1</v>
      </c>
      <c r="I1555" s="10">
        <v>0</v>
      </c>
      <c r="J1555" s="10">
        <v>1</v>
      </c>
      <c r="K1555" s="10">
        <v>27</v>
      </c>
      <c r="L1555" s="10">
        <v>11</v>
      </c>
      <c r="M1555" s="10">
        <v>0</v>
      </c>
      <c r="N1555" s="10">
        <v>0</v>
      </c>
      <c r="O1555" s="10">
        <v>0</v>
      </c>
    </row>
    <row r="1556" spans="1:15" x14ac:dyDescent="0.2">
      <c r="A1556" s="10" t="s">
        <v>790</v>
      </c>
      <c r="B1556" s="10" t="s">
        <v>405</v>
      </c>
      <c r="C1556" s="10" t="s">
        <v>112</v>
      </c>
      <c r="D1556" s="10" t="s">
        <v>51</v>
      </c>
      <c r="E1556" s="10" t="s">
        <v>52</v>
      </c>
      <c r="F1556" s="10" t="s">
        <v>970</v>
      </c>
      <c r="G1556" s="10" t="b">
        <f>FALSE()</f>
        <v>0</v>
      </c>
      <c r="H1556" s="10">
        <v>1</v>
      </c>
      <c r="I1556" s="10">
        <v>0</v>
      </c>
      <c r="J1556" s="10">
        <v>0</v>
      </c>
      <c r="K1556" s="10">
        <v>0</v>
      </c>
      <c r="L1556" s="10">
        <v>11</v>
      </c>
      <c r="M1556" s="10">
        <v>0</v>
      </c>
      <c r="N1556" s="10">
        <v>0</v>
      </c>
      <c r="O1556" s="10">
        <v>0</v>
      </c>
    </row>
    <row r="1557" spans="1:15" x14ac:dyDescent="0.2">
      <c r="A1557" s="10" t="s">
        <v>780</v>
      </c>
      <c r="B1557" s="10" t="s">
        <v>128</v>
      </c>
      <c r="C1557" s="10" t="s">
        <v>50</v>
      </c>
      <c r="D1557" s="10" t="s">
        <v>51</v>
      </c>
      <c r="E1557" s="10" t="s">
        <v>52</v>
      </c>
      <c r="F1557" s="10" t="s">
        <v>61</v>
      </c>
      <c r="G1557" s="10" t="b">
        <f>FALSE()</f>
        <v>0</v>
      </c>
      <c r="H1557" s="10">
        <v>1</v>
      </c>
      <c r="I1557" s="10">
        <v>0</v>
      </c>
      <c r="J1557" s="10">
        <v>1</v>
      </c>
      <c r="K1557" s="10">
        <v>17</v>
      </c>
      <c r="L1557" s="10">
        <v>11</v>
      </c>
      <c r="M1557" s="10">
        <v>0</v>
      </c>
      <c r="N1557" s="10">
        <v>0</v>
      </c>
      <c r="O1557" s="10">
        <v>0</v>
      </c>
    </row>
    <row r="1558" spans="1:15" x14ac:dyDescent="0.2">
      <c r="A1558" s="10" t="s">
        <v>372</v>
      </c>
      <c r="B1558" s="10" t="s">
        <v>130</v>
      </c>
      <c r="C1558" s="10" t="s">
        <v>56</v>
      </c>
      <c r="D1558" s="10" t="s">
        <v>45</v>
      </c>
      <c r="E1558" s="10" t="s">
        <v>46</v>
      </c>
      <c r="F1558" s="10" t="s">
        <v>153</v>
      </c>
      <c r="G1558" s="10" t="b">
        <f>FALSE()</f>
        <v>0</v>
      </c>
      <c r="H1558" s="10">
        <v>1</v>
      </c>
      <c r="I1558" s="10">
        <v>0</v>
      </c>
      <c r="J1558" s="10">
        <v>0</v>
      </c>
      <c r="K1558" s="10">
        <v>0</v>
      </c>
      <c r="L1558" s="10">
        <v>11</v>
      </c>
      <c r="M1558" s="10">
        <v>0</v>
      </c>
      <c r="N1558" s="10">
        <v>0</v>
      </c>
      <c r="O1558" s="10">
        <v>0</v>
      </c>
    </row>
    <row r="1559" spans="1:15" x14ac:dyDescent="0.2">
      <c r="A1559" s="10" t="s">
        <v>971</v>
      </c>
      <c r="B1559" s="10" t="s">
        <v>456</v>
      </c>
      <c r="C1559" s="10" t="s">
        <v>245</v>
      </c>
      <c r="D1559" s="10" t="s">
        <v>51</v>
      </c>
      <c r="E1559" s="10" t="s">
        <v>52</v>
      </c>
      <c r="F1559" s="10" t="s">
        <v>190</v>
      </c>
      <c r="G1559" s="10" t="b">
        <f>TRUE()</f>
        <v>1</v>
      </c>
      <c r="H1559" s="10">
        <v>1</v>
      </c>
      <c r="I1559" s="10">
        <v>0</v>
      </c>
      <c r="J1559" s="10">
        <v>2</v>
      </c>
      <c r="K1559" s="10">
        <v>36</v>
      </c>
      <c r="L1559" s="10">
        <v>11</v>
      </c>
      <c r="M1559" s="10">
        <v>0</v>
      </c>
      <c r="N1559" s="10">
        <v>0</v>
      </c>
      <c r="O1559" s="10">
        <v>0</v>
      </c>
    </row>
    <row r="1560" spans="1:15" x14ac:dyDescent="0.2">
      <c r="A1560" s="10" t="s">
        <v>972</v>
      </c>
      <c r="B1560" s="10" t="s">
        <v>111</v>
      </c>
      <c r="C1560" s="10" t="s">
        <v>112</v>
      </c>
      <c r="D1560" s="10" t="s">
        <v>51</v>
      </c>
      <c r="E1560" s="10" t="s">
        <v>52</v>
      </c>
      <c r="F1560" s="10" t="s">
        <v>94</v>
      </c>
      <c r="G1560" s="10" t="b">
        <f>FALSE()</f>
        <v>0</v>
      </c>
      <c r="H1560" s="10">
        <v>1</v>
      </c>
      <c r="I1560" s="10">
        <v>0</v>
      </c>
      <c r="J1560" s="10">
        <v>1</v>
      </c>
      <c r="K1560" s="10">
        <v>56</v>
      </c>
      <c r="L1560" s="10">
        <v>11</v>
      </c>
      <c r="M1560" s="10">
        <v>0</v>
      </c>
      <c r="N1560" s="10">
        <v>0</v>
      </c>
      <c r="O1560" s="10">
        <v>0</v>
      </c>
    </row>
    <row r="1561" spans="1:15" x14ac:dyDescent="0.2">
      <c r="A1561" s="10" t="s">
        <v>973</v>
      </c>
      <c r="B1561" s="10" t="s">
        <v>974</v>
      </c>
      <c r="C1561" s="10" t="s">
        <v>50</v>
      </c>
      <c r="D1561" s="10" t="s">
        <v>51</v>
      </c>
      <c r="E1561" s="10" t="s">
        <v>52</v>
      </c>
      <c r="F1561" s="10" t="s">
        <v>180</v>
      </c>
      <c r="G1561" s="10" t="b">
        <f>FALSE()</f>
        <v>0</v>
      </c>
      <c r="H1561" s="10">
        <v>1</v>
      </c>
      <c r="I1561" s="10">
        <v>0</v>
      </c>
      <c r="J1561" s="10">
        <v>1</v>
      </c>
      <c r="K1561" s="10">
        <v>11</v>
      </c>
      <c r="L1561" s="10">
        <v>11</v>
      </c>
      <c r="M1561" s="10">
        <v>0</v>
      </c>
      <c r="N1561" s="10">
        <v>0</v>
      </c>
      <c r="O1561" s="10">
        <v>0</v>
      </c>
    </row>
    <row r="1562" spans="1:15" x14ac:dyDescent="0.2">
      <c r="A1562" s="10" t="s">
        <v>965</v>
      </c>
      <c r="B1562" s="10" t="s">
        <v>480</v>
      </c>
      <c r="C1562" s="10" t="s">
        <v>245</v>
      </c>
      <c r="D1562" s="10" t="s">
        <v>51</v>
      </c>
      <c r="E1562" s="10" t="s">
        <v>52</v>
      </c>
      <c r="F1562" s="10" t="s">
        <v>100</v>
      </c>
      <c r="G1562" s="10" t="b">
        <f>FALSE()</f>
        <v>0</v>
      </c>
      <c r="H1562" s="10">
        <v>1</v>
      </c>
      <c r="I1562" s="10">
        <v>0</v>
      </c>
      <c r="J1562" s="10">
        <v>1</v>
      </c>
      <c r="K1562" s="10">
        <v>11</v>
      </c>
      <c r="L1562" s="10">
        <v>11</v>
      </c>
      <c r="M1562" s="10">
        <v>0</v>
      </c>
      <c r="N1562" s="10">
        <v>0</v>
      </c>
      <c r="O1562" s="10">
        <v>0</v>
      </c>
    </row>
    <row r="1563" spans="1:15" x14ac:dyDescent="0.2">
      <c r="A1563" s="10" t="s">
        <v>459</v>
      </c>
      <c r="B1563" s="10" t="s">
        <v>172</v>
      </c>
      <c r="C1563" s="10" t="s">
        <v>44</v>
      </c>
      <c r="D1563" s="10" t="s">
        <v>45</v>
      </c>
      <c r="E1563" s="10" t="s">
        <v>46</v>
      </c>
      <c r="F1563" s="10" t="s">
        <v>85</v>
      </c>
      <c r="G1563" s="10" t="b">
        <f>FALSE()</f>
        <v>0</v>
      </c>
      <c r="H1563" s="10">
        <v>1</v>
      </c>
      <c r="I1563" s="10">
        <v>1</v>
      </c>
      <c r="J1563" s="10">
        <v>1</v>
      </c>
      <c r="K1563" s="10">
        <v>10</v>
      </c>
      <c r="L1563" s="10">
        <v>10</v>
      </c>
      <c r="M1563" s="10">
        <v>1</v>
      </c>
      <c r="N1563" s="10">
        <v>189</v>
      </c>
      <c r="O1563" s="10">
        <v>189</v>
      </c>
    </row>
    <row r="1564" spans="1:15" x14ac:dyDescent="0.2">
      <c r="A1564" s="10" t="s">
        <v>353</v>
      </c>
      <c r="B1564" s="10" t="s">
        <v>160</v>
      </c>
      <c r="C1564" s="10" t="s">
        <v>56</v>
      </c>
      <c r="D1564" s="10" t="s">
        <v>45</v>
      </c>
      <c r="E1564" s="10" t="s">
        <v>46</v>
      </c>
      <c r="F1564" s="10" t="s">
        <v>640</v>
      </c>
      <c r="G1564" s="10" t="b">
        <f>FALSE()</f>
        <v>0</v>
      </c>
      <c r="H1564" s="10">
        <v>1</v>
      </c>
      <c r="I1564" s="10">
        <v>1</v>
      </c>
      <c r="J1564" s="10">
        <v>1</v>
      </c>
      <c r="K1564" s="10">
        <v>18</v>
      </c>
      <c r="L1564" s="10">
        <v>10</v>
      </c>
      <c r="M1564" s="10">
        <v>1</v>
      </c>
      <c r="N1564" s="10">
        <v>8</v>
      </c>
      <c r="O1564" s="10">
        <v>8</v>
      </c>
    </row>
    <row r="1565" spans="1:15" x14ac:dyDescent="0.2">
      <c r="A1565" s="10" t="s">
        <v>560</v>
      </c>
      <c r="B1565" s="10" t="s">
        <v>96</v>
      </c>
      <c r="C1565" s="10" t="s">
        <v>50</v>
      </c>
      <c r="D1565" s="10" t="s">
        <v>51</v>
      </c>
      <c r="E1565" s="10" t="s">
        <v>52</v>
      </c>
      <c r="F1565" s="10" t="s">
        <v>219</v>
      </c>
      <c r="G1565" s="10" t="b">
        <f>FALSE()</f>
        <v>0</v>
      </c>
      <c r="H1565" s="10">
        <v>1</v>
      </c>
      <c r="I1565" s="10">
        <v>0</v>
      </c>
      <c r="J1565" s="10">
        <v>1</v>
      </c>
      <c r="K1565" s="10">
        <v>16</v>
      </c>
      <c r="L1565" s="10">
        <v>10</v>
      </c>
      <c r="M1565" s="10">
        <v>0</v>
      </c>
      <c r="N1565" s="10">
        <v>0</v>
      </c>
      <c r="O1565" s="10">
        <v>0</v>
      </c>
    </row>
    <row r="1566" spans="1:15" x14ac:dyDescent="0.2">
      <c r="A1566" s="10" t="s">
        <v>803</v>
      </c>
      <c r="B1566" s="10" t="s">
        <v>756</v>
      </c>
      <c r="C1566" s="10" t="s">
        <v>245</v>
      </c>
      <c r="D1566" s="10" t="s">
        <v>51</v>
      </c>
      <c r="E1566" s="10" t="s">
        <v>52</v>
      </c>
      <c r="F1566" s="10" t="s">
        <v>53</v>
      </c>
      <c r="G1566" s="10" t="b">
        <f>FALSE()</f>
        <v>0</v>
      </c>
      <c r="H1566" s="10">
        <v>1</v>
      </c>
      <c r="I1566" s="10">
        <v>0</v>
      </c>
      <c r="J1566" s="10">
        <v>1</v>
      </c>
      <c r="K1566" s="10">
        <v>23</v>
      </c>
      <c r="L1566" s="10">
        <v>10</v>
      </c>
      <c r="M1566" s="10">
        <v>0</v>
      </c>
      <c r="N1566" s="10">
        <v>0</v>
      </c>
      <c r="O1566" s="10">
        <v>0</v>
      </c>
    </row>
    <row r="1567" spans="1:15" x14ac:dyDescent="0.2">
      <c r="A1567" s="10" t="s">
        <v>683</v>
      </c>
      <c r="B1567" s="10" t="s">
        <v>67</v>
      </c>
      <c r="C1567" s="10" t="s">
        <v>64</v>
      </c>
      <c r="D1567" s="10" t="s">
        <v>45</v>
      </c>
      <c r="E1567" s="10" t="s">
        <v>46</v>
      </c>
      <c r="F1567" s="10" t="s">
        <v>153</v>
      </c>
      <c r="G1567" s="10" t="b">
        <f>FALSE()</f>
        <v>0</v>
      </c>
      <c r="H1567" s="10">
        <v>1</v>
      </c>
      <c r="I1567" s="10">
        <v>0</v>
      </c>
      <c r="J1567" s="10">
        <v>1</v>
      </c>
      <c r="K1567" s="10">
        <v>11</v>
      </c>
      <c r="L1567" s="10">
        <v>10</v>
      </c>
      <c r="M1567" s="10">
        <v>0</v>
      </c>
      <c r="N1567" s="10">
        <v>0</v>
      </c>
      <c r="O1567" s="10">
        <v>0</v>
      </c>
    </row>
    <row r="1568" spans="1:15" x14ac:dyDescent="0.2">
      <c r="A1568" s="10" t="s">
        <v>780</v>
      </c>
      <c r="B1568" s="10" t="s">
        <v>128</v>
      </c>
      <c r="C1568" s="10" t="s">
        <v>50</v>
      </c>
      <c r="D1568" s="10" t="s">
        <v>51</v>
      </c>
      <c r="E1568" s="10" t="s">
        <v>52</v>
      </c>
      <c r="F1568" s="10" t="s">
        <v>363</v>
      </c>
      <c r="G1568" s="10" t="b">
        <f>FALSE()</f>
        <v>0</v>
      </c>
      <c r="H1568" s="10">
        <v>1</v>
      </c>
      <c r="I1568" s="10">
        <v>0</v>
      </c>
      <c r="J1568" s="10">
        <v>0</v>
      </c>
      <c r="K1568" s="10">
        <v>0</v>
      </c>
      <c r="L1568" s="10">
        <v>10</v>
      </c>
      <c r="M1568" s="10">
        <v>0</v>
      </c>
      <c r="N1568" s="10">
        <v>0</v>
      </c>
      <c r="O1568" s="10">
        <v>0</v>
      </c>
    </row>
    <row r="1569" spans="1:15" x14ac:dyDescent="0.2">
      <c r="A1569" s="10" t="s">
        <v>918</v>
      </c>
      <c r="B1569" s="10" t="s">
        <v>498</v>
      </c>
      <c r="C1569" s="10" t="s">
        <v>245</v>
      </c>
      <c r="D1569" s="10" t="s">
        <v>51</v>
      </c>
      <c r="E1569" s="10" t="s">
        <v>52</v>
      </c>
      <c r="F1569" s="10" t="s">
        <v>92</v>
      </c>
      <c r="G1569" s="10" t="b">
        <f>FALSE()</f>
        <v>0</v>
      </c>
      <c r="H1569" s="10">
        <v>1</v>
      </c>
      <c r="I1569" s="10">
        <v>0</v>
      </c>
      <c r="J1569" s="10">
        <v>1</v>
      </c>
      <c r="K1569" s="10">
        <v>10</v>
      </c>
      <c r="L1569" s="10">
        <v>10</v>
      </c>
      <c r="M1569" s="10">
        <v>0</v>
      </c>
      <c r="N1569" s="10">
        <v>0</v>
      </c>
      <c r="O1569" s="10">
        <v>0</v>
      </c>
    </row>
    <row r="1570" spans="1:15" x14ac:dyDescent="0.2">
      <c r="A1570" s="10" t="s">
        <v>927</v>
      </c>
      <c r="B1570" s="10" t="s">
        <v>456</v>
      </c>
      <c r="C1570" s="10" t="s">
        <v>245</v>
      </c>
      <c r="D1570" s="10" t="s">
        <v>51</v>
      </c>
      <c r="E1570" s="10" t="s">
        <v>52</v>
      </c>
      <c r="F1570" s="10" t="s">
        <v>47</v>
      </c>
      <c r="G1570" s="10" t="b">
        <f>FALSE()</f>
        <v>0</v>
      </c>
      <c r="H1570" s="10">
        <v>1</v>
      </c>
      <c r="I1570" s="10">
        <v>0</v>
      </c>
      <c r="J1570" s="10">
        <v>1</v>
      </c>
      <c r="K1570" s="10">
        <v>10</v>
      </c>
      <c r="L1570" s="10">
        <v>10</v>
      </c>
      <c r="M1570" s="10">
        <v>0</v>
      </c>
      <c r="N1570" s="10">
        <v>0</v>
      </c>
      <c r="O1570" s="10">
        <v>0</v>
      </c>
    </row>
    <row r="1571" spans="1:15" x14ac:dyDescent="0.2">
      <c r="A1571" s="10" t="s">
        <v>822</v>
      </c>
      <c r="B1571" s="10" t="s">
        <v>456</v>
      </c>
      <c r="C1571" s="10" t="s">
        <v>245</v>
      </c>
      <c r="D1571" s="10" t="s">
        <v>51</v>
      </c>
      <c r="E1571" s="10" t="s">
        <v>52</v>
      </c>
      <c r="F1571" s="10" t="s">
        <v>61</v>
      </c>
      <c r="G1571" s="10" t="b">
        <f>FALSE()</f>
        <v>0</v>
      </c>
      <c r="H1571" s="10">
        <v>1</v>
      </c>
      <c r="I1571" s="10">
        <v>0</v>
      </c>
      <c r="J1571" s="10">
        <v>1</v>
      </c>
      <c r="K1571" s="10">
        <v>10</v>
      </c>
      <c r="L1571" s="10">
        <v>10</v>
      </c>
      <c r="M1571" s="10">
        <v>0</v>
      </c>
      <c r="N1571" s="10">
        <v>0</v>
      </c>
      <c r="O1571" s="10">
        <v>0</v>
      </c>
    </row>
    <row r="1572" spans="1:15" x14ac:dyDescent="0.2">
      <c r="A1572" s="10" t="s">
        <v>975</v>
      </c>
      <c r="B1572" s="10" t="s">
        <v>160</v>
      </c>
      <c r="C1572" s="10" t="s">
        <v>56</v>
      </c>
      <c r="D1572" s="10" t="s">
        <v>45</v>
      </c>
      <c r="E1572" s="10" t="s">
        <v>46</v>
      </c>
      <c r="F1572" s="10" t="s">
        <v>123</v>
      </c>
      <c r="G1572" s="10" t="b">
        <f>FALSE()</f>
        <v>0</v>
      </c>
      <c r="H1572" s="10">
        <v>1</v>
      </c>
      <c r="I1572" s="10">
        <v>0</v>
      </c>
      <c r="J1572" s="10">
        <v>1</v>
      </c>
      <c r="K1572" s="10">
        <v>17</v>
      </c>
      <c r="L1572" s="10">
        <v>10</v>
      </c>
      <c r="M1572" s="10">
        <v>0</v>
      </c>
      <c r="N1572" s="10">
        <v>0</v>
      </c>
      <c r="O1572" s="10">
        <v>0</v>
      </c>
    </row>
    <row r="1573" spans="1:15" x14ac:dyDescent="0.2">
      <c r="A1573" s="10" t="s">
        <v>615</v>
      </c>
      <c r="B1573" s="10" t="s">
        <v>456</v>
      </c>
      <c r="C1573" s="10" t="s">
        <v>245</v>
      </c>
      <c r="D1573" s="10" t="s">
        <v>51</v>
      </c>
      <c r="E1573" s="10" t="s">
        <v>52</v>
      </c>
      <c r="F1573" s="10" t="s">
        <v>92</v>
      </c>
      <c r="G1573" s="10" t="b">
        <f>FALSE()</f>
        <v>0</v>
      </c>
      <c r="H1573" s="10">
        <v>1</v>
      </c>
      <c r="I1573" s="10">
        <v>0</v>
      </c>
      <c r="J1573" s="10">
        <v>1</v>
      </c>
      <c r="K1573" s="10">
        <v>10</v>
      </c>
      <c r="L1573" s="10">
        <v>10</v>
      </c>
      <c r="M1573" s="10">
        <v>0</v>
      </c>
      <c r="N1573" s="10">
        <v>0</v>
      </c>
      <c r="O1573" s="10">
        <v>0</v>
      </c>
    </row>
    <row r="1574" spans="1:15" x14ac:dyDescent="0.2">
      <c r="A1574" s="10" t="s">
        <v>976</v>
      </c>
      <c r="B1574" s="10" t="s">
        <v>43</v>
      </c>
      <c r="C1574" s="10" t="s">
        <v>44</v>
      </c>
      <c r="D1574" s="10" t="s">
        <v>45</v>
      </c>
      <c r="E1574" s="10" t="s">
        <v>46</v>
      </c>
      <c r="F1574" s="10" t="s">
        <v>331</v>
      </c>
      <c r="G1574" s="10" t="b">
        <f>FALSE()</f>
        <v>0</v>
      </c>
      <c r="H1574" s="10">
        <v>1</v>
      </c>
      <c r="I1574" s="10">
        <v>0</v>
      </c>
      <c r="J1574" s="10">
        <v>1</v>
      </c>
      <c r="K1574" s="10">
        <v>10</v>
      </c>
      <c r="L1574" s="10">
        <v>10</v>
      </c>
      <c r="M1574" s="10">
        <v>0</v>
      </c>
      <c r="N1574" s="10">
        <v>0</v>
      </c>
      <c r="O1574" s="10">
        <v>0</v>
      </c>
    </row>
    <row r="1575" spans="1:15" x14ac:dyDescent="0.2">
      <c r="A1575" s="10" t="s">
        <v>453</v>
      </c>
      <c r="B1575" s="10" t="s">
        <v>136</v>
      </c>
      <c r="C1575" s="10" t="s">
        <v>73</v>
      </c>
      <c r="D1575" s="10" t="s">
        <v>45</v>
      </c>
      <c r="E1575" s="10" t="s">
        <v>46</v>
      </c>
      <c r="F1575" s="10" t="s">
        <v>223</v>
      </c>
      <c r="G1575" s="10" t="b">
        <f>FALSE()</f>
        <v>0</v>
      </c>
      <c r="H1575" s="10">
        <v>1</v>
      </c>
      <c r="I1575" s="10">
        <v>1</v>
      </c>
      <c r="J1575" s="10">
        <v>1</v>
      </c>
      <c r="K1575" s="10">
        <v>19</v>
      </c>
      <c r="L1575" s="10">
        <v>9</v>
      </c>
      <c r="M1575" s="10">
        <v>1</v>
      </c>
      <c r="N1575" s="10">
        <v>369</v>
      </c>
      <c r="O1575" s="10">
        <v>365</v>
      </c>
    </row>
    <row r="1576" spans="1:15" x14ac:dyDescent="0.2">
      <c r="A1576" s="10" t="s">
        <v>938</v>
      </c>
      <c r="B1576" s="10" t="s">
        <v>265</v>
      </c>
      <c r="C1576" s="10" t="s">
        <v>245</v>
      </c>
      <c r="D1576" s="10" t="s">
        <v>51</v>
      </c>
      <c r="E1576" s="10" t="s">
        <v>52</v>
      </c>
      <c r="F1576" s="10" t="s">
        <v>345</v>
      </c>
      <c r="G1576" s="10" t="b">
        <f>FALSE()</f>
        <v>0</v>
      </c>
      <c r="H1576" s="10">
        <v>1</v>
      </c>
      <c r="I1576" s="10">
        <v>0</v>
      </c>
      <c r="J1576" s="10">
        <v>1</v>
      </c>
      <c r="K1576" s="10">
        <v>9</v>
      </c>
      <c r="L1576" s="10">
        <v>9</v>
      </c>
      <c r="M1576" s="10">
        <v>0</v>
      </c>
      <c r="N1576" s="10">
        <v>0</v>
      </c>
      <c r="O1576" s="10">
        <v>0</v>
      </c>
    </row>
    <row r="1577" spans="1:15" x14ac:dyDescent="0.2">
      <c r="A1577" s="10" t="s">
        <v>715</v>
      </c>
      <c r="B1577" s="10" t="s">
        <v>193</v>
      </c>
      <c r="C1577" s="10" t="s">
        <v>117</v>
      </c>
      <c r="D1577" s="10" t="s">
        <v>51</v>
      </c>
      <c r="E1577" s="10" t="s">
        <v>52</v>
      </c>
      <c r="F1577" s="10" t="s">
        <v>977</v>
      </c>
      <c r="G1577" s="10" t="b">
        <f>FALSE()</f>
        <v>0</v>
      </c>
      <c r="H1577" s="10">
        <v>1</v>
      </c>
      <c r="I1577" s="10">
        <v>0</v>
      </c>
      <c r="J1577" s="10">
        <v>1</v>
      </c>
      <c r="K1577" s="10">
        <v>30</v>
      </c>
      <c r="L1577" s="10">
        <v>9</v>
      </c>
      <c r="M1577" s="10">
        <v>0</v>
      </c>
      <c r="N1577" s="10">
        <v>0</v>
      </c>
      <c r="O1577" s="10">
        <v>0</v>
      </c>
    </row>
    <row r="1578" spans="1:15" x14ac:dyDescent="0.2">
      <c r="A1578" s="10" t="s">
        <v>570</v>
      </c>
      <c r="B1578" s="10" t="s">
        <v>321</v>
      </c>
      <c r="C1578" s="10" t="s">
        <v>245</v>
      </c>
      <c r="D1578" s="10" t="s">
        <v>51</v>
      </c>
      <c r="E1578" s="10" t="s">
        <v>52</v>
      </c>
      <c r="F1578" s="10" t="s">
        <v>496</v>
      </c>
      <c r="G1578" s="10" t="b">
        <f>FALSE()</f>
        <v>0</v>
      </c>
      <c r="H1578" s="10">
        <v>1</v>
      </c>
      <c r="I1578" s="10">
        <v>0</v>
      </c>
      <c r="J1578" s="10">
        <v>1</v>
      </c>
      <c r="K1578" s="10">
        <v>9</v>
      </c>
      <c r="L1578" s="10">
        <v>9</v>
      </c>
      <c r="M1578" s="10">
        <v>0</v>
      </c>
      <c r="N1578" s="10">
        <v>0</v>
      </c>
      <c r="O1578" s="10">
        <v>0</v>
      </c>
    </row>
    <row r="1579" spans="1:15" x14ac:dyDescent="0.2">
      <c r="A1579" s="10" t="s">
        <v>860</v>
      </c>
      <c r="B1579" s="10" t="s">
        <v>456</v>
      </c>
      <c r="C1579" s="10" t="s">
        <v>245</v>
      </c>
      <c r="D1579" s="10" t="s">
        <v>51</v>
      </c>
      <c r="E1579" s="10" t="s">
        <v>52</v>
      </c>
      <c r="F1579" s="10" t="s">
        <v>79</v>
      </c>
      <c r="G1579" s="10" t="b">
        <f>FALSE()</f>
        <v>0</v>
      </c>
      <c r="H1579" s="10">
        <v>1</v>
      </c>
      <c r="I1579" s="10">
        <v>0</v>
      </c>
      <c r="J1579" s="10">
        <v>1</v>
      </c>
      <c r="K1579" s="10">
        <v>13</v>
      </c>
      <c r="L1579" s="10">
        <v>9</v>
      </c>
      <c r="M1579" s="10">
        <v>0</v>
      </c>
      <c r="N1579" s="10">
        <v>0</v>
      </c>
      <c r="O1579" s="10">
        <v>0</v>
      </c>
    </row>
    <row r="1580" spans="1:15" x14ac:dyDescent="0.2">
      <c r="A1580" s="10" t="s">
        <v>395</v>
      </c>
      <c r="B1580" s="10" t="s">
        <v>273</v>
      </c>
      <c r="C1580" s="10" t="s">
        <v>50</v>
      </c>
      <c r="D1580" s="10" t="s">
        <v>51</v>
      </c>
      <c r="E1580" s="10" t="s">
        <v>52</v>
      </c>
      <c r="F1580" s="10" t="s">
        <v>94</v>
      </c>
      <c r="G1580" s="10" t="b">
        <f>FALSE()</f>
        <v>0</v>
      </c>
      <c r="H1580" s="10">
        <v>1</v>
      </c>
      <c r="I1580" s="10">
        <v>0</v>
      </c>
      <c r="J1580" s="10">
        <v>0</v>
      </c>
      <c r="K1580" s="10">
        <v>0</v>
      </c>
      <c r="L1580" s="10">
        <v>9</v>
      </c>
      <c r="M1580" s="10">
        <v>0</v>
      </c>
      <c r="N1580" s="10">
        <v>0</v>
      </c>
      <c r="O1580" s="10">
        <v>0</v>
      </c>
    </row>
    <row r="1581" spans="1:15" x14ac:dyDescent="0.2">
      <c r="A1581" s="10" t="s">
        <v>971</v>
      </c>
      <c r="B1581" s="10" t="s">
        <v>456</v>
      </c>
      <c r="C1581" s="10" t="s">
        <v>245</v>
      </c>
      <c r="D1581" s="10" t="s">
        <v>51</v>
      </c>
      <c r="E1581" s="10" t="s">
        <v>52</v>
      </c>
      <c r="F1581" s="10" t="s">
        <v>61</v>
      </c>
      <c r="G1581" s="10" t="b">
        <f>FALSE()</f>
        <v>0</v>
      </c>
      <c r="H1581" s="10">
        <v>1</v>
      </c>
      <c r="I1581" s="10">
        <v>0</v>
      </c>
      <c r="J1581" s="10">
        <v>1</v>
      </c>
      <c r="K1581" s="10">
        <v>9</v>
      </c>
      <c r="L1581" s="10">
        <v>9</v>
      </c>
      <c r="M1581" s="10">
        <v>0</v>
      </c>
      <c r="N1581" s="10">
        <v>0</v>
      </c>
      <c r="O1581" s="10">
        <v>0</v>
      </c>
    </row>
    <row r="1582" spans="1:15" x14ac:dyDescent="0.2">
      <c r="A1582" s="10" t="s">
        <v>938</v>
      </c>
      <c r="B1582" s="10" t="s">
        <v>265</v>
      </c>
      <c r="C1582" s="10" t="s">
        <v>245</v>
      </c>
      <c r="D1582" s="10" t="s">
        <v>51</v>
      </c>
      <c r="E1582" s="10" t="s">
        <v>52</v>
      </c>
      <c r="F1582" s="10" t="s">
        <v>180</v>
      </c>
      <c r="G1582" s="10" t="b">
        <f>FALSE()</f>
        <v>0</v>
      </c>
      <c r="H1582" s="10">
        <v>1</v>
      </c>
      <c r="I1582" s="10">
        <v>0</v>
      </c>
      <c r="J1582" s="10">
        <v>1</v>
      </c>
      <c r="K1582" s="10">
        <v>8</v>
      </c>
      <c r="L1582" s="10">
        <v>8</v>
      </c>
      <c r="M1582" s="10">
        <v>0</v>
      </c>
      <c r="N1582" s="10">
        <v>0</v>
      </c>
      <c r="O1582" s="10">
        <v>0</v>
      </c>
    </row>
    <row r="1583" spans="1:15" x14ac:dyDescent="0.2">
      <c r="A1583" s="10" t="s">
        <v>715</v>
      </c>
      <c r="B1583" s="10" t="s">
        <v>193</v>
      </c>
      <c r="C1583" s="10" t="s">
        <v>117</v>
      </c>
      <c r="D1583" s="10" t="s">
        <v>51</v>
      </c>
      <c r="E1583" s="10" t="s">
        <v>52</v>
      </c>
      <c r="F1583" s="10" t="s">
        <v>660</v>
      </c>
      <c r="G1583" s="10" t="b">
        <f>FALSE()</f>
        <v>0</v>
      </c>
      <c r="H1583" s="10">
        <v>1</v>
      </c>
      <c r="I1583" s="10">
        <v>0</v>
      </c>
      <c r="J1583" s="10">
        <v>1</v>
      </c>
      <c r="K1583" s="10">
        <v>25</v>
      </c>
      <c r="L1583" s="10">
        <v>8</v>
      </c>
      <c r="M1583" s="10">
        <v>0</v>
      </c>
      <c r="N1583" s="10">
        <v>0</v>
      </c>
      <c r="O1583" s="10">
        <v>0</v>
      </c>
    </row>
    <row r="1584" spans="1:15" x14ac:dyDescent="0.2">
      <c r="A1584" s="10" t="s">
        <v>753</v>
      </c>
      <c r="B1584" s="10" t="s">
        <v>262</v>
      </c>
      <c r="C1584" s="10" t="s">
        <v>105</v>
      </c>
      <c r="D1584" s="10" t="s">
        <v>45</v>
      </c>
      <c r="E1584" s="10" t="s">
        <v>46</v>
      </c>
      <c r="F1584" s="10" t="s">
        <v>183</v>
      </c>
      <c r="G1584" s="10" t="b">
        <f>FALSE()</f>
        <v>0</v>
      </c>
      <c r="H1584" s="10">
        <v>1</v>
      </c>
      <c r="I1584" s="10">
        <v>0</v>
      </c>
      <c r="J1584" s="10">
        <v>1</v>
      </c>
      <c r="K1584" s="10">
        <v>8</v>
      </c>
      <c r="L1584" s="10">
        <v>8</v>
      </c>
      <c r="M1584" s="10">
        <v>0</v>
      </c>
      <c r="N1584" s="10">
        <v>0</v>
      </c>
      <c r="O1584" s="10">
        <v>0</v>
      </c>
    </row>
    <row r="1585" spans="1:15" x14ac:dyDescent="0.2">
      <c r="A1585" s="10" t="s">
        <v>904</v>
      </c>
      <c r="B1585" s="10" t="s">
        <v>498</v>
      </c>
      <c r="C1585" s="10" t="s">
        <v>245</v>
      </c>
      <c r="D1585" s="10" t="s">
        <v>51</v>
      </c>
      <c r="E1585" s="10" t="s">
        <v>52</v>
      </c>
      <c r="F1585" s="10" t="s">
        <v>92</v>
      </c>
      <c r="G1585" s="10" t="b">
        <f>FALSE()</f>
        <v>0</v>
      </c>
      <c r="H1585" s="10">
        <v>1</v>
      </c>
      <c r="I1585" s="10">
        <v>0</v>
      </c>
      <c r="J1585" s="10">
        <v>1</v>
      </c>
      <c r="K1585" s="10">
        <v>8</v>
      </c>
      <c r="L1585" s="10">
        <v>8</v>
      </c>
      <c r="M1585" s="10">
        <v>0</v>
      </c>
      <c r="N1585" s="10">
        <v>0</v>
      </c>
      <c r="O1585" s="10">
        <v>0</v>
      </c>
    </row>
    <row r="1586" spans="1:15" x14ac:dyDescent="0.2">
      <c r="A1586" s="10" t="s">
        <v>870</v>
      </c>
      <c r="B1586" s="10" t="s">
        <v>130</v>
      </c>
      <c r="C1586" s="10" t="s">
        <v>56</v>
      </c>
      <c r="D1586" s="10" t="s">
        <v>45</v>
      </c>
      <c r="E1586" s="10" t="s">
        <v>46</v>
      </c>
      <c r="F1586" s="10" t="s">
        <v>61</v>
      </c>
      <c r="G1586" s="10" t="b">
        <f>FALSE()</f>
        <v>0</v>
      </c>
      <c r="H1586" s="10">
        <v>1</v>
      </c>
      <c r="I1586" s="10">
        <v>0</v>
      </c>
      <c r="J1586" s="10">
        <v>1</v>
      </c>
      <c r="K1586" s="10">
        <v>37</v>
      </c>
      <c r="L1586" s="10">
        <v>8</v>
      </c>
      <c r="M1586" s="10">
        <v>0</v>
      </c>
      <c r="N1586" s="10">
        <v>0</v>
      </c>
      <c r="O1586" s="10">
        <v>0</v>
      </c>
    </row>
    <row r="1587" spans="1:15" x14ac:dyDescent="0.2">
      <c r="A1587" s="10" t="s">
        <v>637</v>
      </c>
      <c r="B1587" s="10" t="s">
        <v>63</v>
      </c>
      <c r="C1587" s="10" t="s">
        <v>64</v>
      </c>
      <c r="D1587" s="10" t="s">
        <v>45</v>
      </c>
      <c r="E1587" s="10" t="s">
        <v>46</v>
      </c>
      <c r="F1587" s="10" t="s">
        <v>957</v>
      </c>
      <c r="G1587" s="10" t="b">
        <f>FALSE()</f>
        <v>0</v>
      </c>
      <c r="H1587" s="10">
        <v>1</v>
      </c>
      <c r="I1587" s="10">
        <v>0</v>
      </c>
      <c r="J1587" s="10">
        <v>1</v>
      </c>
      <c r="K1587" s="10">
        <v>16</v>
      </c>
      <c r="L1587" s="10">
        <v>8</v>
      </c>
      <c r="M1587" s="10">
        <v>0</v>
      </c>
      <c r="N1587" s="10">
        <v>0</v>
      </c>
      <c r="O1587" s="10">
        <v>0</v>
      </c>
    </row>
    <row r="1588" spans="1:15" x14ac:dyDescent="0.2">
      <c r="A1588" s="10" t="s">
        <v>732</v>
      </c>
      <c r="B1588" s="10" t="s">
        <v>165</v>
      </c>
      <c r="C1588" s="10" t="s">
        <v>112</v>
      </c>
      <c r="D1588" s="10" t="s">
        <v>51</v>
      </c>
      <c r="E1588" s="10" t="s">
        <v>52</v>
      </c>
      <c r="F1588" s="10" t="s">
        <v>331</v>
      </c>
      <c r="G1588" s="10" t="b">
        <f>FALSE()</f>
        <v>0</v>
      </c>
      <c r="H1588" s="10">
        <v>1</v>
      </c>
      <c r="I1588" s="10">
        <v>0</v>
      </c>
      <c r="J1588" s="10">
        <v>1</v>
      </c>
      <c r="K1588" s="10">
        <v>9</v>
      </c>
      <c r="L1588" s="10">
        <v>8</v>
      </c>
      <c r="M1588" s="10">
        <v>0</v>
      </c>
      <c r="N1588" s="10">
        <v>0</v>
      </c>
      <c r="O1588" s="10">
        <v>0</v>
      </c>
    </row>
    <row r="1589" spans="1:15" x14ac:dyDescent="0.2">
      <c r="A1589" s="10" t="s">
        <v>322</v>
      </c>
      <c r="B1589" s="10" t="s">
        <v>146</v>
      </c>
      <c r="C1589" s="10" t="s">
        <v>105</v>
      </c>
      <c r="D1589" s="10" t="s">
        <v>45</v>
      </c>
      <c r="E1589" s="10" t="s">
        <v>46</v>
      </c>
      <c r="F1589" s="10" t="s">
        <v>444</v>
      </c>
      <c r="G1589" s="10" t="b">
        <f>TRUE()</f>
        <v>1</v>
      </c>
      <c r="H1589" s="10">
        <v>1</v>
      </c>
      <c r="I1589" s="10">
        <v>0</v>
      </c>
      <c r="J1589" s="10">
        <v>1</v>
      </c>
      <c r="K1589" s="10">
        <v>8</v>
      </c>
      <c r="L1589" s="10">
        <v>8</v>
      </c>
      <c r="M1589" s="10">
        <v>0</v>
      </c>
      <c r="N1589" s="10">
        <v>0</v>
      </c>
      <c r="O1589" s="10">
        <v>0</v>
      </c>
    </row>
    <row r="1590" spans="1:15" x14ac:dyDescent="0.2">
      <c r="A1590" s="10" t="s">
        <v>978</v>
      </c>
      <c r="B1590" s="10" t="s">
        <v>247</v>
      </c>
      <c r="C1590" s="10" t="s">
        <v>245</v>
      </c>
      <c r="D1590" s="10" t="s">
        <v>51</v>
      </c>
      <c r="E1590" s="10" t="s">
        <v>52</v>
      </c>
      <c r="F1590" s="10" t="s">
        <v>61</v>
      </c>
      <c r="G1590" s="10" t="b">
        <f>FALSE()</f>
        <v>0</v>
      </c>
      <c r="H1590" s="10">
        <v>1</v>
      </c>
      <c r="I1590" s="10">
        <v>1</v>
      </c>
      <c r="J1590" s="10">
        <v>1</v>
      </c>
      <c r="K1590" s="10">
        <v>7</v>
      </c>
      <c r="L1590" s="10">
        <v>7</v>
      </c>
      <c r="M1590" s="10">
        <v>1</v>
      </c>
      <c r="N1590" s="10">
        <v>28</v>
      </c>
      <c r="O1590" s="10">
        <v>28</v>
      </c>
    </row>
    <row r="1591" spans="1:15" x14ac:dyDescent="0.2">
      <c r="A1591" s="10" t="s">
        <v>979</v>
      </c>
      <c r="B1591" s="10" t="s">
        <v>70</v>
      </c>
      <c r="C1591" s="10" t="s">
        <v>70</v>
      </c>
      <c r="D1591" s="10" t="s">
        <v>45</v>
      </c>
      <c r="E1591" s="10" t="s">
        <v>46</v>
      </c>
      <c r="F1591" s="10" t="s">
        <v>94</v>
      </c>
      <c r="G1591" s="10" t="b">
        <f>FALSE()</f>
        <v>0</v>
      </c>
      <c r="H1591" s="10">
        <v>1</v>
      </c>
      <c r="I1591" s="10">
        <v>0</v>
      </c>
      <c r="J1591" s="10">
        <v>1</v>
      </c>
      <c r="K1591" s="10">
        <v>25</v>
      </c>
      <c r="L1591" s="10">
        <v>7</v>
      </c>
      <c r="M1591" s="10">
        <v>0</v>
      </c>
      <c r="N1591" s="10">
        <v>0</v>
      </c>
      <c r="O1591" s="10">
        <v>0</v>
      </c>
    </row>
    <row r="1592" spans="1:15" x14ac:dyDescent="0.2">
      <c r="A1592" s="10" t="s">
        <v>980</v>
      </c>
      <c r="B1592" s="10" t="s">
        <v>485</v>
      </c>
      <c r="C1592" s="10" t="s">
        <v>245</v>
      </c>
      <c r="D1592" s="10" t="s">
        <v>51</v>
      </c>
      <c r="E1592" s="10" t="s">
        <v>52</v>
      </c>
      <c r="F1592" s="10" t="s">
        <v>94</v>
      </c>
      <c r="G1592" s="10" t="b">
        <f>FALSE()</f>
        <v>0</v>
      </c>
      <c r="H1592" s="10">
        <v>1</v>
      </c>
      <c r="I1592" s="10">
        <v>0</v>
      </c>
      <c r="J1592" s="10">
        <v>1</v>
      </c>
      <c r="K1592" s="10">
        <v>15</v>
      </c>
      <c r="L1592" s="10">
        <v>7</v>
      </c>
      <c r="M1592" s="10">
        <v>0</v>
      </c>
      <c r="N1592" s="10">
        <v>0</v>
      </c>
      <c r="O1592" s="10">
        <v>0</v>
      </c>
    </row>
    <row r="1593" spans="1:15" x14ac:dyDescent="0.2">
      <c r="A1593" s="10" t="s">
        <v>981</v>
      </c>
      <c r="B1593" s="10" t="s">
        <v>111</v>
      </c>
      <c r="C1593" s="10" t="s">
        <v>112</v>
      </c>
      <c r="D1593" s="10" t="s">
        <v>51</v>
      </c>
      <c r="E1593" s="10" t="s">
        <v>52</v>
      </c>
      <c r="F1593" s="10" t="s">
        <v>94</v>
      </c>
      <c r="G1593" s="10" t="b">
        <f>FALSE()</f>
        <v>0</v>
      </c>
      <c r="H1593" s="10">
        <v>1</v>
      </c>
      <c r="I1593" s="10">
        <v>0</v>
      </c>
      <c r="J1593" s="10">
        <v>1</v>
      </c>
      <c r="K1593" s="10">
        <v>9</v>
      </c>
      <c r="L1593" s="10">
        <v>7</v>
      </c>
      <c r="M1593" s="10">
        <v>0</v>
      </c>
      <c r="N1593" s="10">
        <v>0</v>
      </c>
      <c r="O1593" s="10">
        <v>0</v>
      </c>
    </row>
    <row r="1594" spans="1:15" x14ac:dyDescent="0.2">
      <c r="A1594" s="10" t="s">
        <v>784</v>
      </c>
      <c r="B1594" s="10" t="s">
        <v>160</v>
      </c>
      <c r="C1594" s="10" t="s">
        <v>56</v>
      </c>
      <c r="D1594" s="10" t="s">
        <v>45</v>
      </c>
      <c r="E1594" s="10" t="s">
        <v>46</v>
      </c>
      <c r="F1594" s="10" t="s">
        <v>75</v>
      </c>
      <c r="G1594" s="10" t="b">
        <f>FALSE()</f>
        <v>0</v>
      </c>
      <c r="H1594" s="10">
        <v>1</v>
      </c>
      <c r="I1594" s="10">
        <v>0</v>
      </c>
      <c r="J1594" s="10">
        <v>1</v>
      </c>
      <c r="K1594" s="10">
        <v>58</v>
      </c>
      <c r="L1594" s="10">
        <v>7</v>
      </c>
      <c r="M1594" s="10">
        <v>0</v>
      </c>
      <c r="N1594" s="10">
        <v>0</v>
      </c>
      <c r="O1594" s="10">
        <v>0</v>
      </c>
    </row>
    <row r="1595" spans="1:15" x14ac:dyDescent="0.2">
      <c r="A1595" s="10" t="s">
        <v>982</v>
      </c>
      <c r="B1595" s="10" t="s">
        <v>157</v>
      </c>
      <c r="C1595" s="10" t="s">
        <v>64</v>
      </c>
      <c r="D1595" s="10" t="s">
        <v>45</v>
      </c>
      <c r="E1595" s="10" t="s">
        <v>46</v>
      </c>
      <c r="F1595" s="10" t="s">
        <v>65</v>
      </c>
      <c r="G1595" s="10" t="b">
        <f>FALSE()</f>
        <v>0</v>
      </c>
      <c r="H1595" s="10">
        <v>1</v>
      </c>
      <c r="I1595" s="10">
        <v>0</v>
      </c>
      <c r="J1595" s="10">
        <v>1</v>
      </c>
      <c r="K1595" s="10">
        <v>7</v>
      </c>
      <c r="L1595" s="10">
        <v>7</v>
      </c>
      <c r="M1595" s="10">
        <v>0</v>
      </c>
      <c r="N1595" s="10">
        <v>0</v>
      </c>
      <c r="O1595" s="10">
        <v>0</v>
      </c>
    </row>
    <row r="1596" spans="1:15" x14ac:dyDescent="0.2">
      <c r="A1596" s="10" t="s">
        <v>983</v>
      </c>
      <c r="B1596" s="10" t="s">
        <v>78</v>
      </c>
      <c r="C1596" s="10" t="s">
        <v>50</v>
      </c>
      <c r="D1596" s="10" t="s">
        <v>51</v>
      </c>
      <c r="E1596" s="10" t="s">
        <v>52</v>
      </c>
      <c r="F1596" s="10" t="s">
        <v>102</v>
      </c>
      <c r="G1596" s="10" t="b">
        <f>TRUE()</f>
        <v>1</v>
      </c>
      <c r="H1596" s="10">
        <v>1</v>
      </c>
      <c r="I1596" s="10">
        <v>1</v>
      </c>
      <c r="J1596" s="10">
        <v>1</v>
      </c>
      <c r="K1596" s="10">
        <v>6</v>
      </c>
      <c r="L1596" s="10">
        <v>6</v>
      </c>
      <c r="M1596" s="10">
        <v>1</v>
      </c>
      <c r="N1596" s="10">
        <v>215</v>
      </c>
      <c r="O1596" s="10">
        <v>203</v>
      </c>
    </row>
    <row r="1597" spans="1:15" x14ac:dyDescent="0.2">
      <c r="A1597" s="10" t="s">
        <v>946</v>
      </c>
      <c r="B1597" s="10" t="s">
        <v>89</v>
      </c>
      <c r="C1597" s="10" t="s">
        <v>90</v>
      </c>
      <c r="D1597" s="10" t="s">
        <v>51</v>
      </c>
      <c r="E1597" s="10" t="s">
        <v>52</v>
      </c>
      <c r="F1597" s="10" t="s">
        <v>153</v>
      </c>
      <c r="G1597" s="10" t="b">
        <f>FALSE()</f>
        <v>0</v>
      </c>
      <c r="H1597" s="10">
        <v>1</v>
      </c>
      <c r="I1597" s="10">
        <v>1</v>
      </c>
      <c r="J1597" s="10">
        <v>1</v>
      </c>
      <c r="K1597" s="10">
        <v>6</v>
      </c>
      <c r="L1597" s="10">
        <v>6</v>
      </c>
      <c r="M1597" s="10">
        <v>1</v>
      </c>
      <c r="N1597" s="10">
        <v>17</v>
      </c>
      <c r="O1597" s="10">
        <v>17</v>
      </c>
    </row>
    <row r="1598" spans="1:15" x14ac:dyDescent="0.2">
      <c r="A1598" s="10" t="s">
        <v>596</v>
      </c>
      <c r="B1598" s="10" t="s">
        <v>262</v>
      </c>
      <c r="C1598" s="10" t="s">
        <v>105</v>
      </c>
      <c r="D1598" s="10" t="s">
        <v>45</v>
      </c>
      <c r="E1598" s="10" t="s">
        <v>46</v>
      </c>
      <c r="F1598" s="10" t="s">
        <v>212</v>
      </c>
      <c r="G1598" s="10" t="b">
        <f>FALSE()</f>
        <v>0</v>
      </c>
      <c r="H1598" s="10">
        <v>1</v>
      </c>
      <c r="I1598" s="10">
        <v>0</v>
      </c>
      <c r="J1598" s="10">
        <v>1</v>
      </c>
      <c r="K1598" s="10">
        <v>6</v>
      </c>
      <c r="L1598" s="10">
        <v>6</v>
      </c>
      <c r="M1598" s="10">
        <v>0</v>
      </c>
      <c r="N1598" s="10">
        <v>0</v>
      </c>
      <c r="O1598" s="10">
        <v>0</v>
      </c>
    </row>
    <row r="1599" spans="1:15" x14ac:dyDescent="0.2">
      <c r="A1599" s="10" t="s">
        <v>412</v>
      </c>
      <c r="B1599" s="10" t="s">
        <v>146</v>
      </c>
      <c r="C1599" s="10" t="s">
        <v>105</v>
      </c>
      <c r="D1599" s="10" t="s">
        <v>45</v>
      </c>
      <c r="E1599" s="10" t="s">
        <v>46</v>
      </c>
      <c r="F1599" s="10" t="s">
        <v>183</v>
      </c>
      <c r="G1599" s="10" t="b">
        <f>FALSE()</f>
        <v>0</v>
      </c>
      <c r="H1599" s="10">
        <v>1</v>
      </c>
      <c r="I1599" s="10">
        <v>0</v>
      </c>
      <c r="J1599" s="10">
        <v>0</v>
      </c>
      <c r="K1599" s="10">
        <v>0</v>
      </c>
      <c r="L1599" s="10">
        <v>6</v>
      </c>
      <c r="M1599" s="10">
        <v>0</v>
      </c>
      <c r="N1599" s="10">
        <v>0</v>
      </c>
      <c r="O1599" s="10">
        <v>0</v>
      </c>
    </row>
    <row r="1600" spans="1:15" x14ac:dyDescent="0.2">
      <c r="A1600" s="10" t="s">
        <v>984</v>
      </c>
      <c r="B1600" s="10" t="s">
        <v>759</v>
      </c>
      <c r="C1600" s="10" t="s">
        <v>112</v>
      </c>
      <c r="D1600" s="10" t="s">
        <v>51</v>
      </c>
      <c r="E1600" s="10" t="s">
        <v>52</v>
      </c>
      <c r="F1600" s="10" t="s">
        <v>318</v>
      </c>
      <c r="G1600" s="10" t="b">
        <f>FALSE()</f>
        <v>0</v>
      </c>
      <c r="H1600" s="10">
        <v>1</v>
      </c>
      <c r="I1600" s="10">
        <v>0</v>
      </c>
      <c r="J1600" s="10">
        <v>1</v>
      </c>
      <c r="K1600" s="10">
        <v>6</v>
      </c>
      <c r="L1600" s="10">
        <v>5</v>
      </c>
      <c r="M1600" s="10">
        <v>0</v>
      </c>
      <c r="N1600" s="10">
        <v>0</v>
      </c>
      <c r="O1600" s="10">
        <v>0</v>
      </c>
    </row>
    <row r="1601" spans="1:15" x14ac:dyDescent="0.2">
      <c r="A1601" s="10" t="s">
        <v>715</v>
      </c>
      <c r="B1601" s="10" t="s">
        <v>193</v>
      </c>
      <c r="C1601" s="10" t="s">
        <v>117</v>
      </c>
      <c r="D1601" s="10" t="s">
        <v>51</v>
      </c>
      <c r="E1601" s="10" t="s">
        <v>52</v>
      </c>
      <c r="F1601" s="10" t="s">
        <v>223</v>
      </c>
      <c r="G1601" s="10" t="b">
        <f>FALSE()</f>
        <v>0</v>
      </c>
      <c r="H1601" s="10">
        <v>1</v>
      </c>
      <c r="I1601" s="10">
        <v>0</v>
      </c>
      <c r="J1601" s="10">
        <v>1</v>
      </c>
      <c r="K1601" s="10">
        <v>129</v>
      </c>
      <c r="L1601" s="10">
        <v>5</v>
      </c>
      <c r="M1601" s="10">
        <v>0</v>
      </c>
      <c r="N1601" s="10">
        <v>0</v>
      </c>
      <c r="O1601" s="10">
        <v>0</v>
      </c>
    </row>
    <row r="1602" spans="1:15" x14ac:dyDescent="0.2">
      <c r="A1602" s="10" t="s">
        <v>985</v>
      </c>
      <c r="B1602" s="10" t="s">
        <v>43</v>
      </c>
      <c r="C1602" s="10" t="s">
        <v>44</v>
      </c>
      <c r="D1602" s="10" t="s">
        <v>45</v>
      </c>
      <c r="E1602" s="10" t="s">
        <v>46</v>
      </c>
      <c r="F1602" s="10" t="s">
        <v>92</v>
      </c>
      <c r="G1602" s="10" t="b">
        <f>FALSE()</f>
        <v>0</v>
      </c>
      <c r="H1602" s="10">
        <v>1</v>
      </c>
      <c r="I1602" s="10">
        <v>0</v>
      </c>
      <c r="J1602" s="10">
        <v>1</v>
      </c>
      <c r="K1602" s="10">
        <v>3</v>
      </c>
      <c r="L1602" s="10">
        <v>5</v>
      </c>
      <c r="M1602" s="10">
        <v>0</v>
      </c>
      <c r="N1602" s="10">
        <v>0</v>
      </c>
      <c r="O1602" s="10">
        <v>0</v>
      </c>
    </row>
    <row r="1603" spans="1:15" x14ac:dyDescent="0.2">
      <c r="A1603" s="10" t="s">
        <v>984</v>
      </c>
      <c r="B1603" s="10" t="s">
        <v>759</v>
      </c>
      <c r="C1603" s="10" t="s">
        <v>112</v>
      </c>
      <c r="D1603" s="10" t="s">
        <v>51</v>
      </c>
      <c r="E1603" s="10" t="s">
        <v>52</v>
      </c>
      <c r="F1603" s="10" t="s">
        <v>180</v>
      </c>
      <c r="G1603" s="10" t="b">
        <f>FALSE()</f>
        <v>0</v>
      </c>
      <c r="H1603" s="10">
        <v>1</v>
      </c>
      <c r="I1603" s="10">
        <v>0</v>
      </c>
      <c r="J1603" s="10">
        <v>1</v>
      </c>
      <c r="K1603" s="10">
        <v>5</v>
      </c>
      <c r="L1603" s="10">
        <v>4</v>
      </c>
      <c r="M1603" s="10">
        <v>0</v>
      </c>
      <c r="N1603" s="10">
        <v>0</v>
      </c>
      <c r="O1603" s="10">
        <v>0</v>
      </c>
    </row>
    <row r="1604" spans="1:15" x14ac:dyDescent="0.2">
      <c r="A1604" s="10" t="s">
        <v>780</v>
      </c>
      <c r="B1604" s="10" t="s">
        <v>128</v>
      </c>
      <c r="C1604" s="10" t="s">
        <v>50</v>
      </c>
      <c r="D1604" s="10" t="s">
        <v>51</v>
      </c>
      <c r="E1604" s="10" t="s">
        <v>52</v>
      </c>
      <c r="F1604" s="10" t="s">
        <v>986</v>
      </c>
      <c r="G1604" s="10" t="b">
        <f>FALSE()</f>
        <v>0</v>
      </c>
      <c r="H1604" s="10">
        <v>1</v>
      </c>
      <c r="I1604" s="10">
        <v>0</v>
      </c>
      <c r="J1604" s="10">
        <v>0</v>
      </c>
      <c r="K1604" s="10">
        <v>0</v>
      </c>
      <c r="L1604" s="10">
        <v>4</v>
      </c>
      <c r="M1604" s="10">
        <v>0</v>
      </c>
      <c r="N1604" s="10">
        <v>0</v>
      </c>
      <c r="O1604" s="10">
        <v>0</v>
      </c>
    </row>
    <row r="1605" spans="1:15" x14ac:dyDescent="0.2">
      <c r="A1605" s="10" t="s">
        <v>987</v>
      </c>
      <c r="B1605" s="10" t="s">
        <v>122</v>
      </c>
      <c r="C1605" s="10" t="s">
        <v>112</v>
      </c>
      <c r="D1605" s="10" t="s">
        <v>51</v>
      </c>
      <c r="E1605" s="10" t="s">
        <v>52</v>
      </c>
      <c r="F1605" s="10" t="s">
        <v>92</v>
      </c>
      <c r="G1605" s="10" t="b">
        <f>FALSE()</f>
        <v>0</v>
      </c>
      <c r="H1605" s="10">
        <v>1</v>
      </c>
      <c r="I1605" s="10">
        <v>0</v>
      </c>
      <c r="J1605" s="10">
        <v>1</v>
      </c>
      <c r="K1605" s="10">
        <v>14</v>
      </c>
      <c r="L1605" s="10">
        <v>4</v>
      </c>
      <c r="M1605" s="10">
        <v>0</v>
      </c>
      <c r="N1605" s="10">
        <v>0</v>
      </c>
      <c r="O1605" s="10">
        <v>0</v>
      </c>
    </row>
    <row r="1606" spans="1:15" x14ac:dyDescent="0.2">
      <c r="A1606" s="10" t="s">
        <v>988</v>
      </c>
      <c r="B1606" s="10" t="s">
        <v>111</v>
      </c>
      <c r="C1606" s="10" t="s">
        <v>112</v>
      </c>
      <c r="D1606" s="10" t="s">
        <v>51</v>
      </c>
      <c r="E1606" s="10" t="s">
        <v>52</v>
      </c>
      <c r="F1606" s="10" t="s">
        <v>155</v>
      </c>
      <c r="G1606" s="10" t="b">
        <f>TRUE()</f>
        <v>1</v>
      </c>
      <c r="H1606" s="10">
        <v>1</v>
      </c>
      <c r="I1606" s="10">
        <v>0</v>
      </c>
      <c r="J1606" s="10">
        <v>1</v>
      </c>
      <c r="K1606" s="10">
        <v>13</v>
      </c>
      <c r="L1606" s="10">
        <v>4</v>
      </c>
      <c r="M1606" s="10">
        <v>0</v>
      </c>
      <c r="N1606" s="10">
        <v>0</v>
      </c>
      <c r="O1606" s="10">
        <v>0</v>
      </c>
    </row>
    <row r="1607" spans="1:15" x14ac:dyDescent="0.2">
      <c r="A1607" s="10" t="s">
        <v>989</v>
      </c>
      <c r="B1607" s="10" t="s">
        <v>990</v>
      </c>
      <c r="C1607" s="10" t="s">
        <v>245</v>
      </c>
      <c r="D1607" s="10" t="s">
        <v>51</v>
      </c>
      <c r="E1607" s="10" t="s">
        <v>52</v>
      </c>
      <c r="F1607" s="10" t="s">
        <v>113</v>
      </c>
      <c r="G1607" s="10" t="b">
        <f>TRUE()</f>
        <v>1</v>
      </c>
      <c r="H1607" s="10">
        <v>1</v>
      </c>
      <c r="I1607" s="10">
        <v>0</v>
      </c>
      <c r="J1607" s="10">
        <v>2</v>
      </c>
      <c r="K1607" s="10">
        <v>20</v>
      </c>
      <c r="L1607" s="10">
        <v>4</v>
      </c>
      <c r="M1607" s="10">
        <v>0</v>
      </c>
      <c r="N1607" s="10">
        <v>0</v>
      </c>
      <c r="O1607" s="10">
        <v>0</v>
      </c>
    </row>
    <row r="1608" spans="1:15" x14ac:dyDescent="0.2">
      <c r="A1608" s="10" t="s">
        <v>991</v>
      </c>
      <c r="B1608" s="10" t="s">
        <v>321</v>
      </c>
      <c r="C1608" s="10" t="s">
        <v>245</v>
      </c>
      <c r="D1608" s="10" t="s">
        <v>51</v>
      </c>
      <c r="E1608" s="10" t="s">
        <v>52</v>
      </c>
      <c r="F1608" s="10" t="s">
        <v>97</v>
      </c>
      <c r="G1608" s="10" t="b">
        <f>TRUE()</f>
        <v>1</v>
      </c>
      <c r="H1608" s="10">
        <v>1</v>
      </c>
      <c r="I1608" s="10">
        <v>1</v>
      </c>
      <c r="J1608" s="10">
        <v>1</v>
      </c>
      <c r="K1608" s="10">
        <v>3</v>
      </c>
      <c r="L1608" s="10">
        <v>3</v>
      </c>
      <c r="M1608" s="10">
        <v>1</v>
      </c>
      <c r="N1608" s="10">
        <v>222</v>
      </c>
      <c r="O1608" s="10">
        <v>201</v>
      </c>
    </row>
    <row r="1609" spans="1:15" x14ac:dyDescent="0.2">
      <c r="A1609" s="10" t="s">
        <v>637</v>
      </c>
      <c r="B1609" s="10" t="s">
        <v>63</v>
      </c>
      <c r="C1609" s="10" t="s">
        <v>64</v>
      </c>
      <c r="D1609" s="10" t="s">
        <v>45</v>
      </c>
      <c r="E1609" s="10" t="s">
        <v>46</v>
      </c>
      <c r="F1609" s="10" t="s">
        <v>702</v>
      </c>
      <c r="G1609" s="10" t="b">
        <f>FALSE()</f>
        <v>0</v>
      </c>
      <c r="H1609" s="10">
        <v>1</v>
      </c>
      <c r="I1609" s="10">
        <v>0</v>
      </c>
      <c r="J1609" s="10">
        <v>1</v>
      </c>
      <c r="K1609" s="10">
        <v>8</v>
      </c>
      <c r="L1609" s="10">
        <v>3</v>
      </c>
      <c r="M1609" s="10">
        <v>0</v>
      </c>
      <c r="N1609" s="10">
        <v>0</v>
      </c>
      <c r="O1609" s="10">
        <v>0</v>
      </c>
    </row>
    <row r="1610" spans="1:15" x14ac:dyDescent="0.2">
      <c r="A1610" s="10" t="s">
        <v>992</v>
      </c>
      <c r="B1610" s="10" t="s">
        <v>89</v>
      </c>
      <c r="C1610" s="10" t="s">
        <v>90</v>
      </c>
      <c r="D1610" s="10" t="s">
        <v>51</v>
      </c>
      <c r="E1610" s="10" t="s">
        <v>52</v>
      </c>
      <c r="F1610" s="10" t="s">
        <v>47</v>
      </c>
      <c r="G1610" s="10" t="b">
        <f>FALSE()</f>
        <v>0</v>
      </c>
      <c r="H1610" s="10">
        <v>1</v>
      </c>
      <c r="I1610" s="10">
        <v>0</v>
      </c>
      <c r="J1610" s="10">
        <v>1</v>
      </c>
      <c r="K1610" s="10">
        <v>3</v>
      </c>
      <c r="L1610" s="10">
        <v>3</v>
      </c>
      <c r="M1610" s="10">
        <v>0</v>
      </c>
      <c r="N1610" s="10">
        <v>0</v>
      </c>
      <c r="O1610" s="10">
        <v>0</v>
      </c>
    </row>
    <row r="1611" spans="1:15" x14ac:dyDescent="0.2">
      <c r="A1611" s="10" t="s">
        <v>993</v>
      </c>
      <c r="B1611" s="10" t="s">
        <v>43</v>
      </c>
      <c r="C1611" s="10" t="s">
        <v>44</v>
      </c>
      <c r="D1611" s="10" t="s">
        <v>45</v>
      </c>
      <c r="E1611" s="10" t="s">
        <v>46</v>
      </c>
      <c r="F1611" s="10" t="s">
        <v>957</v>
      </c>
      <c r="G1611" s="10" t="b">
        <f>FALSE()</f>
        <v>0</v>
      </c>
      <c r="H1611" s="10">
        <v>1</v>
      </c>
      <c r="I1611" s="10">
        <v>0</v>
      </c>
      <c r="J1611" s="10">
        <v>0</v>
      </c>
      <c r="K1611" s="10">
        <v>0</v>
      </c>
      <c r="L1611" s="10">
        <v>3</v>
      </c>
      <c r="M1611" s="10">
        <v>0</v>
      </c>
      <c r="N1611" s="10">
        <v>0</v>
      </c>
      <c r="O1611" s="10">
        <v>0</v>
      </c>
    </row>
    <row r="1612" spans="1:15" x14ac:dyDescent="0.2">
      <c r="A1612" s="10" t="s">
        <v>868</v>
      </c>
      <c r="B1612" s="10" t="s">
        <v>89</v>
      </c>
      <c r="C1612" s="10" t="s">
        <v>90</v>
      </c>
      <c r="D1612" s="10" t="s">
        <v>51</v>
      </c>
      <c r="E1612" s="10" t="s">
        <v>52</v>
      </c>
      <c r="F1612" s="10" t="s">
        <v>212</v>
      </c>
      <c r="G1612" s="10" t="b">
        <f>FALSE()</f>
        <v>0</v>
      </c>
      <c r="H1612" s="10">
        <v>1</v>
      </c>
      <c r="I1612" s="10">
        <v>0</v>
      </c>
      <c r="J1612" s="10">
        <v>1</v>
      </c>
      <c r="K1612" s="10">
        <v>3</v>
      </c>
      <c r="L1612" s="10">
        <v>3</v>
      </c>
      <c r="M1612" s="10">
        <v>0</v>
      </c>
      <c r="N1612" s="10">
        <v>0</v>
      </c>
      <c r="O1612" s="10">
        <v>0</v>
      </c>
    </row>
    <row r="1613" spans="1:15" x14ac:dyDescent="0.2">
      <c r="A1613" s="10" t="s">
        <v>991</v>
      </c>
      <c r="B1613" s="10" t="s">
        <v>321</v>
      </c>
      <c r="C1613" s="10" t="s">
        <v>245</v>
      </c>
      <c r="D1613" s="10" t="s">
        <v>51</v>
      </c>
      <c r="E1613" s="10" t="s">
        <v>52</v>
      </c>
      <c r="F1613" s="10" t="s">
        <v>102</v>
      </c>
      <c r="G1613" s="10" t="b">
        <f>TRUE()</f>
        <v>1</v>
      </c>
      <c r="H1613" s="10">
        <v>1</v>
      </c>
      <c r="I1613" s="10">
        <v>1</v>
      </c>
      <c r="J1613" s="10">
        <v>1</v>
      </c>
      <c r="K1613" s="10">
        <v>2</v>
      </c>
      <c r="L1613" s="10">
        <v>2</v>
      </c>
      <c r="M1613" s="10">
        <v>1</v>
      </c>
      <c r="N1613" s="10">
        <v>161</v>
      </c>
      <c r="O1613" s="10">
        <v>153</v>
      </c>
    </row>
    <row r="1614" spans="1:15" x14ac:dyDescent="0.2">
      <c r="A1614" s="10" t="s">
        <v>150</v>
      </c>
      <c r="B1614" s="10" t="s">
        <v>151</v>
      </c>
      <c r="C1614" s="10" t="s">
        <v>64</v>
      </c>
      <c r="D1614" s="10" t="s">
        <v>45</v>
      </c>
      <c r="E1614" s="10" t="s">
        <v>46</v>
      </c>
      <c r="F1614" s="10" t="s">
        <v>123</v>
      </c>
      <c r="G1614" s="10" t="b">
        <f>FALSE()</f>
        <v>0</v>
      </c>
      <c r="H1614" s="10">
        <v>1</v>
      </c>
      <c r="I1614" s="10">
        <v>1</v>
      </c>
      <c r="J1614" s="10">
        <v>1</v>
      </c>
      <c r="K1614" s="10">
        <v>2</v>
      </c>
      <c r="L1614" s="10">
        <v>2</v>
      </c>
      <c r="M1614" s="10">
        <v>1</v>
      </c>
      <c r="N1614" s="10">
        <v>70</v>
      </c>
      <c r="O1614" s="10">
        <v>69</v>
      </c>
    </row>
    <row r="1615" spans="1:15" x14ac:dyDescent="0.2">
      <c r="A1615" s="10" t="s">
        <v>715</v>
      </c>
      <c r="B1615" s="10" t="s">
        <v>193</v>
      </c>
      <c r="C1615" s="10" t="s">
        <v>117</v>
      </c>
      <c r="D1615" s="10" t="s">
        <v>51</v>
      </c>
      <c r="E1615" s="10" t="s">
        <v>52</v>
      </c>
      <c r="F1615" s="10" t="s">
        <v>113</v>
      </c>
      <c r="G1615" s="10" t="b">
        <f>TRUE()</f>
        <v>1</v>
      </c>
      <c r="H1615" s="10">
        <v>1</v>
      </c>
      <c r="I1615" s="10">
        <v>0</v>
      </c>
      <c r="J1615" s="10">
        <v>1</v>
      </c>
      <c r="K1615" s="10">
        <v>28</v>
      </c>
      <c r="L1615" s="10">
        <v>2</v>
      </c>
      <c r="M1615" s="10">
        <v>0</v>
      </c>
      <c r="N1615" s="10">
        <v>0</v>
      </c>
      <c r="O1615" s="10">
        <v>0</v>
      </c>
    </row>
    <row r="1616" spans="1:15" x14ac:dyDescent="0.2">
      <c r="A1616" s="10" t="s">
        <v>993</v>
      </c>
      <c r="B1616" s="10" t="s">
        <v>43</v>
      </c>
      <c r="C1616" s="10" t="s">
        <v>44</v>
      </c>
      <c r="D1616" s="10" t="s">
        <v>45</v>
      </c>
      <c r="E1616" s="10" t="s">
        <v>46</v>
      </c>
      <c r="F1616" s="10" t="s">
        <v>702</v>
      </c>
      <c r="G1616" s="10" t="b">
        <f>FALSE()</f>
        <v>0</v>
      </c>
      <c r="H1616" s="10">
        <v>1</v>
      </c>
      <c r="I1616" s="10">
        <v>0</v>
      </c>
      <c r="J1616" s="10">
        <v>0</v>
      </c>
      <c r="K1616" s="10">
        <v>0</v>
      </c>
      <c r="L1616" s="10">
        <v>2</v>
      </c>
      <c r="M1616" s="10">
        <v>0</v>
      </c>
      <c r="N1616" s="10">
        <v>0</v>
      </c>
      <c r="O1616" s="10">
        <v>0</v>
      </c>
    </row>
    <row r="1617" spans="1:15" x14ac:dyDescent="0.2">
      <c r="A1617" s="10" t="s">
        <v>994</v>
      </c>
      <c r="B1617" s="10" t="s">
        <v>167</v>
      </c>
      <c r="C1617" s="10" t="s">
        <v>64</v>
      </c>
      <c r="D1617" s="10" t="s">
        <v>45</v>
      </c>
      <c r="E1617" s="10" t="s">
        <v>46</v>
      </c>
      <c r="F1617" s="10" t="s">
        <v>85</v>
      </c>
      <c r="G1617" s="10" t="b">
        <f>FALSE()</f>
        <v>0</v>
      </c>
      <c r="H1617" s="10">
        <v>1</v>
      </c>
      <c r="I1617" s="10">
        <v>0</v>
      </c>
      <c r="J1617" s="10">
        <v>1</v>
      </c>
      <c r="K1617" s="10">
        <v>2</v>
      </c>
      <c r="L1617" s="10">
        <v>2</v>
      </c>
      <c r="M1617" s="10">
        <v>0</v>
      </c>
      <c r="N1617" s="10">
        <v>0</v>
      </c>
      <c r="O1617" s="10">
        <v>0</v>
      </c>
    </row>
    <row r="1618" spans="1:15" x14ac:dyDescent="0.2">
      <c r="A1618" s="10" t="s">
        <v>982</v>
      </c>
      <c r="B1618" s="10" t="s">
        <v>157</v>
      </c>
      <c r="C1618" s="10" t="s">
        <v>64</v>
      </c>
      <c r="D1618" s="10" t="s">
        <v>45</v>
      </c>
      <c r="E1618" s="10" t="s">
        <v>46</v>
      </c>
      <c r="F1618" s="10" t="s">
        <v>373</v>
      </c>
      <c r="G1618" s="10" t="b">
        <f>FALSE()</f>
        <v>0</v>
      </c>
      <c r="H1618" s="10">
        <v>1</v>
      </c>
      <c r="I1618" s="10">
        <v>0</v>
      </c>
      <c r="J1618" s="10">
        <v>1</v>
      </c>
      <c r="K1618" s="10">
        <v>2</v>
      </c>
      <c r="L1618" s="10">
        <v>2</v>
      </c>
      <c r="M1618" s="10">
        <v>0</v>
      </c>
      <c r="N1618" s="10">
        <v>0</v>
      </c>
      <c r="O1618" s="10">
        <v>0</v>
      </c>
    </row>
    <row r="1619" spans="1:15" x14ac:dyDescent="0.2">
      <c r="A1619" s="10" t="s">
        <v>946</v>
      </c>
      <c r="B1619" s="10" t="s">
        <v>89</v>
      </c>
      <c r="C1619" s="10" t="s">
        <v>90</v>
      </c>
      <c r="D1619" s="10" t="s">
        <v>51</v>
      </c>
      <c r="E1619" s="10" t="s">
        <v>52</v>
      </c>
      <c r="F1619" s="10" t="s">
        <v>183</v>
      </c>
      <c r="G1619" s="10" t="b">
        <f>FALSE()</f>
        <v>0</v>
      </c>
      <c r="H1619" s="10">
        <v>1</v>
      </c>
      <c r="I1619" s="10">
        <v>1</v>
      </c>
      <c r="J1619" s="10">
        <v>1</v>
      </c>
      <c r="K1619" s="10">
        <v>1</v>
      </c>
      <c r="L1619" s="10">
        <v>1</v>
      </c>
      <c r="M1619" s="10">
        <v>1</v>
      </c>
      <c r="N1619" s="10">
        <v>191</v>
      </c>
      <c r="O1619" s="10">
        <v>152</v>
      </c>
    </row>
    <row r="1620" spans="1:15" x14ac:dyDescent="0.2">
      <c r="A1620" s="10" t="s">
        <v>995</v>
      </c>
      <c r="B1620" s="10" t="s">
        <v>165</v>
      </c>
      <c r="C1620" s="10" t="s">
        <v>112</v>
      </c>
      <c r="D1620" s="10" t="s">
        <v>51</v>
      </c>
      <c r="E1620" s="10" t="s">
        <v>52</v>
      </c>
      <c r="F1620" s="10" t="s">
        <v>190</v>
      </c>
      <c r="G1620" s="10" t="b">
        <f>TRUE()</f>
        <v>1</v>
      </c>
      <c r="H1620" s="10">
        <v>1</v>
      </c>
      <c r="I1620" s="10">
        <v>1</v>
      </c>
      <c r="J1620" s="10">
        <v>1</v>
      </c>
      <c r="K1620" s="10">
        <v>1</v>
      </c>
      <c r="L1620" s="10">
        <v>1</v>
      </c>
      <c r="M1620" s="10">
        <v>1</v>
      </c>
      <c r="N1620" s="10">
        <v>75</v>
      </c>
      <c r="O1620" s="10">
        <v>70</v>
      </c>
    </row>
    <row r="1621" spans="1:15" x14ac:dyDescent="0.2">
      <c r="A1621" s="10" t="s">
        <v>996</v>
      </c>
      <c r="B1621" s="10" t="s">
        <v>146</v>
      </c>
      <c r="C1621" s="10" t="s">
        <v>105</v>
      </c>
      <c r="D1621" s="10" t="s">
        <v>45</v>
      </c>
      <c r="E1621" s="10" t="s">
        <v>46</v>
      </c>
      <c r="F1621" s="10" t="s">
        <v>113</v>
      </c>
      <c r="G1621" s="10" t="b">
        <f>TRUE()</f>
        <v>1</v>
      </c>
      <c r="H1621" s="10">
        <v>1</v>
      </c>
      <c r="I1621" s="10">
        <v>1</v>
      </c>
      <c r="J1621" s="10">
        <v>1</v>
      </c>
      <c r="K1621" s="10">
        <v>1</v>
      </c>
      <c r="L1621" s="10">
        <v>1</v>
      </c>
      <c r="M1621" s="10">
        <v>1</v>
      </c>
      <c r="N1621" s="10">
        <v>25</v>
      </c>
      <c r="O1621" s="10">
        <v>25</v>
      </c>
    </row>
    <row r="1622" spans="1:15" x14ac:dyDescent="0.2">
      <c r="A1622" s="10" t="s">
        <v>383</v>
      </c>
      <c r="B1622" s="10" t="s">
        <v>384</v>
      </c>
      <c r="C1622" s="10" t="s">
        <v>50</v>
      </c>
      <c r="D1622" s="10" t="s">
        <v>51</v>
      </c>
      <c r="E1622" s="10" t="s">
        <v>52</v>
      </c>
      <c r="F1622" s="10" t="s">
        <v>345</v>
      </c>
      <c r="G1622" s="10" t="b">
        <f>FALSE()</f>
        <v>0</v>
      </c>
      <c r="H1622" s="10">
        <v>1</v>
      </c>
      <c r="I1622" s="10">
        <v>1</v>
      </c>
      <c r="J1622" s="10">
        <v>1</v>
      </c>
      <c r="K1622" s="10">
        <v>16</v>
      </c>
      <c r="L1622" s="10">
        <v>1</v>
      </c>
      <c r="M1622" s="10">
        <v>1</v>
      </c>
      <c r="N1622" s="10">
        <v>16</v>
      </c>
      <c r="O1622" s="10">
        <v>16</v>
      </c>
    </row>
    <row r="1623" spans="1:15" x14ac:dyDescent="0.2">
      <c r="A1623" s="10" t="s">
        <v>997</v>
      </c>
      <c r="B1623" s="10" t="s">
        <v>238</v>
      </c>
      <c r="C1623" s="10" t="s">
        <v>90</v>
      </c>
      <c r="D1623" s="10" t="s">
        <v>51</v>
      </c>
      <c r="E1623" s="10" t="s">
        <v>52</v>
      </c>
      <c r="F1623" s="10" t="s">
        <v>345</v>
      </c>
      <c r="G1623" s="10" t="b">
        <f>FALSE()</f>
        <v>0</v>
      </c>
      <c r="H1623" s="10">
        <v>1</v>
      </c>
      <c r="I1623" s="10">
        <v>0</v>
      </c>
      <c r="J1623" s="10">
        <v>1</v>
      </c>
      <c r="K1623" s="10">
        <v>17</v>
      </c>
      <c r="L1623" s="10">
        <v>1</v>
      </c>
      <c r="M1623" s="10">
        <v>0</v>
      </c>
      <c r="N1623" s="10">
        <v>0</v>
      </c>
      <c r="O1623" s="10">
        <v>0</v>
      </c>
    </row>
    <row r="1624" spans="1:15" x14ac:dyDescent="0.2">
      <c r="A1624" s="10" t="s">
        <v>560</v>
      </c>
      <c r="B1624" s="10" t="s">
        <v>96</v>
      </c>
      <c r="C1624" s="10" t="s">
        <v>50</v>
      </c>
      <c r="D1624" s="10" t="s">
        <v>51</v>
      </c>
      <c r="E1624" s="10" t="s">
        <v>52</v>
      </c>
      <c r="F1624" s="10" t="s">
        <v>207</v>
      </c>
      <c r="G1624" s="10" t="b">
        <f>FALSE()</f>
        <v>0</v>
      </c>
      <c r="H1624" s="10">
        <v>1</v>
      </c>
      <c r="I1624" s="10">
        <v>0</v>
      </c>
      <c r="J1624" s="10">
        <v>2</v>
      </c>
      <c r="K1624" s="10">
        <v>34</v>
      </c>
      <c r="L1624" s="10">
        <v>1</v>
      </c>
      <c r="M1624" s="10">
        <v>0</v>
      </c>
      <c r="N1624" s="10">
        <v>0</v>
      </c>
      <c r="O1624" s="10">
        <v>0</v>
      </c>
    </row>
    <row r="1625" spans="1:15" x14ac:dyDescent="0.2">
      <c r="A1625" s="10" t="s">
        <v>560</v>
      </c>
      <c r="B1625" s="10" t="s">
        <v>96</v>
      </c>
      <c r="C1625" s="10" t="s">
        <v>50</v>
      </c>
      <c r="D1625" s="10" t="s">
        <v>51</v>
      </c>
      <c r="E1625" s="10" t="s">
        <v>52</v>
      </c>
      <c r="F1625" s="10" t="s">
        <v>190</v>
      </c>
      <c r="G1625" s="10" t="b">
        <f>TRUE()</f>
        <v>1</v>
      </c>
      <c r="H1625" s="10">
        <v>1</v>
      </c>
      <c r="I1625" s="10">
        <v>0</v>
      </c>
      <c r="J1625" s="10">
        <v>2</v>
      </c>
      <c r="K1625" s="10">
        <v>51</v>
      </c>
      <c r="L1625" s="10">
        <v>1</v>
      </c>
      <c r="M1625" s="10">
        <v>0</v>
      </c>
      <c r="N1625" s="10">
        <v>0</v>
      </c>
      <c r="O1625" s="10">
        <v>0</v>
      </c>
    </row>
    <row r="1626" spans="1:15" x14ac:dyDescent="0.2">
      <c r="A1626" s="10" t="s">
        <v>696</v>
      </c>
      <c r="B1626" s="10" t="s">
        <v>72</v>
      </c>
      <c r="C1626" s="10" t="s">
        <v>73</v>
      </c>
      <c r="D1626" s="10" t="s">
        <v>45</v>
      </c>
      <c r="E1626" s="10" t="s">
        <v>46</v>
      </c>
      <c r="F1626" s="10" t="s">
        <v>94</v>
      </c>
      <c r="G1626" s="10" t="b">
        <f>FALSE()</f>
        <v>0</v>
      </c>
      <c r="H1626" s="10">
        <v>1</v>
      </c>
      <c r="I1626" s="10">
        <v>0</v>
      </c>
      <c r="J1626" s="10">
        <v>1</v>
      </c>
      <c r="K1626" s="10">
        <v>31</v>
      </c>
      <c r="L1626" s="10">
        <v>1</v>
      </c>
      <c r="M1626" s="10">
        <v>0</v>
      </c>
      <c r="N1626" s="10">
        <v>0</v>
      </c>
      <c r="O1626" s="10">
        <v>0</v>
      </c>
    </row>
    <row r="1627" spans="1:15" x14ac:dyDescent="0.2">
      <c r="A1627" s="10" t="s">
        <v>998</v>
      </c>
      <c r="B1627" s="10" t="s">
        <v>146</v>
      </c>
      <c r="C1627" s="10" t="s">
        <v>105</v>
      </c>
      <c r="D1627" s="10" t="s">
        <v>45</v>
      </c>
      <c r="E1627" s="10" t="s">
        <v>46</v>
      </c>
      <c r="F1627" s="10" t="s">
        <v>94</v>
      </c>
      <c r="G1627" s="10" t="b">
        <f>FALSE()</f>
        <v>0</v>
      </c>
      <c r="H1627" s="10">
        <v>1</v>
      </c>
      <c r="I1627" s="10">
        <v>0</v>
      </c>
      <c r="J1627" s="10">
        <v>1</v>
      </c>
      <c r="K1627" s="10">
        <v>1</v>
      </c>
      <c r="L1627" s="10">
        <v>1</v>
      </c>
      <c r="M1627" s="10">
        <v>0</v>
      </c>
      <c r="N1627" s="10">
        <v>0</v>
      </c>
      <c r="O1627" s="10">
        <v>0</v>
      </c>
    </row>
    <row r="1628" spans="1:15" x14ac:dyDescent="0.2">
      <c r="A1628" s="10" t="s">
        <v>999</v>
      </c>
      <c r="B1628" s="10" t="s">
        <v>146</v>
      </c>
      <c r="C1628" s="10" t="s">
        <v>105</v>
      </c>
      <c r="D1628" s="10" t="s">
        <v>45</v>
      </c>
      <c r="E1628" s="10" t="s">
        <v>46</v>
      </c>
      <c r="F1628" s="10" t="s">
        <v>94</v>
      </c>
      <c r="G1628" s="10" t="b">
        <f>FALSE()</f>
        <v>0</v>
      </c>
      <c r="H1628" s="10">
        <v>1</v>
      </c>
      <c r="I1628" s="10">
        <v>0</v>
      </c>
      <c r="J1628" s="10">
        <v>1</v>
      </c>
      <c r="K1628" s="10">
        <v>1</v>
      </c>
      <c r="L1628" s="10">
        <v>1</v>
      </c>
      <c r="M1628" s="10">
        <v>0</v>
      </c>
      <c r="N1628" s="10">
        <v>0</v>
      </c>
      <c r="O1628" s="10">
        <v>0</v>
      </c>
    </row>
    <row r="1629" spans="1:15" x14ac:dyDescent="0.2">
      <c r="A1629" s="10" t="s">
        <v>1000</v>
      </c>
      <c r="B1629" s="10" t="s">
        <v>67</v>
      </c>
      <c r="C1629" s="10" t="s">
        <v>64</v>
      </c>
      <c r="D1629" s="10" t="s">
        <v>45</v>
      </c>
      <c r="E1629" s="10" t="s">
        <v>46</v>
      </c>
      <c r="F1629" s="10" t="s">
        <v>1001</v>
      </c>
      <c r="G1629" s="10" t="b">
        <f>FALSE()</f>
        <v>0</v>
      </c>
      <c r="H1629" s="10">
        <v>1</v>
      </c>
      <c r="I1629" s="10">
        <v>0</v>
      </c>
      <c r="J1629" s="10">
        <v>0</v>
      </c>
      <c r="K1629" s="10">
        <v>0</v>
      </c>
      <c r="L1629" s="10">
        <v>1</v>
      </c>
      <c r="M1629" s="10">
        <v>0</v>
      </c>
      <c r="N1629" s="10">
        <v>0</v>
      </c>
      <c r="O1629" s="10">
        <v>0</v>
      </c>
    </row>
    <row r="1630" spans="1:15" x14ac:dyDescent="0.2">
      <c r="A1630" s="10" t="s">
        <v>1002</v>
      </c>
      <c r="B1630" s="10" t="s">
        <v>146</v>
      </c>
      <c r="C1630" s="10" t="s">
        <v>105</v>
      </c>
      <c r="D1630" s="10" t="s">
        <v>45</v>
      </c>
      <c r="E1630" s="10" t="s">
        <v>46</v>
      </c>
      <c r="F1630" s="10" t="s">
        <v>85</v>
      </c>
      <c r="G1630" s="10" t="b">
        <f>FALSE()</f>
        <v>0</v>
      </c>
      <c r="H1630" s="10">
        <v>1</v>
      </c>
      <c r="I1630" s="10">
        <v>0</v>
      </c>
      <c r="J1630" s="10">
        <v>1</v>
      </c>
      <c r="K1630" s="10">
        <v>1</v>
      </c>
      <c r="L1630" s="10">
        <v>1</v>
      </c>
      <c r="M1630" s="10">
        <v>0</v>
      </c>
      <c r="N1630" s="10">
        <v>0</v>
      </c>
      <c r="O1630" s="10">
        <v>0</v>
      </c>
    </row>
    <row r="1631" spans="1:15" x14ac:dyDescent="0.2">
      <c r="A1631" s="10" t="s">
        <v>1003</v>
      </c>
      <c r="B1631" s="10" t="s">
        <v>146</v>
      </c>
      <c r="C1631" s="10" t="s">
        <v>105</v>
      </c>
      <c r="D1631" s="10" t="s">
        <v>45</v>
      </c>
      <c r="E1631" s="10" t="s">
        <v>46</v>
      </c>
      <c r="F1631" s="10" t="s">
        <v>113</v>
      </c>
      <c r="G1631" s="10" t="b">
        <f>TRUE()</f>
        <v>1</v>
      </c>
      <c r="H1631" s="10">
        <v>1</v>
      </c>
      <c r="I1631" s="10">
        <v>0</v>
      </c>
      <c r="J1631" s="10">
        <v>1</v>
      </c>
      <c r="K1631" s="10">
        <v>1</v>
      </c>
      <c r="L1631" s="10">
        <v>1</v>
      </c>
      <c r="M1631" s="10">
        <v>0</v>
      </c>
      <c r="N1631" s="10">
        <v>0</v>
      </c>
      <c r="O1631" s="10">
        <v>0</v>
      </c>
    </row>
    <row r="1632" spans="1:15" x14ac:dyDescent="0.2">
      <c r="A1632" s="10" t="s">
        <v>1004</v>
      </c>
      <c r="B1632" s="10" t="s">
        <v>139</v>
      </c>
      <c r="C1632" s="10" t="s">
        <v>64</v>
      </c>
      <c r="D1632" s="10" t="s">
        <v>45</v>
      </c>
      <c r="E1632" s="10" t="s">
        <v>46</v>
      </c>
      <c r="F1632" s="10" t="s">
        <v>85</v>
      </c>
      <c r="G1632" s="10" t="b">
        <f>FALSE()</f>
        <v>0</v>
      </c>
      <c r="H1632" s="10">
        <v>0</v>
      </c>
      <c r="I1632" s="10">
        <v>1</v>
      </c>
      <c r="J1632" s="10">
        <v>0</v>
      </c>
      <c r="K1632" s="10">
        <v>0</v>
      </c>
      <c r="L1632" s="10">
        <v>0</v>
      </c>
      <c r="M1632" s="10">
        <v>1</v>
      </c>
      <c r="N1632" s="10">
        <v>4831</v>
      </c>
      <c r="O1632" s="10">
        <v>4687</v>
      </c>
    </row>
    <row r="1633" spans="1:15" x14ac:dyDescent="0.2">
      <c r="A1633" s="10" t="s">
        <v>319</v>
      </c>
      <c r="B1633" s="10" t="s">
        <v>43</v>
      </c>
      <c r="C1633" s="10" t="s">
        <v>44</v>
      </c>
      <c r="D1633" s="10" t="s">
        <v>45</v>
      </c>
      <c r="E1633" s="10" t="s">
        <v>46</v>
      </c>
      <c r="F1633" s="10" t="s">
        <v>85</v>
      </c>
      <c r="G1633" s="10" t="b">
        <f>FALSE()</f>
        <v>0</v>
      </c>
      <c r="H1633" s="10">
        <v>0</v>
      </c>
      <c r="I1633" s="10">
        <v>1</v>
      </c>
      <c r="J1633" s="10">
        <v>0</v>
      </c>
      <c r="K1633" s="10">
        <v>0</v>
      </c>
      <c r="L1633" s="10">
        <v>0</v>
      </c>
      <c r="M1633" s="10">
        <v>1</v>
      </c>
      <c r="N1633" s="10">
        <v>4582</v>
      </c>
      <c r="O1633" s="10">
        <v>4568</v>
      </c>
    </row>
    <row r="1634" spans="1:15" x14ac:dyDescent="0.2">
      <c r="A1634" s="10" t="s">
        <v>1005</v>
      </c>
      <c r="B1634" s="10" t="s">
        <v>139</v>
      </c>
      <c r="C1634" s="10" t="s">
        <v>64</v>
      </c>
      <c r="D1634" s="10" t="s">
        <v>45</v>
      </c>
      <c r="E1634" s="10" t="s">
        <v>46</v>
      </c>
      <c r="F1634" s="10" t="s">
        <v>85</v>
      </c>
      <c r="G1634" s="10" t="b">
        <f>FALSE()</f>
        <v>0</v>
      </c>
      <c r="H1634" s="10">
        <v>0</v>
      </c>
      <c r="I1634" s="10">
        <v>1</v>
      </c>
      <c r="J1634" s="10">
        <v>0</v>
      </c>
      <c r="K1634" s="10">
        <v>0</v>
      </c>
      <c r="L1634" s="10">
        <v>0</v>
      </c>
      <c r="M1634" s="10">
        <v>1</v>
      </c>
      <c r="N1634" s="10">
        <v>3976</v>
      </c>
      <c r="O1634" s="10">
        <v>3951</v>
      </c>
    </row>
    <row r="1635" spans="1:15" x14ac:dyDescent="0.2">
      <c r="A1635" s="10" t="s">
        <v>1006</v>
      </c>
      <c r="B1635" s="10" t="s">
        <v>167</v>
      </c>
      <c r="C1635" s="10" t="s">
        <v>64</v>
      </c>
      <c r="D1635" s="10" t="s">
        <v>45</v>
      </c>
      <c r="E1635" s="10" t="s">
        <v>46</v>
      </c>
      <c r="F1635" s="10" t="s">
        <v>85</v>
      </c>
      <c r="G1635" s="10" t="b">
        <f>FALSE()</f>
        <v>0</v>
      </c>
      <c r="H1635" s="10">
        <v>0</v>
      </c>
      <c r="I1635" s="10">
        <v>1</v>
      </c>
      <c r="J1635" s="10">
        <v>0</v>
      </c>
      <c r="K1635" s="10">
        <v>0</v>
      </c>
      <c r="L1635" s="10">
        <v>0</v>
      </c>
      <c r="M1635" s="10">
        <v>1</v>
      </c>
      <c r="N1635" s="10">
        <v>3602</v>
      </c>
      <c r="O1635" s="10">
        <v>3501</v>
      </c>
    </row>
    <row r="1636" spans="1:15" x14ac:dyDescent="0.2">
      <c r="A1636" s="10" t="s">
        <v>1007</v>
      </c>
      <c r="B1636" s="10" t="s">
        <v>43</v>
      </c>
      <c r="C1636" s="10" t="s">
        <v>44</v>
      </c>
      <c r="D1636" s="10" t="s">
        <v>45</v>
      </c>
      <c r="E1636" s="10" t="s">
        <v>46</v>
      </c>
      <c r="F1636" s="10" t="s">
        <v>85</v>
      </c>
      <c r="G1636" s="10" t="b">
        <f>FALSE()</f>
        <v>0</v>
      </c>
      <c r="H1636" s="10">
        <v>0</v>
      </c>
      <c r="I1636" s="10">
        <v>1</v>
      </c>
      <c r="J1636" s="10">
        <v>0</v>
      </c>
      <c r="K1636" s="10">
        <v>0</v>
      </c>
      <c r="L1636" s="10">
        <v>0</v>
      </c>
      <c r="M1636" s="10">
        <v>1</v>
      </c>
      <c r="N1636" s="10">
        <v>3503</v>
      </c>
      <c r="O1636" s="10">
        <v>3490</v>
      </c>
    </row>
    <row r="1637" spans="1:15" x14ac:dyDescent="0.2">
      <c r="A1637" s="10" t="s">
        <v>1008</v>
      </c>
      <c r="B1637" s="10" t="s">
        <v>172</v>
      </c>
      <c r="C1637" s="10" t="s">
        <v>44</v>
      </c>
      <c r="D1637" s="10" t="s">
        <v>45</v>
      </c>
      <c r="E1637" s="10" t="s">
        <v>46</v>
      </c>
      <c r="F1637" s="10" t="s">
        <v>85</v>
      </c>
      <c r="G1637" s="10" t="b">
        <f>FALSE()</f>
        <v>0</v>
      </c>
      <c r="H1637" s="10">
        <v>0</v>
      </c>
      <c r="I1637" s="10">
        <v>1</v>
      </c>
      <c r="J1637" s="10">
        <v>0</v>
      </c>
      <c r="K1637" s="10">
        <v>0</v>
      </c>
      <c r="L1637" s="10">
        <v>0</v>
      </c>
      <c r="M1637" s="10">
        <v>1</v>
      </c>
      <c r="N1637" s="10">
        <v>3420</v>
      </c>
      <c r="O1637" s="10">
        <v>3386</v>
      </c>
    </row>
    <row r="1638" spans="1:15" x14ac:dyDescent="0.2">
      <c r="A1638" s="10" t="s">
        <v>1009</v>
      </c>
      <c r="B1638" s="10" t="s">
        <v>178</v>
      </c>
      <c r="C1638" s="10" t="s">
        <v>73</v>
      </c>
      <c r="D1638" s="10" t="s">
        <v>45</v>
      </c>
      <c r="E1638" s="10" t="s">
        <v>46</v>
      </c>
      <c r="F1638" s="10" t="s">
        <v>85</v>
      </c>
      <c r="G1638" s="10" t="b">
        <f>FALSE()</f>
        <v>0</v>
      </c>
      <c r="H1638" s="10">
        <v>0</v>
      </c>
      <c r="I1638" s="10">
        <v>1</v>
      </c>
      <c r="J1638" s="10">
        <v>0</v>
      </c>
      <c r="K1638" s="10">
        <v>0</v>
      </c>
      <c r="L1638" s="10">
        <v>0</v>
      </c>
      <c r="M1638" s="10">
        <v>1</v>
      </c>
      <c r="N1638" s="10">
        <v>3341</v>
      </c>
      <c r="O1638" s="10">
        <v>3336</v>
      </c>
    </row>
    <row r="1639" spans="1:15" x14ac:dyDescent="0.2">
      <c r="A1639" s="10" t="s">
        <v>1010</v>
      </c>
      <c r="B1639" s="10" t="s">
        <v>43</v>
      </c>
      <c r="C1639" s="10" t="s">
        <v>44</v>
      </c>
      <c r="D1639" s="10" t="s">
        <v>45</v>
      </c>
      <c r="E1639" s="10" t="s">
        <v>46</v>
      </c>
      <c r="F1639" s="10" t="s">
        <v>85</v>
      </c>
      <c r="G1639" s="10" t="b">
        <f>FALSE()</f>
        <v>0</v>
      </c>
      <c r="H1639" s="10">
        <v>0</v>
      </c>
      <c r="I1639" s="10">
        <v>1</v>
      </c>
      <c r="J1639" s="10">
        <v>0</v>
      </c>
      <c r="K1639" s="10">
        <v>0</v>
      </c>
      <c r="L1639" s="10">
        <v>0</v>
      </c>
      <c r="M1639" s="10">
        <v>1</v>
      </c>
      <c r="N1639" s="10">
        <v>3134</v>
      </c>
      <c r="O1639" s="10">
        <v>3110</v>
      </c>
    </row>
    <row r="1640" spans="1:15" x14ac:dyDescent="0.2">
      <c r="A1640" s="10" t="s">
        <v>1011</v>
      </c>
      <c r="B1640" s="10" t="s">
        <v>172</v>
      </c>
      <c r="C1640" s="10" t="s">
        <v>44</v>
      </c>
      <c r="D1640" s="10" t="s">
        <v>45</v>
      </c>
      <c r="E1640" s="10" t="s">
        <v>46</v>
      </c>
      <c r="F1640" s="10" t="s">
        <v>85</v>
      </c>
      <c r="G1640" s="10" t="b">
        <f>FALSE()</f>
        <v>0</v>
      </c>
      <c r="H1640" s="10">
        <v>0</v>
      </c>
      <c r="I1640" s="10">
        <v>1</v>
      </c>
      <c r="J1640" s="10">
        <v>0</v>
      </c>
      <c r="K1640" s="10">
        <v>0</v>
      </c>
      <c r="L1640" s="10">
        <v>0</v>
      </c>
      <c r="M1640" s="10">
        <v>1</v>
      </c>
      <c r="N1640" s="10">
        <v>3104</v>
      </c>
      <c r="O1640" s="10">
        <v>3101</v>
      </c>
    </row>
    <row r="1641" spans="1:15" x14ac:dyDescent="0.2">
      <c r="A1641" s="10" t="s">
        <v>1012</v>
      </c>
      <c r="B1641" s="10" t="s">
        <v>63</v>
      </c>
      <c r="C1641" s="10" t="s">
        <v>64</v>
      </c>
      <c r="D1641" s="10" t="s">
        <v>45</v>
      </c>
      <c r="E1641" s="10" t="s">
        <v>46</v>
      </c>
      <c r="F1641" s="10" t="s">
        <v>85</v>
      </c>
      <c r="G1641" s="10" t="b">
        <f>FALSE()</f>
        <v>0</v>
      </c>
      <c r="H1641" s="10">
        <v>0</v>
      </c>
      <c r="I1641" s="10">
        <v>1</v>
      </c>
      <c r="J1641" s="10">
        <v>0</v>
      </c>
      <c r="K1641" s="10">
        <v>0</v>
      </c>
      <c r="L1641" s="10">
        <v>0</v>
      </c>
      <c r="M1641" s="10">
        <v>1</v>
      </c>
      <c r="N1641" s="10">
        <v>3158</v>
      </c>
      <c r="O1641" s="10">
        <v>3067</v>
      </c>
    </row>
    <row r="1642" spans="1:15" x14ac:dyDescent="0.2">
      <c r="A1642" s="10" t="s">
        <v>1013</v>
      </c>
      <c r="B1642" s="10" t="s">
        <v>172</v>
      </c>
      <c r="C1642" s="10" t="s">
        <v>44</v>
      </c>
      <c r="D1642" s="10" t="s">
        <v>45</v>
      </c>
      <c r="E1642" s="10" t="s">
        <v>46</v>
      </c>
      <c r="F1642" s="10" t="s">
        <v>85</v>
      </c>
      <c r="G1642" s="10" t="b">
        <f>FALSE()</f>
        <v>0</v>
      </c>
      <c r="H1642" s="10">
        <v>0</v>
      </c>
      <c r="I1642" s="10">
        <v>1</v>
      </c>
      <c r="J1642" s="10">
        <v>0</v>
      </c>
      <c r="K1642" s="10">
        <v>0</v>
      </c>
      <c r="L1642" s="10">
        <v>0</v>
      </c>
      <c r="M1642" s="10">
        <v>1</v>
      </c>
      <c r="N1642" s="10">
        <v>2755</v>
      </c>
      <c r="O1642" s="10">
        <v>2754</v>
      </c>
    </row>
    <row r="1643" spans="1:15" x14ac:dyDescent="0.2">
      <c r="A1643" s="10" t="s">
        <v>1014</v>
      </c>
      <c r="B1643" s="10" t="s">
        <v>139</v>
      </c>
      <c r="C1643" s="10" t="s">
        <v>64</v>
      </c>
      <c r="D1643" s="10" t="s">
        <v>45</v>
      </c>
      <c r="E1643" s="10" t="s">
        <v>46</v>
      </c>
      <c r="F1643" s="10" t="s">
        <v>85</v>
      </c>
      <c r="G1643" s="10" t="b">
        <f>FALSE()</f>
        <v>0</v>
      </c>
      <c r="H1643" s="10">
        <v>0</v>
      </c>
      <c r="I1643" s="10">
        <v>1</v>
      </c>
      <c r="J1643" s="10">
        <v>0</v>
      </c>
      <c r="K1643" s="10">
        <v>0</v>
      </c>
      <c r="L1643" s="10">
        <v>0</v>
      </c>
      <c r="M1643" s="10">
        <v>1</v>
      </c>
      <c r="N1643" s="10">
        <v>2701</v>
      </c>
      <c r="O1643" s="10">
        <v>2649</v>
      </c>
    </row>
    <row r="1644" spans="1:15" x14ac:dyDescent="0.2">
      <c r="A1644" s="10" t="s">
        <v>1015</v>
      </c>
      <c r="B1644" s="10" t="s">
        <v>139</v>
      </c>
      <c r="C1644" s="10" t="s">
        <v>64</v>
      </c>
      <c r="D1644" s="10" t="s">
        <v>45</v>
      </c>
      <c r="E1644" s="10" t="s">
        <v>46</v>
      </c>
      <c r="F1644" s="10" t="s">
        <v>85</v>
      </c>
      <c r="G1644" s="10" t="b">
        <f>FALSE()</f>
        <v>0</v>
      </c>
      <c r="H1644" s="10">
        <v>0</v>
      </c>
      <c r="I1644" s="10">
        <v>1</v>
      </c>
      <c r="J1644" s="10">
        <v>0</v>
      </c>
      <c r="K1644" s="10">
        <v>0</v>
      </c>
      <c r="L1644" s="10">
        <v>0</v>
      </c>
      <c r="M1644" s="10">
        <v>1</v>
      </c>
      <c r="N1644" s="10">
        <v>2663</v>
      </c>
      <c r="O1644" s="10">
        <v>2584</v>
      </c>
    </row>
    <row r="1645" spans="1:15" x14ac:dyDescent="0.2">
      <c r="A1645" s="10" t="s">
        <v>1016</v>
      </c>
      <c r="B1645" s="10" t="s">
        <v>43</v>
      </c>
      <c r="C1645" s="10" t="s">
        <v>44</v>
      </c>
      <c r="D1645" s="10" t="s">
        <v>45</v>
      </c>
      <c r="E1645" s="10" t="s">
        <v>46</v>
      </c>
      <c r="F1645" s="10" t="s">
        <v>85</v>
      </c>
      <c r="G1645" s="10" t="b">
        <f>FALSE()</f>
        <v>0</v>
      </c>
      <c r="H1645" s="10">
        <v>0</v>
      </c>
      <c r="I1645" s="10">
        <v>1</v>
      </c>
      <c r="J1645" s="10">
        <v>0</v>
      </c>
      <c r="K1645" s="10">
        <v>0</v>
      </c>
      <c r="L1645" s="10">
        <v>0</v>
      </c>
      <c r="M1645" s="10">
        <v>1</v>
      </c>
      <c r="N1645" s="10">
        <v>2526</v>
      </c>
      <c r="O1645" s="10">
        <v>2520</v>
      </c>
    </row>
    <row r="1646" spans="1:15" x14ac:dyDescent="0.2">
      <c r="A1646" s="10" t="s">
        <v>1017</v>
      </c>
      <c r="B1646" s="10" t="s">
        <v>130</v>
      </c>
      <c r="C1646" s="10" t="s">
        <v>56</v>
      </c>
      <c r="D1646" s="10" t="s">
        <v>45</v>
      </c>
      <c r="E1646" s="10" t="s">
        <v>46</v>
      </c>
      <c r="F1646" s="10" t="s">
        <v>85</v>
      </c>
      <c r="G1646" s="10" t="b">
        <f>FALSE()</f>
        <v>0</v>
      </c>
      <c r="H1646" s="10">
        <v>0</v>
      </c>
      <c r="I1646" s="10">
        <v>1</v>
      </c>
      <c r="J1646" s="10">
        <v>0</v>
      </c>
      <c r="K1646" s="10">
        <v>0</v>
      </c>
      <c r="L1646" s="10">
        <v>0</v>
      </c>
      <c r="M1646" s="10">
        <v>1</v>
      </c>
      <c r="N1646" s="10">
        <v>2505</v>
      </c>
      <c r="O1646" s="10">
        <v>2472</v>
      </c>
    </row>
    <row r="1647" spans="1:15" x14ac:dyDescent="0.2">
      <c r="A1647" s="10" t="s">
        <v>1018</v>
      </c>
      <c r="B1647" s="10" t="s">
        <v>172</v>
      </c>
      <c r="C1647" s="10" t="s">
        <v>44</v>
      </c>
      <c r="D1647" s="10" t="s">
        <v>45</v>
      </c>
      <c r="E1647" s="10" t="s">
        <v>46</v>
      </c>
      <c r="F1647" s="10" t="s">
        <v>85</v>
      </c>
      <c r="G1647" s="10" t="b">
        <f>FALSE()</f>
        <v>0</v>
      </c>
      <c r="H1647" s="10">
        <v>0</v>
      </c>
      <c r="I1647" s="10">
        <v>1</v>
      </c>
      <c r="J1647" s="10">
        <v>0</v>
      </c>
      <c r="K1647" s="10">
        <v>0</v>
      </c>
      <c r="L1647" s="10">
        <v>0</v>
      </c>
      <c r="M1647" s="10">
        <v>1</v>
      </c>
      <c r="N1647" s="10">
        <v>2253</v>
      </c>
      <c r="O1647" s="10">
        <v>2248</v>
      </c>
    </row>
    <row r="1648" spans="1:15" x14ac:dyDescent="0.2">
      <c r="A1648" s="10" t="s">
        <v>1019</v>
      </c>
      <c r="B1648" s="10" t="s">
        <v>1020</v>
      </c>
      <c r="C1648" s="10" t="s">
        <v>64</v>
      </c>
      <c r="D1648" s="10" t="s">
        <v>45</v>
      </c>
      <c r="E1648" s="10" t="s">
        <v>46</v>
      </c>
      <c r="F1648" s="10" t="s">
        <v>85</v>
      </c>
      <c r="G1648" s="10" t="b">
        <f>FALSE()</f>
        <v>0</v>
      </c>
      <c r="H1648" s="10">
        <v>0</v>
      </c>
      <c r="I1648" s="10">
        <v>1</v>
      </c>
      <c r="J1648" s="10">
        <v>0</v>
      </c>
      <c r="K1648" s="10">
        <v>0</v>
      </c>
      <c r="L1648" s="10">
        <v>0</v>
      </c>
      <c r="M1648" s="10">
        <v>1</v>
      </c>
      <c r="N1648" s="10">
        <v>2176</v>
      </c>
      <c r="O1648" s="10">
        <v>2149</v>
      </c>
    </row>
    <row r="1649" spans="1:15" x14ac:dyDescent="0.2">
      <c r="A1649" s="10" t="s">
        <v>1021</v>
      </c>
      <c r="B1649" s="10" t="s">
        <v>172</v>
      </c>
      <c r="C1649" s="10" t="s">
        <v>44</v>
      </c>
      <c r="D1649" s="10" t="s">
        <v>45</v>
      </c>
      <c r="E1649" s="10" t="s">
        <v>46</v>
      </c>
      <c r="F1649" s="10" t="s">
        <v>85</v>
      </c>
      <c r="G1649" s="10" t="b">
        <f>FALSE()</f>
        <v>0</v>
      </c>
      <c r="H1649" s="10">
        <v>0</v>
      </c>
      <c r="I1649" s="10">
        <v>1</v>
      </c>
      <c r="J1649" s="10">
        <v>0</v>
      </c>
      <c r="K1649" s="10">
        <v>0</v>
      </c>
      <c r="L1649" s="10">
        <v>0</v>
      </c>
      <c r="M1649" s="10">
        <v>1</v>
      </c>
      <c r="N1649" s="10">
        <v>2148</v>
      </c>
      <c r="O1649" s="10">
        <v>2140</v>
      </c>
    </row>
    <row r="1650" spans="1:15" x14ac:dyDescent="0.2">
      <c r="A1650" s="10" t="s">
        <v>1022</v>
      </c>
      <c r="B1650" s="10" t="s">
        <v>167</v>
      </c>
      <c r="C1650" s="10" t="s">
        <v>64</v>
      </c>
      <c r="D1650" s="10" t="s">
        <v>45</v>
      </c>
      <c r="E1650" s="10" t="s">
        <v>46</v>
      </c>
      <c r="F1650" s="10" t="s">
        <v>85</v>
      </c>
      <c r="G1650" s="10" t="b">
        <f>FALSE()</f>
        <v>0</v>
      </c>
      <c r="H1650" s="10">
        <v>0</v>
      </c>
      <c r="I1650" s="10">
        <v>1</v>
      </c>
      <c r="J1650" s="10">
        <v>0</v>
      </c>
      <c r="K1650" s="10">
        <v>0</v>
      </c>
      <c r="L1650" s="10">
        <v>0</v>
      </c>
      <c r="M1650" s="10">
        <v>1</v>
      </c>
      <c r="N1650" s="10">
        <v>2080</v>
      </c>
      <c r="O1650" s="10">
        <v>2037</v>
      </c>
    </row>
    <row r="1651" spans="1:15" x14ac:dyDescent="0.2">
      <c r="A1651" s="10" t="s">
        <v>395</v>
      </c>
      <c r="B1651" s="10" t="s">
        <v>902</v>
      </c>
      <c r="C1651" s="10" t="s">
        <v>50</v>
      </c>
      <c r="D1651" s="10" t="s">
        <v>51</v>
      </c>
      <c r="E1651" s="10" t="s">
        <v>52</v>
      </c>
      <c r="F1651" s="10" t="s">
        <v>94</v>
      </c>
      <c r="G1651" s="10" t="b">
        <f>FALSE()</f>
        <v>0</v>
      </c>
      <c r="H1651" s="10">
        <v>0</v>
      </c>
      <c r="I1651" s="10">
        <v>1</v>
      </c>
      <c r="J1651" s="10">
        <v>0</v>
      </c>
      <c r="K1651" s="10">
        <v>0</v>
      </c>
      <c r="L1651" s="10">
        <v>0</v>
      </c>
      <c r="M1651" s="10">
        <v>1</v>
      </c>
      <c r="N1651" s="10">
        <v>2041</v>
      </c>
      <c r="O1651" s="10">
        <v>2033</v>
      </c>
    </row>
    <row r="1652" spans="1:15" x14ac:dyDescent="0.2">
      <c r="A1652" s="10" t="s">
        <v>1023</v>
      </c>
      <c r="B1652" s="10" t="s">
        <v>139</v>
      </c>
      <c r="C1652" s="10" t="s">
        <v>64</v>
      </c>
      <c r="D1652" s="10" t="s">
        <v>45</v>
      </c>
      <c r="E1652" s="10" t="s">
        <v>46</v>
      </c>
      <c r="F1652" s="10" t="s">
        <v>85</v>
      </c>
      <c r="G1652" s="10" t="b">
        <f>FALSE()</f>
        <v>0</v>
      </c>
      <c r="H1652" s="10">
        <v>0</v>
      </c>
      <c r="I1652" s="10">
        <v>1</v>
      </c>
      <c r="J1652" s="10">
        <v>0</v>
      </c>
      <c r="K1652" s="10">
        <v>0</v>
      </c>
      <c r="L1652" s="10">
        <v>0</v>
      </c>
      <c r="M1652" s="10">
        <v>1</v>
      </c>
      <c r="N1652" s="10">
        <v>1991</v>
      </c>
      <c r="O1652" s="10">
        <v>1936</v>
      </c>
    </row>
    <row r="1653" spans="1:15" x14ac:dyDescent="0.2">
      <c r="A1653" s="10" t="s">
        <v>1024</v>
      </c>
      <c r="B1653" s="10" t="s">
        <v>172</v>
      </c>
      <c r="C1653" s="10" t="s">
        <v>44</v>
      </c>
      <c r="D1653" s="10" t="s">
        <v>45</v>
      </c>
      <c r="E1653" s="10" t="s">
        <v>46</v>
      </c>
      <c r="F1653" s="10" t="s">
        <v>85</v>
      </c>
      <c r="G1653" s="10" t="b">
        <f>FALSE()</f>
        <v>0</v>
      </c>
      <c r="H1653" s="10">
        <v>0</v>
      </c>
      <c r="I1653" s="10">
        <v>1</v>
      </c>
      <c r="J1653" s="10">
        <v>0</v>
      </c>
      <c r="K1653" s="10">
        <v>0</v>
      </c>
      <c r="L1653" s="10">
        <v>0</v>
      </c>
      <c r="M1653" s="10">
        <v>1</v>
      </c>
      <c r="N1653" s="10">
        <v>1906</v>
      </c>
      <c r="O1653" s="10">
        <v>1904</v>
      </c>
    </row>
    <row r="1654" spans="1:15" x14ac:dyDescent="0.2">
      <c r="A1654" s="10" t="s">
        <v>1025</v>
      </c>
      <c r="B1654" s="10" t="s">
        <v>285</v>
      </c>
      <c r="C1654" s="10" t="s">
        <v>105</v>
      </c>
      <c r="D1654" s="10" t="s">
        <v>45</v>
      </c>
      <c r="E1654" s="10" t="s">
        <v>46</v>
      </c>
      <c r="F1654" s="10" t="s">
        <v>1026</v>
      </c>
      <c r="G1654" s="10" t="b">
        <f>FALSE()</f>
        <v>0</v>
      </c>
      <c r="H1654" s="10">
        <v>0</v>
      </c>
      <c r="I1654" s="10">
        <v>1</v>
      </c>
      <c r="J1654" s="10">
        <v>0</v>
      </c>
      <c r="K1654" s="10">
        <v>0</v>
      </c>
      <c r="L1654" s="10">
        <v>0</v>
      </c>
      <c r="M1654" s="10">
        <v>1</v>
      </c>
      <c r="N1654" s="10">
        <v>939</v>
      </c>
      <c r="O1654" s="10">
        <v>1815</v>
      </c>
    </row>
    <row r="1655" spans="1:15" x14ac:dyDescent="0.2">
      <c r="A1655" s="10" t="s">
        <v>479</v>
      </c>
      <c r="B1655" s="10" t="s">
        <v>96</v>
      </c>
      <c r="C1655" s="10" t="s">
        <v>50</v>
      </c>
      <c r="D1655" s="10" t="s">
        <v>51</v>
      </c>
      <c r="E1655" s="10" t="s">
        <v>52</v>
      </c>
      <c r="F1655" s="10" t="s">
        <v>102</v>
      </c>
      <c r="G1655" s="10" t="b">
        <f>TRUE()</f>
        <v>1</v>
      </c>
      <c r="H1655" s="10">
        <v>0</v>
      </c>
      <c r="I1655" s="10">
        <v>1</v>
      </c>
      <c r="J1655" s="10">
        <v>0</v>
      </c>
      <c r="K1655" s="10">
        <v>0</v>
      </c>
      <c r="L1655" s="10">
        <v>0</v>
      </c>
      <c r="M1655" s="10">
        <v>1</v>
      </c>
      <c r="N1655" s="10">
        <v>1867</v>
      </c>
      <c r="O1655" s="10">
        <v>1788</v>
      </c>
    </row>
    <row r="1656" spans="1:15" x14ac:dyDescent="0.2">
      <c r="A1656" s="10" t="s">
        <v>1027</v>
      </c>
      <c r="B1656" s="10" t="s">
        <v>70</v>
      </c>
      <c r="C1656" s="10" t="s">
        <v>70</v>
      </c>
      <c r="D1656" s="10" t="s">
        <v>45</v>
      </c>
      <c r="E1656" s="10" t="s">
        <v>46</v>
      </c>
      <c r="F1656" s="10" t="s">
        <v>85</v>
      </c>
      <c r="G1656" s="10" t="b">
        <f>FALSE()</f>
        <v>0</v>
      </c>
      <c r="H1656" s="10">
        <v>0</v>
      </c>
      <c r="I1656" s="10">
        <v>1</v>
      </c>
      <c r="J1656" s="10">
        <v>0</v>
      </c>
      <c r="K1656" s="10">
        <v>0</v>
      </c>
      <c r="L1656" s="10">
        <v>0</v>
      </c>
      <c r="M1656" s="10">
        <v>1</v>
      </c>
      <c r="N1656" s="10">
        <v>1729</v>
      </c>
      <c r="O1656" s="10">
        <v>1724</v>
      </c>
    </row>
    <row r="1657" spans="1:15" x14ac:dyDescent="0.2">
      <c r="A1657" s="10" t="s">
        <v>1028</v>
      </c>
      <c r="B1657" s="10" t="s">
        <v>262</v>
      </c>
      <c r="C1657" s="10" t="s">
        <v>105</v>
      </c>
      <c r="D1657" s="10" t="s">
        <v>45</v>
      </c>
      <c r="E1657" s="10" t="s">
        <v>46</v>
      </c>
      <c r="F1657" s="10" t="s">
        <v>47</v>
      </c>
      <c r="G1657" s="10" t="b">
        <f>FALSE()</f>
        <v>0</v>
      </c>
      <c r="H1657" s="10">
        <v>0</v>
      </c>
      <c r="I1657" s="10">
        <v>1</v>
      </c>
      <c r="J1657" s="10">
        <v>0</v>
      </c>
      <c r="K1657" s="10">
        <v>0</v>
      </c>
      <c r="L1657" s="10">
        <v>0</v>
      </c>
      <c r="M1657" s="10">
        <v>1</v>
      </c>
      <c r="N1657" s="10">
        <v>1726</v>
      </c>
      <c r="O1657" s="10">
        <v>1712</v>
      </c>
    </row>
    <row r="1658" spans="1:15" x14ac:dyDescent="0.2">
      <c r="A1658" s="10" t="s">
        <v>1029</v>
      </c>
      <c r="B1658" s="10" t="s">
        <v>63</v>
      </c>
      <c r="C1658" s="10" t="s">
        <v>64</v>
      </c>
      <c r="D1658" s="10" t="s">
        <v>45</v>
      </c>
      <c r="E1658" s="10" t="s">
        <v>46</v>
      </c>
      <c r="F1658" s="10" t="s">
        <v>85</v>
      </c>
      <c r="G1658" s="10" t="b">
        <f>FALSE()</f>
        <v>0</v>
      </c>
      <c r="H1658" s="10">
        <v>0</v>
      </c>
      <c r="I1658" s="10">
        <v>1</v>
      </c>
      <c r="J1658" s="10">
        <v>0</v>
      </c>
      <c r="K1658" s="10">
        <v>0</v>
      </c>
      <c r="L1658" s="10">
        <v>0</v>
      </c>
      <c r="M1658" s="10">
        <v>1</v>
      </c>
      <c r="N1658" s="10">
        <v>1720</v>
      </c>
      <c r="O1658" s="10">
        <v>1688</v>
      </c>
    </row>
    <row r="1659" spans="1:15" x14ac:dyDescent="0.2">
      <c r="A1659" s="10" t="s">
        <v>1030</v>
      </c>
      <c r="B1659" s="10" t="s">
        <v>172</v>
      </c>
      <c r="C1659" s="10" t="s">
        <v>44</v>
      </c>
      <c r="D1659" s="10" t="s">
        <v>45</v>
      </c>
      <c r="E1659" s="10" t="s">
        <v>46</v>
      </c>
      <c r="F1659" s="10" t="s">
        <v>85</v>
      </c>
      <c r="G1659" s="10" t="b">
        <f>FALSE()</f>
        <v>0</v>
      </c>
      <c r="H1659" s="10">
        <v>0</v>
      </c>
      <c r="I1659" s="10">
        <v>1</v>
      </c>
      <c r="J1659" s="10">
        <v>0</v>
      </c>
      <c r="K1659" s="10">
        <v>0</v>
      </c>
      <c r="L1659" s="10">
        <v>0</v>
      </c>
      <c r="M1659" s="10">
        <v>1</v>
      </c>
      <c r="N1659" s="10">
        <v>1469</v>
      </c>
      <c r="O1659" s="10">
        <v>1467</v>
      </c>
    </row>
    <row r="1660" spans="1:15" x14ac:dyDescent="0.2">
      <c r="A1660" s="10" t="s">
        <v>1031</v>
      </c>
      <c r="B1660" s="10" t="s">
        <v>119</v>
      </c>
      <c r="C1660" s="10" t="s">
        <v>56</v>
      </c>
      <c r="D1660" s="10" t="s">
        <v>45</v>
      </c>
      <c r="E1660" s="10" t="s">
        <v>46</v>
      </c>
      <c r="F1660" s="10" t="s">
        <v>85</v>
      </c>
      <c r="G1660" s="10" t="b">
        <f>FALSE()</f>
        <v>0</v>
      </c>
      <c r="H1660" s="10">
        <v>0</v>
      </c>
      <c r="I1660" s="10">
        <v>1</v>
      </c>
      <c r="J1660" s="10">
        <v>0</v>
      </c>
      <c r="K1660" s="10">
        <v>0</v>
      </c>
      <c r="L1660" s="10">
        <v>0</v>
      </c>
      <c r="M1660" s="10">
        <v>1</v>
      </c>
      <c r="N1660" s="10">
        <v>1476</v>
      </c>
      <c r="O1660" s="10">
        <v>1454</v>
      </c>
    </row>
    <row r="1661" spans="1:15" x14ac:dyDescent="0.2">
      <c r="A1661" s="10" t="s">
        <v>1032</v>
      </c>
      <c r="B1661" s="10" t="s">
        <v>96</v>
      </c>
      <c r="C1661" s="10" t="s">
        <v>50</v>
      </c>
      <c r="D1661" s="10" t="s">
        <v>51</v>
      </c>
      <c r="E1661" s="10" t="s">
        <v>52</v>
      </c>
      <c r="F1661" s="10" t="s">
        <v>94</v>
      </c>
      <c r="G1661" s="10" t="b">
        <f>FALSE()</f>
        <v>0</v>
      </c>
      <c r="H1661" s="10">
        <v>0</v>
      </c>
      <c r="I1661" s="10">
        <v>1</v>
      </c>
      <c r="J1661" s="10">
        <v>0</v>
      </c>
      <c r="K1661" s="10">
        <v>0</v>
      </c>
      <c r="L1661" s="10">
        <v>0</v>
      </c>
      <c r="M1661" s="10">
        <v>1</v>
      </c>
      <c r="N1661" s="10">
        <v>1447</v>
      </c>
      <c r="O1661" s="10">
        <v>1443</v>
      </c>
    </row>
    <row r="1662" spans="1:15" x14ac:dyDescent="0.2">
      <c r="A1662" s="10" t="s">
        <v>1033</v>
      </c>
      <c r="B1662" s="10" t="s">
        <v>146</v>
      </c>
      <c r="C1662" s="10" t="s">
        <v>105</v>
      </c>
      <c r="D1662" s="10" t="s">
        <v>45</v>
      </c>
      <c r="E1662" s="10" t="s">
        <v>46</v>
      </c>
      <c r="F1662" s="10" t="s">
        <v>85</v>
      </c>
      <c r="G1662" s="10" t="b">
        <f>FALSE()</f>
        <v>0</v>
      </c>
      <c r="H1662" s="10">
        <v>0</v>
      </c>
      <c r="I1662" s="10">
        <v>1</v>
      </c>
      <c r="J1662" s="10">
        <v>0</v>
      </c>
      <c r="K1662" s="10">
        <v>0</v>
      </c>
      <c r="L1662" s="10">
        <v>0</v>
      </c>
      <c r="M1662" s="10">
        <v>1</v>
      </c>
      <c r="N1662" s="10">
        <v>1447</v>
      </c>
      <c r="O1662" s="10">
        <v>1410</v>
      </c>
    </row>
    <row r="1663" spans="1:15" x14ac:dyDescent="0.2">
      <c r="A1663" s="10" t="s">
        <v>1034</v>
      </c>
      <c r="B1663" s="10" t="s">
        <v>111</v>
      </c>
      <c r="C1663" s="10" t="s">
        <v>112</v>
      </c>
      <c r="D1663" s="10" t="s">
        <v>51</v>
      </c>
      <c r="E1663" s="10" t="s">
        <v>52</v>
      </c>
      <c r="F1663" s="10" t="s">
        <v>61</v>
      </c>
      <c r="G1663" s="10" t="b">
        <f>FALSE()</f>
        <v>0</v>
      </c>
      <c r="H1663" s="10">
        <v>0</v>
      </c>
      <c r="I1663" s="10">
        <v>1</v>
      </c>
      <c r="J1663" s="10">
        <v>0</v>
      </c>
      <c r="K1663" s="10">
        <v>0</v>
      </c>
      <c r="L1663" s="10">
        <v>0</v>
      </c>
      <c r="M1663" s="10">
        <v>1</v>
      </c>
      <c r="N1663" s="10">
        <v>1364</v>
      </c>
      <c r="O1663" s="10">
        <v>1399</v>
      </c>
    </row>
    <row r="1664" spans="1:15" x14ac:dyDescent="0.2">
      <c r="A1664" s="10" t="s">
        <v>1025</v>
      </c>
      <c r="B1664" s="10" t="s">
        <v>285</v>
      </c>
      <c r="C1664" s="10" t="s">
        <v>105</v>
      </c>
      <c r="D1664" s="10" t="s">
        <v>45</v>
      </c>
      <c r="E1664" s="10" t="s">
        <v>46</v>
      </c>
      <c r="F1664" s="10" t="s">
        <v>1035</v>
      </c>
      <c r="G1664" s="10" t="b">
        <f>FALSE()</f>
        <v>0</v>
      </c>
      <c r="H1664" s="10">
        <v>0</v>
      </c>
      <c r="I1664" s="10">
        <v>1</v>
      </c>
      <c r="J1664" s="10">
        <v>0</v>
      </c>
      <c r="K1664" s="10">
        <v>0</v>
      </c>
      <c r="L1664" s="10">
        <v>0</v>
      </c>
      <c r="M1664" s="10">
        <v>1</v>
      </c>
      <c r="N1664" s="10">
        <v>1360</v>
      </c>
      <c r="O1664" s="10">
        <v>1360</v>
      </c>
    </row>
    <row r="1665" spans="1:15" x14ac:dyDescent="0.2">
      <c r="A1665" s="10" t="s">
        <v>1036</v>
      </c>
      <c r="B1665" s="10" t="s">
        <v>119</v>
      </c>
      <c r="C1665" s="10" t="s">
        <v>56</v>
      </c>
      <c r="D1665" s="10" t="s">
        <v>45</v>
      </c>
      <c r="E1665" s="10" t="s">
        <v>46</v>
      </c>
      <c r="F1665" s="10" t="s">
        <v>85</v>
      </c>
      <c r="G1665" s="10" t="b">
        <f>FALSE()</f>
        <v>0</v>
      </c>
      <c r="H1665" s="10">
        <v>0</v>
      </c>
      <c r="I1665" s="10">
        <v>1</v>
      </c>
      <c r="J1665" s="10">
        <v>0</v>
      </c>
      <c r="K1665" s="10">
        <v>0</v>
      </c>
      <c r="L1665" s="10">
        <v>0</v>
      </c>
      <c r="M1665" s="10">
        <v>1</v>
      </c>
      <c r="N1665" s="10">
        <v>1329</v>
      </c>
      <c r="O1665" s="10">
        <v>1288</v>
      </c>
    </row>
    <row r="1666" spans="1:15" x14ac:dyDescent="0.2">
      <c r="A1666" s="10" t="s">
        <v>1037</v>
      </c>
      <c r="B1666" s="10" t="s">
        <v>238</v>
      </c>
      <c r="C1666" s="10" t="s">
        <v>90</v>
      </c>
      <c r="D1666" s="10" t="s">
        <v>51</v>
      </c>
      <c r="E1666" s="10" t="s">
        <v>52</v>
      </c>
      <c r="F1666" s="10" t="s">
        <v>180</v>
      </c>
      <c r="G1666" s="10" t="b">
        <f>FALSE()</f>
        <v>0</v>
      </c>
      <c r="H1666" s="10">
        <v>0</v>
      </c>
      <c r="I1666" s="10">
        <v>1</v>
      </c>
      <c r="J1666" s="10">
        <v>0</v>
      </c>
      <c r="K1666" s="10">
        <v>0</v>
      </c>
      <c r="L1666" s="10">
        <v>0</v>
      </c>
      <c r="M1666" s="10">
        <v>1</v>
      </c>
      <c r="N1666" s="10">
        <v>1312</v>
      </c>
      <c r="O1666" s="10">
        <v>1276</v>
      </c>
    </row>
    <row r="1667" spans="1:15" x14ac:dyDescent="0.2">
      <c r="A1667" s="10" t="s">
        <v>1038</v>
      </c>
      <c r="B1667" s="10" t="s">
        <v>262</v>
      </c>
      <c r="C1667" s="10" t="s">
        <v>105</v>
      </c>
      <c r="D1667" s="10" t="s">
        <v>45</v>
      </c>
      <c r="E1667" s="10" t="s">
        <v>46</v>
      </c>
      <c r="F1667" s="10" t="s">
        <v>102</v>
      </c>
      <c r="G1667" s="10" t="b">
        <f>TRUE()</f>
        <v>1</v>
      </c>
      <c r="H1667" s="10">
        <v>0</v>
      </c>
      <c r="I1667" s="10">
        <v>1</v>
      </c>
      <c r="J1667" s="10">
        <v>0</v>
      </c>
      <c r="K1667" s="10">
        <v>0</v>
      </c>
      <c r="L1667" s="10">
        <v>0</v>
      </c>
      <c r="M1667" s="10">
        <v>1</v>
      </c>
      <c r="N1667" s="10">
        <v>1249</v>
      </c>
      <c r="O1667" s="10">
        <v>1237</v>
      </c>
    </row>
    <row r="1668" spans="1:15" x14ac:dyDescent="0.2">
      <c r="A1668" s="10" t="s">
        <v>1039</v>
      </c>
      <c r="B1668" s="10" t="s">
        <v>63</v>
      </c>
      <c r="C1668" s="10" t="s">
        <v>64</v>
      </c>
      <c r="D1668" s="10" t="s">
        <v>45</v>
      </c>
      <c r="E1668" s="10" t="s">
        <v>46</v>
      </c>
      <c r="F1668" s="10" t="s">
        <v>85</v>
      </c>
      <c r="G1668" s="10" t="b">
        <f>FALSE()</f>
        <v>0</v>
      </c>
      <c r="H1668" s="10">
        <v>0</v>
      </c>
      <c r="I1668" s="10">
        <v>1</v>
      </c>
      <c r="J1668" s="10">
        <v>0</v>
      </c>
      <c r="K1668" s="10">
        <v>0</v>
      </c>
      <c r="L1668" s="10">
        <v>0</v>
      </c>
      <c r="M1668" s="10">
        <v>1</v>
      </c>
      <c r="N1668" s="10">
        <v>1270</v>
      </c>
      <c r="O1668" s="10">
        <v>1235</v>
      </c>
    </row>
    <row r="1669" spans="1:15" x14ac:dyDescent="0.2">
      <c r="A1669" s="10" t="s">
        <v>1040</v>
      </c>
      <c r="B1669" s="10" t="s">
        <v>55</v>
      </c>
      <c r="C1669" s="10" t="s">
        <v>56</v>
      </c>
      <c r="D1669" s="10" t="s">
        <v>45</v>
      </c>
      <c r="E1669" s="10" t="s">
        <v>46</v>
      </c>
      <c r="F1669" s="10" t="s">
        <v>102</v>
      </c>
      <c r="G1669" s="10" t="b">
        <f>TRUE()</f>
        <v>1</v>
      </c>
      <c r="H1669" s="10">
        <v>0</v>
      </c>
      <c r="I1669" s="10">
        <v>1</v>
      </c>
      <c r="J1669" s="10">
        <v>0</v>
      </c>
      <c r="K1669" s="10">
        <v>0</v>
      </c>
      <c r="L1669" s="10">
        <v>0</v>
      </c>
      <c r="M1669" s="10">
        <v>1</v>
      </c>
      <c r="N1669" s="10">
        <v>1263</v>
      </c>
      <c r="O1669" s="10">
        <v>1224</v>
      </c>
    </row>
    <row r="1670" spans="1:15" x14ac:dyDescent="0.2">
      <c r="A1670" s="10" t="s">
        <v>1041</v>
      </c>
      <c r="B1670" s="10" t="s">
        <v>70</v>
      </c>
      <c r="C1670" s="10" t="s">
        <v>70</v>
      </c>
      <c r="D1670" s="10" t="s">
        <v>45</v>
      </c>
      <c r="E1670" s="10" t="s">
        <v>46</v>
      </c>
      <c r="F1670" s="10" t="s">
        <v>85</v>
      </c>
      <c r="G1670" s="10" t="b">
        <f>FALSE()</f>
        <v>0</v>
      </c>
      <c r="H1670" s="10">
        <v>0</v>
      </c>
      <c r="I1670" s="10">
        <v>1</v>
      </c>
      <c r="J1670" s="10">
        <v>0</v>
      </c>
      <c r="K1670" s="10">
        <v>0</v>
      </c>
      <c r="L1670" s="10">
        <v>0</v>
      </c>
      <c r="M1670" s="10">
        <v>1</v>
      </c>
      <c r="N1670" s="10">
        <v>1228</v>
      </c>
      <c r="O1670" s="10">
        <v>1210</v>
      </c>
    </row>
    <row r="1671" spans="1:15" x14ac:dyDescent="0.2">
      <c r="A1671" s="10" t="s">
        <v>1042</v>
      </c>
      <c r="B1671" s="10" t="s">
        <v>719</v>
      </c>
      <c r="C1671" s="10" t="s">
        <v>117</v>
      </c>
      <c r="D1671" s="10" t="s">
        <v>51</v>
      </c>
      <c r="E1671" s="10" t="s">
        <v>52</v>
      </c>
      <c r="F1671" s="10" t="s">
        <v>113</v>
      </c>
      <c r="G1671" s="10" t="b">
        <f>TRUE()</f>
        <v>1</v>
      </c>
      <c r="H1671" s="10">
        <v>0</v>
      </c>
      <c r="I1671" s="10">
        <v>1</v>
      </c>
      <c r="J1671" s="10">
        <v>0</v>
      </c>
      <c r="K1671" s="10">
        <v>0</v>
      </c>
      <c r="L1671" s="10">
        <v>0</v>
      </c>
      <c r="M1671" s="10">
        <v>1</v>
      </c>
      <c r="N1671" s="10">
        <v>1190</v>
      </c>
      <c r="O1671" s="10">
        <v>1188</v>
      </c>
    </row>
    <row r="1672" spans="1:15" x14ac:dyDescent="0.2">
      <c r="A1672" s="10" t="s">
        <v>691</v>
      </c>
      <c r="B1672" s="10" t="s">
        <v>136</v>
      </c>
      <c r="C1672" s="10" t="s">
        <v>73</v>
      </c>
      <c r="D1672" s="10" t="s">
        <v>45</v>
      </c>
      <c r="E1672" s="10" t="s">
        <v>46</v>
      </c>
      <c r="F1672" s="10" t="s">
        <v>219</v>
      </c>
      <c r="G1672" s="10" t="b">
        <f>FALSE()</f>
        <v>0</v>
      </c>
      <c r="H1672" s="10">
        <v>0</v>
      </c>
      <c r="I1672" s="10">
        <v>1</v>
      </c>
      <c r="J1672" s="10">
        <v>0</v>
      </c>
      <c r="K1672" s="10">
        <v>0</v>
      </c>
      <c r="L1672" s="10">
        <v>0</v>
      </c>
      <c r="M1672" s="10">
        <v>1</v>
      </c>
      <c r="N1672" s="10">
        <v>1133</v>
      </c>
      <c r="O1672" s="10">
        <v>1133</v>
      </c>
    </row>
    <row r="1673" spans="1:15" x14ac:dyDescent="0.2">
      <c r="A1673" s="10" t="s">
        <v>1043</v>
      </c>
      <c r="B1673" s="10" t="s">
        <v>218</v>
      </c>
      <c r="C1673" s="10" t="s">
        <v>73</v>
      </c>
      <c r="D1673" s="10" t="s">
        <v>45</v>
      </c>
      <c r="E1673" s="10" t="s">
        <v>46</v>
      </c>
      <c r="F1673" s="10" t="s">
        <v>91</v>
      </c>
      <c r="G1673" s="10" t="b">
        <f>TRUE()</f>
        <v>1</v>
      </c>
      <c r="H1673" s="10">
        <v>0</v>
      </c>
      <c r="I1673" s="10">
        <v>1</v>
      </c>
      <c r="J1673" s="10">
        <v>0</v>
      </c>
      <c r="K1673" s="10">
        <v>0</v>
      </c>
      <c r="L1673" s="10">
        <v>0</v>
      </c>
      <c r="M1673" s="10">
        <v>1</v>
      </c>
      <c r="N1673" s="10">
        <v>1105</v>
      </c>
      <c r="O1673" s="10">
        <v>1105</v>
      </c>
    </row>
    <row r="1674" spans="1:15" x14ac:dyDescent="0.2">
      <c r="A1674" s="10" t="s">
        <v>1044</v>
      </c>
      <c r="B1674" s="10" t="s">
        <v>139</v>
      </c>
      <c r="C1674" s="10" t="s">
        <v>64</v>
      </c>
      <c r="D1674" s="10" t="s">
        <v>45</v>
      </c>
      <c r="E1674" s="10" t="s">
        <v>46</v>
      </c>
      <c r="F1674" s="10" t="s">
        <v>85</v>
      </c>
      <c r="G1674" s="10" t="b">
        <f>FALSE()</f>
        <v>0</v>
      </c>
      <c r="H1674" s="10">
        <v>0</v>
      </c>
      <c r="I1674" s="10">
        <v>1</v>
      </c>
      <c r="J1674" s="10">
        <v>0</v>
      </c>
      <c r="K1674" s="10">
        <v>0</v>
      </c>
      <c r="L1674" s="10">
        <v>0</v>
      </c>
      <c r="M1674" s="10">
        <v>1</v>
      </c>
      <c r="N1674" s="10">
        <v>1116</v>
      </c>
      <c r="O1674" s="10">
        <v>1089</v>
      </c>
    </row>
    <row r="1675" spans="1:15" x14ac:dyDescent="0.2">
      <c r="A1675" s="10" t="s">
        <v>1045</v>
      </c>
      <c r="B1675" s="10" t="s">
        <v>606</v>
      </c>
      <c r="C1675" s="10" t="s">
        <v>64</v>
      </c>
      <c r="D1675" s="10" t="s">
        <v>45</v>
      </c>
      <c r="E1675" s="10" t="s">
        <v>46</v>
      </c>
      <c r="F1675" s="10" t="s">
        <v>85</v>
      </c>
      <c r="G1675" s="10" t="b">
        <f>FALSE()</f>
        <v>0</v>
      </c>
      <c r="H1675" s="10">
        <v>0</v>
      </c>
      <c r="I1675" s="10">
        <v>1</v>
      </c>
      <c r="J1675" s="10">
        <v>0</v>
      </c>
      <c r="K1675" s="10">
        <v>0</v>
      </c>
      <c r="L1675" s="10">
        <v>0</v>
      </c>
      <c r="M1675" s="10">
        <v>1</v>
      </c>
      <c r="N1675" s="10">
        <v>1104</v>
      </c>
      <c r="O1675" s="10">
        <v>1073</v>
      </c>
    </row>
    <row r="1676" spans="1:15" x14ac:dyDescent="0.2">
      <c r="A1676" s="10" t="s">
        <v>1046</v>
      </c>
      <c r="B1676" s="10" t="s">
        <v>70</v>
      </c>
      <c r="C1676" s="10" t="s">
        <v>70</v>
      </c>
      <c r="D1676" s="10" t="s">
        <v>45</v>
      </c>
      <c r="E1676" s="10" t="s">
        <v>46</v>
      </c>
      <c r="F1676" s="10" t="s">
        <v>85</v>
      </c>
      <c r="G1676" s="10" t="b">
        <f>FALSE()</f>
        <v>0</v>
      </c>
      <c r="H1676" s="10">
        <v>0</v>
      </c>
      <c r="I1676" s="10">
        <v>1</v>
      </c>
      <c r="J1676" s="10">
        <v>0</v>
      </c>
      <c r="K1676" s="10">
        <v>0</v>
      </c>
      <c r="L1676" s="10">
        <v>0</v>
      </c>
      <c r="M1676" s="10">
        <v>1</v>
      </c>
      <c r="N1676" s="10">
        <v>1077</v>
      </c>
      <c r="O1676" s="10">
        <v>1069</v>
      </c>
    </row>
    <row r="1677" spans="1:15" x14ac:dyDescent="0.2">
      <c r="A1677" s="10" t="s">
        <v>681</v>
      </c>
      <c r="B1677" s="10" t="s">
        <v>43</v>
      </c>
      <c r="C1677" s="10" t="s">
        <v>44</v>
      </c>
      <c r="D1677" s="10" t="s">
        <v>45</v>
      </c>
      <c r="E1677" s="10" t="s">
        <v>46</v>
      </c>
      <c r="F1677" s="10" t="s">
        <v>85</v>
      </c>
      <c r="G1677" s="10" t="b">
        <f>FALSE()</f>
        <v>0</v>
      </c>
      <c r="H1677" s="10">
        <v>0</v>
      </c>
      <c r="I1677" s="10">
        <v>1</v>
      </c>
      <c r="J1677" s="10">
        <v>0</v>
      </c>
      <c r="K1677" s="10">
        <v>0</v>
      </c>
      <c r="L1677" s="10">
        <v>0</v>
      </c>
      <c r="M1677" s="10">
        <v>1</v>
      </c>
      <c r="N1677" s="10">
        <v>1055</v>
      </c>
      <c r="O1677" s="10">
        <v>1054</v>
      </c>
    </row>
    <row r="1678" spans="1:15" x14ac:dyDescent="0.2">
      <c r="A1678" s="10" t="s">
        <v>1047</v>
      </c>
      <c r="B1678" s="10" t="s">
        <v>96</v>
      </c>
      <c r="C1678" s="10" t="s">
        <v>50</v>
      </c>
      <c r="D1678" s="10" t="s">
        <v>51</v>
      </c>
      <c r="E1678" s="10" t="s">
        <v>52</v>
      </c>
      <c r="F1678" s="10" t="s">
        <v>85</v>
      </c>
      <c r="G1678" s="10" t="b">
        <f>FALSE()</f>
        <v>0</v>
      </c>
      <c r="H1678" s="10">
        <v>0</v>
      </c>
      <c r="I1678" s="10">
        <v>1</v>
      </c>
      <c r="J1678" s="10">
        <v>0</v>
      </c>
      <c r="K1678" s="10">
        <v>0</v>
      </c>
      <c r="L1678" s="10">
        <v>0</v>
      </c>
      <c r="M1678" s="10">
        <v>1</v>
      </c>
      <c r="N1678" s="10">
        <v>1048</v>
      </c>
      <c r="O1678" s="10">
        <v>1034</v>
      </c>
    </row>
    <row r="1679" spans="1:15" x14ac:dyDescent="0.2">
      <c r="A1679" s="10" t="s">
        <v>1048</v>
      </c>
      <c r="B1679" s="10" t="s">
        <v>1049</v>
      </c>
      <c r="C1679" s="10" t="s">
        <v>64</v>
      </c>
      <c r="D1679" s="10" t="s">
        <v>45</v>
      </c>
      <c r="E1679" s="10" t="s">
        <v>46</v>
      </c>
      <c r="F1679" s="10" t="s">
        <v>153</v>
      </c>
      <c r="G1679" s="10" t="b">
        <f>FALSE()</f>
        <v>0</v>
      </c>
      <c r="H1679" s="10">
        <v>0</v>
      </c>
      <c r="I1679" s="10">
        <v>1</v>
      </c>
      <c r="J1679" s="10">
        <v>0</v>
      </c>
      <c r="K1679" s="10">
        <v>0</v>
      </c>
      <c r="L1679" s="10">
        <v>0</v>
      </c>
      <c r="M1679" s="10">
        <v>1</v>
      </c>
      <c r="N1679" s="10">
        <v>1037</v>
      </c>
      <c r="O1679" s="10">
        <v>1034</v>
      </c>
    </row>
    <row r="1680" spans="1:15" x14ac:dyDescent="0.2">
      <c r="A1680" s="10" t="s">
        <v>1050</v>
      </c>
      <c r="B1680" s="10" t="s">
        <v>63</v>
      </c>
      <c r="C1680" s="10" t="s">
        <v>64</v>
      </c>
      <c r="D1680" s="10" t="s">
        <v>45</v>
      </c>
      <c r="E1680" s="10" t="s">
        <v>46</v>
      </c>
      <c r="F1680" s="10" t="s">
        <v>65</v>
      </c>
      <c r="G1680" s="10" t="b">
        <f>FALSE()</f>
        <v>0</v>
      </c>
      <c r="H1680" s="10">
        <v>0</v>
      </c>
      <c r="I1680" s="10">
        <v>1</v>
      </c>
      <c r="J1680" s="10">
        <v>0</v>
      </c>
      <c r="K1680" s="10">
        <v>0</v>
      </c>
      <c r="L1680" s="10">
        <v>0</v>
      </c>
      <c r="M1680" s="10">
        <v>1</v>
      </c>
      <c r="N1680" s="10">
        <v>1037</v>
      </c>
      <c r="O1680" s="10">
        <v>1033</v>
      </c>
    </row>
    <row r="1681" spans="1:15" x14ac:dyDescent="0.2">
      <c r="A1681" s="10" t="s">
        <v>1048</v>
      </c>
      <c r="B1681" s="10" t="s">
        <v>1049</v>
      </c>
      <c r="C1681" s="10" t="s">
        <v>64</v>
      </c>
      <c r="D1681" s="10" t="s">
        <v>45</v>
      </c>
      <c r="E1681" s="10" t="s">
        <v>46</v>
      </c>
      <c r="F1681" s="10" t="s">
        <v>107</v>
      </c>
      <c r="G1681" s="10" t="b">
        <f>FALSE()</f>
        <v>0</v>
      </c>
      <c r="H1681" s="10">
        <v>0</v>
      </c>
      <c r="I1681" s="10">
        <v>1</v>
      </c>
      <c r="J1681" s="10">
        <v>0</v>
      </c>
      <c r="K1681" s="10">
        <v>0</v>
      </c>
      <c r="L1681" s="10">
        <v>0</v>
      </c>
      <c r="M1681" s="10">
        <v>1</v>
      </c>
      <c r="N1681" s="10">
        <v>1032</v>
      </c>
      <c r="O1681" s="10">
        <v>1031</v>
      </c>
    </row>
    <row r="1682" spans="1:15" x14ac:dyDescent="0.2">
      <c r="A1682" s="10" t="s">
        <v>1048</v>
      </c>
      <c r="B1682" s="10" t="s">
        <v>1049</v>
      </c>
      <c r="C1682" s="10" t="s">
        <v>64</v>
      </c>
      <c r="D1682" s="10" t="s">
        <v>45</v>
      </c>
      <c r="E1682" s="10" t="s">
        <v>46</v>
      </c>
      <c r="F1682" s="10" t="s">
        <v>79</v>
      </c>
      <c r="G1682" s="10" t="b">
        <f>FALSE()</f>
        <v>0</v>
      </c>
      <c r="H1682" s="10">
        <v>0</v>
      </c>
      <c r="I1682" s="10">
        <v>1</v>
      </c>
      <c r="J1682" s="10">
        <v>0</v>
      </c>
      <c r="K1682" s="10">
        <v>0</v>
      </c>
      <c r="L1682" s="10">
        <v>0</v>
      </c>
      <c r="M1682" s="10">
        <v>1</v>
      </c>
      <c r="N1682" s="10">
        <v>1024</v>
      </c>
      <c r="O1682" s="10">
        <v>1020</v>
      </c>
    </row>
    <row r="1683" spans="1:15" x14ac:dyDescent="0.2">
      <c r="A1683" s="10" t="s">
        <v>1051</v>
      </c>
      <c r="B1683" s="10" t="s">
        <v>70</v>
      </c>
      <c r="C1683" s="10" t="s">
        <v>70</v>
      </c>
      <c r="D1683" s="10" t="s">
        <v>45</v>
      </c>
      <c r="E1683" s="10" t="s">
        <v>46</v>
      </c>
      <c r="F1683" s="10" t="s">
        <v>85</v>
      </c>
      <c r="G1683" s="10" t="b">
        <f>FALSE()</f>
        <v>0</v>
      </c>
      <c r="H1683" s="10">
        <v>0</v>
      </c>
      <c r="I1683" s="10">
        <v>1</v>
      </c>
      <c r="J1683" s="10">
        <v>0</v>
      </c>
      <c r="K1683" s="10">
        <v>0</v>
      </c>
      <c r="L1683" s="10">
        <v>0</v>
      </c>
      <c r="M1683" s="10">
        <v>1</v>
      </c>
      <c r="N1683" s="10">
        <v>1030</v>
      </c>
      <c r="O1683" s="10">
        <v>1020</v>
      </c>
    </row>
    <row r="1684" spans="1:15" x14ac:dyDescent="0.2">
      <c r="A1684" s="10" t="s">
        <v>1052</v>
      </c>
      <c r="B1684" s="10" t="s">
        <v>289</v>
      </c>
      <c r="C1684" s="10" t="s">
        <v>50</v>
      </c>
      <c r="D1684" s="10" t="s">
        <v>51</v>
      </c>
      <c r="E1684" s="10" t="s">
        <v>52</v>
      </c>
      <c r="F1684" s="10" t="s">
        <v>223</v>
      </c>
      <c r="G1684" s="10" t="b">
        <f>FALSE()</f>
        <v>0</v>
      </c>
      <c r="H1684" s="10">
        <v>0</v>
      </c>
      <c r="I1684" s="10">
        <v>1</v>
      </c>
      <c r="J1684" s="10">
        <v>0</v>
      </c>
      <c r="K1684" s="10">
        <v>0</v>
      </c>
      <c r="L1684" s="10">
        <v>0</v>
      </c>
      <c r="M1684" s="10">
        <v>1</v>
      </c>
      <c r="N1684" s="10">
        <v>1018</v>
      </c>
      <c r="O1684" s="10">
        <v>1018</v>
      </c>
    </row>
    <row r="1685" spans="1:15" x14ac:dyDescent="0.2">
      <c r="A1685" s="10" t="s">
        <v>1053</v>
      </c>
      <c r="B1685" s="10" t="s">
        <v>262</v>
      </c>
      <c r="C1685" s="10" t="s">
        <v>105</v>
      </c>
      <c r="D1685" s="10" t="s">
        <v>45</v>
      </c>
      <c r="E1685" s="10" t="s">
        <v>46</v>
      </c>
      <c r="F1685" s="10" t="s">
        <v>102</v>
      </c>
      <c r="G1685" s="10" t="b">
        <f>TRUE()</f>
        <v>1</v>
      </c>
      <c r="H1685" s="10">
        <v>0</v>
      </c>
      <c r="I1685" s="10">
        <v>1</v>
      </c>
      <c r="J1685" s="10">
        <v>0</v>
      </c>
      <c r="K1685" s="10">
        <v>0</v>
      </c>
      <c r="L1685" s="10">
        <v>0</v>
      </c>
      <c r="M1685" s="10">
        <v>1</v>
      </c>
      <c r="N1685" s="10">
        <v>993</v>
      </c>
      <c r="O1685" s="10">
        <v>987</v>
      </c>
    </row>
    <row r="1686" spans="1:15" x14ac:dyDescent="0.2">
      <c r="A1686" s="10" t="s">
        <v>1025</v>
      </c>
      <c r="B1686" s="10" t="s">
        <v>285</v>
      </c>
      <c r="C1686" s="10" t="s">
        <v>105</v>
      </c>
      <c r="D1686" s="10" t="s">
        <v>45</v>
      </c>
      <c r="E1686" s="10" t="s">
        <v>46</v>
      </c>
      <c r="F1686" s="10" t="s">
        <v>986</v>
      </c>
      <c r="G1686" s="10" t="b">
        <f>FALSE()</f>
        <v>0</v>
      </c>
      <c r="H1686" s="10">
        <v>0</v>
      </c>
      <c r="I1686" s="10">
        <v>1</v>
      </c>
      <c r="J1686" s="10">
        <v>0</v>
      </c>
      <c r="K1686" s="10">
        <v>0</v>
      </c>
      <c r="L1686" s="10">
        <v>0</v>
      </c>
      <c r="M1686" s="10">
        <v>1</v>
      </c>
      <c r="N1686" s="10">
        <v>955</v>
      </c>
      <c r="O1686" s="10">
        <v>954</v>
      </c>
    </row>
    <row r="1687" spans="1:15" x14ac:dyDescent="0.2">
      <c r="A1687" s="10" t="s">
        <v>1054</v>
      </c>
      <c r="B1687" s="10" t="s">
        <v>193</v>
      </c>
      <c r="C1687" s="10" t="s">
        <v>117</v>
      </c>
      <c r="D1687" s="10" t="s">
        <v>51</v>
      </c>
      <c r="E1687" s="10" t="s">
        <v>52</v>
      </c>
      <c r="F1687" s="10" t="s">
        <v>47</v>
      </c>
      <c r="G1687" s="10" t="b">
        <f>FALSE()</f>
        <v>0</v>
      </c>
      <c r="H1687" s="10">
        <v>0</v>
      </c>
      <c r="I1687" s="10">
        <v>1</v>
      </c>
      <c r="J1687" s="10">
        <v>0</v>
      </c>
      <c r="K1687" s="10">
        <v>0</v>
      </c>
      <c r="L1687" s="10">
        <v>0</v>
      </c>
      <c r="M1687" s="10">
        <v>1</v>
      </c>
      <c r="N1687" s="10">
        <v>822</v>
      </c>
      <c r="O1687" s="10">
        <v>951</v>
      </c>
    </row>
    <row r="1688" spans="1:15" x14ac:dyDescent="0.2">
      <c r="A1688" s="10" t="s">
        <v>208</v>
      </c>
      <c r="B1688" s="10" t="s">
        <v>172</v>
      </c>
      <c r="C1688" s="10" t="s">
        <v>44</v>
      </c>
      <c r="D1688" s="10" t="s">
        <v>45</v>
      </c>
      <c r="E1688" s="10" t="s">
        <v>46</v>
      </c>
      <c r="F1688" s="10" t="s">
        <v>85</v>
      </c>
      <c r="G1688" s="10" t="b">
        <f>FALSE()</f>
        <v>0</v>
      </c>
      <c r="H1688" s="10">
        <v>0</v>
      </c>
      <c r="I1688" s="10">
        <v>1</v>
      </c>
      <c r="J1688" s="10">
        <v>0</v>
      </c>
      <c r="K1688" s="10">
        <v>0</v>
      </c>
      <c r="L1688" s="10">
        <v>0</v>
      </c>
      <c r="M1688" s="10">
        <v>1</v>
      </c>
      <c r="N1688" s="10">
        <v>944</v>
      </c>
      <c r="O1688" s="10">
        <v>943</v>
      </c>
    </row>
    <row r="1689" spans="1:15" x14ac:dyDescent="0.2">
      <c r="A1689" s="10" t="s">
        <v>1055</v>
      </c>
      <c r="B1689" s="10" t="s">
        <v>178</v>
      </c>
      <c r="C1689" s="10" t="s">
        <v>73</v>
      </c>
      <c r="D1689" s="10" t="s">
        <v>45</v>
      </c>
      <c r="E1689" s="10" t="s">
        <v>46</v>
      </c>
      <c r="F1689" s="10" t="s">
        <v>85</v>
      </c>
      <c r="G1689" s="10" t="b">
        <f>FALSE()</f>
        <v>0</v>
      </c>
      <c r="H1689" s="10">
        <v>0</v>
      </c>
      <c r="I1689" s="10">
        <v>1</v>
      </c>
      <c r="J1689" s="10">
        <v>0</v>
      </c>
      <c r="K1689" s="10">
        <v>0</v>
      </c>
      <c r="L1689" s="10">
        <v>0</v>
      </c>
      <c r="M1689" s="10">
        <v>1</v>
      </c>
      <c r="N1689" s="10">
        <v>945</v>
      </c>
      <c r="O1689" s="10">
        <v>943</v>
      </c>
    </row>
    <row r="1690" spans="1:15" x14ac:dyDescent="0.2">
      <c r="A1690" s="10" t="s">
        <v>1022</v>
      </c>
      <c r="B1690" s="10" t="s">
        <v>167</v>
      </c>
      <c r="C1690" s="10" t="s">
        <v>64</v>
      </c>
      <c r="D1690" s="10" t="s">
        <v>45</v>
      </c>
      <c r="E1690" s="10" t="s">
        <v>46</v>
      </c>
      <c r="F1690" s="10" t="s">
        <v>94</v>
      </c>
      <c r="G1690" s="10" t="b">
        <f>FALSE()</f>
        <v>0</v>
      </c>
      <c r="H1690" s="10">
        <v>0</v>
      </c>
      <c r="I1690" s="10">
        <v>1</v>
      </c>
      <c r="J1690" s="10">
        <v>0</v>
      </c>
      <c r="K1690" s="10">
        <v>0</v>
      </c>
      <c r="L1690" s="10">
        <v>0</v>
      </c>
      <c r="M1690" s="10">
        <v>1</v>
      </c>
      <c r="N1690" s="10">
        <v>944</v>
      </c>
      <c r="O1690" s="10">
        <v>937</v>
      </c>
    </row>
    <row r="1691" spans="1:15" x14ac:dyDescent="0.2">
      <c r="A1691" s="10" t="s">
        <v>1056</v>
      </c>
      <c r="B1691" s="10" t="s">
        <v>104</v>
      </c>
      <c r="C1691" s="10" t="s">
        <v>105</v>
      </c>
      <c r="D1691" s="10" t="s">
        <v>45</v>
      </c>
      <c r="E1691" s="10" t="s">
        <v>46</v>
      </c>
      <c r="F1691" s="10" t="s">
        <v>47</v>
      </c>
      <c r="G1691" s="10" t="b">
        <f>FALSE()</f>
        <v>0</v>
      </c>
      <c r="H1691" s="10">
        <v>0</v>
      </c>
      <c r="I1691" s="10">
        <v>1</v>
      </c>
      <c r="J1691" s="10">
        <v>0</v>
      </c>
      <c r="K1691" s="10">
        <v>0</v>
      </c>
      <c r="L1691" s="10">
        <v>0</v>
      </c>
      <c r="M1691" s="10">
        <v>1</v>
      </c>
      <c r="N1691" s="10">
        <v>925</v>
      </c>
      <c r="O1691" s="10">
        <v>935</v>
      </c>
    </row>
    <row r="1692" spans="1:15" x14ac:dyDescent="0.2">
      <c r="A1692" s="10" t="s">
        <v>1057</v>
      </c>
      <c r="B1692" s="10" t="s">
        <v>146</v>
      </c>
      <c r="C1692" s="10" t="s">
        <v>105</v>
      </c>
      <c r="D1692" s="10" t="s">
        <v>45</v>
      </c>
      <c r="E1692" s="10" t="s">
        <v>46</v>
      </c>
      <c r="F1692" s="10" t="s">
        <v>85</v>
      </c>
      <c r="G1692" s="10" t="b">
        <f>FALSE()</f>
        <v>0</v>
      </c>
      <c r="H1692" s="10">
        <v>0</v>
      </c>
      <c r="I1692" s="10">
        <v>1</v>
      </c>
      <c r="J1692" s="10">
        <v>0</v>
      </c>
      <c r="K1692" s="10">
        <v>0</v>
      </c>
      <c r="L1692" s="10">
        <v>0</v>
      </c>
      <c r="M1692" s="10">
        <v>1</v>
      </c>
      <c r="N1692" s="10">
        <v>936</v>
      </c>
      <c r="O1692" s="10">
        <v>931</v>
      </c>
    </row>
    <row r="1693" spans="1:15" x14ac:dyDescent="0.2">
      <c r="A1693" s="10" t="s">
        <v>1058</v>
      </c>
      <c r="B1693" s="10" t="s">
        <v>43</v>
      </c>
      <c r="C1693" s="10" t="s">
        <v>44</v>
      </c>
      <c r="D1693" s="10" t="s">
        <v>45</v>
      </c>
      <c r="E1693" s="10" t="s">
        <v>46</v>
      </c>
      <c r="F1693" s="10" t="s">
        <v>85</v>
      </c>
      <c r="G1693" s="10" t="b">
        <f>FALSE()</f>
        <v>0</v>
      </c>
      <c r="H1693" s="10">
        <v>0</v>
      </c>
      <c r="I1693" s="10">
        <v>1</v>
      </c>
      <c r="J1693" s="10">
        <v>0</v>
      </c>
      <c r="K1693" s="10">
        <v>0</v>
      </c>
      <c r="L1693" s="10">
        <v>0</v>
      </c>
      <c r="M1693" s="10">
        <v>1</v>
      </c>
      <c r="N1693" s="10">
        <v>924</v>
      </c>
      <c r="O1693" s="10">
        <v>923</v>
      </c>
    </row>
    <row r="1694" spans="1:15" x14ac:dyDescent="0.2">
      <c r="A1694" s="10" t="s">
        <v>1059</v>
      </c>
      <c r="B1694" s="10" t="s">
        <v>109</v>
      </c>
      <c r="C1694" s="10" t="s">
        <v>90</v>
      </c>
      <c r="D1694" s="10" t="s">
        <v>51</v>
      </c>
      <c r="E1694" s="10" t="s">
        <v>52</v>
      </c>
      <c r="F1694" s="10" t="s">
        <v>92</v>
      </c>
      <c r="G1694" s="10" t="b">
        <f>FALSE()</f>
        <v>0</v>
      </c>
      <c r="H1694" s="10">
        <v>0</v>
      </c>
      <c r="I1694" s="10">
        <v>1</v>
      </c>
      <c r="J1694" s="10">
        <v>0</v>
      </c>
      <c r="K1694" s="10">
        <v>0</v>
      </c>
      <c r="L1694" s="10">
        <v>0</v>
      </c>
      <c r="M1694" s="10">
        <v>1</v>
      </c>
      <c r="N1694" s="10">
        <v>922</v>
      </c>
      <c r="O1694" s="10">
        <v>920</v>
      </c>
    </row>
    <row r="1695" spans="1:15" x14ac:dyDescent="0.2">
      <c r="A1695" s="10" t="s">
        <v>1060</v>
      </c>
      <c r="B1695" s="10" t="s">
        <v>119</v>
      </c>
      <c r="C1695" s="10" t="s">
        <v>56</v>
      </c>
      <c r="D1695" s="10" t="s">
        <v>45</v>
      </c>
      <c r="E1695" s="10" t="s">
        <v>46</v>
      </c>
      <c r="F1695" s="10" t="s">
        <v>94</v>
      </c>
      <c r="G1695" s="10" t="b">
        <f>FALSE()</f>
        <v>0</v>
      </c>
      <c r="H1695" s="10">
        <v>0</v>
      </c>
      <c r="I1695" s="10">
        <v>1</v>
      </c>
      <c r="J1695" s="10">
        <v>0</v>
      </c>
      <c r="K1695" s="10">
        <v>0</v>
      </c>
      <c r="L1695" s="10">
        <v>0</v>
      </c>
      <c r="M1695" s="10">
        <v>1</v>
      </c>
      <c r="N1695" s="10">
        <v>883</v>
      </c>
      <c r="O1695" s="10">
        <v>873</v>
      </c>
    </row>
    <row r="1696" spans="1:15" x14ac:dyDescent="0.2">
      <c r="A1696" s="10" t="s">
        <v>1052</v>
      </c>
      <c r="B1696" s="10" t="s">
        <v>289</v>
      </c>
      <c r="C1696" s="10" t="s">
        <v>50</v>
      </c>
      <c r="D1696" s="10" t="s">
        <v>51</v>
      </c>
      <c r="E1696" s="10" t="s">
        <v>52</v>
      </c>
      <c r="F1696" s="10" t="s">
        <v>481</v>
      </c>
      <c r="G1696" s="10" t="b">
        <f>FALSE()</f>
        <v>0</v>
      </c>
      <c r="H1696" s="10">
        <v>0</v>
      </c>
      <c r="I1696" s="10">
        <v>1</v>
      </c>
      <c r="J1696" s="10">
        <v>0</v>
      </c>
      <c r="K1696" s="10">
        <v>0</v>
      </c>
      <c r="L1696" s="10">
        <v>0</v>
      </c>
      <c r="M1696" s="10">
        <v>1</v>
      </c>
      <c r="N1696" s="10">
        <v>856</v>
      </c>
      <c r="O1696" s="10">
        <v>854</v>
      </c>
    </row>
    <row r="1697" spans="1:15" x14ac:dyDescent="0.2">
      <c r="A1697" s="10" t="s">
        <v>1061</v>
      </c>
      <c r="B1697" s="10" t="s">
        <v>262</v>
      </c>
      <c r="C1697" s="10" t="s">
        <v>105</v>
      </c>
      <c r="D1697" s="10" t="s">
        <v>45</v>
      </c>
      <c r="E1697" s="10" t="s">
        <v>46</v>
      </c>
      <c r="F1697" s="10" t="s">
        <v>986</v>
      </c>
      <c r="G1697" s="10" t="b">
        <f>FALSE()</f>
        <v>0</v>
      </c>
      <c r="H1697" s="10">
        <v>0</v>
      </c>
      <c r="I1697" s="10">
        <v>1</v>
      </c>
      <c r="J1697" s="10">
        <v>0</v>
      </c>
      <c r="K1697" s="10">
        <v>0</v>
      </c>
      <c r="L1697" s="10">
        <v>0</v>
      </c>
      <c r="M1697" s="10">
        <v>1</v>
      </c>
      <c r="N1697" s="10">
        <v>841</v>
      </c>
      <c r="O1697" s="10">
        <v>841</v>
      </c>
    </row>
    <row r="1698" spans="1:15" x14ac:dyDescent="0.2">
      <c r="A1698" s="10" t="s">
        <v>1062</v>
      </c>
      <c r="B1698" s="10" t="s">
        <v>72</v>
      </c>
      <c r="C1698" s="10" t="s">
        <v>73</v>
      </c>
      <c r="D1698" s="10" t="s">
        <v>45</v>
      </c>
      <c r="E1698" s="10" t="s">
        <v>46</v>
      </c>
      <c r="F1698" s="10" t="s">
        <v>47</v>
      </c>
      <c r="G1698" s="10" t="b">
        <f>FALSE()</f>
        <v>0</v>
      </c>
      <c r="H1698" s="10">
        <v>0</v>
      </c>
      <c r="I1698" s="10">
        <v>1</v>
      </c>
      <c r="J1698" s="10">
        <v>0</v>
      </c>
      <c r="K1698" s="10">
        <v>0</v>
      </c>
      <c r="L1698" s="10">
        <v>0</v>
      </c>
      <c r="M1698" s="10">
        <v>1</v>
      </c>
      <c r="N1698" s="10">
        <v>840</v>
      </c>
      <c r="O1698" s="10">
        <v>840</v>
      </c>
    </row>
    <row r="1699" spans="1:15" x14ac:dyDescent="0.2">
      <c r="A1699" s="10" t="s">
        <v>1031</v>
      </c>
      <c r="B1699" s="10" t="s">
        <v>119</v>
      </c>
      <c r="C1699" s="10" t="s">
        <v>56</v>
      </c>
      <c r="D1699" s="10" t="s">
        <v>45</v>
      </c>
      <c r="E1699" s="10" t="s">
        <v>46</v>
      </c>
      <c r="F1699" s="10" t="s">
        <v>251</v>
      </c>
      <c r="G1699" s="10" t="b">
        <f>FALSE()</f>
        <v>0</v>
      </c>
      <c r="H1699" s="10">
        <v>0</v>
      </c>
      <c r="I1699" s="10">
        <v>1</v>
      </c>
      <c r="J1699" s="10">
        <v>0</v>
      </c>
      <c r="K1699" s="10">
        <v>0</v>
      </c>
      <c r="L1699" s="10">
        <v>0</v>
      </c>
      <c r="M1699" s="10">
        <v>1</v>
      </c>
      <c r="N1699" s="10">
        <v>840</v>
      </c>
      <c r="O1699" s="10">
        <v>840</v>
      </c>
    </row>
    <row r="1700" spans="1:15" x14ac:dyDescent="0.2">
      <c r="A1700" s="10" t="s">
        <v>1063</v>
      </c>
      <c r="B1700" s="10" t="s">
        <v>146</v>
      </c>
      <c r="C1700" s="10" t="s">
        <v>105</v>
      </c>
      <c r="D1700" s="10" t="s">
        <v>45</v>
      </c>
      <c r="E1700" s="10" t="s">
        <v>46</v>
      </c>
      <c r="F1700" s="10" t="s">
        <v>834</v>
      </c>
      <c r="G1700" s="10" t="b">
        <f>FALSE()</f>
        <v>0</v>
      </c>
      <c r="H1700" s="10">
        <v>0</v>
      </c>
      <c r="I1700" s="10">
        <v>1</v>
      </c>
      <c r="J1700" s="10">
        <v>0</v>
      </c>
      <c r="K1700" s="10">
        <v>0</v>
      </c>
      <c r="L1700" s="10">
        <v>0</v>
      </c>
      <c r="M1700" s="10">
        <v>1</v>
      </c>
      <c r="N1700" s="10">
        <v>855</v>
      </c>
      <c r="O1700" s="10">
        <v>828</v>
      </c>
    </row>
    <row r="1701" spans="1:15" x14ac:dyDescent="0.2">
      <c r="A1701" s="10" t="s">
        <v>1064</v>
      </c>
      <c r="B1701" s="10" t="s">
        <v>119</v>
      </c>
      <c r="C1701" s="10" t="s">
        <v>56</v>
      </c>
      <c r="D1701" s="10" t="s">
        <v>45</v>
      </c>
      <c r="E1701" s="10" t="s">
        <v>46</v>
      </c>
      <c r="F1701" s="10" t="s">
        <v>85</v>
      </c>
      <c r="G1701" s="10" t="b">
        <f>FALSE()</f>
        <v>0</v>
      </c>
      <c r="H1701" s="10">
        <v>0</v>
      </c>
      <c r="I1701" s="10">
        <v>1</v>
      </c>
      <c r="J1701" s="10">
        <v>0</v>
      </c>
      <c r="K1701" s="10">
        <v>0</v>
      </c>
      <c r="L1701" s="10">
        <v>0</v>
      </c>
      <c r="M1701" s="10">
        <v>1</v>
      </c>
      <c r="N1701" s="10">
        <v>809</v>
      </c>
      <c r="O1701" s="10">
        <v>806</v>
      </c>
    </row>
    <row r="1702" spans="1:15" x14ac:dyDescent="0.2">
      <c r="A1702" s="10" t="s">
        <v>144</v>
      </c>
      <c r="B1702" s="10" t="s">
        <v>72</v>
      </c>
      <c r="C1702" s="10" t="s">
        <v>73</v>
      </c>
      <c r="D1702" s="10" t="s">
        <v>45</v>
      </c>
      <c r="E1702" s="10" t="s">
        <v>46</v>
      </c>
      <c r="F1702" s="10" t="s">
        <v>373</v>
      </c>
      <c r="G1702" s="10" t="b">
        <f>FALSE()</f>
        <v>0</v>
      </c>
      <c r="H1702" s="10">
        <v>0</v>
      </c>
      <c r="I1702" s="10">
        <v>1</v>
      </c>
      <c r="J1702" s="10">
        <v>0</v>
      </c>
      <c r="K1702" s="10">
        <v>0</v>
      </c>
      <c r="L1702" s="10">
        <v>0</v>
      </c>
      <c r="M1702" s="10">
        <v>1</v>
      </c>
      <c r="N1702" s="10">
        <v>793</v>
      </c>
      <c r="O1702" s="10">
        <v>793</v>
      </c>
    </row>
    <row r="1703" spans="1:15" x14ac:dyDescent="0.2">
      <c r="A1703" s="10" t="s">
        <v>1065</v>
      </c>
      <c r="B1703" s="10" t="s">
        <v>285</v>
      </c>
      <c r="C1703" s="10" t="s">
        <v>105</v>
      </c>
      <c r="D1703" s="10" t="s">
        <v>45</v>
      </c>
      <c r="E1703" s="10" t="s">
        <v>46</v>
      </c>
      <c r="F1703" s="10" t="s">
        <v>85</v>
      </c>
      <c r="G1703" s="10" t="b">
        <f>FALSE()</f>
        <v>0</v>
      </c>
      <c r="H1703" s="10">
        <v>0</v>
      </c>
      <c r="I1703" s="10">
        <v>1</v>
      </c>
      <c r="J1703" s="10">
        <v>0</v>
      </c>
      <c r="K1703" s="10">
        <v>0</v>
      </c>
      <c r="L1703" s="10">
        <v>0</v>
      </c>
      <c r="M1703" s="10">
        <v>1</v>
      </c>
      <c r="N1703" s="10">
        <v>768</v>
      </c>
      <c r="O1703" s="10">
        <v>765</v>
      </c>
    </row>
    <row r="1704" spans="1:15" x14ac:dyDescent="0.2">
      <c r="A1704" s="10" t="s">
        <v>1066</v>
      </c>
      <c r="B1704" s="10" t="s">
        <v>477</v>
      </c>
      <c r="C1704" s="10" t="s">
        <v>50</v>
      </c>
      <c r="D1704" s="10" t="s">
        <v>51</v>
      </c>
      <c r="E1704" s="10" t="s">
        <v>52</v>
      </c>
      <c r="F1704" s="10" t="s">
        <v>153</v>
      </c>
      <c r="G1704" s="10" t="b">
        <f>FALSE()</f>
        <v>0</v>
      </c>
      <c r="H1704" s="10">
        <v>0</v>
      </c>
      <c r="I1704" s="10">
        <v>1</v>
      </c>
      <c r="J1704" s="10">
        <v>0</v>
      </c>
      <c r="K1704" s="10">
        <v>0</v>
      </c>
      <c r="L1704" s="10">
        <v>0</v>
      </c>
      <c r="M1704" s="10">
        <v>1</v>
      </c>
      <c r="N1704" s="10">
        <v>758</v>
      </c>
      <c r="O1704" s="10">
        <v>756</v>
      </c>
    </row>
    <row r="1705" spans="1:15" x14ac:dyDescent="0.2">
      <c r="A1705" s="10" t="s">
        <v>1067</v>
      </c>
      <c r="B1705" s="10" t="s">
        <v>55</v>
      </c>
      <c r="C1705" s="10" t="s">
        <v>56</v>
      </c>
      <c r="D1705" s="10" t="s">
        <v>45</v>
      </c>
      <c r="E1705" s="10" t="s">
        <v>46</v>
      </c>
      <c r="F1705" s="10" t="s">
        <v>92</v>
      </c>
      <c r="G1705" s="10" t="b">
        <f>FALSE()</f>
        <v>0</v>
      </c>
      <c r="H1705" s="10">
        <v>0</v>
      </c>
      <c r="I1705" s="10">
        <v>1</v>
      </c>
      <c r="J1705" s="10">
        <v>0</v>
      </c>
      <c r="K1705" s="10">
        <v>0</v>
      </c>
      <c r="L1705" s="10">
        <v>0</v>
      </c>
      <c r="M1705" s="10">
        <v>1</v>
      </c>
      <c r="N1705" s="10">
        <v>746</v>
      </c>
      <c r="O1705" s="10">
        <v>746</v>
      </c>
    </row>
    <row r="1706" spans="1:15" x14ac:dyDescent="0.2">
      <c r="A1706" s="10" t="s">
        <v>1068</v>
      </c>
      <c r="B1706" s="10" t="s">
        <v>238</v>
      </c>
      <c r="C1706" s="10" t="s">
        <v>90</v>
      </c>
      <c r="D1706" s="10" t="s">
        <v>51</v>
      </c>
      <c r="E1706" s="10" t="s">
        <v>52</v>
      </c>
      <c r="F1706" s="10" t="s">
        <v>180</v>
      </c>
      <c r="G1706" s="10" t="b">
        <f>FALSE()</f>
        <v>0</v>
      </c>
      <c r="H1706" s="10">
        <v>0</v>
      </c>
      <c r="I1706" s="10">
        <v>1</v>
      </c>
      <c r="J1706" s="10">
        <v>0</v>
      </c>
      <c r="K1706" s="10">
        <v>0</v>
      </c>
      <c r="L1706" s="10">
        <v>0</v>
      </c>
      <c r="M1706" s="10">
        <v>1</v>
      </c>
      <c r="N1706" s="10">
        <v>749</v>
      </c>
      <c r="O1706" s="10">
        <v>736</v>
      </c>
    </row>
    <row r="1707" spans="1:15" x14ac:dyDescent="0.2">
      <c r="A1707" s="10" t="s">
        <v>1069</v>
      </c>
      <c r="B1707" s="10" t="s">
        <v>89</v>
      </c>
      <c r="C1707" s="10" t="s">
        <v>90</v>
      </c>
      <c r="D1707" s="10" t="s">
        <v>51</v>
      </c>
      <c r="E1707" s="10" t="s">
        <v>52</v>
      </c>
      <c r="F1707" s="10" t="s">
        <v>92</v>
      </c>
      <c r="G1707" s="10" t="b">
        <f>FALSE()</f>
        <v>0</v>
      </c>
      <c r="H1707" s="10">
        <v>0</v>
      </c>
      <c r="I1707" s="10">
        <v>1</v>
      </c>
      <c r="J1707" s="10">
        <v>0</v>
      </c>
      <c r="K1707" s="10">
        <v>0</v>
      </c>
      <c r="L1707" s="10">
        <v>0</v>
      </c>
      <c r="M1707" s="10">
        <v>1</v>
      </c>
      <c r="N1707" s="10">
        <v>734</v>
      </c>
      <c r="O1707" s="10">
        <v>734</v>
      </c>
    </row>
    <row r="1708" spans="1:15" x14ac:dyDescent="0.2">
      <c r="A1708" s="10" t="s">
        <v>691</v>
      </c>
      <c r="B1708" s="10" t="s">
        <v>136</v>
      </c>
      <c r="C1708" s="10" t="s">
        <v>73</v>
      </c>
      <c r="D1708" s="10" t="s">
        <v>45</v>
      </c>
      <c r="E1708" s="10" t="s">
        <v>46</v>
      </c>
      <c r="F1708" s="10" t="s">
        <v>481</v>
      </c>
      <c r="G1708" s="10" t="b">
        <f>FALSE()</f>
        <v>0</v>
      </c>
      <c r="H1708" s="10">
        <v>0</v>
      </c>
      <c r="I1708" s="10">
        <v>1</v>
      </c>
      <c r="J1708" s="10">
        <v>0</v>
      </c>
      <c r="K1708" s="10">
        <v>0</v>
      </c>
      <c r="L1708" s="10">
        <v>0</v>
      </c>
      <c r="M1708" s="10">
        <v>1</v>
      </c>
      <c r="N1708" s="10">
        <v>722</v>
      </c>
      <c r="O1708" s="10">
        <v>722</v>
      </c>
    </row>
    <row r="1709" spans="1:15" x14ac:dyDescent="0.2">
      <c r="A1709" s="10" t="s">
        <v>1034</v>
      </c>
      <c r="B1709" s="10" t="s">
        <v>111</v>
      </c>
      <c r="C1709" s="10" t="s">
        <v>112</v>
      </c>
      <c r="D1709" s="10" t="s">
        <v>51</v>
      </c>
      <c r="E1709" s="10" t="s">
        <v>52</v>
      </c>
      <c r="F1709" s="10" t="s">
        <v>58</v>
      </c>
      <c r="G1709" s="10" t="b">
        <f>FALSE()</f>
        <v>0</v>
      </c>
      <c r="H1709" s="10">
        <v>0</v>
      </c>
      <c r="I1709" s="10">
        <v>1</v>
      </c>
      <c r="J1709" s="10">
        <v>0</v>
      </c>
      <c r="K1709" s="10">
        <v>0</v>
      </c>
      <c r="L1709" s="10">
        <v>0</v>
      </c>
      <c r="M1709" s="10">
        <v>1</v>
      </c>
      <c r="N1709" s="10">
        <v>719</v>
      </c>
      <c r="O1709" s="10">
        <v>719</v>
      </c>
    </row>
    <row r="1710" spans="1:15" x14ac:dyDescent="0.2">
      <c r="A1710" s="10" t="s">
        <v>691</v>
      </c>
      <c r="B1710" s="10" t="s">
        <v>136</v>
      </c>
      <c r="C1710" s="10" t="s">
        <v>73</v>
      </c>
      <c r="D1710" s="10" t="s">
        <v>45</v>
      </c>
      <c r="E1710" s="10" t="s">
        <v>46</v>
      </c>
      <c r="F1710" s="10" t="s">
        <v>223</v>
      </c>
      <c r="G1710" s="10" t="b">
        <f>FALSE()</f>
        <v>0</v>
      </c>
      <c r="H1710" s="10">
        <v>0</v>
      </c>
      <c r="I1710" s="10">
        <v>1</v>
      </c>
      <c r="J1710" s="10">
        <v>0</v>
      </c>
      <c r="K1710" s="10">
        <v>0</v>
      </c>
      <c r="L1710" s="10">
        <v>0</v>
      </c>
      <c r="M1710" s="10">
        <v>1</v>
      </c>
      <c r="N1710" s="10">
        <v>711</v>
      </c>
      <c r="O1710" s="10">
        <v>711</v>
      </c>
    </row>
    <row r="1711" spans="1:15" x14ac:dyDescent="0.2">
      <c r="A1711" s="10" t="s">
        <v>1070</v>
      </c>
      <c r="B1711" s="10" t="s">
        <v>70</v>
      </c>
      <c r="C1711" s="10" t="s">
        <v>70</v>
      </c>
      <c r="D1711" s="10" t="s">
        <v>45</v>
      </c>
      <c r="E1711" s="10" t="s">
        <v>46</v>
      </c>
      <c r="F1711" s="10" t="s">
        <v>403</v>
      </c>
      <c r="G1711" s="10" t="b">
        <f>TRUE()</f>
        <v>1</v>
      </c>
      <c r="H1711" s="10">
        <v>0</v>
      </c>
      <c r="I1711" s="10">
        <v>1</v>
      </c>
      <c r="J1711" s="10">
        <v>0</v>
      </c>
      <c r="K1711" s="10">
        <v>0</v>
      </c>
      <c r="L1711" s="10">
        <v>0</v>
      </c>
      <c r="M1711" s="10">
        <v>1</v>
      </c>
      <c r="N1711" s="10">
        <v>707</v>
      </c>
      <c r="O1711" s="10">
        <v>707</v>
      </c>
    </row>
    <row r="1712" spans="1:15" x14ac:dyDescent="0.2">
      <c r="A1712" s="10" t="s">
        <v>495</v>
      </c>
      <c r="B1712" s="10" t="s">
        <v>119</v>
      </c>
      <c r="C1712" s="10" t="s">
        <v>56</v>
      </c>
      <c r="D1712" s="10" t="s">
        <v>45</v>
      </c>
      <c r="E1712" s="10" t="s">
        <v>46</v>
      </c>
      <c r="F1712" s="10" t="s">
        <v>861</v>
      </c>
      <c r="G1712" s="10" t="b">
        <f>TRUE()</f>
        <v>1</v>
      </c>
      <c r="H1712" s="10">
        <v>0</v>
      </c>
      <c r="I1712" s="10">
        <v>1</v>
      </c>
      <c r="J1712" s="10">
        <v>0</v>
      </c>
      <c r="K1712" s="10">
        <v>0</v>
      </c>
      <c r="L1712" s="10">
        <v>0</v>
      </c>
      <c r="M1712" s="10">
        <v>1</v>
      </c>
      <c r="N1712" s="10">
        <v>702</v>
      </c>
      <c r="O1712" s="10">
        <v>700</v>
      </c>
    </row>
    <row r="1713" spans="1:15" x14ac:dyDescent="0.2">
      <c r="A1713" s="10" t="s">
        <v>1048</v>
      </c>
      <c r="B1713" s="10" t="s">
        <v>1049</v>
      </c>
      <c r="C1713" s="10" t="s">
        <v>64</v>
      </c>
      <c r="D1713" s="10" t="s">
        <v>45</v>
      </c>
      <c r="E1713" s="10" t="s">
        <v>46</v>
      </c>
      <c r="F1713" s="10" t="s">
        <v>434</v>
      </c>
      <c r="G1713" s="10" t="b">
        <f>FALSE()</f>
        <v>0</v>
      </c>
      <c r="H1713" s="10">
        <v>0</v>
      </c>
      <c r="I1713" s="10">
        <v>1</v>
      </c>
      <c r="J1713" s="10">
        <v>0</v>
      </c>
      <c r="K1713" s="10">
        <v>0</v>
      </c>
      <c r="L1713" s="10">
        <v>0</v>
      </c>
      <c r="M1713" s="10">
        <v>1</v>
      </c>
      <c r="N1713" s="10">
        <v>701</v>
      </c>
      <c r="O1713" s="10">
        <v>700</v>
      </c>
    </row>
    <row r="1714" spans="1:15" x14ac:dyDescent="0.2">
      <c r="A1714" s="10" t="s">
        <v>1071</v>
      </c>
      <c r="B1714" s="10" t="s">
        <v>167</v>
      </c>
      <c r="C1714" s="10" t="s">
        <v>64</v>
      </c>
      <c r="D1714" s="10" t="s">
        <v>45</v>
      </c>
      <c r="E1714" s="10" t="s">
        <v>46</v>
      </c>
      <c r="F1714" s="10" t="s">
        <v>251</v>
      </c>
      <c r="G1714" s="10" t="b">
        <f>FALSE()</f>
        <v>0</v>
      </c>
      <c r="H1714" s="10">
        <v>0</v>
      </c>
      <c r="I1714" s="10">
        <v>1</v>
      </c>
      <c r="J1714" s="10">
        <v>0</v>
      </c>
      <c r="K1714" s="10">
        <v>0</v>
      </c>
      <c r="L1714" s="10">
        <v>0</v>
      </c>
      <c r="M1714" s="10">
        <v>1</v>
      </c>
      <c r="N1714" s="10">
        <v>695</v>
      </c>
      <c r="O1714" s="10">
        <v>695</v>
      </c>
    </row>
    <row r="1715" spans="1:15" x14ac:dyDescent="0.2">
      <c r="A1715" s="10" t="s">
        <v>1056</v>
      </c>
      <c r="B1715" s="10" t="s">
        <v>104</v>
      </c>
      <c r="C1715" s="10" t="s">
        <v>105</v>
      </c>
      <c r="D1715" s="10" t="s">
        <v>45</v>
      </c>
      <c r="E1715" s="10" t="s">
        <v>46</v>
      </c>
      <c r="F1715" s="10" t="s">
        <v>113</v>
      </c>
      <c r="G1715" s="10" t="b">
        <f>TRUE()</f>
        <v>1</v>
      </c>
      <c r="H1715" s="10">
        <v>0</v>
      </c>
      <c r="I1715" s="10">
        <v>1</v>
      </c>
      <c r="J1715" s="10">
        <v>0</v>
      </c>
      <c r="K1715" s="10">
        <v>0</v>
      </c>
      <c r="L1715" s="10">
        <v>0</v>
      </c>
      <c r="M1715" s="10">
        <v>1</v>
      </c>
      <c r="N1715" s="10">
        <v>689</v>
      </c>
      <c r="O1715" s="10">
        <v>689</v>
      </c>
    </row>
    <row r="1716" spans="1:15" x14ac:dyDescent="0.2">
      <c r="A1716" s="10" t="s">
        <v>1048</v>
      </c>
      <c r="B1716" s="10" t="s">
        <v>1049</v>
      </c>
      <c r="C1716" s="10" t="s">
        <v>64</v>
      </c>
      <c r="D1716" s="10" t="s">
        <v>45</v>
      </c>
      <c r="E1716" s="10" t="s">
        <v>46</v>
      </c>
      <c r="F1716" s="10" t="s">
        <v>251</v>
      </c>
      <c r="G1716" s="10" t="b">
        <f>FALSE()</f>
        <v>0</v>
      </c>
      <c r="H1716" s="10">
        <v>0</v>
      </c>
      <c r="I1716" s="10">
        <v>1</v>
      </c>
      <c r="J1716" s="10">
        <v>0</v>
      </c>
      <c r="K1716" s="10">
        <v>0</v>
      </c>
      <c r="L1716" s="10">
        <v>0</v>
      </c>
      <c r="M1716" s="10">
        <v>1</v>
      </c>
      <c r="N1716" s="10">
        <v>688</v>
      </c>
      <c r="O1716" s="10">
        <v>688</v>
      </c>
    </row>
    <row r="1717" spans="1:15" x14ac:dyDescent="0.2">
      <c r="A1717" s="10" t="s">
        <v>1072</v>
      </c>
      <c r="B1717" s="10" t="s">
        <v>116</v>
      </c>
      <c r="C1717" s="10" t="s">
        <v>117</v>
      </c>
      <c r="D1717" s="10" t="s">
        <v>51</v>
      </c>
      <c r="E1717" s="10" t="s">
        <v>52</v>
      </c>
      <c r="F1717" s="10" t="s">
        <v>61</v>
      </c>
      <c r="G1717" s="10" t="b">
        <f>FALSE()</f>
        <v>0</v>
      </c>
      <c r="H1717" s="10">
        <v>0</v>
      </c>
      <c r="I1717" s="10">
        <v>1</v>
      </c>
      <c r="J1717" s="10">
        <v>0</v>
      </c>
      <c r="K1717" s="10">
        <v>0</v>
      </c>
      <c r="L1717" s="10">
        <v>0</v>
      </c>
      <c r="M1717" s="10">
        <v>1</v>
      </c>
      <c r="N1717" s="10">
        <v>683</v>
      </c>
      <c r="O1717" s="10">
        <v>686</v>
      </c>
    </row>
    <row r="1718" spans="1:15" x14ac:dyDescent="0.2">
      <c r="A1718" s="10" t="s">
        <v>1073</v>
      </c>
      <c r="B1718" s="10" t="s">
        <v>193</v>
      </c>
      <c r="C1718" s="10" t="s">
        <v>117</v>
      </c>
      <c r="D1718" s="10" t="s">
        <v>51</v>
      </c>
      <c r="E1718" s="10" t="s">
        <v>52</v>
      </c>
      <c r="F1718" s="10" t="s">
        <v>92</v>
      </c>
      <c r="G1718" s="10" t="b">
        <f>FALSE()</f>
        <v>0</v>
      </c>
      <c r="H1718" s="10">
        <v>0</v>
      </c>
      <c r="I1718" s="10">
        <v>1</v>
      </c>
      <c r="J1718" s="10">
        <v>0</v>
      </c>
      <c r="K1718" s="10">
        <v>0</v>
      </c>
      <c r="L1718" s="10">
        <v>0</v>
      </c>
      <c r="M1718" s="10">
        <v>1</v>
      </c>
      <c r="N1718" s="10">
        <v>676</v>
      </c>
      <c r="O1718" s="10">
        <v>676</v>
      </c>
    </row>
    <row r="1719" spans="1:15" x14ac:dyDescent="0.2">
      <c r="A1719" s="10" t="s">
        <v>1074</v>
      </c>
      <c r="B1719" s="10" t="s">
        <v>104</v>
      </c>
      <c r="C1719" s="10" t="s">
        <v>105</v>
      </c>
      <c r="D1719" s="10" t="s">
        <v>45</v>
      </c>
      <c r="E1719" s="10" t="s">
        <v>46</v>
      </c>
      <c r="F1719" s="10" t="s">
        <v>403</v>
      </c>
      <c r="G1719" s="10" t="b">
        <f>TRUE()</f>
        <v>1</v>
      </c>
      <c r="H1719" s="10">
        <v>0</v>
      </c>
      <c r="I1719" s="10">
        <v>1</v>
      </c>
      <c r="J1719" s="10">
        <v>0</v>
      </c>
      <c r="K1719" s="10">
        <v>0</v>
      </c>
      <c r="L1719" s="10">
        <v>0</v>
      </c>
      <c r="M1719" s="10">
        <v>1</v>
      </c>
      <c r="N1719" s="10">
        <v>693</v>
      </c>
      <c r="O1719" s="10">
        <v>671</v>
      </c>
    </row>
    <row r="1720" spans="1:15" x14ac:dyDescent="0.2">
      <c r="A1720" s="10" t="s">
        <v>1075</v>
      </c>
      <c r="B1720" s="10" t="s">
        <v>172</v>
      </c>
      <c r="C1720" s="10" t="s">
        <v>44</v>
      </c>
      <c r="D1720" s="10" t="s">
        <v>45</v>
      </c>
      <c r="E1720" s="10" t="s">
        <v>46</v>
      </c>
      <c r="F1720" s="10" t="s">
        <v>61</v>
      </c>
      <c r="G1720" s="10" t="b">
        <f>FALSE()</f>
        <v>0</v>
      </c>
      <c r="H1720" s="10">
        <v>0</v>
      </c>
      <c r="I1720" s="10">
        <v>1</v>
      </c>
      <c r="J1720" s="10">
        <v>0</v>
      </c>
      <c r="K1720" s="10">
        <v>0</v>
      </c>
      <c r="L1720" s="10">
        <v>0</v>
      </c>
      <c r="M1720" s="10">
        <v>1</v>
      </c>
      <c r="N1720" s="10">
        <v>695</v>
      </c>
      <c r="O1720" s="10">
        <v>666</v>
      </c>
    </row>
    <row r="1721" spans="1:15" x14ac:dyDescent="0.2">
      <c r="A1721" s="10" t="s">
        <v>1075</v>
      </c>
      <c r="B1721" s="10" t="s">
        <v>172</v>
      </c>
      <c r="C1721" s="10" t="s">
        <v>44</v>
      </c>
      <c r="D1721" s="10" t="s">
        <v>45</v>
      </c>
      <c r="E1721" s="10" t="s">
        <v>46</v>
      </c>
      <c r="F1721" s="10" t="s">
        <v>79</v>
      </c>
      <c r="G1721" s="10" t="b">
        <f>FALSE()</f>
        <v>0</v>
      </c>
      <c r="H1721" s="10">
        <v>0</v>
      </c>
      <c r="I1721" s="10">
        <v>1</v>
      </c>
      <c r="J1721" s="10">
        <v>0</v>
      </c>
      <c r="K1721" s="10">
        <v>0</v>
      </c>
      <c r="L1721" s="10">
        <v>0</v>
      </c>
      <c r="M1721" s="10">
        <v>1</v>
      </c>
      <c r="N1721" s="10">
        <v>665</v>
      </c>
      <c r="O1721" s="10">
        <v>658</v>
      </c>
    </row>
    <row r="1722" spans="1:15" x14ac:dyDescent="0.2">
      <c r="A1722" s="10" t="s">
        <v>134</v>
      </c>
      <c r="B1722" s="10" t="s">
        <v>139</v>
      </c>
      <c r="C1722" s="10" t="s">
        <v>64</v>
      </c>
      <c r="D1722" s="10" t="s">
        <v>45</v>
      </c>
      <c r="E1722" s="10" t="s">
        <v>46</v>
      </c>
      <c r="F1722" s="10" t="s">
        <v>65</v>
      </c>
      <c r="G1722" s="10" t="b">
        <f>FALSE()</f>
        <v>0</v>
      </c>
      <c r="H1722" s="10">
        <v>0</v>
      </c>
      <c r="I1722" s="10">
        <v>1</v>
      </c>
      <c r="J1722" s="10">
        <v>0</v>
      </c>
      <c r="K1722" s="10">
        <v>0</v>
      </c>
      <c r="L1722" s="10">
        <v>0</v>
      </c>
      <c r="M1722" s="10">
        <v>1</v>
      </c>
      <c r="N1722" s="10">
        <v>651</v>
      </c>
      <c r="O1722" s="10">
        <v>651</v>
      </c>
    </row>
    <row r="1723" spans="1:15" x14ac:dyDescent="0.2">
      <c r="A1723" s="10" t="s">
        <v>691</v>
      </c>
      <c r="B1723" s="10" t="s">
        <v>136</v>
      </c>
      <c r="C1723" s="10" t="s">
        <v>73</v>
      </c>
      <c r="D1723" s="10" t="s">
        <v>45</v>
      </c>
      <c r="E1723" s="10" t="s">
        <v>46</v>
      </c>
      <c r="F1723" s="10" t="s">
        <v>791</v>
      </c>
      <c r="G1723" s="10" t="b">
        <f>FALSE()</f>
        <v>0</v>
      </c>
      <c r="H1723" s="10">
        <v>0</v>
      </c>
      <c r="I1723" s="10">
        <v>1</v>
      </c>
      <c r="J1723" s="10">
        <v>0</v>
      </c>
      <c r="K1723" s="10">
        <v>0</v>
      </c>
      <c r="L1723" s="10">
        <v>0</v>
      </c>
      <c r="M1723" s="10">
        <v>1</v>
      </c>
      <c r="N1723" s="10">
        <v>647</v>
      </c>
      <c r="O1723" s="10">
        <v>647</v>
      </c>
    </row>
    <row r="1724" spans="1:15" x14ac:dyDescent="0.2">
      <c r="A1724" s="10" t="s">
        <v>1076</v>
      </c>
      <c r="B1724" s="10" t="s">
        <v>285</v>
      </c>
      <c r="C1724" s="10" t="s">
        <v>105</v>
      </c>
      <c r="D1724" s="10" t="s">
        <v>45</v>
      </c>
      <c r="E1724" s="10" t="s">
        <v>46</v>
      </c>
      <c r="F1724" s="10" t="s">
        <v>113</v>
      </c>
      <c r="G1724" s="10" t="b">
        <f>TRUE()</f>
        <v>1</v>
      </c>
      <c r="H1724" s="10">
        <v>0</v>
      </c>
      <c r="I1724" s="10">
        <v>1</v>
      </c>
      <c r="J1724" s="10">
        <v>0</v>
      </c>
      <c r="K1724" s="10">
        <v>0</v>
      </c>
      <c r="L1724" s="10">
        <v>0</v>
      </c>
      <c r="M1724" s="10">
        <v>1</v>
      </c>
      <c r="N1724" s="10">
        <v>649</v>
      </c>
      <c r="O1724" s="10">
        <v>647</v>
      </c>
    </row>
    <row r="1725" spans="1:15" x14ac:dyDescent="0.2">
      <c r="A1725" s="10" t="s">
        <v>853</v>
      </c>
      <c r="B1725" s="10" t="s">
        <v>456</v>
      </c>
      <c r="C1725" s="10" t="s">
        <v>245</v>
      </c>
      <c r="D1725" s="10" t="s">
        <v>51</v>
      </c>
      <c r="E1725" s="10" t="s">
        <v>52</v>
      </c>
      <c r="F1725" s="10" t="s">
        <v>986</v>
      </c>
      <c r="G1725" s="10" t="b">
        <f>FALSE()</f>
        <v>0</v>
      </c>
      <c r="H1725" s="10">
        <v>0</v>
      </c>
      <c r="I1725" s="10">
        <v>1</v>
      </c>
      <c r="J1725" s="10">
        <v>0</v>
      </c>
      <c r="K1725" s="10">
        <v>0</v>
      </c>
      <c r="L1725" s="10">
        <v>0</v>
      </c>
      <c r="M1725" s="10">
        <v>1</v>
      </c>
      <c r="N1725" s="10">
        <v>647</v>
      </c>
      <c r="O1725" s="10">
        <v>646</v>
      </c>
    </row>
    <row r="1726" spans="1:15" x14ac:dyDescent="0.2">
      <c r="A1726" s="10" t="s">
        <v>1077</v>
      </c>
      <c r="B1726" s="10" t="s">
        <v>606</v>
      </c>
      <c r="C1726" s="10" t="s">
        <v>64</v>
      </c>
      <c r="D1726" s="10" t="s">
        <v>45</v>
      </c>
      <c r="E1726" s="10" t="s">
        <v>46</v>
      </c>
      <c r="F1726" s="10" t="s">
        <v>92</v>
      </c>
      <c r="G1726" s="10" t="b">
        <f>FALSE()</f>
        <v>0</v>
      </c>
      <c r="H1726" s="10">
        <v>0</v>
      </c>
      <c r="I1726" s="10">
        <v>1</v>
      </c>
      <c r="J1726" s="10">
        <v>0</v>
      </c>
      <c r="K1726" s="10">
        <v>0</v>
      </c>
      <c r="L1726" s="10">
        <v>0</v>
      </c>
      <c r="M1726" s="10">
        <v>1</v>
      </c>
      <c r="N1726" s="10">
        <v>640</v>
      </c>
      <c r="O1726" s="10">
        <v>640</v>
      </c>
    </row>
    <row r="1727" spans="1:15" x14ac:dyDescent="0.2">
      <c r="A1727" s="10" t="s">
        <v>1043</v>
      </c>
      <c r="B1727" s="10" t="s">
        <v>218</v>
      </c>
      <c r="C1727" s="10" t="s">
        <v>73</v>
      </c>
      <c r="D1727" s="10" t="s">
        <v>45</v>
      </c>
      <c r="E1727" s="10" t="s">
        <v>46</v>
      </c>
      <c r="F1727" s="10" t="s">
        <v>113</v>
      </c>
      <c r="G1727" s="10" t="b">
        <f>TRUE()</f>
        <v>1</v>
      </c>
      <c r="H1727" s="10">
        <v>0</v>
      </c>
      <c r="I1727" s="10">
        <v>1</v>
      </c>
      <c r="J1727" s="10">
        <v>0</v>
      </c>
      <c r="K1727" s="10">
        <v>0</v>
      </c>
      <c r="L1727" s="10">
        <v>0</v>
      </c>
      <c r="M1727" s="10">
        <v>1</v>
      </c>
      <c r="N1727" s="10">
        <v>639</v>
      </c>
      <c r="O1727" s="10">
        <v>639</v>
      </c>
    </row>
    <row r="1728" spans="1:15" x14ac:dyDescent="0.2">
      <c r="A1728" s="10" t="s">
        <v>1078</v>
      </c>
      <c r="B1728" s="10" t="s">
        <v>188</v>
      </c>
      <c r="C1728" s="10" t="s">
        <v>112</v>
      </c>
      <c r="D1728" s="10" t="s">
        <v>51</v>
      </c>
      <c r="E1728" s="10" t="s">
        <v>52</v>
      </c>
      <c r="F1728" s="10" t="s">
        <v>153</v>
      </c>
      <c r="G1728" s="10" t="b">
        <f>FALSE()</f>
        <v>0</v>
      </c>
      <c r="H1728" s="10">
        <v>0</v>
      </c>
      <c r="I1728" s="10">
        <v>1</v>
      </c>
      <c r="J1728" s="10">
        <v>0</v>
      </c>
      <c r="K1728" s="10">
        <v>0</v>
      </c>
      <c r="L1728" s="10">
        <v>0</v>
      </c>
      <c r="M1728" s="10">
        <v>1</v>
      </c>
      <c r="N1728" s="10">
        <v>630</v>
      </c>
      <c r="O1728" s="10">
        <v>630</v>
      </c>
    </row>
    <row r="1729" spans="1:15" x14ac:dyDescent="0.2">
      <c r="A1729" s="10" t="s">
        <v>1032</v>
      </c>
      <c r="B1729" s="10" t="s">
        <v>96</v>
      </c>
      <c r="C1729" s="10" t="s">
        <v>50</v>
      </c>
      <c r="D1729" s="10" t="s">
        <v>51</v>
      </c>
      <c r="E1729" s="10" t="s">
        <v>52</v>
      </c>
      <c r="F1729" s="10" t="s">
        <v>660</v>
      </c>
      <c r="G1729" s="10" t="b">
        <f>FALSE()</f>
        <v>0</v>
      </c>
      <c r="H1729" s="10">
        <v>0</v>
      </c>
      <c r="I1729" s="10">
        <v>1</v>
      </c>
      <c r="J1729" s="10">
        <v>0</v>
      </c>
      <c r="K1729" s="10">
        <v>0</v>
      </c>
      <c r="L1729" s="10">
        <v>0</v>
      </c>
      <c r="M1729" s="10">
        <v>1</v>
      </c>
      <c r="N1729" s="10">
        <v>630</v>
      </c>
      <c r="O1729" s="10">
        <v>630</v>
      </c>
    </row>
    <row r="1730" spans="1:15" x14ac:dyDescent="0.2">
      <c r="A1730" s="10" t="s">
        <v>1079</v>
      </c>
      <c r="B1730" s="10" t="s">
        <v>70</v>
      </c>
      <c r="C1730" s="10" t="s">
        <v>70</v>
      </c>
      <c r="D1730" s="10" t="s">
        <v>45</v>
      </c>
      <c r="E1730" s="10" t="s">
        <v>46</v>
      </c>
      <c r="F1730" s="10" t="s">
        <v>79</v>
      </c>
      <c r="G1730" s="10" t="b">
        <f>FALSE()</f>
        <v>0</v>
      </c>
      <c r="H1730" s="10">
        <v>0</v>
      </c>
      <c r="I1730" s="10">
        <v>1</v>
      </c>
      <c r="J1730" s="10">
        <v>0</v>
      </c>
      <c r="K1730" s="10">
        <v>0</v>
      </c>
      <c r="L1730" s="10">
        <v>0</v>
      </c>
      <c r="M1730" s="10">
        <v>1</v>
      </c>
      <c r="N1730" s="10">
        <v>622</v>
      </c>
      <c r="O1730" s="10">
        <v>618</v>
      </c>
    </row>
    <row r="1731" spans="1:15" x14ac:dyDescent="0.2">
      <c r="A1731" s="10" t="s">
        <v>1080</v>
      </c>
      <c r="B1731" s="10" t="s">
        <v>67</v>
      </c>
      <c r="C1731" s="10" t="s">
        <v>64</v>
      </c>
      <c r="D1731" s="10" t="s">
        <v>45</v>
      </c>
      <c r="E1731" s="10" t="s">
        <v>46</v>
      </c>
      <c r="F1731" s="10" t="s">
        <v>91</v>
      </c>
      <c r="G1731" s="10" t="b">
        <f>TRUE()</f>
        <v>1</v>
      </c>
      <c r="H1731" s="10">
        <v>0</v>
      </c>
      <c r="I1731" s="10">
        <v>1</v>
      </c>
      <c r="J1731" s="10">
        <v>0</v>
      </c>
      <c r="K1731" s="10">
        <v>0</v>
      </c>
      <c r="L1731" s="10">
        <v>0</v>
      </c>
      <c r="M1731" s="10">
        <v>1</v>
      </c>
      <c r="N1731" s="10">
        <v>625</v>
      </c>
      <c r="O1731" s="10">
        <v>617</v>
      </c>
    </row>
    <row r="1732" spans="1:15" x14ac:dyDescent="0.2">
      <c r="A1732" s="10" t="s">
        <v>1079</v>
      </c>
      <c r="B1732" s="10" t="s">
        <v>70</v>
      </c>
      <c r="C1732" s="10" t="s">
        <v>70</v>
      </c>
      <c r="D1732" s="10" t="s">
        <v>45</v>
      </c>
      <c r="E1732" s="10" t="s">
        <v>46</v>
      </c>
      <c r="F1732" s="10" t="s">
        <v>251</v>
      </c>
      <c r="G1732" s="10" t="b">
        <f>FALSE()</f>
        <v>0</v>
      </c>
      <c r="H1732" s="10">
        <v>0</v>
      </c>
      <c r="I1732" s="10">
        <v>1</v>
      </c>
      <c r="J1732" s="10">
        <v>0</v>
      </c>
      <c r="K1732" s="10">
        <v>0</v>
      </c>
      <c r="L1732" s="10">
        <v>0</v>
      </c>
      <c r="M1732" s="10">
        <v>1</v>
      </c>
      <c r="N1732" s="10">
        <v>590</v>
      </c>
      <c r="O1732" s="10">
        <v>589</v>
      </c>
    </row>
    <row r="1733" spans="1:15" x14ac:dyDescent="0.2">
      <c r="A1733" s="10" t="s">
        <v>1081</v>
      </c>
      <c r="B1733" s="10" t="s">
        <v>157</v>
      </c>
      <c r="C1733" s="10" t="s">
        <v>64</v>
      </c>
      <c r="D1733" s="10" t="s">
        <v>45</v>
      </c>
      <c r="E1733" s="10" t="s">
        <v>46</v>
      </c>
      <c r="F1733" s="10" t="s">
        <v>47</v>
      </c>
      <c r="G1733" s="10" t="b">
        <f>FALSE()</f>
        <v>0</v>
      </c>
      <c r="H1733" s="10">
        <v>0</v>
      </c>
      <c r="I1733" s="10">
        <v>1</v>
      </c>
      <c r="J1733" s="10">
        <v>0</v>
      </c>
      <c r="K1733" s="10">
        <v>0</v>
      </c>
      <c r="L1733" s="10">
        <v>0</v>
      </c>
      <c r="M1733" s="10">
        <v>1</v>
      </c>
      <c r="N1733" s="10">
        <v>601</v>
      </c>
      <c r="O1733" s="10">
        <v>587</v>
      </c>
    </row>
    <row r="1734" spans="1:15" x14ac:dyDescent="0.2">
      <c r="A1734" s="10" t="s">
        <v>1082</v>
      </c>
      <c r="B1734" s="10" t="s">
        <v>562</v>
      </c>
      <c r="C1734" s="10" t="s">
        <v>245</v>
      </c>
      <c r="D1734" s="10" t="s">
        <v>51</v>
      </c>
      <c r="E1734" s="10" t="s">
        <v>52</v>
      </c>
      <c r="F1734" s="10" t="s">
        <v>61</v>
      </c>
      <c r="G1734" s="10" t="b">
        <f>FALSE()</f>
        <v>0</v>
      </c>
      <c r="H1734" s="10">
        <v>0</v>
      </c>
      <c r="I1734" s="10">
        <v>1</v>
      </c>
      <c r="J1734" s="10">
        <v>0</v>
      </c>
      <c r="K1734" s="10">
        <v>0</v>
      </c>
      <c r="L1734" s="10">
        <v>0</v>
      </c>
      <c r="M1734" s="10">
        <v>1</v>
      </c>
      <c r="N1734" s="10">
        <v>555</v>
      </c>
      <c r="O1734" s="10">
        <v>586</v>
      </c>
    </row>
    <row r="1735" spans="1:15" x14ac:dyDescent="0.2">
      <c r="A1735" s="10" t="s">
        <v>1083</v>
      </c>
      <c r="B1735" s="10" t="s">
        <v>72</v>
      </c>
      <c r="C1735" s="10" t="s">
        <v>73</v>
      </c>
      <c r="D1735" s="10" t="s">
        <v>45</v>
      </c>
      <c r="E1735" s="10" t="s">
        <v>46</v>
      </c>
      <c r="F1735" s="10" t="s">
        <v>123</v>
      </c>
      <c r="G1735" s="10" t="b">
        <f>FALSE()</f>
        <v>0</v>
      </c>
      <c r="H1735" s="10">
        <v>0</v>
      </c>
      <c r="I1735" s="10">
        <v>1</v>
      </c>
      <c r="J1735" s="10">
        <v>0</v>
      </c>
      <c r="K1735" s="10">
        <v>0</v>
      </c>
      <c r="L1735" s="10">
        <v>0</v>
      </c>
      <c r="M1735" s="10">
        <v>1</v>
      </c>
      <c r="N1735" s="10">
        <v>584</v>
      </c>
      <c r="O1735" s="10">
        <v>576</v>
      </c>
    </row>
    <row r="1736" spans="1:15" x14ac:dyDescent="0.2">
      <c r="A1736" s="10" t="s">
        <v>1084</v>
      </c>
      <c r="B1736" s="10" t="s">
        <v>89</v>
      </c>
      <c r="C1736" s="10" t="s">
        <v>90</v>
      </c>
      <c r="D1736" s="10" t="s">
        <v>51</v>
      </c>
      <c r="E1736" s="10" t="s">
        <v>52</v>
      </c>
      <c r="F1736" s="10" t="s">
        <v>113</v>
      </c>
      <c r="G1736" s="10" t="b">
        <f>TRUE()</f>
        <v>1</v>
      </c>
      <c r="H1736" s="10">
        <v>0</v>
      </c>
      <c r="I1736" s="10">
        <v>1</v>
      </c>
      <c r="J1736" s="10">
        <v>0</v>
      </c>
      <c r="K1736" s="10">
        <v>0</v>
      </c>
      <c r="L1736" s="10">
        <v>0</v>
      </c>
      <c r="M1736" s="10">
        <v>1</v>
      </c>
      <c r="N1736" s="10">
        <v>587</v>
      </c>
      <c r="O1736" s="10">
        <v>567</v>
      </c>
    </row>
    <row r="1737" spans="1:15" x14ac:dyDescent="0.2">
      <c r="A1737" s="10" t="s">
        <v>1085</v>
      </c>
      <c r="B1737" s="10" t="s">
        <v>139</v>
      </c>
      <c r="C1737" s="10" t="s">
        <v>64</v>
      </c>
      <c r="D1737" s="10" t="s">
        <v>45</v>
      </c>
      <c r="E1737" s="10" t="s">
        <v>46</v>
      </c>
      <c r="F1737" s="10" t="s">
        <v>79</v>
      </c>
      <c r="G1737" s="10" t="b">
        <f>FALSE()</f>
        <v>0</v>
      </c>
      <c r="H1737" s="10">
        <v>0</v>
      </c>
      <c r="I1737" s="10">
        <v>1</v>
      </c>
      <c r="J1737" s="10">
        <v>0</v>
      </c>
      <c r="K1737" s="10">
        <v>0</v>
      </c>
      <c r="L1737" s="10">
        <v>0</v>
      </c>
      <c r="M1737" s="10">
        <v>1</v>
      </c>
      <c r="N1737" s="10">
        <v>564</v>
      </c>
      <c r="O1737" s="10">
        <v>564</v>
      </c>
    </row>
    <row r="1738" spans="1:15" x14ac:dyDescent="0.2">
      <c r="A1738" s="10" t="s">
        <v>1086</v>
      </c>
      <c r="B1738" s="10" t="s">
        <v>172</v>
      </c>
      <c r="C1738" s="10" t="s">
        <v>44</v>
      </c>
      <c r="D1738" s="10" t="s">
        <v>45</v>
      </c>
      <c r="E1738" s="10" t="s">
        <v>46</v>
      </c>
      <c r="F1738" s="10" t="s">
        <v>223</v>
      </c>
      <c r="G1738" s="10" t="b">
        <f>FALSE()</f>
        <v>0</v>
      </c>
      <c r="H1738" s="10">
        <v>0</v>
      </c>
      <c r="I1738" s="10">
        <v>1</v>
      </c>
      <c r="J1738" s="10">
        <v>0</v>
      </c>
      <c r="K1738" s="10">
        <v>0</v>
      </c>
      <c r="L1738" s="10">
        <v>0</v>
      </c>
      <c r="M1738" s="10">
        <v>1</v>
      </c>
      <c r="N1738" s="10">
        <v>563</v>
      </c>
      <c r="O1738" s="10">
        <v>562</v>
      </c>
    </row>
    <row r="1739" spans="1:15" x14ac:dyDescent="0.2">
      <c r="A1739" s="10" t="s">
        <v>1074</v>
      </c>
      <c r="B1739" s="10" t="s">
        <v>104</v>
      </c>
      <c r="C1739" s="10" t="s">
        <v>105</v>
      </c>
      <c r="D1739" s="10" t="s">
        <v>45</v>
      </c>
      <c r="E1739" s="10" t="s">
        <v>46</v>
      </c>
      <c r="F1739" s="10" t="s">
        <v>155</v>
      </c>
      <c r="G1739" s="10" t="b">
        <f>TRUE()</f>
        <v>1</v>
      </c>
      <c r="H1739" s="10">
        <v>0</v>
      </c>
      <c r="I1739" s="10">
        <v>1</v>
      </c>
      <c r="J1739" s="10">
        <v>0</v>
      </c>
      <c r="K1739" s="10">
        <v>0</v>
      </c>
      <c r="L1739" s="10">
        <v>0</v>
      </c>
      <c r="M1739" s="10">
        <v>1</v>
      </c>
      <c r="N1739" s="10">
        <v>562</v>
      </c>
      <c r="O1739" s="10">
        <v>561</v>
      </c>
    </row>
    <row r="1740" spans="1:15" x14ac:dyDescent="0.2">
      <c r="A1740" s="10" t="s">
        <v>853</v>
      </c>
      <c r="B1740" s="10" t="s">
        <v>456</v>
      </c>
      <c r="C1740" s="10" t="s">
        <v>245</v>
      </c>
      <c r="D1740" s="10" t="s">
        <v>51</v>
      </c>
      <c r="E1740" s="10" t="s">
        <v>52</v>
      </c>
      <c r="F1740" s="10" t="s">
        <v>1026</v>
      </c>
      <c r="G1740" s="10" t="b">
        <f>FALSE()</f>
        <v>0</v>
      </c>
      <c r="H1740" s="10">
        <v>0</v>
      </c>
      <c r="I1740" s="10">
        <v>1</v>
      </c>
      <c r="J1740" s="10">
        <v>0</v>
      </c>
      <c r="K1740" s="10">
        <v>0</v>
      </c>
      <c r="L1740" s="10">
        <v>0</v>
      </c>
      <c r="M1740" s="10">
        <v>1</v>
      </c>
      <c r="N1740" s="10">
        <v>279</v>
      </c>
      <c r="O1740" s="10">
        <v>553</v>
      </c>
    </row>
    <row r="1741" spans="1:15" x14ac:dyDescent="0.2">
      <c r="A1741" s="10" t="s">
        <v>1087</v>
      </c>
      <c r="B1741" s="10" t="s">
        <v>63</v>
      </c>
      <c r="C1741" s="10" t="s">
        <v>64</v>
      </c>
      <c r="D1741" s="10" t="s">
        <v>45</v>
      </c>
      <c r="E1741" s="10" t="s">
        <v>46</v>
      </c>
      <c r="F1741" s="10" t="s">
        <v>85</v>
      </c>
      <c r="G1741" s="10" t="b">
        <f>FALSE()</f>
        <v>0</v>
      </c>
      <c r="H1741" s="10">
        <v>0</v>
      </c>
      <c r="I1741" s="10">
        <v>1</v>
      </c>
      <c r="J1741" s="10">
        <v>0</v>
      </c>
      <c r="K1741" s="10">
        <v>0</v>
      </c>
      <c r="L1741" s="10">
        <v>0</v>
      </c>
      <c r="M1741" s="10">
        <v>1</v>
      </c>
      <c r="N1741" s="10">
        <v>565</v>
      </c>
      <c r="O1741" s="10">
        <v>548</v>
      </c>
    </row>
    <row r="1742" spans="1:15" x14ac:dyDescent="0.2">
      <c r="A1742" s="10" t="s">
        <v>134</v>
      </c>
      <c r="B1742" s="10" t="s">
        <v>139</v>
      </c>
      <c r="C1742" s="10" t="s">
        <v>64</v>
      </c>
      <c r="D1742" s="10" t="s">
        <v>45</v>
      </c>
      <c r="E1742" s="10" t="s">
        <v>46</v>
      </c>
      <c r="F1742" s="10" t="s">
        <v>153</v>
      </c>
      <c r="G1742" s="10" t="b">
        <f>FALSE()</f>
        <v>0</v>
      </c>
      <c r="H1742" s="10">
        <v>0</v>
      </c>
      <c r="I1742" s="10">
        <v>1</v>
      </c>
      <c r="J1742" s="10">
        <v>0</v>
      </c>
      <c r="K1742" s="10">
        <v>0</v>
      </c>
      <c r="L1742" s="10">
        <v>0</v>
      </c>
      <c r="M1742" s="10">
        <v>1</v>
      </c>
      <c r="N1742" s="10">
        <v>548</v>
      </c>
      <c r="O1742" s="10">
        <v>548</v>
      </c>
    </row>
    <row r="1743" spans="1:15" x14ac:dyDescent="0.2">
      <c r="A1743" s="10" t="s">
        <v>1075</v>
      </c>
      <c r="B1743" s="10" t="s">
        <v>172</v>
      </c>
      <c r="C1743" s="10" t="s">
        <v>44</v>
      </c>
      <c r="D1743" s="10" t="s">
        <v>45</v>
      </c>
      <c r="E1743" s="10" t="s">
        <v>46</v>
      </c>
      <c r="F1743" s="10" t="s">
        <v>363</v>
      </c>
      <c r="G1743" s="10" t="b">
        <f>FALSE()</f>
        <v>0</v>
      </c>
      <c r="H1743" s="10">
        <v>0</v>
      </c>
      <c r="I1743" s="10">
        <v>1</v>
      </c>
      <c r="J1743" s="10">
        <v>0</v>
      </c>
      <c r="K1743" s="10">
        <v>0</v>
      </c>
      <c r="L1743" s="10">
        <v>0</v>
      </c>
      <c r="M1743" s="10">
        <v>1</v>
      </c>
      <c r="N1743" s="10">
        <v>572</v>
      </c>
      <c r="O1743" s="10">
        <v>548</v>
      </c>
    </row>
    <row r="1744" spans="1:15" x14ac:dyDescent="0.2">
      <c r="A1744" s="10" t="s">
        <v>1088</v>
      </c>
      <c r="B1744" s="10" t="s">
        <v>517</v>
      </c>
      <c r="C1744" s="10" t="s">
        <v>90</v>
      </c>
      <c r="D1744" s="10" t="s">
        <v>51</v>
      </c>
      <c r="E1744" s="10" t="s">
        <v>52</v>
      </c>
      <c r="F1744" s="10" t="s">
        <v>47</v>
      </c>
      <c r="G1744" s="10" t="b">
        <f>FALSE()</f>
        <v>0</v>
      </c>
      <c r="H1744" s="10">
        <v>0</v>
      </c>
      <c r="I1744" s="10">
        <v>1</v>
      </c>
      <c r="J1744" s="10">
        <v>0</v>
      </c>
      <c r="K1744" s="10">
        <v>0</v>
      </c>
      <c r="L1744" s="10">
        <v>0</v>
      </c>
      <c r="M1744" s="10">
        <v>1</v>
      </c>
      <c r="N1744" s="10">
        <v>587</v>
      </c>
      <c r="O1744" s="10">
        <v>546</v>
      </c>
    </row>
    <row r="1745" spans="1:15" x14ac:dyDescent="0.2">
      <c r="A1745" s="10" t="s">
        <v>1068</v>
      </c>
      <c r="B1745" s="10" t="s">
        <v>238</v>
      </c>
      <c r="C1745" s="10" t="s">
        <v>90</v>
      </c>
      <c r="D1745" s="10" t="s">
        <v>51</v>
      </c>
      <c r="E1745" s="10" t="s">
        <v>52</v>
      </c>
      <c r="F1745" s="10" t="s">
        <v>318</v>
      </c>
      <c r="G1745" s="10" t="b">
        <f>FALSE()</f>
        <v>0</v>
      </c>
      <c r="H1745" s="10">
        <v>0</v>
      </c>
      <c r="I1745" s="10">
        <v>1</v>
      </c>
      <c r="J1745" s="10">
        <v>0</v>
      </c>
      <c r="K1745" s="10">
        <v>0</v>
      </c>
      <c r="L1745" s="10">
        <v>0</v>
      </c>
      <c r="M1745" s="10">
        <v>1</v>
      </c>
      <c r="N1745" s="10">
        <v>485</v>
      </c>
      <c r="O1745" s="10">
        <v>546</v>
      </c>
    </row>
    <row r="1746" spans="1:15" x14ac:dyDescent="0.2">
      <c r="A1746" s="10" t="s">
        <v>495</v>
      </c>
      <c r="B1746" s="10" t="s">
        <v>119</v>
      </c>
      <c r="C1746" s="10" t="s">
        <v>56</v>
      </c>
      <c r="D1746" s="10" t="s">
        <v>45</v>
      </c>
      <c r="E1746" s="10" t="s">
        <v>46</v>
      </c>
      <c r="F1746" s="10" t="s">
        <v>1089</v>
      </c>
      <c r="G1746" s="10" t="b">
        <f>TRUE()</f>
        <v>1</v>
      </c>
      <c r="H1746" s="10">
        <v>0</v>
      </c>
      <c r="I1746" s="10">
        <v>1</v>
      </c>
      <c r="J1746" s="10">
        <v>0</v>
      </c>
      <c r="K1746" s="10">
        <v>0</v>
      </c>
      <c r="L1746" s="10">
        <v>0</v>
      </c>
      <c r="M1746" s="10">
        <v>1</v>
      </c>
      <c r="N1746" s="10">
        <v>554</v>
      </c>
      <c r="O1746" s="10">
        <v>545</v>
      </c>
    </row>
    <row r="1747" spans="1:15" x14ac:dyDescent="0.2">
      <c r="A1747" s="10" t="s">
        <v>1090</v>
      </c>
      <c r="B1747" s="10" t="s">
        <v>172</v>
      </c>
      <c r="C1747" s="10" t="s">
        <v>44</v>
      </c>
      <c r="D1747" s="10" t="s">
        <v>45</v>
      </c>
      <c r="E1747" s="10" t="s">
        <v>46</v>
      </c>
      <c r="F1747" s="10" t="s">
        <v>85</v>
      </c>
      <c r="G1747" s="10" t="b">
        <f>FALSE()</f>
        <v>0</v>
      </c>
      <c r="H1747" s="10">
        <v>0</v>
      </c>
      <c r="I1747" s="10">
        <v>1</v>
      </c>
      <c r="J1747" s="10">
        <v>0</v>
      </c>
      <c r="K1747" s="10">
        <v>0</v>
      </c>
      <c r="L1747" s="10">
        <v>0</v>
      </c>
      <c r="M1747" s="10">
        <v>1</v>
      </c>
      <c r="N1747" s="10">
        <v>545</v>
      </c>
      <c r="O1747" s="10">
        <v>544</v>
      </c>
    </row>
    <row r="1748" spans="1:15" x14ac:dyDescent="0.2">
      <c r="A1748" s="10" t="s">
        <v>1067</v>
      </c>
      <c r="B1748" s="10" t="s">
        <v>55</v>
      </c>
      <c r="C1748" s="10" t="s">
        <v>56</v>
      </c>
      <c r="D1748" s="10" t="s">
        <v>45</v>
      </c>
      <c r="E1748" s="10" t="s">
        <v>46</v>
      </c>
      <c r="F1748" s="10" t="s">
        <v>251</v>
      </c>
      <c r="G1748" s="10" t="b">
        <f>FALSE()</f>
        <v>0</v>
      </c>
      <c r="H1748" s="10">
        <v>0</v>
      </c>
      <c r="I1748" s="10">
        <v>1</v>
      </c>
      <c r="J1748" s="10">
        <v>0</v>
      </c>
      <c r="K1748" s="10">
        <v>0</v>
      </c>
      <c r="L1748" s="10">
        <v>0</v>
      </c>
      <c r="M1748" s="10">
        <v>1</v>
      </c>
      <c r="N1748" s="10">
        <v>541</v>
      </c>
      <c r="O1748" s="10">
        <v>540</v>
      </c>
    </row>
    <row r="1749" spans="1:15" x14ac:dyDescent="0.2">
      <c r="A1749" s="10" t="s">
        <v>1091</v>
      </c>
      <c r="B1749" s="10" t="s">
        <v>89</v>
      </c>
      <c r="C1749" s="10" t="s">
        <v>90</v>
      </c>
      <c r="D1749" s="10" t="s">
        <v>51</v>
      </c>
      <c r="E1749" s="10" t="s">
        <v>52</v>
      </c>
      <c r="F1749" s="10" t="s">
        <v>251</v>
      </c>
      <c r="G1749" s="10" t="b">
        <f>FALSE()</f>
        <v>0</v>
      </c>
      <c r="H1749" s="10">
        <v>0</v>
      </c>
      <c r="I1749" s="10">
        <v>1</v>
      </c>
      <c r="J1749" s="10">
        <v>0</v>
      </c>
      <c r="K1749" s="10">
        <v>0</v>
      </c>
      <c r="L1749" s="10">
        <v>0</v>
      </c>
      <c r="M1749" s="10">
        <v>1</v>
      </c>
      <c r="N1749" s="10">
        <v>567</v>
      </c>
      <c r="O1749" s="10">
        <v>536</v>
      </c>
    </row>
    <row r="1750" spans="1:15" x14ac:dyDescent="0.2">
      <c r="A1750" s="10" t="s">
        <v>453</v>
      </c>
      <c r="B1750" s="10" t="s">
        <v>136</v>
      </c>
      <c r="C1750" s="10" t="s">
        <v>73</v>
      </c>
      <c r="D1750" s="10" t="s">
        <v>45</v>
      </c>
      <c r="E1750" s="10" t="s">
        <v>46</v>
      </c>
      <c r="F1750" s="10" t="s">
        <v>481</v>
      </c>
      <c r="G1750" s="10" t="b">
        <f>FALSE()</f>
        <v>0</v>
      </c>
      <c r="H1750" s="10">
        <v>0</v>
      </c>
      <c r="I1750" s="10">
        <v>1</v>
      </c>
      <c r="J1750" s="10">
        <v>0</v>
      </c>
      <c r="K1750" s="10">
        <v>0</v>
      </c>
      <c r="L1750" s="10">
        <v>0</v>
      </c>
      <c r="M1750" s="10">
        <v>1</v>
      </c>
      <c r="N1750" s="10">
        <v>539</v>
      </c>
      <c r="O1750" s="10">
        <v>535</v>
      </c>
    </row>
    <row r="1751" spans="1:15" x14ac:dyDescent="0.2">
      <c r="A1751" s="10" t="s">
        <v>1092</v>
      </c>
      <c r="B1751" s="10" t="s">
        <v>60</v>
      </c>
      <c r="C1751" s="10" t="s">
        <v>50</v>
      </c>
      <c r="D1751" s="10" t="s">
        <v>51</v>
      </c>
      <c r="E1751" s="10" t="s">
        <v>52</v>
      </c>
      <c r="F1751" s="10" t="s">
        <v>92</v>
      </c>
      <c r="G1751" s="10" t="b">
        <f>FALSE()</f>
        <v>0</v>
      </c>
      <c r="H1751" s="10">
        <v>0</v>
      </c>
      <c r="I1751" s="10">
        <v>1</v>
      </c>
      <c r="J1751" s="10">
        <v>0</v>
      </c>
      <c r="K1751" s="10">
        <v>0</v>
      </c>
      <c r="L1751" s="10">
        <v>0</v>
      </c>
      <c r="M1751" s="10">
        <v>1</v>
      </c>
      <c r="N1751" s="10">
        <v>534</v>
      </c>
      <c r="O1751" s="10">
        <v>534</v>
      </c>
    </row>
    <row r="1752" spans="1:15" x14ac:dyDescent="0.2">
      <c r="A1752" s="10" t="s">
        <v>479</v>
      </c>
      <c r="B1752" s="10" t="s">
        <v>96</v>
      </c>
      <c r="C1752" s="10" t="s">
        <v>50</v>
      </c>
      <c r="D1752" s="10" t="s">
        <v>51</v>
      </c>
      <c r="E1752" s="10" t="s">
        <v>52</v>
      </c>
      <c r="F1752" s="10" t="s">
        <v>403</v>
      </c>
      <c r="G1752" s="10" t="b">
        <f>TRUE()</f>
        <v>1</v>
      </c>
      <c r="H1752" s="10">
        <v>0</v>
      </c>
      <c r="I1752" s="10">
        <v>1</v>
      </c>
      <c r="J1752" s="10">
        <v>0</v>
      </c>
      <c r="K1752" s="10">
        <v>0</v>
      </c>
      <c r="L1752" s="10">
        <v>0</v>
      </c>
      <c r="M1752" s="10">
        <v>1</v>
      </c>
      <c r="N1752" s="10">
        <v>551</v>
      </c>
      <c r="O1752" s="10">
        <v>532</v>
      </c>
    </row>
    <row r="1753" spans="1:15" x14ac:dyDescent="0.2">
      <c r="A1753" s="10" t="s">
        <v>1093</v>
      </c>
      <c r="B1753" s="10" t="s">
        <v>262</v>
      </c>
      <c r="C1753" s="10" t="s">
        <v>105</v>
      </c>
      <c r="D1753" s="10" t="s">
        <v>45</v>
      </c>
      <c r="E1753" s="10" t="s">
        <v>46</v>
      </c>
      <c r="F1753" s="10" t="s">
        <v>223</v>
      </c>
      <c r="G1753" s="10" t="b">
        <f>FALSE()</f>
        <v>0</v>
      </c>
      <c r="H1753" s="10">
        <v>0</v>
      </c>
      <c r="I1753" s="10">
        <v>1</v>
      </c>
      <c r="J1753" s="10">
        <v>0</v>
      </c>
      <c r="K1753" s="10">
        <v>0</v>
      </c>
      <c r="L1753" s="10">
        <v>0</v>
      </c>
      <c r="M1753" s="10">
        <v>1</v>
      </c>
      <c r="N1753" s="10">
        <v>531</v>
      </c>
      <c r="O1753" s="10">
        <v>528</v>
      </c>
    </row>
    <row r="1754" spans="1:15" x14ac:dyDescent="0.2">
      <c r="A1754" s="10" t="s">
        <v>1091</v>
      </c>
      <c r="B1754" s="10" t="s">
        <v>89</v>
      </c>
      <c r="C1754" s="10" t="s">
        <v>90</v>
      </c>
      <c r="D1754" s="10" t="s">
        <v>51</v>
      </c>
      <c r="E1754" s="10" t="s">
        <v>52</v>
      </c>
      <c r="F1754" s="10" t="s">
        <v>92</v>
      </c>
      <c r="G1754" s="10" t="b">
        <f>FALSE()</f>
        <v>0</v>
      </c>
      <c r="H1754" s="10">
        <v>0</v>
      </c>
      <c r="I1754" s="10">
        <v>1</v>
      </c>
      <c r="J1754" s="10">
        <v>0</v>
      </c>
      <c r="K1754" s="10">
        <v>0</v>
      </c>
      <c r="L1754" s="10">
        <v>0</v>
      </c>
      <c r="M1754" s="10">
        <v>1</v>
      </c>
      <c r="N1754" s="10">
        <v>529</v>
      </c>
      <c r="O1754" s="10">
        <v>527</v>
      </c>
    </row>
    <row r="1755" spans="1:15" x14ac:dyDescent="0.2">
      <c r="A1755" s="10" t="s">
        <v>1078</v>
      </c>
      <c r="B1755" s="10" t="s">
        <v>188</v>
      </c>
      <c r="C1755" s="10" t="s">
        <v>112</v>
      </c>
      <c r="D1755" s="10" t="s">
        <v>51</v>
      </c>
      <c r="E1755" s="10" t="s">
        <v>52</v>
      </c>
      <c r="F1755" s="10" t="s">
        <v>61</v>
      </c>
      <c r="G1755" s="10" t="b">
        <f>FALSE()</f>
        <v>0</v>
      </c>
      <c r="H1755" s="10">
        <v>0</v>
      </c>
      <c r="I1755" s="10">
        <v>1</v>
      </c>
      <c r="J1755" s="10">
        <v>0</v>
      </c>
      <c r="K1755" s="10">
        <v>0</v>
      </c>
      <c r="L1755" s="10">
        <v>0</v>
      </c>
      <c r="M1755" s="10">
        <v>1</v>
      </c>
      <c r="N1755" s="10">
        <v>522</v>
      </c>
      <c r="O1755" s="10">
        <v>526</v>
      </c>
    </row>
    <row r="1756" spans="1:15" x14ac:dyDescent="0.2">
      <c r="A1756" s="10" t="s">
        <v>1094</v>
      </c>
      <c r="B1756" s="10" t="s">
        <v>172</v>
      </c>
      <c r="C1756" s="10" t="s">
        <v>44</v>
      </c>
      <c r="D1756" s="10" t="s">
        <v>45</v>
      </c>
      <c r="E1756" s="10" t="s">
        <v>46</v>
      </c>
      <c r="F1756" s="10" t="s">
        <v>85</v>
      </c>
      <c r="G1756" s="10" t="b">
        <f>FALSE()</f>
        <v>0</v>
      </c>
      <c r="H1756" s="10">
        <v>0</v>
      </c>
      <c r="I1756" s="10">
        <v>1</v>
      </c>
      <c r="J1756" s="10">
        <v>0</v>
      </c>
      <c r="K1756" s="10">
        <v>0</v>
      </c>
      <c r="L1756" s="10">
        <v>0</v>
      </c>
      <c r="M1756" s="10">
        <v>1</v>
      </c>
      <c r="N1756" s="10">
        <v>522</v>
      </c>
      <c r="O1756" s="10">
        <v>521</v>
      </c>
    </row>
    <row r="1757" spans="1:15" x14ac:dyDescent="0.2">
      <c r="A1757" s="10" t="s">
        <v>1095</v>
      </c>
      <c r="B1757" s="10" t="s">
        <v>122</v>
      </c>
      <c r="C1757" s="10" t="s">
        <v>112</v>
      </c>
      <c r="D1757" s="10" t="s">
        <v>51</v>
      </c>
      <c r="E1757" s="10" t="s">
        <v>52</v>
      </c>
      <c r="F1757" s="10" t="s">
        <v>94</v>
      </c>
      <c r="G1757" s="10" t="b">
        <f>FALSE()</f>
        <v>0</v>
      </c>
      <c r="H1757" s="10">
        <v>0</v>
      </c>
      <c r="I1757" s="10">
        <v>1</v>
      </c>
      <c r="J1757" s="10">
        <v>0</v>
      </c>
      <c r="K1757" s="10">
        <v>0</v>
      </c>
      <c r="L1757" s="10">
        <v>0</v>
      </c>
      <c r="M1757" s="10">
        <v>1</v>
      </c>
      <c r="N1757" s="10">
        <v>530</v>
      </c>
      <c r="O1757" s="10">
        <v>520</v>
      </c>
    </row>
    <row r="1758" spans="1:15" x14ac:dyDescent="0.2">
      <c r="A1758" s="10" t="s">
        <v>1096</v>
      </c>
      <c r="B1758" s="10" t="s">
        <v>70</v>
      </c>
      <c r="C1758" s="10" t="s">
        <v>70</v>
      </c>
      <c r="D1758" s="10" t="s">
        <v>45</v>
      </c>
      <c r="E1758" s="10" t="s">
        <v>46</v>
      </c>
      <c r="F1758" s="10" t="s">
        <v>251</v>
      </c>
      <c r="G1758" s="10" t="b">
        <f>FALSE()</f>
        <v>0</v>
      </c>
      <c r="H1758" s="10">
        <v>0</v>
      </c>
      <c r="I1758" s="10">
        <v>1</v>
      </c>
      <c r="J1758" s="10">
        <v>0</v>
      </c>
      <c r="K1758" s="10">
        <v>0</v>
      </c>
      <c r="L1758" s="10">
        <v>0</v>
      </c>
      <c r="M1758" s="10">
        <v>1</v>
      </c>
      <c r="N1758" s="10">
        <v>517</v>
      </c>
      <c r="O1758" s="10">
        <v>517</v>
      </c>
    </row>
    <row r="1759" spans="1:15" x14ac:dyDescent="0.2">
      <c r="A1759" s="10" t="s">
        <v>1097</v>
      </c>
      <c r="B1759" s="10" t="s">
        <v>109</v>
      </c>
      <c r="C1759" s="10" t="s">
        <v>90</v>
      </c>
      <c r="D1759" s="10" t="s">
        <v>51</v>
      </c>
      <c r="E1759" s="10" t="s">
        <v>52</v>
      </c>
      <c r="F1759" s="10" t="s">
        <v>61</v>
      </c>
      <c r="G1759" s="10" t="b">
        <f>FALSE()</f>
        <v>0</v>
      </c>
      <c r="H1759" s="10">
        <v>0</v>
      </c>
      <c r="I1759" s="10">
        <v>1</v>
      </c>
      <c r="J1759" s="10">
        <v>0</v>
      </c>
      <c r="K1759" s="10">
        <v>0</v>
      </c>
      <c r="L1759" s="10">
        <v>0</v>
      </c>
      <c r="M1759" s="10">
        <v>1</v>
      </c>
      <c r="N1759" s="10">
        <v>534</v>
      </c>
      <c r="O1759" s="10">
        <v>512</v>
      </c>
    </row>
    <row r="1760" spans="1:15" x14ac:dyDescent="0.2">
      <c r="A1760" s="10" t="s">
        <v>1085</v>
      </c>
      <c r="B1760" s="10" t="s">
        <v>139</v>
      </c>
      <c r="C1760" s="10" t="s">
        <v>64</v>
      </c>
      <c r="D1760" s="10" t="s">
        <v>45</v>
      </c>
      <c r="E1760" s="10" t="s">
        <v>46</v>
      </c>
      <c r="F1760" s="10" t="s">
        <v>1098</v>
      </c>
      <c r="G1760" s="10" t="b">
        <f>FALSE()</f>
        <v>0</v>
      </c>
      <c r="H1760" s="10">
        <v>0</v>
      </c>
      <c r="I1760" s="10">
        <v>1</v>
      </c>
      <c r="J1760" s="10">
        <v>0</v>
      </c>
      <c r="K1760" s="10">
        <v>0</v>
      </c>
      <c r="L1760" s="10">
        <v>0</v>
      </c>
      <c r="M1760" s="10">
        <v>1</v>
      </c>
      <c r="N1760" s="10">
        <v>510</v>
      </c>
      <c r="O1760" s="10">
        <v>510</v>
      </c>
    </row>
    <row r="1761" spans="1:15" x14ac:dyDescent="0.2">
      <c r="A1761" s="10" t="s">
        <v>66</v>
      </c>
      <c r="B1761" s="10" t="s">
        <v>157</v>
      </c>
      <c r="C1761" s="10" t="s">
        <v>64</v>
      </c>
      <c r="D1761" s="10" t="s">
        <v>45</v>
      </c>
      <c r="E1761" s="10" t="s">
        <v>46</v>
      </c>
      <c r="F1761" s="10" t="s">
        <v>83</v>
      </c>
      <c r="G1761" s="10" t="b">
        <f>TRUE()</f>
        <v>1</v>
      </c>
      <c r="H1761" s="10">
        <v>0</v>
      </c>
      <c r="I1761" s="10">
        <v>1</v>
      </c>
      <c r="J1761" s="10">
        <v>0</v>
      </c>
      <c r="K1761" s="10">
        <v>0</v>
      </c>
      <c r="L1761" s="10">
        <v>0</v>
      </c>
      <c r="M1761" s="10">
        <v>1</v>
      </c>
      <c r="N1761" s="10">
        <v>511</v>
      </c>
      <c r="O1761" s="10">
        <v>506</v>
      </c>
    </row>
    <row r="1762" spans="1:15" x14ac:dyDescent="0.2">
      <c r="A1762" s="10" t="s">
        <v>383</v>
      </c>
      <c r="B1762" s="10" t="s">
        <v>384</v>
      </c>
      <c r="C1762" s="10" t="s">
        <v>50</v>
      </c>
      <c r="D1762" s="10" t="s">
        <v>51</v>
      </c>
      <c r="E1762" s="10" t="s">
        <v>52</v>
      </c>
      <c r="F1762" s="10" t="s">
        <v>85</v>
      </c>
      <c r="G1762" s="10" t="b">
        <f>FALSE()</f>
        <v>0</v>
      </c>
      <c r="H1762" s="10">
        <v>0</v>
      </c>
      <c r="I1762" s="10">
        <v>1</v>
      </c>
      <c r="J1762" s="10">
        <v>0</v>
      </c>
      <c r="K1762" s="10">
        <v>0</v>
      </c>
      <c r="L1762" s="10">
        <v>0</v>
      </c>
      <c r="M1762" s="10">
        <v>1</v>
      </c>
      <c r="N1762" s="10">
        <v>504</v>
      </c>
      <c r="O1762" s="10">
        <v>503</v>
      </c>
    </row>
    <row r="1763" spans="1:15" x14ac:dyDescent="0.2">
      <c r="A1763" s="10" t="s">
        <v>724</v>
      </c>
      <c r="B1763" s="10" t="s">
        <v>119</v>
      </c>
      <c r="C1763" s="10" t="s">
        <v>56</v>
      </c>
      <c r="D1763" s="10" t="s">
        <v>45</v>
      </c>
      <c r="E1763" s="10" t="s">
        <v>46</v>
      </c>
      <c r="F1763" s="10" t="s">
        <v>1099</v>
      </c>
      <c r="G1763" s="10" t="b">
        <f>FALSE()</f>
        <v>0</v>
      </c>
      <c r="H1763" s="10">
        <v>0</v>
      </c>
      <c r="I1763" s="10">
        <v>1</v>
      </c>
      <c r="J1763" s="10">
        <v>0</v>
      </c>
      <c r="K1763" s="10">
        <v>0</v>
      </c>
      <c r="L1763" s="10">
        <v>0</v>
      </c>
      <c r="M1763" s="10">
        <v>1</v>
      </c>
      <c r="N1763" s="10">
        <v>503</v>
      </c>
      <c r="O1763" s="10">
        <v>503</v>
      </c>
    </row>
    <row r="1764" spans="1:15" x14ac:dyDescent="0.2">
      <c r="A1764" s="10" t="s">
        <v>1100</v>
      </c>
      <c r="B1764" s="10" t="s">
        <v>572</v>
      </c>
      <c r="C1764" s="10" t="s">
        <v>112</v>
      </c>
      <c r="D1764" s="10" t="s">
        <v>51</v>
      </c>
      <c r="E1764" s="10" t="s">
        <v>52</v>
      </c>
      <c r="F1764" s="10" t="s">
        <v>223</v>
      </c>
      <c r="G1764" s="10" t="b">
        <f>FALSE()</f>
        <v>0</v>
      </c>
      <c r="H1764" s="10">
        <v>0</v>
      </c>
      <c r="I1764" s="10">
        <v>1</v>
      </c>
      <c r="J1764" s="10">
        <v>0</v>
      </c>
      <c r="K1764" s="10">
        <v>0</v>
      </c>
      <c r="L1764" s="10">
        <v>0</v>
      </c>
      <c r="M1764" s="10">
        <v>1</v>
      </c>
      <c r="N1764" s="10">
        <v>508</v>
      </c>
      <c r="O1764" s="10">
        <v>502</v>
      </c>
    </row>
    <row r="1765" spans="1:15" x14ac:dyDescent="0.2">
      <c r="A1765" s="10" t="s">
        <v>134</v>
      </c>
      <c r="B1765" s="10" t="s">
        <v>139</v>
      </c>
      <c r="C1765" s="10" t="s">
        <v>64</v>
      </c>
      <c r="D1765" s="10" t="s">
        <v>45</v>
      </c>
      <c r="E1765" s="10" t="s">
        <v>46</v>
      </c>
      <c r="F1765" s="10" t="s">
        <v>92</v>
      </c>
      <c r="G1765" s="10" t="b">
        <f>FALSE()</f>
        <v>0</v>
      </c>
      <c r="H1765" s="10">
        <v>0</v>
      </c>
      <c r="I1765" s="10">
        <v>1</v>
      </c>
      <c r="J1765" s="10">
        <v>0</v>
      </c>
      <c r="K1765" s="10">
        <v>0</v>
      </c>
      <c r="L1765" s="10">
        <v>0</v>
      </c>
      <c r="M1765" s="10">
        <v>1</v>
      </c>
      <c r="N1765" s="10">
        <v>502</v>
      </c>
      <c r="O1765" s="10">
        <v>502</v>
      </c>
    </row>
    <row r="1766" spans="1:15" x14ac:dyDescent="0.2">
      <c r="A1766" s="10" t="s">
        <v>1022</v>
      </c>
      <c r="B1766" s="10" t="s">
        <v>167</v>
      </c>
      <c r="C1766" s="10" t="s">
        <v>64</v>
      </c>
      <c r="D1766" s="10" t="s">
        <v>45</v>
      </c>
      <c r="E1766" s="10" t="s">
        <v>46</v>
      </c>
      <c r="F1766" s="10" t="s">
        <v>251</v>
      </c>
      <c r="G1766" s="10" t="b">
        <f>FALSE()</f>
        <v>0</v>
      </c>
      <c r="H1766" s="10">
        <v>0</v>
      </c>
      <c r="I1766" s="10">
        <v>1</v>
      </c>
      <c r="J1766" s="10">
        <v>0</v>
      </c>
      <c r="K1766" s="10">
        <v>0</v>
      </c>
      <c r="L1766" s="10">
        <v>0</v>
      </c>
      <c r="M1766" s="10">
        <v>1</v>
      </c>
      <c r="N1766" s="10">
        <v>498</v>
      </c>
      <c r="O1766" s="10">
        <v>498</v>
      </c>
    </row>
    <row r="1767" spans="1:15" x14ac:dyDescent="0.2">
      <c r="A1767" s="10" t="s">
        <v>150</v>
      </c>
      <c r="B1767" s="10" t="s">
        <v>151</v>
      </c>
      <c r="C1767" s="10" t="s">
        <v>64</v>
      </c>
      <c r="D1767" s="10" t="s">
        <v>45</v>
      </c>
      <c r="E1767" s="10" t="s">
        <v>46</v>
      </c>
      <c r="F1767" s="10" t="s">
        <v>660</v>
      </c>
      <c r="G1767" s="10" t="b">
        <f>FALSE()</f>
        <v>0</v>
      </c>
      <c r="H1767" s="10">
        <v>0</v>
      </c>
      <c r="I1767" s="10">
        <v>1</v>
      </c>
      <c r="J1767" s="10">
        <v>0</v>
      </c>
      <c r="K1767" s="10">
        <v>0</v>
      </c>
      <c r="L1767" s="10">
        <v>0</v>
      </c>
      <c r="M1767" s="10">
        <v>1</v>
      </c>
      <c r="N1767" s="10">
        <v>495</v>
      </c>
      <c r="O1767" s="10">
        <v>494</v>
      </c>
    </row>
    <row r="1768" spans="1:15" x14ac:dyDescent="0.2">
      <c r="A1768" s="10" t="s">
        <v>1101</v>
      </c>
      <c r="B1768" s="10" t="s">
        <v>193</v>
      </c>
      <c r="C1768" s="10" t="s">
        <v>117</v>
      </c>
      <c r="D1768" s="10" t="s">
        <v>51</v>
      </c>
      <c r="E1768" s="10" t="s">
        <v>52</v>
      </c>
      <c r="F1768" s="10" t="s">
        <v>190</v>
      </c>
      <c r="G1768" s="10" t="b">
        <f>TRUE()</f>
        <v>1</v>
      </c>
      <c r="H1768" s="10">
        <v>0</v>
      </c>
      <c r="I1768" s="10">
        <v>1</v>
      </c>
      <c r="J1768" s="10">
        <v>0</v>
      </c>
      <c r="K1768" s="10">
        <v>0</v>
      </c>
      <c r="L1768" s="10">
        <v>0</v>
      </c>
      <c r="M1768" s="10">
        <v>1</v>
      </c>
      <c r="N1768" s="10">
        <v>495</v>
      </c>
      <c r="O1768" s="10">
        <v>494</v>
      </c>
    </row>
    <row r="1769" spans="1:15" x14ac:dyDescent="0.2">
      <c r="A1769" s="10" t="s">
        <v>1085</v>
      </c>
      <c r="B1769" s="10" t="s">
        <v>139</v>
      </c>
      <c r="C1769" s="10" t="s">
        <v>64</v>
      </c>
      <c r="D1769" s="10" t="s">
        <v>45</v>
      </c>
      <c r="E1769" s="10" t="s">
        <v>46</v>
      </c>
      <c r="F1769" s="10" t="s">
        <v>92</v>
      </c>
      <c r="G1769" s="10" t="b">
        <f>FALSE()</f>
        <v>0</v>
      </c>
      <c r="H1769" s="10">
        <v>0</v>
      </c>
      <c r="I1769" s="10">
        <v>1</v>
      </c>
      <c r="J1769" s="10">
        <v>0</v>
      </c>
      <c r="K1769" s="10">
        <v>0</v>
      </c>
      <c r="L1769" s="10">
        <v>0</v>
      </c>
      <c r="M1769" s="10">
        <v>1</v>
      </c>
      <c r="N1769" s="10">
        <v>494</v>
      </c>
      <c r="O1769" s="10">
        <v>494</v>
      </c>
    </row>
    <row r="1770" spans="1:15" x14ac:dyDescent="0.2">
      <c r="A1770" s="10" t="s">
        <v>1076</v>
      </c>
      <c r="B1770" s="10" t="s">
        <v>285</v>
      </c>
      <c r="C1770" s="10" t="s">
        <v>105</v>
      </c>
      <c r="D1770" s="10" t="s">
        <v>45</v>
      </c>
      <c r="E1770" s="10" t="s">
        <v>46</v>
      </c>
      <c r="F1770" s="10" t="s">
        <v>92</v>
      </c>
      <c r="G1770" s="10" t="b">
        <f>FALSE()</f>
        <v>0</v>
      </c>
      <c r="H1770" s="10">
        <v>0</v>
      </c>
      <c r="I1770" s="10">
        <v>1</v>
      </c>
      <c r="J1770" s="10">
        <v>0</v>
      </c>
      <c r="K1770" s="10">
        <v>0</v>
      </c>
      <c r="L1770" s="10">
        <v>0</v>
      </c>
      <c r="M1770" s="10">
        <v>1</v>
      </c>
      <c r="N1770" s="10">
        <v>493</v>
      </c>
      <c r="O1770" s="10">
        <v>493</v>
      </c>
    </row>
    <row r="1771" spans="1:15" x14ac:dyDescent="0.2">
      <c r="A1771" s="10" t="s">
        <v>1055</v>
      </c>
      <c r="B1771" s="10" t="s">
        <v>178</v>
      </c>
      <c r="C1771" s="10" t="s">
        <v>73</v>
      </c>
      <c r="D1771" s="10" t="s">
        <v>45</v>
      </c>
      <c r="E1771" s="10" t="s">
        <v>46</v>
      </c>
      <c r="F1771" s="10" t="s">
        <v>481</v>
      </c>
      <c r="G1771" s="10" t="b">
        <f>FALSE()</f>
        <v>0</v>
      </c>
      <c r="H1771" s="10">
        <v>0</v>
      </c>
      <c r="I1771" s="10">
        <v>1</v>
      </c>
      <c r="J1771" s="10">
        <v>0</v>
      </c>
      <c r="K1771" s="10">
        <v>0</v>
      </c>
      <c r="L1771" s="10">
        <v>0</v>
      </c>
      <c r="M1771" s="10">
        <v>1</v>
      </c>
      <c r="N1771" s="10">
        <v>496</v>
      </c>
      <c r="O1771" s="10">
        <v>492</v>
      </c>
    </row>
    <row r="1772" spans="1:15" x14ac:dyDescent="0.2">
      <c r="A1772" s="10" t="s">
        <v>1055</v>
      </c>
      <c r="B1772" s="10" t="s">
        <v>178</v>
      </c>
      <c r="C1772" s="10" t="s">
        <v>73</v>
      </c>
      <c r="D1772" s="10" t="s">
        <v>45</v>
      </c>
      <c r="E1772" s="10" t="s">
        <v>46</v>
      </c>
      <c r="F1772" s="10" t="s">
        <v>251</v>
      </c>
      <c r="G1772" s="10" t="b">
        <f>FALSE()</f>
        <v>0</v>
      </c>
      <c r="H1772" s="10">
        <v>0</v>
      </c>
      <c r="I1772" s="10">
        <v>1</v>
      </c>
      <c r="J1772" s="10">
        <v>0</v>
      </c>
      <c r="K1772" s="10">
        <v>0</v>
      </c>
      <c r="L1772" s="10">
        <v>0</v>
      </c>
      <c r="M1772" s="10">
        <v>1</v>
      </c>
      <c r="N1772" s="10">
        <v>492</v>
      </c>
      <c r="O1772" s="10">
        <v>490</v>
      </c>
    </row>
    <row r="1773" spans="1:15" x14ac:dyDescent="0.2">
      <c r="A1773" s="10" t="s">
        <v>1100</v>
      </c>
      <c r="B1773" s="10" t="s">
        <v>572</v>
      </c>
      <c r="C1773" s="10" t="s">
        <v>112</v>
      </c>
      <c r="D1773" s="10" t="s">
        <v>51</v>
      </c>
      <c r="E1773" s="10" t="s">
        <v>52</v>
      </c>
      <c r="F1773" s="10" t="s">
        <v>102</v>
      </c>
      <c r="G1773" s="10" t="b">
        <f>TRUE()</f>
        <v>1</v>
      </c>
      <c r="H1773" s="10">
        <v>0</v>
      </c>
      <c r="I1773" s="10">
        <v>1</v>
      </c>
      <c r="J1773" s="10">
        <v>0</v>
      </c>
      <c r="K1773" s="10">
        <v>0</v>
      </c>
      <c r="L1773" s="10">
        <v>0</v>
      </c>
      <c r="M1773" s="10">
        <v>1</v>
      </c>
      <c r="N1773" s="10">
        <v>529</v>
      </c>
      <c r="O1773" s="10">
        <v>488</v>
      </c>
    </row>
    <row r="1774" spans="1:15" x14ac:dyDescent="0.2">
      <c r="A1774" s="10" t="s">
        <v>1031</v>
      </c>
      <c r="B1774" s="10" t="s">
        <v>119</v>
      </c>
      <c r="C1774" s="10" t="s">
        <v>56</v>
      </c>
      <c r="D1774" s="10" t="s">
        <v>45</v>
      </c>
      <c r="E1774" s="10" t="s">
        <v>46</v>
      </c>
      <c r="F1774" s="10" t="s">
        <v>153</v>
      </c>
      <c r="G1774" s="10" t="b">
        <f>FALSE()</f>
        <v>0</v>
      </c>
      <c r="H1774" s="10">
        <v>0</v>
      </c>
      <c r="I1774" s="10">
        <v>1</v>
      </c>
      <c r="J1774" s="10">
        <v>0</v>
      </c>
      <c r="K1774" s="10">
        <v>0</v>
      </c>
      <c r="L1774" s="10">
        <v>0</v>
      </c>
      <c r="M1774" s="10">
        <v>1</v>
      </c>
      <c r="N1774" s="10">
        <v>488</v>
      </c>
      <c r="O1774" s="10">
        <v>487</v>
      </c>
    </row>
    <row r="1775" spans="1:15" x14ac:dyDescent="0.2">
      <c r="A1775" s="10" t="s">
        <v>1102</v>
      </c>
      <c r="B1775" s="10" t="s">
        <v>139</v>
      </c>
      <c r="C1775" s="10" t="s">
        <v>64</v>
      </c>
      <c r="D1775" s="10" t="s">
        <v>45</v>
      </c>
      <c r="E1775" s="10" t="s">
        <v>46</v>
      </c>
      <c r="F1775" s="10" t="s">
        <v>79</v>
      </c>
      <c r="G1775" s="10" t="b">
        <f>FALSE()</f>
        <v>0</v>
      </c>
      <c r="H1775" s="10">
        <v>0</v>
      </c>
      <c r="I1775" s="10">
        <v>1</v>
      </c>
      <c r="J1775" s="10">
        <v>0</v>
      </c>
      <c r="K1775" s="10">
        <v>0</v>
      </c>
      <c r="L1775" s="10">
        <v>0</v>
      </c>
      <c r="M1775" s="10">
        <v>1</v>
      </c>
      <c r="N1775" s="10">
        <v>483</v>
      </c>
      <c r="O1775" s="10">
        <v>482</v>
      </c>
    </row>
    <row r="1776" spans="1:15" x14ac:dyDescent="0.2">
      <c r="A1776" s="10" t="s">
        <v>1101</v>
      </c>
      <c r="B1776" s="10" t="s">
        <v>193</v>
      </c>
      <c r="C1776" s="10" t="s">
        <v>117</v>
      </c>
      <c r="D1776" s="10" t="s">
        <v>51</v>
      </c>
      <c r="E1776" s="10" t="s">
        <v>52</v>
      </c>
      <c r="F1776" s="10" t="s">
        <v>91</v>
      </c>
      <c r="G1776" s="10" t="b">
        <f>TRUE()</f>
        <v>1</v>
      </c>
      <c r="H1776" s="10">
        <v>0</v>
      </c>
      <c r="I1776" s="10">
        <v>1</v>
      </c>
      <c r="J1776" s="10">
        <v>0</v>
      </c>
      <c r="K1776" s="10">
        <v>0</v>
      </c>
      <c r="L1776" s="10">
        <v>0</v>
      </c>
      <c r="M1776" s="10">
        <v>1</v>
      </c>
      <c r="N1776" s="10">
        <v>481</v>
      </c>
      <c r="O1776" s="10">
        <v>478</v>
      </c>
    </row>
    <row r="1777" spans="1:15" x14ac:dyDescent="0.2">
      <c r="A1777" s="10" t="s">
        <v>194</v>
      </c>
      <c r="B1777" s="10" t="s">
        <v>70</v>
      </c>
      <c r="C1777" s="10" t="s">
        <v>70</v>
      </c>
      <c r="D1777" s="10" t="s">
        <v>45</v>
      </c>
      <c r="E1777" s="10" t="s">
        <v>46</v>
      </c>
      <c r="F1777" s="10" t="s">
        <v>113</v>
      </c>
      <c r="G1777" s="10" t="b">
        <f>TRUE()</f>
        <v>1</v>
      </c>
      <c r="H1777" s="10">
        <v>0</v>
      </c>
      <c r="I1777" s="10">
        <v>1</v>
      </c>
      <c r="J1777" s="10">
        <v>0</v>
      </c>
      <c r="K1777" s="10">
        <v>0</v>
      </c>
      <c r="L1777" s="10">
        <v>0</v>
      </c>
      <c r="M1777" s="10">
        <v>1</v>
      </c>
      <c r="N1777" s="10">
        <v>474</v>
      </c>
      <c r="O1777" s="10">
        <v>474</v>
      </c>
    </row>
    <row r="1778" spans="1:15" x14ac:dyDescent="0.2">
      <c r="A1778" s="10" t="s">
        <v>1103</v>
      </c>
      <c r="B1778" s="10" t="s">
        <v>136</v>
      </c>
      <c r="C1778" s="10" t="s">
        <v>73</v>
      </c>
      <c r="D1778" s="10" t="s">
        <v>45</v>
      </c>
      <c r="E1778" s="10" t="s">
        <v>46</v>
      </c>
      <c r="F1778" s="10" t="s">
        <v>85</v>
      </c>
      <c r="G1778" s="10" t="b">
        <f>FALSE()</f>
        <v>0</v>
      </c>
      <c r="H1778" s="10">
        <v>0</v>
      </c>
      <c r="I1778" s="10">
        <v>1</v>
      </c>
      <c r="J1778" s="10">
        <v>0</v>
      </c>
      <c r="K1778" s="10">
        <v>0</v>
      </c>
      <c r="L1778" s="10">
        <v>0</v>
      </c>
      <c r="M1778" s="10">
        <v>1</v>
      </c>
      <c r="N1778" s="10">
        <v>474</v>
      </c>
      <c r="O1778" s="10">
        <v>473</v>
      </c>
    </row>
    <row r="1779" spans="1:15" x14ac:dyDescent="0.2">
      <c r="A1779" s="10" t="s">
        <v>197</v>
      </c>
      <c r="B1779" s="10" t="s">
        <v>116</v>
      </c>
      <c r="C1779" s="10" t="s">
        <v>117</v>
      </c>
      <c r="D1779" s="10" t="s">
        <v>51</v>
      </c>
      <c r="E1779" s="10" t="s">
        <v>52</v>
      </c>
      <c r="F1779" s="10" t="s">
        <v>153</v>
      </c>
      <c r="G1779" s="10" t="b">
        <f>FALSE()</f>
        <v>0</v>
      </c>
      <c r="H1779" s="10">
        <v>0</v>
      </c>
      <c r="I1779" s="10">
        <v>1</v>
      </c>
      <c r="J1779" s="10">
        <v>0</v>
      </c>
      <c r="K1779" s="10">
        <v>0</v>
      </c>
      <c r="L1779" s="10">
        <v>0</v>
      </c>
      <c r="M1779" s="10">
        <v>1</v>
      </c>
      <c r="N1779" s="10">
        <v>501</v>
      </c>
      <c r="O1779" s="10">
        <v>470</v>
      </c>
    </row>
    <row r="1780" spans="1:15" x14ac:dyDescent="0.2">
      <c r="A1780" s="10" t="s">
        <v>1104</v>
      </c>
      <c r="B1780" s="10" t="s">
        <v>128</v>
      </c>
      <c r="C1780" s="10" t="s">
        <v>50</v>
      </c>
      <c r="D1780" s="10" t="s">
        <v>51</v>
      </c>
      <c r="E1780" s="10" t="s">
        <v>52</v>
      </c>
      <c r="F1780" s="10" t="s">
        <v>102</v>
      </c>
      <c r="G1780" s="10" t="b">
        <f>TRUE()</f>
        <v>1</v>
      </c>
      <c r="H1780" s="10">
        <v>0</v>
      </c>
      <c r="I1780" s="10">
        <v>1</v>
      </c>
      <c r="J1780" s="10">
        <v>0</v>
      </c>
      <c r="K1780" s="10">
        <v>0</v>
      </c>
      <c r="L1780" s="10">
        <v>0</v>
      </c>
      <c r="M1780" s="10">
        <v>1</v>
      </c>
      <c r="N1780" s="10">
        <v>476</v>
      </c>
      <c r="O1780" s="10">
        <v>470</v>
      </c>
    </row>
    <row r="1781" spans="1:15" x14ac:dyDescent="0.2">
      <c r="A1781" s="10" t="s">
        <v>1105</v>
      </c>
      <c r="B1781" s="10" t="s">
        <v>43</v>
      </c>
      <c r="C1781" s="10" t="s">
        <v>44</v>
      </c>
      <c r="D1781" s="10" t="s">
        <v>45</v>
      </c>
      <c r="E1781" s="10" t="s">
        <v>46</v>
      </c>
      <c r="F1781" s="10" t="s">
        <v>219</v>
      </c>
      <c r="G1781" s="10" t="b">
        <f>FALSE()</f>
        <v>0</v>
      </c>
      <c r="H1781" s="10">
        <v>0</v>
      </c>
      <c r="I1781" s="10">
        <v>1</v>
      </c>
      <c r="J1781" s="10">
        <v>0</v>
      </c>
      <c r="K1781" s="10">
        <v>0</v>
      </c>
      <c r="L1781" s="10">
        <v>0</v>
      </c>
      <c r="M1781" s="10">
        <v>1</v>
      </c>
      <c r="N1781" s="10">
        <v>468</v>
      </c>
      <c r="O1781" s="10">
        <v>468</v>
      </c>
    </row>
    <row r="1782" spans="1:15" x14ac:dyDescent="0.2">
      <c r="A1782" s="10" t="s">
        <v>1047</v>
      </c>
      <c r="B1782" s="10" t="s">
        <v>96</v>
      </c>
      <c r="C1782" s="10" t="s">
        <v>50</v>
      </c>
      <c r="D1782" s="10" t="s">
        <v>51</v>
      </c>
      <c r="E1782" s="10" t="s">
        <v>52</v>
      </c>
      <c r="F1782" s="10" t="s">
        <v>61</v>
      </c>
      <c r="G1782" s="10" t="b">
        <f>FALSE()</f>
        <v>0</v>
      </c>
      <c r="H1782" s="10">
        <v>0</v>
      </c>
      <c r="I1782" s="10">
        <v>1</v>
      </c>
      <c r="J1782" s="10">
        <v>0</v>
      </c>
      <c r="K1782" s="10">
        <v>0</v>
      </c>
      <c r="L1782" s="10">
        <v>0</v>
      </c>
      <c r="M1782" s="10">
        <v>1</v>
      </c>
      <c r="N1782" s="10">
        <v>466</v>
      </c>
      <c r="O1782" s="10">
        <v>466</v>
      </c>
    </row>
    <row r="1783" spans="1:15" x14ac:dyDescent="0.2">
      <c r="A1783" s="10" t="s">
        <v>1106</v>
      </c>
      <c r="B1783" s="10" t="s">
        <v>146</v>
      </c>
      <c r="C1783" s="10" t="s">
        <v>105</v>
      </c>
      <c r="D1783" s="10" t="s">
        <v>45</v>
      </c>
      <c r="E1783" s="10" t="s">
        <v>46</v>
      </c>
      <c r="F1783" s="10" t="s">
        <v>91</v>
      </c>
      <c r="G1783" s="10" t="b">
        <f>TRUE()</f>
        <v>1</v>
      </c>
      <c r="H1783" s="10">
        <v>0</v>
      </c>
      <c r="I1783" s="10">
        <v>1</v>
      </c>
      <c r="J1783" s="10">
        <v>0</v>
      </c>
      <c r="K1783" s="10">
        <v>0</v>
      </c>
      <c r="L1783" s="10">
        <v>0</v>
      </c>
      <c r="M1783" s="10">
        <v>1</v>
      </c>
      <c r="N1783" s="10">
        <v>465</v>
      </c>
      <c r="O1783" s="10">
        <v>465</v>
      </c>
    </row>
    <row r="1784" spans="1:15" x14ac:dyDescent="0.2">
      <c r="A1784" s="10" t="s">
        <v>378</v>
      </c>
      <c r="B1784" s="10" t="s">
        <v>130</v>
      </c>
      <c r="C1784" s="10" t="s">
        <v>56</v>
      </c>
      <c r="D1784" s="10" t="s">
        <v>45</v>
      </c>
      <c r="E1784" s="10" t="s">
        <v>46</v>
      </c>
      <c r="F1784" s="10" t="s">
        <v>91</v>
      </c>
      <c r="G1784" s="10" t="b">
        <f>TRUE()</f>
        <v>1</v>
      </c>
      <c r="H1784" s="10">
        <v>0</v>
      </c>
      <c r="I1784" s="10">
        <v>1</v>
      </c>
      <c r="J1784" s="10">
        <v>0</v>
      </c>
      <c r="K1784" s="10">
        <v>0</v>
      </c>
      <c r="L1784" s="10">
        <v>0</v>
      </c>
      <c r="M1784" s="10">
        <v>1</v>
      </c>
      <c r="N1784" s="10">
        <v>464</v>
      </c>
      <c r="O1784" s="10">
        <v>464</v>
      </c>
    </row>
    <row r="1785" spans="1:15" x14ac:dyDescent="0.2">
      <c r="A1785" s="10" t="s">
        <v>1025</v>
      </c>
      <c r="B1785" s="10" t="s">
        <v>285</v>
      </c>
      <c r="C1785" s="10" t="s">
        <v>105</v>
      </c>
      <c r="D1785" s="10" t="s">
        <v>45</v>
      </c>
      <c r="E1785" s="10" t="s">
        <v>46</v>
      </c>
      <c r="F1785" s="10" t="s">
        <v>61</v>
      </c>
      <c r="G1785" s="10" t="b">
        <f>FALSE()</f>
        <v>0</v>
      </c>
      <c r="H1785" s="10">
        <v>0</v>
      </c>
      <c r="I1785" s="10">
        <v>1</v>
      </c>
      <c r="J1785" s="10">
        <v>0</v>
      </c>
      <c r="K1785" s="10">
        <v>0</v>
      </c>
      <c r="L1785" s="10">
        <v>0</v>
      </c>
      <c r="M1785" s="10">
        <v>1</v>
      </c>
      <c r="N1785" s="10">
        <v>464</v>
      </c>
      <c r="O1785" s="10">
        <v>461</v>
      </c>
    </row>
    <row r="1786" spans="1:15" x14ac:dyDescent="0.2">
      <c r="A1786" s="10" t="s">
        <v>1107</v>
      </c>
      <c r="B1786" s="10" t="s">
        <v>146</v>
      </c>
      <c r="C1786" s="10" t="s">
        <v>105</v>
      </c>
      <c r="D1786" s="10" t="s">
        <v>45</v>
      </c>
      <c r="E1786" s="10" t="s">
        <v>46</v>
      </c>
      <c r="F1786" s="10" t="s">
        <v>74</v>
      </c>
      <c r="G1786" s="10" t="b">
        <f>FALSE()</f>
        <v>0</v>
      </c>
      <c r="H1786" s="10">
        <v>0</v>
      </c>
      <c r="I1786" s="10">
        <v>1</v>
      </c>
      <c r="J1786" s="10">
        <v>0</v>
      </c>
      <c r="K1786" s="10">
        <v>0</v>
      </c>
      <c r="L1786" s="10">
        <v>0</v>
      </c>
      <c r="M1786" s="10">
        <v>1</v>
      </c>
      <c r="N1786" s="10">
        <v>479</v>
      </c>
      <c r="O1786" s="10">
        <v>458</v>
      </c>
    </row>
    <row r="1787" spans="1:15" x14ac:dyDescent="0.2">
      <c r="A1787" s="10" t="s">
        <v>1085</v>
      </c>
      <c r="B1787" s="10" t="s">
        <v>139</v>
      </c>
      <c r="C1787" s="10" t="s">
        <v>64</v>
      </c>
      <c r="D1787" s="10" t="s">
        <v>45</v>
      </c>
      <c r="E1787" s="10" t="s">
        <v>46</v>
      </c>
      <c r="F1787" s="10" t="s">
        <v>61</v>
      </c>
      <c r="G1787" s="10" t="b">
        <f>FALSE()</f>
        <v>0</v>
      </c>
      <c r="H1787" s="10">
        <v>0</v>
      </c>
      <c r="I1787" s="10">
        <v>1</v>
      </c>
      <c r="J1787" s="10">
        <v>0</v>
      </c>
      <c r="K1787" s="10">
        <v>0</v>
      </c>
      <c r="L1787" s="10">
        <v>0</v>
      </c>
      <c r="M1787" s="10">
        <v>1</v>
      </c>
      <c r="N1787" s="10">
        <v>455</v>
      </c>
      <c r="O1787" s="10">
        <v>455</v>
      </c>
    </row>
    <row r="1788" spans="1:15" x14ac:dyDescent="0.2">
      <c r="A1788" s="10" t="s">
        <v>1108</v>
      </c>
      <c r="B1788" s="10" t="s">
        <v>232</v>
      </c>
      <c r="C1788" s="10" t="s">
        <v>90</v>
      </c>
      <c r="D1788" s="10" t="s">
        <v>51</v>
      </c>
      <c r="E1788" s="10" t="s">
        <v>52</v>
      </c>
      <c r="F1788" s="10" t="s">
        <v>113</v>
      </c>
      <c r="G1788" s="10" t="b">
        <f>TRUE()</f>
        <v>1</v>
      </c>
      <c r="H1788" s="10">
        <v>0</v>
      </c>
      <c r="I1788" s="10">
        <v>1</v>
      </c>
      <c r="J1788" s="10">
        <v>0</v>
      </c>
      <c r="K1788" s="10">
        <v>0</v>
      </c>
      <c r="L1788" s="10">
        <v>0</v>
      </c>
      <c r="M1788" s="10">
        <v>1</v>
      </c>
      <c r="N1788" s="10">
        <v>464</v>
      </c>
      <c r="O1788" s="10">
        <v>454</v>
      </c>
    </row>
    <row r="1789" spans="1:15" x14ac:dyDescent="0.2">
      <c r="A1789" s="10" t="s">
        <v>1072</v>
      </c>
      <c r="B1789" s="10" t="s">
        <v>116</v>
      </c>
      <c r="C1789" s="10" t="s">
        <v>117</v>
      </c>
      <c r="D1789" s="10" t="s">
        <v>51</v>
      </c>
      <c r="E1789" s="10" t="s">
        <v>52</v>
      </c>
      <c r="F1789" s="10" t="s">
        <v>92</v>
      </c>
      <c r="G1789" s="10" t="b">
        <f>FALSE()</f>
        <v>0</v>
      </c>
      <c r="H1789" s="10">
        <v>0</v>
      </c>
      <c r="I1789" s="10">
        <v>1</v>
      </c>
      <c r="J1789" s="10">
        <v>0</v>
      </c>
      <c r="K1789" s="10">
        <v>0</v>
      </c>
      <c r="L1789" s="10">
        <v>0</v>
      </c>
      <c r="M1789" s="10">
        <v>1</v>
      </c>
      <c r="N1789" s="10">
        <v>451</v>
      </c>
      <c r="O1789" s="10">
        <v>451</v>
      </c>
    </row>
    <row r="1790" spans="1:15" x14ac:dyDescent="0.2">
      <c r="A1790" s="10" t="s">
        <v>1109</v>
      </c>
      <c r="B1790" s="10" t="s">
        <v>122</v>
      </c>
      <c r="C1790" s="10" t="s">
        <v>112</v>
      </c>
      <c r="D1790" s="10" t="s">
        <v>51</v>
      </c>
      <c r="E1790" s="10" t="s">
        <v>52</v>
      </c>
      <c r="F1790" s="10" t="s">
        <v>153</v>
      </c>
      <c r="G1790" s="10" t="b">
        <f>FALSE()</f>
        <v>0</v>
      </c>
      <c r="H1790" s="10">
        <v>0</v>
      </c>
      <c r="I1790" s="10">
        <v>1</v>
      </c>
      <c r="J1790" s="10">
        <v>0</v>
      </c>
      <c r="K1790" s="10">
        <v>0</v>
      </c>
      <c r="L1790" s="10">
        <v>0</v>
      </c>
      <c r="M1790" s="10">
        <v>1</v>
      </c>
      <c r="N1790" s="10">
        <v>449</v>
      </c>
      <c r="O1790" s="10">
        <v>447</v>
      </c>
    </row>
    <row r="1791" spans="1:15" x14ac:dyDescent="0.2">
      <c r="A1791" s="10" t="s">
        <v>1110</v>
      </c>
      <c r="B1791" s="10" t="s">
        <v>70</v>
      </c>
      <c r="C1791" s="10" t="s">
        <v>70</v>
      </c>
      <c r="D1791" s="10" t="s">
        <v>45</v>
      </c>
      <c r="E1791" s="10" t="s">
        <v>46</v>
      </c>
      <c r="F1791" s="10" t="s">
        <v>173</v>
      </c>
      <c r="G1791" s="10" t="b">
        <f>FALSE()</f>
        <v>0</v>
      </c>
      <c r="H1791" s="10">
        <v>0</v>
      </c>
      <c r="I1791" s="10">
        <v>1</v>
      </c>
      <c r="J1791" s="10">
        <v>0</v>
      </c>
      <c r="K1791" s="10">
        <v>0</v>
      </c>
      <c r="L1791" s="10">
        <v>0</v>
      </c>
      <c r="M1791" s="10">
        <v>1</v>
      </c>
      <c r="N1791" s="10">
        <v>453</v>
      </c>
      <c r="O1791" s="10">
        <v>446</v>
      </c>
    </row>
    <row r="1792" spans="1:15" x14ac:dyDescent="0.2">
      <c r="A1792" s="10" t="s">
        <v>1038</v>
      </c>
      <c r="B1792" s="10" t="s">
        <v>262</v>
      </c>
      <c r="C1792" s="10" t="s">
        <v>105</v>
      </c>
      <c r="D1792" s="10" t="s">
        <v>45</v>
      </c>
      <c r="E1792" s="10" t="s">
        <v>46</v>
      </c>
      <c r="F1792" s="10" t="s">
        <v>97</v>
      </c>
      <c r="G1792" s="10" t="b">
        <f>TRUE()</f>
        <v>1</v>
      </c>
      <c r="H1792" s="10">
        <v>0</v>
      </c>
      <c r="I1792" s="10">
        <v>1</v>
      </c>
      <c r="J1792" s="10">
        <v>0</v>
      </c>
      <c r="K1792" s="10">
        <v>0</v>
      </c>
      <c r="L1792" s="10">
        <v>0</v>
      </c>
      <c r="M1792" s="10">
        <v>1</v>
      </c>
      <c r="N1792" s="10">
        <v>446</v>
      </c>
      <c r="O1792" s="10">
        <v>442</v>
      </c>
    </row>
    <row r="1793" spans="1:15" x14ac:dyDescent="0.2">
      <c r="A1793" s="10" t="s">
        <v>1111</v>
      </c>
      <c r="B1793" s="10" t="s">
        <v>70</v>
      </c>
      <c r="C1793" s="10" t="s">
        <v>70</v>
      </c>
      <c r="D1793" s="10" t="s">
        <v>45</v>
      </c>
      <c r="E1793" s="10" t="s">
        <v>46</v>
      </c>
      <c r="F1793" s="10" t="s">
        <v>153</v>
      </c>
      <c r="G1793" s="10" t="b">
        <f>FALSE()</f>
        <v>0</v>
      </c>
      <c r="H1793" s="10">
        <v>0</v>
      </c>
      <c r="I1793" s="10">
        <v>1</v>
      </c>
      <c r="J1793" s="10">
        <v>0</v>
      </c>
      <c r="K1793" s="10">
        <v>0</v>
      </c>
      <c r="L1793" s="10">
        <v>0</v>
      </c>
      <c r="M1793" s="10">
        <v>1</v>
      </c>
      <c r="N1793" s="10">
        <v>437</v>
      </c>
      <c r="O1793" s="10">
        <v>435</v>
      </c>
    </row>
    <row r="1794" spans="1:15" x14ac:dyDescent="0.2">
      <c r="A1794" s="10" t="s">
        <v>1112</v>
      </c>
      <c r="B1794" s="10" t="s">
        <v>262</v>
      </c>
      <c r="C1794" s="10" t="s">
        <v>105</v>
      </c>
      <c r="D1794" s="10" t="s">
        <v>45</v>
      </c>
      <c r="E1794" s="10" t="s">
        <v>46</v>
      </c>
      <c r="F1794" s="10" t="s">
        <v>47</v>
      </c>
      <c r="G1794" s="10" t="b">
        <f>FALSE()</f>
        <v>0</v>
      </c>
      <c r="H1794" s="10">
        <v>0</v>
      </c>
      <c r="I1794" s="10">
        <v>1</v>
      </c>
      <c r="J1794" s="10">
        <v>0</v>
      </c>
      <c r="K1794" s="10">
        <v>0</v>
      </c>
      <c r="L1794" s="10">
        <v>0</v>
      </c>
      <c r="M1794" s="10">
        <v>1</v>
      </c>
      <c r="N1794" s="10">
        <v>438</v>
      </c>
      <c r="O1794" s="10">
        <v>434</v>
      </c>
    </row>
    <row r="1795" spans="1:15" x14ac:dyDescent="0.2">
      <c r="A1795" s="10" t="s">
        <v>343</v>
      </c>
      <c r="B1795" s="10" t="s">
        <v>385</v>
      </c>
      <c r="C1795" s="10" t="s">
        <v>90</v>
      </c>
      <c r="D1795" s="10" t="s">
        <v>51</v>
      </c>
      <c r="E1795" s="10" t="s">
        <v>52</v>
      </c>
      <c r="F1795" s="10" t="s">
        <v>92</v>
      </c>
      <c r="G1795" s="10" t="b">
        <f>FALSE()</f>
        <v>0</v>
      </c>
      <c r="H1795" s="10">
        <v>0</v>
      </c>
      <c r="I1795" s="10">
        <v>1</v>
      </c>
      <c r="J1795" s="10">
        <v>0</v>
      </c>
      <c r="K1795" s="10">
        <v>0</v>
      </c>
      <c r="L1795" s="10">
        <v>0</v>
      </c>
      <c r="M1795" s="10">
        <v>1</v>
      </c>
      <c r="N1795" s="10">
        <v>440</v>
      </c>
      <c r="O1795" s="10">
        <v>431</v>
      </c>
    </row>
    <row r="1796" spans="1:15" x14ac:dyDescent="0.2">
      <c r="A1796" s="10" t="s">
        <v>1079</v>
      </c>
      <c r="B1796" s="10" t="s">
        <v>70</v>
      </c>
      <c r="C1796" s="10" t="s">
        <v>70</v>
      </c>
      <c r="D1796" s="10" t="s">
        <v>45</v>
      </c>
      <c r="E1796" s="10" t="s">
        <v>46</v>
      </c>
      <c r="F1796" s="10" t="s">
        <v>967</v>
      </c>
      <c r="G1796" s="10" t="b">
        <f>FALSE()</f>
        <v>0</v>
      </c>
      <c r="H1796" s="10">
        <v>0</v>
      </c>
      <c r="I1796" s="10">
        <v>1</v>
      </c>
      <c r="J1796" s="10">
        <v>0</v>
      </c>
      <c r="K1796" s="10">
        <v>0</v>
      </c>
      <c r="L1796" s="10">
        <v>0</v>
      </c>
      <c r="M1796" s="10">
        <v>1</v>
      </c>
      <c r="N1796" s="10">
        <v>431</v>
      </c>
      <c r="O1796" s="10">
        <v>431</v>
      </c>
    </row>
    <row r="1797" spans="1:15" x14ac:dyDescent="0.2">
      <c r="A1797" s="10" t="s">
        <v>1113</v>
      </c>
      <c r="B1797" s="10" t="s">
        <v>136</v>
      </c>
      <c r="C1797" s="10" t="s">
        <v>73</v>
      </c>
      <c r="D1797" s="10" t="s">
        <v>45</v>
      </c>
      <c r="E1797" s="10" t="s">
        <v>46</v>
      </c>
      <c r="F1797" s="10" t="s">
        <v>986</v>
      </c>
      <c r="G1797" s="10" t="b">
        <f>FALSE()</f>
        <v>0</v>
      </c>
      <c r="H1797" s="10">
        <v>0</v>
      </c>
      <c r="I1797" s="10">
        <v>1</v>
      </c>
      <c r="J1797" s="10">
        <v>0</v>
      </c>
      <c r="K1797" s="10">
        <v>0</v>
      </c>
      <c r="L1797" s="10">
        <v>0</v>
      </c>
      <c r="M1797" s="10">
        <v>1</v>
      </c>
      <c r="N1797" s="10">
        <v>431</v>
      </c>
      <c r="O1797" s="10">
        <v>430</v>
      </c>
    </row>
    <row r="1798" spans="1:15" x14ac:dyDescent="0.2">
      <c r="A1798" s="10" t="s">
        <v>1074</v>
      </c>
      <c r="B1798" s="10" t="s">
        <v>104</v>
      </c>
      <c r="C1798" s="10" t="s">
        <v>105</v>
      </c>
      <c r="D1798" s="10" t="s">
        <v>45</v>
      </c>
      <c r="E1798" s="10" t="s">
        <v>46</v>
      </c>
      <c r="F1798" s="10" t="s">
        <v>535</v>
      </c>
      <c r="G1798" s="10" t="b">
        <f>TRUE()</f>
        <v>1</v>
      </c>
      <c r="H1798" s="10">
        <v>0</v>
      </c>
      <c r="I1798" s="10">
        <v>1</v>
      </c>
      <c r="J1798" s="10">
        <v>0</v>
      </c>
      <c r="K1798" s="10">
        <v>0</v>
      </c>
      <c r="L1798" s="10">
        <v>0</v>
      </c>
      <c r="M1798" s="10">
        <v>1</v>
      </c>
      <c r="N1798" s="10">
        <v>427</v>
      </c>
      <c r="O1798" s="10">
        <v>426</v>
      </c>
    </row>
    <row r="1799" spans="1:15" x14ac:dyDescent="0.2">
      <c r="A1799" s="10" t="s">
        <v>1114</v>
      </c>
      <c r="B1799" s="10" t="s">
        <v>70</v>
      </c>
      <c r="C1799" s="10" t="s">
        <v>70</v>
      </c>
      <c r="D1799" s="10" t="s">
        <v>45</v>
      </c>
      <c r="E1799" s="10" t="s">
        <v>46</v>
      </c>
      <c r="F1799" s="10" t="s">
        <v>58</v>
      </c>
      <c r="G1799" s="10" t="b">
        <f>FALSE()</f>
        <v>0</v>
      </c>
      <c r="H1799" s="10">
        <v>0</v>
      </c>
      <c r="I1799" s="10">
        <v>1</v>
      </c>
      <c r="J1799" s="10">
        <v>0</v>
      </c>
      <c r="K1799" s="10">
        <v>0</v>
      </c>
      <c r="L1799" s="10">
        <v>0</v>
      </c>
      <c r="M1799" s="10">
        <v>1</v>
      </c>
      <c r="N1799" s="10">
        <v>437</v>
      </c>
      <c r="O1799" s="10">
        <v>425</v>
      </c>
    </row>
    <row r="1800" spans="1:15" x14ac:dyDescent="0.2">
      <c r="A1800" s="10" t="s">
        <v>1115</v>
      </c>
      <c r="B1800" s="10" t="s">
        <v>89</v>
      </c>
      <c r="C1800" s="10" t="s">
        <v>90</v>
      </c>
      <c r="D1800" s="10" t="s">
        <v>51</v>
      </c>
      <c r="E1800" s="10" t="s">
        <v>52</v>
      </c>
      <c r="F1800" s="10" t="s">
        <v>660</v>
      </c>
      <c r="G1800" s="10" t="b">
        <f>FALSE()</f>
        <v>0</v>
      </c>
      <c r="H1800" s="10">
        <v>0</v>
      </c>
      <c r="I1800" s="10">
        <v>1</v>
      </c>
      <c r="J1800" s="10">
        <v>0</v>
      </c>
      <c r="K1800" s="10">
        <v>0</v>
      </c>
      <c r="L1800" s="10">
        <v>0</v>
      </c>
      <c r="M1800" s="10">
        <v>1</v>
      </c>
      <c r="N1800" s="10">
        <v>426</v>
      </c>
      <c r="O1800" s="10">
        <v>423</v>
      </c>
    </row>
    <row r="1801" spans="1:15" x14ac:dyDescent="0.2">
      <c r="A1801" s="10" t="s">
        <v>1052</v>
      </c>
      <c r="B1801" s="10" t="s">
        <v>289</v>
      </c>
      <c r="C1801" s="10" t="s">
        <v>50</v>
      </c>
      <c r="D1801" s="10" t="s">
        <v>51</v>
      </c>
      <c r="E1801" s="10" t="s">
        <v>52</v>
      </c>
      <c r="F1801" s="10" t="s">
        <v>1116</v>
      </c>
      <c r="G1801" s="10" t="b">
        <f>FALSE()</f>
        <v>0</v>
      </c>
      <c r="H1801" s="10">
        <v>0</v>
      </c>
      <c r="I1801" s="10">
        <v>1</v>
      </c>
      <c r="J1801" s="10">
        <v>0</v>
      </c>
      <c r="K1801" s="10">
        <v>0</v>
      </c>
      <c r="L1801" s="10">
        <v>0</v>
      </c>
      <c r="M1801" s="10">
        <v>1</v>
      </c>
      <c r="N1801" s="10">
        <v>418</v>
      </c>
      <c r="O1801" s="10">
        <v>418</v>
      </c>
    </row>
    <row r="1802" spans="1:15" x14ac:dyDescent="0.2">
      <c r="A1802" s="10" t="s">
        <v>1117</v>
      </c>
      <c r="B1802" s="10" t="s">
        <v>157</v>
      </c>
      <c r="C1802" s="10" t="s">
        <v>64</v>
      </c>
      <c r="D1802" s="10" t="s">
        <v>45</v>
      </c>
      <c r="E1802" s="10" t="s">
        <v>46</v>
      </c>
      <c r="F1802" s="10" t="s">
        <v>47</v>
      </c>
      <c r="G1802" s="10" t="b">
        <f>FALSE()</f>
        <v>0</v>
      </c>
      <c r="H1802" s="10">
        <v>0</v>
      </c>
      <c r="I1802" s="10">
        <v>1</v>
      </c>
      <c r="J1802" s="10">
        <v>0</v>
      </c>
      <c r="K1802" s="10">
        <v>0</v>
      </c>
      <c r="L1802" s="10">
        <v>0</v>
      </c>
      <c r="M1802" s="10">
        <v>1</v>
      </c>
      <c r="N1802" s="10">
        <v>417</v>
      </c>
      <c r="O1802" s="10">
        <v>417</v>
      </c>
    </row>
    <row r="1803" spans="1:15" x14ac:dyDescent="0.2">
      <c r="A1803" s="10" t="s">
        <v>1047</v>
      </c>
      <c r="B1803" s="10" t="s">
        <v>96</v>
      </c>
      <c r="C1803" s="10" t="s">
        <v>50</v>
      </c>
      <c r="D1803" s="10" t="s">
        <v>51</v>
      </c>
      <c r="E1803" s="10" t="s">
        <v>52</v>
      </c>
      <c r="F1803" s="10" t="s">
        <v>113</v>
      </c>
      <c r="G1803" s="10" t="b">
        <f>TRUE()</f>
        <v>1</v>
      </c>
      <c r="H1803" s="10">
        <v>0</v>
      </c>
      <c r="I1803" s="10">
        <v>1</v>
      </c>
      <c r="J1803" s="10">
        <v>0</v>
      </c>
      <c r="K1803" s="10">
        <v>0</v>
      </c>
      <c r="L1803" s="10">
        <v>0</v>
      </c>
      <c r="M1803" s="10">
        <v>1</v>
      </c>
      <c r="N1803" s="10">
        <v>435</v>
      </c>
      <c r="O1803" s="10">
        <v>412</v>
      </c>
    </row>
    <row r="1804" spans="1:15" x14ac:dyDescent="0.2">
      <c r="A1804" s="10" t="s">
        <v>1055</v>
      </c>
      <c r="B1804" s="10" t="s">
        <v>178</v>
      </c>
      <c r="C1804" s="10" t="s">
        <v>73</v>
      </c>
      <c r="D1804" s="10" t="s">
        <v>45</v>
      </c>
      <c r="E1804" s="10" t="s">
        <v>46</v>
      </c>
      <c r="F1804" s="10" t="s">
        <v>92</v>
      </c>
      <c r="G1804" s="10" t="b">
        <f>FALSE()</f>
        <v>0</v>
      </c>
      <c r="H1804" s="10">
        <v>0</v>
      </c>
      <c r="I1804" s="10">
        <v>1</v>
      </c>
      <c r="J1804" s="10">
        <v>0</v>
      </c>
      <c r="K1804" s="10">
        <v>0</v>
      </c>
      <c r="L1804" s="10">
        <v>0</v>
      </c>
      <c r="M1804" s="10">
        <v>1</v>
      </c>
      <c r="N1804" s="10">
        <v>415</v>
      </c>
      <c r="O1804" s="10">
        <v>408</v>
      </c>
    </row>
    <row r="1805" spans="1:15" x14ac:dyDescent="0.2">
      <c r="A1805" s="10" t="s">
        <v>198</v>
      </c>
      <c r="B1805" s="10" t="s">
        <v>43</v>
      </c>
      <c r="C1805" s="10" t="s">
        <v>44</v>
      </c>
      <c r="D1805" s="10" t="s">
        <v>45</v>
      </c>
      <c r="E1805" s="10" t="s">
        <v>46</v>
      </c>
      <c r="F1805" s="10" t="s">
        <v>113</v>
      </c>
      <c r="G1805" s="10" t="b">
        <f>TRUE()</f>
        <v>1</v>
      </c>
      <c r="H1805" s="10">
        <v>0</v>
      </c>
      <c r="I1805" s="10">
        <v>1</v>
      </c>
      <c r="J1805" s="10">
        <v>0</v>
      </c>
      <c r="K1805" s="10">
        <v>0</v>
      </c>
      <c r="L1805" s="10">
        <v>0</v>
      </c>
      <c r="M1805" s="10">
        <v>1</v>
      </c>
      <c r="N1805" s="10">
        <v>412</v>
      </c>
      <c r="O1805" s="10">
        <v>407</v>
      </c>
    </row>
    <row r="1806" spans="1:15" x14ac:dyDescent="0.2">
      <c r="A1806" s="10" t="s">
        <v>1073</v>
      </c>
      <c r="B1806" s="10" t="s">
        <v>193</v>
      </c>
      <c r="C1806" s="10" t="s">
        <v>117</v>
      </c>
      <c r="D1806" s="10" t="s">
        <v>51</v>
      </c>
      <c r="E1806" s="10" t="s">
        <v>52</v>
      </c>
      <c r="F1806" s="10" t="s">
        <v>153</v>
      </c>
      <c r="G1806" s="10" t="b">
        <f>FALSE()</f>
        <v>0</v>
      </c>
      <c r="H1806" s="10">
        <v>0</v>
      </c>
      <c r="I1806" s="10">
        <v>1</v>
      </c>
      <c r="J1806" s="10">
        <v>0</v>
      </c>
      <c r="K1806" s="10">
        <v>0</v>
      </c>
      <c r="L1806" s="10">
        <v>0</v>
      </c>
      <c r="M1806" s="10">
        <v>1</v>
      </c>
      <c r="N1806" s="10">
        <v>425</v>
      </c>
      <c r="O1806" s="10">
        <v>407</v>
      </c>
    </row>
    <row r="1807" spans="1:15" x14ac:dyDescent="0.2">
      <c r="A1807" s="10" t="s">
        <v>1052</v>
      </c>
      <c r="B1807" s="10" t="s">
        <v>289</v>
      </c>
      <c r="C1807" s="10" t="s">
        <v>50</v>
      </c>
      <c r="D1807" s="10" t="s">
        <v>51</v>
      </c>
      <c r="E1807" s="10" t="s">
        <v>52</v>
      </c>
      <c r="F1807" s="10" t="s">
        <v>1118</v>
      </c>
      <c r="G1807" s="10" t="b">
        <f>FALSE()</f>
        <v>0</v>
      </c>
      <c r="H1807" s="10">
        <v>0</v>
      </c>
      <c r="I1807" s="10">
        <v>1</v>
      </c>
      <c r="J1807" s="10">
        <v>0</v>
      </c>
      <c r="K1807" s="10">
        <v>0</v>
      </c>
      <c r="L1807" s="10">
        <v>0</v>
      </c>
      <c r="M1807" s="10">
        <v>1</v>
      </c>
      <c r="N1807" s="10">
        <v>409</v>
      </c>
      <c r="O1807" s="10">
        <v>407</v>
      </c>
    </row>
    <row r="1808" spans="1:15" x14ac:dyDescent="0.2">
      <c r="A1808" s="10" t="s">
        <v>1119</v>
      </c>
      <c r="B1808" s="10" t="s">
        <v>72</v>
      </c>
      <c r="C1808" s="10" t="s">
        <v>73</v>
      </c>
      <c r="D1808" s="10" t="s">
        <v>45</v>
      </c>
      <c r="E1808" s="10" t="s">
        <v>46</v>
      </c>
      <c r="F1808" s="10" t="s">
        <v>85</v>
      </c>
      <c r="G1808" s="10" t="b">
        <f>FALSE()</f>
        <v>0</v>
      </c>
      <c r="H1808" s="10">
        <v>0</v>
      </c>
      <c r="I1808" s="10">
        <v>1</v>
      </c>
      <c r="J1808" s="10">
        <v>0</v>
      </c>
      <c r="K1808" s="10">
        <v>0</v>
      </c>
      <c r="L1808" s="10">
        <v>0</v>
      </c>
      <c r="M1808" s="10">
        <v>1</v>
      </c>
      <c r="N1808" s="10">
        <v>407</v>
      </c>
      <c r="O1808" s="10">
        <v>407</v>
      </c>
    </row>
    <row r="1809" spans="1:15" x14ac:dyDescent="0.2">
      <c r="A1809" s="10" t="s">
        <v>1043</v>
      </c>
      <c r="B1809" s="10" t="s">
        <v>218</v>
      </c>
      <c r="C1809" s="10" t="s">
        <v>73</v>
      </c>
      <c r="D1809" s="10" t="s">
        <v>45</v>
      </c>
      <c r="E1809" s="10" t="s">
        <v>46</v>
      </c>
      <c r="F1809" s="10" t="s">
        <v>403</v>
      </c>
      <c r="G1809" s="10" t="b">
        <f>TRUE()</f>
        <v>1</v>
      </c>
      <c r="H1809" s="10">
        <v>0</v>
      </c>
      <c r="I1809" s="10">
        <v>1</v>
      </c>
      <c r="J1809" s="10">
        <v>0</v>
      </c>
      <c r="K1809" s="10">
        <v>0</v>
      </c>
      <c r="L1809" s="10">
        <v>0</v>
      </c>
      <c r="M1809" s="10">
        <v>1</v>
      </c>
      <c r="N1809" s="10">
        <v>406</v>
      </c>
      <c r="O1809" s="10">
        <v>404</v>
      </c>
    </row>
    <row r="1810" spans="1:15" x14ac:dyDescent="0.2">
      <c r="A1810" s="10" t="s">
        <v>1120</v>
      </c>
      <c r="B1810" s="10" t="s">
        <v>265</v>
      </c>
      <c r="C1810" s="10" t="s">
        <v>245</v>
      </c>
      <c r="D1810" s="10" t="s">
        <v>51</v>
      </c>
      <c r="E1810" s="10" t="s">
        <v>52</v>
      </c>
      <c r="F1810" s="10" t="s">
        <v>92</v>
      </c>
      <c r="G1810" s="10" t="b">
        <f>FALSE()</f>
        <v>0</v>
      </c>
      <c r="H1810" s="10">
        <v>0</v>
      </c>
      <c r="I1810" s="10">
        <v>1</v>
      </c>
      <c r="J1810" s="10">
        <v>0</v>
      </c>
      <c r="K1810" s="10">
        <v>0</v>
      </c>
      <c r="L1810" s="10">
        <v>0</v>
      </c>
      <c r="M1810" s="10">
        <v>1</v>
      </c>
      <c r="N1810" s="10">
        <v>403</v>
      </c>
      <c r="O1810" s="10">
        <v>401</v>
      </c>
    </row>
    <row r="1811" spans="1:15" x14ac:dyDescent="0.2">
      <c r="A1811" s="10" t="s">
        <v>1079</v>
      </c>
      <c r="B1811" s="10" t="s">
        <v>70</v>
      </c>
      <c r="C1811" s="10" t="s">
        <v>70</v>
      </c>
      <c r="D1811" s="10" t="s">
        <v>45</v>
      </c>
      <c r="E1811" s="10" t="s">
        <v>46</v>
      </c>
      <c r="F1811" s="10" t="s">
        <v>153</v>
      </c>
      <c r="G1811" s="10" t="b">
        <f>FALSE()</f>
        <v>0</v>
      </c>
      <c r="H1811" s="10">
        <v>0</v>
      </c>
      <c r="I1811" s="10">
        <v>1</v>
      </c>
      <c r="J1811" s="10">
        <v>0</v>
      </c>
      <c r="K1811" s="10">
        <v>0</v>
      </c>
      <c r="L1811" s="10">
        <v>0</v>
      </c>
      <c r="M1811" s="10">
        <v>1</v>
      </c>
      <c r="N1811" s="10">
        <v>396</v>
      </c>
      <c r="O1811" s="10">
        <v>396</v>
      </c>
    </row>
    <row r="1812" spans="1:15" x14ac:dyDescent="0.2">
      <c r="A1812" s="10" t="s">
        <v>691</v>
      </c>
      <c r="B1812" s="10" t="s">
        <v>136</v>
      </c>
      <c r="C1812" s="10" t="s">
        <v>73</v>
      </c>
      <c r="D1812" s="10" t="s">
        <v>45</v>
      </c>
      <c r="E1812" s="10" t="s">
        <v>46</v>
      </c>
      <c r="F1812" s="10" t="s">
        <v>153</v>
      </c>
      <c r="G1812" s="10" t="b">
        <f>FALSE()</f>
        <v>0</v>
      </c>
      <c r="H1812" s="10">
        <v>0</v>
      </c>
      <c r="I1812" s="10">
        <v>1</v>
      </c>
      <c r="J1812" s="10">
        <v>0</v>
      </c>
      <c r="K1812" s="10">
        <v>0</v>
      </c>
      <c r="L1812" s="10">
        <v>0</v>
      </c>
      <c r="M1812" s="10">
        <v>1</v>
      </c>
      <c r="N1812" s="10">
        <v>397</v>
      </c>
      <c r="O1812" s="10">
        <v>395</v>
      </c>
    </row>
    <row r="1813" spans="1:15" x14ac:dyDescent="0.2">
      <c r="A1813" s="10" t="s">
        <v>1121</v>
      </c>
      <c r="B1813" s="10" t="s">
        <v>55</v>
      </c>
      <c r="C1813" s="10" t="s">
        <v>56</v>
      </c>
      <c r="D1813" s="10" t="s">
        <v>45</v>
      </c>
      <c r="E1813" s="10" t="s">
        <v>46</v>
      </c>
      <c r="F1813" s="10" t="s">
        <v>47</v>
      </c>
      <c r="G1813" s="10" t="b">
        <f>FALSE()</f>
        <v>0</v>
      </c>
      <c r="H1813" s="10">
        <v>0</v>
      </c>
      <c r="I1813" s="10">
        <v>1</v>
      </c>
      <c r="J1813" s="10">
        <v>0</v>
      </c>
      <c r="K1813" s="10">
        <v>0</v>
      </c>
      <c r="L1813" s="10">
        <v>0</v>
      </c>
      <c r="M1813" s="10">
        <v>1</v>
      </c>
      <c r="N1813" s="10">
        <v>472</v>
      </c>
      <c r="O1813" s="10">
        <v>395</v>
      </c>
    </row>
    <row r="1814" spans="1:15" x14ac:dyDescent="0.2">
      <c r="A1814" s="10" t="s">
        <v>1122</v>
      </c>
      <c r="B1814" s="10" t="s">
        <v>285</v>
      </c>
      <c r="C1814" s="10" t="s">
        <v>105</v>
      </c>
      <c r="D1814" s="10" t="s">
        <v>45</v>
      </c>
      <c r="E1814" s="10" t="s">
        <v>46</v>
      </c>
      <c r="F1814" s="10" t="s">
        <v>251</v>
      </c>
      <c r="G1814" s="10" t="b">
        <f>FALSE()</f>
        <v>0</v>
      </c>
      <c r="H1814" s="10">
        <v>0</v>
      </c>
      <c r="I1814" s="10">
        <v>1</v>
      </c>
      <c r="J1814" s="10">
        <v>0</v>
      </c>
      <c r="K1814" s="10">
        <v>0</v>
      </c>
      <c r="L1814" s="10">
        <v>0</v>
      </c>
      <c r="M1814" s="10">
        <v>1</v>
      </c>
      <c r="N1814" s="10">
        <v>392</v>
      </c>
      <c r="O1814" s="10">
        <v>394</v>
      </c>
    </row>
    <row r="1815" spans="1:15" x14ac:dyDescent="0.2">
      <c r="A1815" s="10" t="s">
        <v>1123</v>
      </c>
      <c r="B1815" s="10" t="s">
        <v>70</v>
      </c>
      <c r="C1815" s="10" t="s">
        <v>70</v>
      </c>
      <c r="D1815" s="10" t="s">
        <v>45</v>
      </c>
      <c r="E1815" s="10" t="s">
        <v>46</v>
      </c>
      <c r="F1815" s="10" t="s">
        <v>47</v>
      </c>
      <c r="G1815" s="10" t="b">
        <f>FALSE()</f>
        <v>0</v>
      </c>
      <c r="H1815" s="10">
        <v>0</v>
      </c>
      <c r="I1815" s="10">
        <v>1</v>
      </c>
      <c r="J1815" s="10">
        <v>0</v>
      </c>
      <c r="K1815" s="10">
        <v>0</v>
      </c>
      <c r="L1815" s="10">
        <v>0</v>
      </c>
      <c r="M1815" s="10">
        <v>1</v>
      </c>
      <c r="N1815" s="10">
        <v>403</v>
      </c>
      <c r="O1815" s="10">
        <v>394</v>
      </c>
    </row>
    <row r="1816" spans="1:15" x14ac:dyDescent="0.2">
      <c r="A1816" s="10" t="s">
        <v>1108</v>
      </c>
      <c r="B1816" s="10" t="s">
        <v>232</v>
      </c>
      <c r="C1816" s="10" t="s">
        <v>90</v>
      </c>
      <c r="D1816" s="10" t="s">
        <v>51</v>
      </c>
      <c r="E1816" s="10" t="s">
        <v>52</v>
      </c>
      <c r="F1816" s="10" t="s">
        <v>223</v>
      </c>
      <c r="G1816" s="10" t="b">
        <f>FALSE()</f>
        <v>0</v>
      </c>
      <c r="H1816" s="10">
        <v>0</v>
      </c>
      <c r="I1816" s="10">
        <v>1</v>
      </c>
      <c r="J1816" s="10">
        <v>0</v>
      </c>
      <c r="K1816" s="10">
        <v>0</v>
      </c>
      <c r="L1816" s="10">
        <v>0</v>
      </c>
      <c r="M1816" s="10">
        <v>1</v>
      </c>
      <c r="N1816" s="10">
        <v>396</v>
      </c>
      <c r="O1816" s="10">
        <v>393</v>
      </c>
    </row>
    <row r="1817" spans="1:15" x14ac:dyDescent="0.2">
      <c r="A1817" s="10" t="s">
        <v>1124</v>
      </c>
      <c r="B1817" s="10" t="s">
        <v>63</v>
      </c>
      <c r="C1817" s="10" t="s">
        <v>64</v>
      </c>
      <c r="D1817" s="10" t="s">
        <v>45</v>
      </c>
      <c r="E1817" s="10" t="s">
        <v>46</v>
      </c>
      <c r="F1817" s="10" t="s">
        <v>85</v>
      </c>
      <c r="G1817" s="10" t="b">
        <f>FALSE()</f>
        <v>0</v>
      </c>
      <c r="H1817" s="10">
        <v>0</v>
      </c>
      <c r="I1817" s="10">
        <v>1</v>
      </c>
      <c r="J1817" s="10">
        <v>0</v>
      </c>
      <c r="K1817" s="10">
        <v>0</v>
      </c>
      <c r="L1817" s="10">
        <v>0</v>
      </c>
      <c r="M1817" s="10">
        <v>1</v>
      </c>
      <c r="N1817" s="10">
        <v>405</v>
      </c>
      <c r="O1817" s="10">
        <v>393</v>
      </c>
    </row>
    <row r="1818" spans="1:15" x14ac:dyDescent="0.2">
      <c r="A1818" s="10" t="s">
        <v>1125</v>
      </c>
      <c r="B1818" s="10" t="s">
        <v>70</v>
      </c>
      <c r="C1818" s="10" t="s">
        <v>70</v>
      </c>
      <c r="D1818" s="10" t="s">
        <v>45</v>
      </c>
      <c r="E1818" s="10" t="s">
        <v>46</v>
      </c>
      <c r="F1818" s="10" t="s">
        <v>85</v>
      </c>
      <c r="G1818" s="10" t="b">
        <f>FALSE()</f>
        <v>0</v>
      </c>
      <c r="H1818" s="10">
        <v>0</v>
      </c>
      <c r="I1818" s="10">
        <v>1</v>
      </c>
      <c r="J1818" s="10">
        <v>0</v>
      </c>
      <c r="K1818" s="10">
        <v>0</v>
      </c>
      <c r="L1818" s="10">
        <v>0</v>
      </c>
      <c r="M1818" s="10">
        <v>1</v>
      </c>
      <c r="N1818" s="10">
        <v>403</v>
      </c>
      <c r="O1818" s="10">
        <v>393</v>
      </c>
    </row>
    <row r="1819" spans="1:15" x14ac:dyDescent="0.2">
      <c r="A1819" s="10" t="s">
        <v>1122</v>
      </c>
      <c r="B1819" s="10" t="s">
        <v>285</v>
      </c>
      <c r="C1819" s="10" t="s">
        <v>105</v>
      </c>
      <c r="D1819" s="10" t="s">
        <v>45</v>
      </c>
      <c r="E1819" s="10" t="s">
        <v>46</v>
      </c>
      <c r="F1819" s="10" t="s">
        <v>61</v>
      </c>
      <c r="G1819" s="10" t="b">
        <f>FALSE()</f>
        <v>0</v>
      </c>
      <c r="H1819" s="10">
        <v>0</v>
      </c>
      <c r="I1819" s="10">
        <v>1</v>
      </c>
      <c r="J1819" s="10">
        <v>0</v>
      </c>
      <c r="K1819" s="10">
        <v>0</v>
      </c>
      <c r="L1819" s="10">
        <v>0</v>
      </c>
      <c r="M1819" s="10">
        <v>1</v>
      </c>
      <c r="N1819" s="10">
        <v>399</v>
      </c>
      <c r="O1819" s="10">
        <v>392</v>
      </c>
    </row>
    <row r="1820" spans="1:15" x14ac:dyDescent="0.2">
      <c r="A1820" s="10" t="s">
        <v>1111</v>
      </c>
      <c r="B1820" s="10" t="s">
        <v>70</v>
      </c>
      <c r="C1820" s="10" t="s">
        <v>70</v>
      </c>
      <c r="D1820" s="10" t="s">
        <v>45</v>
      </c>
      <c r="E1820" s="10" t="s">
        <v>46</v>
      </c>
      <c r="F1820" s="10" t="s">
        <v>61</v>
      </c>
      <c r="G1820" s="10" t="b">
        <f>FALSE()</f>
        <v>0</v>
      </c>
      <c r="H1820" s="10">
        <v>0</v>
      </c>
      <c r="I1820" s="10">
        <v>1</v>
      </c>
      <c r="J1820" s="10">
        <v>0</v>
      </c>
      <c r="K1820" s="10">
        <v>0</v>
      </c>
      <c r="L1820" s="10">
        <v>0</v>
      </c>
      <c r="M1820" s="10">
        <v>1</v>
      </c>
      <c r="N1820" s="10">
        <v>391</v>
      </c>
      <c r="O1820" s="10">
        <v>391</v>
      </c>
    </row>
    <row r="1821" spans="1:15" x14ac:dyDescent="0.2">
      <c r="A1821" s="10" t="s">
        <v>1126</v>
      </c>
      <c r="B1821" s="10" t="s">
        <v>260</v>
      </c>
      <c r="C1821" s="10" t="s">
        <v>64</v>
      </c>
      <c r="D1821" s="10" t="s">
        <v>45</v>
      </c>
      <c r="E1821" s="10" t="s">
        <v>46</v>
      </c>
      <c r="F1821" s="10" t="s">
        <v>74</v>
      </c>
      <c r="G1821" s="10" t="b">
        <f>FALSE()</f>
        <v>0</v>
      </c>
      <c r="H1821" s="10">
        <v>0</v>
      </c>
      <c r="I1821" s="10">
        <v>1</v>
      </c>
      <c r="J1821" s="10">
        <v>0</v>
      </c>
      <c r="K1821" s="10">
        <v>0</v>
      </c>
      <c r="L1821" s="10">
        <v>0</v>
      </c>
      <c r="M1821" s="10">
        <v>1</v>
      </c>
      <c r="N1821" s="10">
        <v>390</v>
      </c>
      <c r="O1821" s="10">
        <v>390</v>
      </c>
    </row>
    <row r="1822" spans="1:15" x14ac:dyDescent="0.2">
      <c r="A1822" s="10" t="s">
        <v>1034</v>
      </c>
      <c r="B1822" s="10" t="s">
        <v>111</v>
      </c>
      <c r="C1822" s="10" t="s">
        <v>112</v>
      </c>
      <c r="D1822" s="10" t="s">
        <v>51</v>
      </c>
      <c r="E1822" s="10" t="s">
        <v>52</v>
      </c>
      <c r="F1822" s="10" t="s">
        <v>153</v>
      </c>
      <c r="G1822" s="10" t="b">
        <f>FALSE()</f>
        <v>0</v>
      </c>
      <c r="H1822" s="10">
        <v>0</v>
      </c>
      <c r="I1822" s="10">
        <v>1</v>
      </c>
      <c r="J1822" s="10">
        <v>0</v>
      </c>
      <c r="K1822" s="10">
        <v>0</v>
      </c>
      <c r="L1822" s="10">
        <v>0</v>
      </c>
      <c r="M1822" s="10">
        <v>1</v>
      </c>
      <c r="N1822" s="10">
        <v>389</v>
      </c>
      <c r="O1822" s="10">
        <v>389</v>
      </c>
    </row>
    <row r="1823" spans="1:15" x14ac:dyDescent="0.2">
      <c r="A1823" s="10" t="s">
        <v>1032</v>
      </c>
      <c r="B1823" s="10" t="s">
        <v>96</v>
      </c>
      <c r="C1823" s="10" t="s">
        <v>50</v>
      </c>
      <c r="D1823" s="10" t="s">
        <v>51</v>
      </c>
      <c r="E1823" s="10" t="s">
        <v>52</v>
      </c>
      <c r="F1823" s="10" t="s">
        <v>251</v>
      </c>
      <c r="G1823" s="10" t="b">
        <f>FALSE()</f>
        <v>0</v>
      </c>
      <c r="H1823" s="10">
        <v>0</v>
      </c>
      <c r="I1823" s="10">
        <v>1</v>
      </c>
      <c r="J1823" s="10">
        <v>0</v>
      </c>
      <c r="K1823" s="10">
        <v>0</v>
      </c>
      <c r="L1823" s="10">
        <v>0</v>
      </c>
      <c r="M1823" s="10">
        <v>1</v>
      </c>
      <c r="N1823" s="10">
        <v>389</v>
      </c>
      <c r="O1823" s="10">
        <v>389</v>
      </c>
    </row>
    <row r="1824" spans="1:15" x14ac:dyDescent="0.2">
      <c r="A1824" s="10" t="s">
        <v>1127</v>
      </c>
      <c r="B1824" s="10" t="s">
        <v>55</v>
      </c>
      <c r="C1824" s="10" t="s">
        <v>56</v>
      </c>
      <c r="D1824" s="10" t="s">
        <v>45</v>
      </c>
      <c r="E1824" s="10" t="s">
        <v>46</v>
      </c>
      <c r="F1824" s="10" t="s">
        <v>47</v>
      </c>
      <c r="G1824" s="10" t="b">
        <f>FALSE()</f>
        <v>0</v>
      </c>
      <c r="H1824" s="10">
        <v>0</v>
      </c>
      <c r="I1824" s="10">
        <v>1</v>
      </c>
      <c r="J1824" s="10">
        <v>0</v>
      </c>
      <c r="K1824" s="10">
        <v>0</v>
      </c>
      <c r="L1824" s="10">
        <v>0</v>
      </c>
      <c r="M1824" s="10">
        <v>1</v>
      </c>
      <c r="N1824" s="10">
        <v>379</v>
      </c>
      <c r="O1824" s="10">
        <v>389</v>
      </c>
    </row>
    <row r="1825" spans="1:15" x14ac:dyDescent="0.2">
      <c r="A1825" s="10" t="s">
        <v>1128</v>
      </c>
      <c r="B1825" s="10" t="s">
        <v>549</v>
      </c>
      <c r="C1825" s="10" t="s">
        <v>117</v>
      </c>
      <c r="D1825" s="10" t="s">
        <v>51</v>
      </c>
      <c r="E1825" s="10" t="s">
        <v>52</v>
      </c>
      <c r="F1825" s="10" t="s">
        <v>251</v>
      </c>
      <c r="G1825" s="10" t="b">
        <f>FALSE()</f>
        <v>0</v>
      </c>
      <c r="H1825" s="10">
        <v>0</v>
      </c>
      <c r="I1825" s="10">
        <v>1</v>
      </c>
      <c r="J1825" s="10">
        <v>0</v>
      </c>
      <c r="K1825" s="10">
        <v>0</v>
      </c>
      <c r="L1825" s="10">
        <v>0</v>
      </c>
      <c r="M1825" s="10">
        <v>1</v>
      </c>
      <c r="N1825" s="10">
        <v>385</v>
      </c>
      <c r="O1825" s="10">
        <v>387</v>
      </c>
    </row>
    <row r="1826" spans="1:15" x14ac:dyDescent="0.2">
      <c r="A1826" s="10" t="s">
        <v>1120</v>
      </c>
      <c r="B1826" s="10" t="s">
        <v>265</v>
      </c>
      <c r="C1826" s="10" t="s">
        <v>245</v>
      </c>
      <c r="D1826" s="10" t="s">
        <v>51</v>
      </c>
      <c r="E1826" s="10" t="s">
        <v>52</v>
      </c>
      <c r="F1826" s="10" t="s">
        <v>47</v>
      </c>
      <c r="G1826" s="10" t="b">
        <f>FALSE()</f>
        <v>0</v>
      </c>
      <c r="H1826" s="10">
        <v>0</v>
      </c>
      <c r="I1826" s="10">
        <v>1</v>
      </c>
      <c r="J1826" s="10">
        <v>0</v>
      </c>
      <c r="K1826" s="10">
        <v>0</v>
      </c>
      <c r="L1826" s="10">
        <v>0</v>
      </c>
      <c r="M1826" s="10">
        <v>1</v>
      </c>
      <c r="N1826" s="10">
        <v>411</v>
      </c>
      <c r="O1826" s="10">
        <v>387</v>
      </c>
    </row>
    <row r="1827" spans="1:15" x14ac:dyDescent="0.2">
      <c r="A1827" s="10" t="s">
        <v>1085</v>
      </c>
      <c r="B1827" s="10" t="s">
        <v>139</v>
      </c>
      <c r="C1827" s="10" t="s">
        <v>64</v>
      </c>
      <c r="D1827" s="10" t="s">
        <v>45</v>
      </c>
      <c r="E1827" s="10" t="s">
        <v>46</v>
      </c>
      <c r="F1827" s="10" t="s">
        <v>251</v>
      </c>
      <c r="G1827" s="10" t="b">
        <f>FALSE()</f>
        <v>0</v>
      </c>
      <c r="H1827" s="10">
        <v>0</v>
      </c>
      <c r="I1827" s="10">
        <v>1</v>
      </c>
      <c r="J1827" s="10">
        <v>0</v>
      </c>
      <c r="K1827" s="10">
        <v>0</v>
      </c>
      <c r="L1827" s="10">
        <v>0</v>
      </c>
      <c r="M1827" s="10">
        <v>1</v>
      </c>
      <c r="N1827" s="10">
        <v>387</v>
      </c>
      <c r="O1827" s="10">
        <v>387</v>
      </c>
    </row>
    <row r="1828" spans="1:15" x14ac:dyDescent="0.2">
      <c r="A1828" s="10" t="s">
        <v>1076</v>
      </c>
      <c r="B1828" s="10" t="s">
        <v>285</v>
      </c>
      <c r="C1828" s="10" t="s">
        <v>105</v>
      </c>
      <c r="D1828" s="10" t="s">
        <v>45</v>
      </c>
      <c r="E1828" s="10" t="s">
        <v>46</v>
      </c>
      <c r="F1828" s="10" t="s">
        <v>153</v>
      </c>
      <c r="G1828" s="10" t="b">
        <f>FALSE()</f>
        <v>0</v>
      </c>
      <c r="H1828" s="10">
        <v>0</v>
      </c>
      <c r="I1828" s="10">
        <v>1</v>
      </c>
      <c r="J1828" s="10">
        <v>0</v>
      </c>
      <c r="K1828" s="10">
        <v>0</v>
      </c>
      <c r="L1828" s="10">
        <v>0</v>
      </c>
      <c r="M1828" s="10">
        <v>1</v>
      </c>
      <c r="N1828" s="10">
        <v>392</v>
      </c>
      <c r="O1828" s="10">
        <v>387</v>
      </c>
    </row>
    <row r="1829" spans="1:15" x14ac:dyDescent="0.2">
      <c r="A1829" s="10" t="s">
        <v>1129</v>
      </c>
      <c r="B1829" s="10" t="s">
        <v>157</v>
      </c>
      <c r="C1829" s="10" t="s">
        <v>64</v>
      </c>
      <c r="D1829" s="10" t="s">
        <v>45</v>
      </c>
      <c r="E1829" s="10" t="s">
        <v>46</v>
      </c>
      <c r="F1829" s="10" t="s">
        <v>85</v>
      </c>
      <c r="G1829" s="10" t="b">
        <f>FALSE()</f>
        <v>0</v>
      </c>
      <c r="H1829" s="10">
        <v>0</v>
      </c>
      <c r="I1829" s="10">
        <v>1</v>
      </c>
      <c r="J1829" s="10">
        <v>0</v>
      </c>
      <c r="K1829" s="10">
        <v>0</v>
      </c>
      <c r="L1829" s="10">
        <v>0</v>
      </c>
      <c r="M1829" s="10">
        <v>1</v>
      </c>
      <c r="N1829" s="10">
        <v>396</v>
      </c>
      <c r="O1829" s="10">
        <v>385</v>
      </c>
    </row>
    <row r="1830" spans="1:15" x14ac:dyDescent="0.2">
      <c r="A1830" s="10" t="s">
        <v>1078</v>
      </c>
      <c r="B1830" s="10" t="s">
        <v>188</v>
      </c>
      <c r="C1830" s="10" t="s">
        <v>112</v>
      </c>
      <c r="D1830" s="10" t="s">
        <v>51</v>
      </c>
      <c r="E1830" s="10" t="s">
        <v>52</v>
      </c>
      <c r="F1830" s="10" t="s">
        <v>986</v>
      </c>
      <c r="G1830" s="10" t="b">
        <f>FALSE()</f>
        <v>0</v>
      </c>
      <c r="H1830" s="10">
        <v>0</v>
      </c>
      <c r="I1830" s="10">
        <v>1</v>
      </c>
      <c r="J1830" s="10">
        <v>0</v>
      </c>
      <c r="K1830" s="10">
        <v>0</v>
      </c>
      <c r="L1830" s="10">
        <v>0</v>
      </c>
      <c r="M1830" s="10">
        <v>1</v>
      </c>
      <c r="N1830" s="10">
        <v>380</v>
      </c>
      <c r="O1830" s="10">
        <v>380</v>
      </c>
    </row>
    <row r="1831" spans="1:15" x14ac:dyDescent="0.2">
      <c r="A1831" s="10" t="s">
        <v>1058</v>
      </c>
      <c r="B1831" s="10" t="s">
        <v>43</v>
      </c>
      <c r="C1831" s="10" t="s">
        <v>44</v>
      </c>
      <c r="D1831" s="10" t="s">
        <v>45</v>
      </c>
      <c r="E1831" s="10" t="s">
        <v>46</v>
      </c>
      <c r="F1831" s="10" t="s">
        <v>251</v>
      </c>
      <c r="G1831" s="10" t="b">
        <f>FALSE()</f>
        <v>0</v>
      </c>
      <c r="H1831" s="10">
        <v>0</v>
      </c>
      <c r="I1831" s="10">
        <v>1</v>
      </c>
      <c r="J1831" s="10">
        <v>0</v>
      </c>
      <c r="K1831" s="10">
        <v>0</v>
      </c>
      <c r="L1831" s="10">
        <v>0</v>
      </c>
      <c r="M1831" s="10">
        <v>1</v>
      </c>
      <c r="N1831" s="10">
        <v>380</v>
      </c>
      <c r="O1831" s="10">
        <v>380</v>
      </c>
    </row>
    <row r="1832" spans="1:15" x14ac:dyDescent="0.2">
      <c r="A1832" s="10" t="s">
        <v>1120</v>
      </c>
      <c r="B1832" s="10" t="s">
        <v>265</v>
      </c>
      <c r="C1832" s="10" t="s">
        <v>245</v>
      </c>
      <c r="D1832" s="10" t="s">
        <v>51</v>
      </c>
      <c r="E1832" s="10" t="s">
        <v>52</v>
      </c>
      <c r="F1832" s="10" t="s">
        <v>153</v>
      </c>
      <c r="G1832" s="10" t="b">
        <f>FALSE()</f>
        <v>0</v>
      </c>
      <c r="H1832" s="10">
        <v>0</v>
      </c>
      <c r="I1832" s="10">
        <v>1</v>
      </c>
      <c r="J1832" s="10">
        <v>0</v>
      </c>
      <c r="K1832" s="10">
        <v>0</v>
      </c>
      <c r="L1832" s="10">
        <v>0</v>
      </c>
      <c r="M1832" s="10">
        <v>1</v>
      </c>
      <c r="N1832" s="10">
        <v>388</v>
      </c>
      <c r="O1832" s="10">
        <v>379</v>
      </c>
    </row>
    <row r="1833" spans="1:15" x14ac:dyDescent="0.2">
      <c r="A1833" s="10" t="s">
        <v>1130</v>
      </c>
      <c r="B1833" s="10" t="s">
        <v>193</v>
      </c>
      <c r="C1833" s="10" t="s">
        <v>117</v>
      </c>
      <c r="D1833" s="10" t="s">
        <v>51</v>
      </c>
      <c r="E1833" s="10" t="s">
        <v>52</v>
      </c>
      <c r="F1833" s="10" t="s">
        <v>180</v>
      </c>
      <c r="G1833" s="10" t="b">
        <f>FALSE()</f>
        <v>0</v>
      </c>
      <c r="H1833" s="10">
        <v>0</v>
      </c>
      <c r="I1833" s="10">
        <v>1</v>
      </c>
      <c r="J1833" s="10">
        <v>0</v>
      </c>
      <c r="K1833" s="10">
        <v>0</v>
      </c>
      <c r="L1833" s="10">
        <v>0</v>
      </c>
      <c r="M1833" s="10">
        <v>1</v>
      </c>
      <c r="N1833" s="10">
        <v>406</v>
      </c>
      <c r="O1833" s="10">
        <v>378</v>
      </c>
    </row>
    <row r="1834" spans="1:15" x14ac:dyDescent="0.2">
      <c r="A1834" s="10" t="s">
        <v>1059</v>
      </c>
      <c r="B1834" s="10" t="s">
        <v>109</v>
      </c>
      <c r="C1834" s="10" t="s">
        <v>90</v>
      </c>
      <c r="D1834" s="10" t="s">
        <v>51</v>
      </c>
      <c r="E1834" s="10" t="s">
        <v>52</v>
      </c>
      <c r="F1834" s="10" t="s">
        <v>251</v>
      </c>
      <c r="G1834" s="10" t="b">
        <f>FALSE()</f>
        <v>0</v>
      </c>
      <c r="H1834" s="10">
        <v>0</v>
      </c>
      <c r="I1834" s="10">
        <v>1</v>
      </c>
      <c r="J1834" s="10">
        <v>0</v>
      </c>
      <c r="K1834" s="10">
        <v>0</v>
      </c>
      <c r="L1834" s="10">
        <v>0</v>
      </c>
      <c r="M1834" s="10">
        <v>1</v>
      </c>
      <c r="N1834" s="10">
        <v>384</v>
      </c>
      <c r="O1834" s="10">
        <v>377</v>
      </c>
    </row>
    <row r="1835" spans="1:15" x14ac:dyDescent="0.2">
      <c r="A1835" s="10" t="s">
        <v>179</v>
      </c>
      <c r="B1835" s="10" t="s">
        <v>55</v>
      </c>
      <c r="C1835" s="10" t="s">
        <v>56</v>
      </c>
      <c r="D1835" s="10" t="s">
        <v>45</v>
      </c>
      <c r="E1835" s="10" t="s">
        <v>46</v>
      </c>
      <c r="F1835" s="10" t="s">
        <v>47</v>
      </c>
      <c r="G1835" s="10" t="b">
        <f>FALSE()</f>
        <v>0</v>
      </c>
      <c r="H1835" s="10">
        <v>0</v>
      </c>
      <c r="I1835" s="10">
        <v>1</v>
      </c>
      <c r="J1835" s="10">
        <v>0</v>
      </c>
      <c r="K1835" s="10">
        <v>0</v>
      </c>
      <c r="L1835" s="10">
        <v>0</v>
      </c>
      <c r="M1835" s="10">
        <v>1</v>
      </c>
      <c r="N1835" s="10">
        <v>400</v>
      </c>
      <c r="O1835" s="10">
        <v>376</v>
      </c>
    </row>
    <row r="1836" spans="1:15" x14ac:dyDescent="0.2">
      <c r="A1836" s="10" t="s">
        <v>1131</v>
      </c>
      <c r="B1836" s="10" t="s">
        <v>139</v>
      </c>
      <c r="C1836" s="10" t="s">
        <v>64</v>
      </c>
      <c r="D1836" s="10" t="s">
        <v>45</v>
      </c>
      <c r="E1836" s="10" t="s">
        <v>46</v>
      </c>
      <c r="F1836" s="10" t="s">
        <v>47</v>
      </c>
      <c r="G1836" s="10" t="b">
        <f>FALSE()</f>
        <v>0</v>
      </c>
      <c r="H1836" s="10">
        <v>0</v>
      </c>
      <c r="I1836" s="10">
        <v>1</v>
      </c>
      <c r="J1836" s="10">
        <v>0</v>
      </c>
      <c r="K1836" s="10">
        <v>0</v>
      </c>
      <c r="L1836" s="10">
        <v>0</v>
      </c>
      <c r="M1836" s="10">
        <v>1</v>
      </c>
      <c r="N1836" s="10">
        <v>371</v>
      </c>
      <c r="O1836" s="10">
        <v>375</v>
      </c>
    </row>
    <row r="1837" spans="1:15" x14ac:dyDescent="0.2">
      <c r="A1837" s="10" t="s">
        <v>924</v>
      </c>
      <c r="B1837" s="10" t="s">
        <v>104</v>
      </c>
      <c r="C1837" s="10" t="s">
        <v>105</v>
      </c>
      <c r="D1837" s="10" t="s">
        <v>45</v>
      </c>
      <c r="E1837" s="10" t="s">
        <v>46</v>
      </c>
      <c r="F1837" s="10" t="s">
        <v>113</v>
      </c>
      <c r="G1837" s="10" t="b">
        <f>TRUE()</f>
        <v>1</v>
      </c>
      <c r="H1837" s="10">
        <v>0</v>
      </c>
      <c r="I1837" s="10">
        <v>1</v>
      </c>
      <c r="J1837" s="10">
        <v>0</v>
      </c>
      <c r="K1837" s="10">
        <v>0</v>
      </c>
      <c r="L1837" s="10">
        <v>0</v>
      </c>
      <c r="M1837" s="10">
        <v>1</v>
      </c>
      <c r="N1837" s="10">
        <v>374</v>
      </c>
      <c r="O1837" s="10">
        <v>374</v>
      </c>
    </row>
    <row r="1838" spans="1:15" x14ac:dyDescent="0.2">
      <c r="A1838" s="10" t="s">
        <v>1107</v>
      </c>
      <c r="B1838" s="10" t="s">
        <v>146</v>
      </c>
      <c r="C1838" s="10" t="s">
        <v>105</v>
      </c>
      <c r="D1838" s="10" t="s">
        <v>45</v>
      </c>
      <c r="E1838" s="10" t="s">
        <v>46</v>
      </c>
      <c r="F1838" s="10" t="s">
        <v>102</v>
      </c>
      <c r="G1838" s="10" t="b">
        <f>TRUE()</f>
        <v>1</v>
      </c>
      <c r="H1838" s="10">
        <v>0</v>
      </c>
      <c r="I1838" s="10">
        <v>1</v>
      </c>
      <c r="J1838" s="10">
        <v>0</v>
      </c>
      <c r="K1838" s="10">
        <v>0</v>
      </c>
      <c r="L1838" s="10">
        <v>0</v>
      </c>
      <c r="M1838" s="10">
        <v>1</v>
      </c>
      <c r="N1838" s="10">
        <v>390</v>
      </c>
      <c r="O1838" s="10">
        <v>374</v>
      </c>
    </row>
    <row r="1839" spans="1:15" x14ac:dyDescent="0.2">
      <c r="A1839" s="10" t="s">
        <v>1055</v>
      </c>
      <c r="B1839" s="10" t="s">
        <v>178</v>
      </c>
      <c r="C1839" s="10" t="s">
        <v>73</v>
      </c>
      <c r="D1839" s="10" t="s">
        <v>45</v>
      </c>
      <c r="E1839" s="10" t="s">
        <v>46</v>
      </c>
      <c r="F1839" s="10" t="s">
        <v>223</v>
      </c>
      <c r="G1839" s="10" t="b">
        <f>FALSE()</f>
        <v>0</v>
      </c>
      <c r="H1839" s="10">
        <v>0</v>
      </c>
      <c r="I1839" s="10">
        <v>1</v>
      </c>
      <c r="J1839" s="10">
        <v>0</v>
      </c>
      <c r="K1839" s="10">
        <v>0</v>
      </c>
      <c r="L1839" s="10">
        <v>0</v>
      </c>
      <c r="M1839" s="10">
        <v>1</v>
      </c>
      <c r="N1839" s="10">
        <v>375</v>
      </c>
      <c r="O1839" s="10">
        <v>372</v>
      </c>
    </row>
    <row r="1840" spans="1:15" x14ac:dyDescent="0.2">
      <c r="A1840" s="10" t="s">
        <v>1132</v>
      </c>
      <c r="B1840" s="10" t="s">
        <v>262</v>
      </c>
      <c r="C1840" s="10" t="s">
        <v>105</v>
      </c>
      <c r="D1840" s="10" t="s">
        <v>45</v>
      </c>
      <c r="E1840" s="10" t="s">
        <v>46</v>
      </c>
      <c r="F1840" s="10" t="s">
        <v>94</v>
      </c>
      <c r="G1840" s="10" t="b">
        <f>FALSE()</f>
        <v>0</v>
      </c>
      <c r="H1840" s="10">
        <v>0</v>
      </c>
      <c r="I1840" s="10">
        <v>1</v>
      </c>
      <c r="J1840" s="10">
        <v>0</v>
      </c>
      <c r="K1840" s="10">
        <v>0</v>
      </c>
      <c r="L1840" s="10">
        <v>0</v>
      </c>
      <c r="M1840" s="10">
        <v>1</v>
      </c>
      <c r="N1840" s="10">
        <v>376</v>
      </c>
      <c r="O1840" s="10">
        <v>371</v>
      </c>
    </row>
    <row r="1841" spans="1:15" x14ac:dyDescent="0.2">
      <c r="A1841" s="10" t="s">
        <v>1074</v>
      </c>
      <c r="B1841" s="10" t="s">
        <v>104</v>
      </c>
      <c r="C1841" s="10" t="s">
        <v>105</v>
      </c>
      <c r="D1841" s="10" t="s">
        <v>45</v>
      </c>
      <c r="E1841" s="10" t="s">
        <v>46</v>
      </c>
      <c r="F1841" s="10" t="s">
        <v>1133</v>
      </c>
      <c r="G1841" s="10" t="b">
        <f>TRUE()</f>
        <v>1</v>
      </c>
      <c r="H1841" s="10">
        <v>0</v>
      </c>
      <c r="I1841" s="10">
        <v>1</v>
      </c>
      <c r="J1841" s="10">
        <v>0</v>
      </c>
      <c r="K1841" s="10">
        <v>0</v>
      </c>
      <c r="L1841" s="10">
        <v>0</v>
      </c>
      <c r="M1841" s="10">
        <v>1</v>
      </c>
      <c r="N1841" s="10">
        <v>370</v>
      </c>
      <c r="O1841" s="10">
        <v>370</v>
      </c>
    </row>
    <row r="1842" spans="1:15" x14ac:dyDescent="0.2">
      <c r="A1842" s="10" t="s">
        <v>1028</v>
      </c>
      <c r="B1842" s="10" t="s">
        <v>262</v>
      </c>
      <c r="C1842" s="10" t="s">
        <v>105</v>
      </c>
      <c r="D1842" s="10" t="s">
        <v>45</v>
      </c>
      <c r="E1842" s="10" t="s">
        <v>46</v>
      </c>
      <c r="F1842" s="10" t="s">
        <v>207</v>
      </c>
      <c r="G1842" s="10" t="b">
        <f>FALSE()</f>
        <v>0</v>
      </c>
      <c r="H1842" s="10">
        <v>0</v>
      </c>
      <c r="I1842" s="10">
        <v>1</v>
      </c>
      <c r="J1842" s="10">
        <v>0</v>
      </c>
      <c r="K1842" s="10">
        <v>0</v>
      </c>
      <c r="L1842" s="10">
        <v>0</v>
      </c>
      <c r="M1842" s="10">
        <v>1</v>
      </c>
      <c r="N1842" s="10">
        <v>369</v>
      </c>
      <c r="O1842" s="10">
        <v>370</v>
      </c>
    </row>
    <row r="1843" spans="1:15" x14ac:dyDescent="0.2">
      <c r="A1843" s="10" t="s">
        <v>1134</v>
      </c>
      <c r="B1843" s="10" t="s">
        <v>167</v>
      </c>
      <c r="C1843" s="10" t="s">
        <v>64</v>
      </c>
      <c r="D1843" s="10" t="s">
        <v>45</v>
      </c>
      <c r="E1843" s="10" t="s">
        <v>46</v>
      </c>
      <c r="F1843" s="10" t="s">
        <v>85</v>
      </c>
      <c r="G1843" s="10" t="b">
        <f>FALSE()</f>
        <v>0</v>
      </c>
      <c r="H1843" s="10">
        <v>0</v>
      </c>
      <c r="I1843" s="10">
        <v>1</v>
      </c>
      <c r="J1843" s="10">
        <v>0</v>
      </c>
      <c r="K1843" s="10">
        <v>0</v>
      </c>
      <c r="L1843" s="10">
        <v>0</v>
      </c>
      <c r="M1843" s="10">
        <v>1</v>
      </c>
      <c r="N1843" s="10">
        <v>372</v>
      </c>
      <c r="O1843" s="10">
        <v>368</v>
      </c>
    </row>
    <row r="1844" spans="1:15" x14ac:dyDescent="0.2">
      <c r="A1844" s="10" t="s">
        <v>1121</v>
      </c>
      <c r="B1844" s="10" t="s">
        <v>55</v>
      </c>
      <c r="C1844" s="10" t="s">
        <v>56</v>
      </c>
      <c r="D1844" s="10" t="s">
        <v>45</v>
      </c>
      <c r="E1844" s="10" t="s">
        <v>46</v>
      </c>
      <c r="F1844" s="10" t="s">
        <v>223</v>
      </c>
      <c r="G1844" s="10" t="b">
        <f>FALSE()</f>
        <v>0</v>
      </c>
      <c r="H1844" s="10">
        <v>0</v>
      </c>
      <c r="I1844" s="10">
        <v>1</v>
      </c>
      <c r="J1844" s="10">
        <v>0</v>
      </c>
      <c r="K1844" s="10">
        <v>0</v>
      </c>
      <c r="L1844" s="10">
        <v>0</v>
      </c>
      <c r="M1844" s="10">
        <v>1</v>
      </c>
      <c r="N1844" s="10">
        <v>370</v>
      </c>
      <c r="O1844" s="10">
        <v>365</v>
      </c>
    </row>
    <row r="1845" spans="1:15" x14ac:dyDescent="0.2">
      <c r="A1845" s="10" t="s">
        <v>1135</v>
      </c>
      <c r="B1845" s="10" t="s">
        <v>517</v>
      </c>
      <c r="C1845" s="10" t="s">
        <v>90</v>
      </c>
      <c r="D1845" s="10" t="s">
        <v>51</v>
      </c>
      <c r="E1845" s="10" t="s">
        <v>52</v>
      </c>
      <c r="F1845" s="10" t="s">
        <v>92</v>
      </c>
      <c r="G1845" s="10" t="b">
        <f>FALSE()</f>
        <v>0</v>
      </c>
      <c r="H1845" s="10">
        <v>0</v>
      </c>
      <c r="I1845" s="10">
        <v>1</v>
      </c>
      <c r="J1845" s="10">
        <v>0</v>
      </c>
      <c r="K1845" s="10">
        <v>0</v>
      </c>
      <c r="L1845" s="10">
        <v>0</v>
      </c>
      <c r="M1845" s="10">
        <v>1</v>
      </c>
      <c r="N1845" s="10">
        <v>362</v>
      </c>
      <c r="O1845" s="10">
        <v>362</v>
      </c>
    </row>
    <row r="1846" spans="1:15" x14ac:dyDescent="0.2">
      <c r="A1846" s="10" t="s">
        <v>853</v>
      </c>
      <c r="B1846" s="10" t="s">
        <v>456</v>
      </c>
      <c r="C1846" s="10" t="s">
        <v>245</v>
      </c>
      <c r="D1846" s="10" t="s">
        <v>51</v>
      </c>
      <c r="E1846" s="10" t="s">
        <v>52</v>
      </c>
      <c r="F1846" s="10" t="s">
        <v>1136</v>
      </c>
      <c r="G1846" s="10" t="b">
        <f>FALSE()</f>
        <v>0</v>
      </c>
      <c r="H1846" s="10">
        <v>0</v>
      </c>
      <c r="I1846" s="10">
        <v>1</v>
      </c>
      <c r="J1846" s="10">
        <v>0</v>
      </c>
      <c r="K1846" s="10">
        <v>0</v>
      </c>
      <c r="L1846" s="10">
        <v>0</v>
      </c>
      <c r="M1846" s="10">
        <v>1</v>
      </c>
      <c r="N1846" s="10">
        <v>361</v>
      </c>
      <c r="O1846" s="10">
        <v>361</v>
      </c>
    </row>
    <row r="1847" spans="1:15" x14ac:dyDescent="0.2">
      <c r="A1847" s="10" t="s">
        <v>1062</v>
      </c>
      <c r="B1847" s="10" t="s">
        <v>72</v>
      </c>
      <c r="C1847" s="10" t="s">
        <v>73</v>
      </c>
      <c r="D1847" s="10" t="s">
        <v>45</v>
      </c>
      <c r="E1847" s="10" t="s">
        <v>46</v>
      </c>
      <c r="F1847" s="10" t="s">
        <v>153</v>
      </c>
      <c r="G1847" s="10" t="b">
        <f>FALSE()</f>
        <v>0</v>
      </c>
      <c r="H1847" s="10">
        <v>0</v>
      </c>
      <c r="I1847" s="10">
        <v>1</v>
      </c>
      <c r="J1847" s="10">
        <v>0</v>
      </c>
      <c r="K1847" s="10">
        <v>0</v>
      </c>
      <c r="L1847" s="10">
        <v>0</v>
      </c>
      <c r="M1847" s="10">
        <v>1</v>
      </c>
      <c r="N1847" s="10">
        <v>360</v>
      </c>
      <c r="O1847" s="10">
        <v>360</v>
      </c>
    </row>
    <row r="1848" spans="1:15" x14ac:dyDescent="0.2">
      <c r="A1848" s="10" t="s">
        <v>712</v>
      </c>
      <c r="B1848" s="10" t="s">
        <v>247</v>
      </c>
      <c r="C1848" s="10" t="s">
        <v>245</v>
      </c>
      <c r="D1848" s="10" t="s">
        <v>51</v>
      </c>
      <c r="E1848" s="10" t="s">
        <v>52</v>
      </c>
      <c r="F1848" s="10" t="s">
        <v>91</v>
      </c>
      <c r="G1848" s="10" t="b">
        <f>TRUE()</f>
        <v>1</v>
      </c>
      <c r="H1848" s="10">
        <v>0</v>
      </c>
      <c r="I1848" s="10">
        <v>1</v>
      </c>
      <c r="J1848" s="10">
        <v>0</v>
      </c>
      <c r="K1848" s="10">
        <v>0</v>
      </c>
      <c r="L1848" s="10">
        <v>0</v>
      </c>
      <c r="M1848" s="10">
        <v>1</v>
      </c>
      <c r="N1848" s="10">
        <v>366</v>
      </c>
      <c r="O1848" s="10">
        <v>359</v>
      </c>
    </row>
    <row r="1849" spans="1:15" x14ac:dyDescent="0.2">
      <c r="A1849" s="10" t="s">
        <v>1077</v>
      </c>
      <c r="B1849" s="10" t="s">
        <v>606</v>
      </c>
      <c r="C1849" s="10" t="s">
        <v>64</v>
      </c>
      <c r="D1849" s="10" t="s">
        <v>45</v>
      </c>
      <c r="E1849" s="10" t="s">
        <v>46</v>
      </c>
      <c r="F1849" s="10" t="s">
        <v>251</v>
      </c>
      <c r="G1849" s="10" t="b">
        <f>FALSE()</f>
        <v>0</v>
      </c>
      <c r="H1849" s="10">
        <v>0</v>
      </c>
      <c r="I1849" s="10">
        <v>1</v>
      </c>
      <c r="J1849" s="10">
        <v>0</v>
      </c>
      <c r="K1849" s="10">
        <v>0</v>
      </c>
      <c r="L1849" s="10">
        <v>0</v>
      </c>
      <c r="M1849" s="10">
        <v>1</v>
      </c>
      <c r="N1849" s="10">
        <v>359</v>
      </c>
      <c r="O1849" s="10">
        <v>359</v>
      </c>
    </row>
    <row r="1850" spans="1:15" x14ac:dyDescent="0.2">
      <c r="A1850" s="10" t="s">
        <v>1102</v>
      </c>
      <c r="B1850" s="10" t="s">
        <v>139</v>
      </c>
      <c r="C1850" s="10" t="s">
        <v>64</v>
      </c>
      <c r="D1850" s="10" t="s">
        <v>45</v>
      </c>
      <c r="E1850" s="10" t="s">
        <v>46</v>
      </c>
      <c r="F1850" s="10" t="s">
        <v>153</v>
      </c>
      <c r="G1850" s="10" t="b">
        <f>FALSE()</f>
        <v>0</v>
      </c>
      <c r="H1850" s="10">
        <v>0</v>
      </c>
      <c r="I1850" s="10">
        <v>1</v>
      </c>
      <c r="J1850" s="10">
        <v>0</v>
      </c>
      <c r="K1850" s="10">
        <v>0</v>
      </c>
      <c r="L1850" s="10">
        <v>0</v>
      </c>
      <c r="M1850" s="10">
        <v>1</v>
      </c>
      <c r="N1850" s="10">
        <v>359</v>
      </c>
      <c r="O1850" s="10">
        <v>359</v>
      </c>
    </row>
    <row r="1851" spans="1:15" x14ac:dyDescent="0.2">
      <c r="A1851" s="10" t="s">
        <v>1130</v>
      </c>
      <c r="B1851" s="10" t="s">
        <v>193</v>
      </c>
      <c r="C1851" s="10" t="s">
        <v>117</v>
      </c>
      <c r="D1851" s="10" t="s">
        <v>51</v>
      </c>
      <c r="E1851" s="10" t="s">
        <v>52</v>
      </c>
      <c r="F1851" s="10" t="s">
        <v>113</v>
      </c>
      <c r="G1851" s="10" t="b">
        <f>TRUE()</f>
        <v>1</v>
      </c>
      <c r="H1851" s="10">
        <v>0</v>
      </c>
      <c r="I1851" s="10">
        <v>1</v>
      </c>
      <c r="J1851" s="10">
        <v>0</v>
      </c>
      <c r="K1851" s="10">
        <v>0</v>
      </c>
      <c r="L1851" s="10">
        <v>0</v>
      </c>
      <c r="M1851" s="10">
        <v>1</v>
      </c>
      <c r="N1851" s="10">
        <v>382</v>
      </c>
      <c r="O1851" s="10">
        <v>358</v>
      </c>
    </row>
    <row r="1852" spans="1:15" x14ac:dyDescent="0.2">
      <c r="A1852" s="10" t="s">
        <v>1137</v>
      </c>
      <c r="B1852" s="10" t="s">
        <v>70</v>
      </c>
      <c r="C1852" s="10" t="s">
        <v>70</v>
      </c>
      <c r="D1852" s="10" t="s">
        <v>45</v>
      </c>
      <c r="E1852" s="10" t="s">
        <v>46</v>
      </c>
      <c r="F1852" s="10" t="s">
        <v>61</v>
      </c>
      <c r="G1852" s="10" t="b">
        <f>FALSE()</f>
        <v>0</v>
      </c>
      <c r="H1852" s="10">
        <v>0</v>
      </c>
      <c r="I1852" s="10">
        <v>1</v>
      </c>
      <c r="J1852" s="10">
        <v>0</v>
      </c>
      <c r="K1852" s="10">
        <v>0</v>
      </c>
      <c r="L1852" s="10">
        <v>0</v>
      </c>
      <c r="M1852" s="10">
        <v>1</v>
      </c>
      <c r="N1852" s="10">
        <v>358</v>
      </c>
      <c r="O1852" s="10">
        <v>357</v>
      </c>
    </row>
    <row r="1853" spans="1:15" x14ac:dyDescent="0.2">
      <c r="A1853" s="10" t="s">
        <v>101</v>
      </c>
      <c r="B1853" s="10" t="s">
        <v>55</v>
      </c>
      <c r="C1853" s="10" t="s">
        <v>56</v>
      </c>
      <c r="D1853" s="10" t="s">
        <v>45</v>
      </c>
      <c r="E1853" s="10" t="s">
        <v>46</v>
      </c>
      <c r="F1853" s="10" t="s">
        <v>79</v>
      </c>
      <c r="G1853" s="10" t="b">
        <f>FALSE()</f>
        <v>0</v>
      </c>
      <c r="H1853" s="10">
        <v>0</v>
      </c>
      <c r="I1853" s="10">
        <v>1</v>
      </c>
      <c r="J1853" s="10">
        <v>0</v>
      </c>
      <c r="K1853" s="10">
        <v>0</v>
      </c>
      <c r="L1853" s="10">
        <v>0</v>
      </c>
      <c r="M1853" s="10">
        <v>1</v>
      </c>
      <c r="N1853" s="10">
        <v>364</v>
      </c>
      <c r="O1853" s="10">
        <v>355</v>
      </c>
    </row>
    <row r="1854" spans="1:15" x14ac:dyDescent="0.2">
      <c r="A1854" s="10" t="s">
        <v>1138</v>
      </c>
      <c r="B1854" s="10" t="s">
        <v>130</v>
      </c>
      <c r="C1854" s="10" t="s">
        <v>56</v>
      </c>
      <c r="D1854" s="10" t="s">
        <v>45</v>
      </c>
      <c r="E1854" s="10" t="s">
        <v>46</v>
      </c>
      <c r="F1854" s="10" t="s">
        <v>236</v>
      </c>
      <c r="G1854" s="10" t="b">
        <f>FALSE()</f>
        <v>0</v>
      </c>
      <c r="H1854" s="10">
        <v>0</v>
      </c>
      <c r="I1854" s="10">
        <v>1</v>
      </c>
      <c r="J1854" s="10">
        <v>0</v>
      </c>
      <c r="K1854" s="10">
        <v>0</v>
      </c>
      <c r="L1854" s="10">
        <v>0</v>
      </c>
      <c r="M1854" s="10">
        <v>1</v>
      </c>
      <c r="N1854" s="10">
        <v>354</v>
      </c>
      <c r="O1854" s="10">
        <v>354</v>
      </c>
    </row>
    <row r="1855" spans="1:15" x14ac:dyDescent="0.2">
      <c r="A1855" s="10" t="s">
        <v>1139</v>
      </c>
      <c r="B1855" s="10" t="s">
        <v>136</v>
      </c>
      <c r="C1855" s="10" t="s">
        <v>73</v>
      </c>
      <c r="D1855" s="10" t="s">
        <v>45</v>
      </c>
      <c r="E1855" s="10" t="s">
        <v>46</v>
      </c>
      <c r="F1855" s="10" t="s">
        <v>85</v>
      </c>
      <c r="G1855" s="10" t="b">
        <f>FALSE()</f>
        <v>0</v>
      </c>
      <c r="H1855" s="10">
        <v>0</v>
      </c>
      <c r="I1855" s="10">
        <v>1</v>
      </c>
      <c r="J1855" s="10">
        <v>0</v>
      </c>
      <c r="K1855" s="10">
        <v>0</v>
      </c>
      <c r="L1855" s="10">
        <v>0</v>
      </c>
      <c r="M1855" s="10">
        <v>1</v>
      </c>
      <c r="N1855" s="10">
        <v>350</v>
      </c>
      <c r="O1855" s="10">
        <v>350</v>
      </c>
    </row>
    <row r="1856" spans="1:15" x14ac:dyDescent="0.2">
      <c r="A1856" s="10" t="s">
        <v>1100</v>
      </c>
      <c r="B1856" s="10" t="s">
        <v>572</v>
      </c>
      <c r="C1856" s="10" t="s">
        <v>112</v>
      </c>
      <c r="D1856" s="10" t="s">
        <v>51</v>
      </c>
      <c r="E1856" s="10" t="s">
        <v>52</v>
      </c>
      <c r="F1856" s="10" t="s">
        <v>74</v>
      </c>
      <c r="G1856" s="10" t="b">
        <f>FALSE()</f>
        <v>0</v>
      </c>
      <c r="H1856" s="10">
        <v>0</v>
      </c>
      <c r="I1856" s="10">
        <v>1</v>
      </c>
      <c r="J1856" s="10">
        <v>0</v>
      </c>
      <c r="K1856" s="10">
        <v>0</v>
      </c>
      <c r="L1856" s="10">
        <v>0</v>
      </c>
      <c r="M1856" s="10">
        <v>1</v>
      </c>
      <c r="N1856" s="10">
        <v>354</v>
      </c>
      <c r="O1856" s="10">
        <v>349</v>
      </c>
    </row>
    <row r="1857" spans="1:15" x14ac:dyDescent="0.2">
      <c r="A1857" s="10" t="s">
        <v>1140</v>
      </c>
      <c r="B1857" s="10" t="s">
        <v>43</v>
      </c>
      <c r="C1857" s="10" t="s">
        <v>44</v>
      </c>
      <c r="D1857" s="10" t="s">
        <v>45</v>
      </c>
      <c r="E1857" s="10" t="s">
        <v>46</v>
      </c>
      <c r="F1857" s="10" t="s">
        <v>85</v>
      </c>
      <c r="G1857" s="10" t="b">
        <f>FALSE()</f>
        <v>0</v>
      </c>
      <c r="H1857" s="10">
        <v>0</v>
      </c>
      <c r="I1857" s="10">
        <v>1</v>
      </c>
      <c r="J1857" s="10">
        <v>0</v>
      </c>
      <c r="K1857" s="10">
        <v>0</v>
      </c>
      <c r="L1857" s="10">
        <v>0</v>
      </c>
      <c r="M1857" s="10">
        <v>1</v>
      </c>
      <c r="N1857" s="10">
        <v>348</v>
      </c>
      <c r="O1857" s="10">
        <v>347</v>
      </c>
    </row>
    <row r="1858" spans="1:15" x14ac:dyDescent="0.2">
      <c r="A1858" s="10" t="s">
        <v>209</v>
      </c>
      <c r="B1858" s="10" t="s">
        <v>178</v>
      </c>
      <c r="C1858" s="10" t="s">
        <v>73</v>
      </c>
      <c r="D1858" s="10" t="s">
        <v>45</v>
      </c>
      <c r="E1858" s="10" t="s">
        <v>46</v>
      </c>
      <c r="F1858" s="10" t="s">
        <v>92</v>
      </c>
      <c r="G1858" s="10" t="b">
        <f>FALSE()</f>
        <v>0</v>
      </c>
      <c r="H1858" s="10">
        <v>0</v>
      </c>
      <c r="I1858" s="10">
        <v>1</v>
      </c>
      <c r="J1858" s="10">
        <v>0</v>
      </c>
      <c r="K1858" s="10">
        <v>0</v>
      </c>
      <c r="L1858" s="10">
        <v>0</v>
      </c>
      <c r="M1858" s="10">
        <v>1</v>
      </c>
      <c r="N1858" s="10">
        <v>347</v>
      </c>
      <c r="O1858" s="10">
        <v>346</v>
      </c>
    </row>
    <row r="1859" spans="1:15" x14ac:dyDescent="0.2">
      <c r="A1859" s="10" t="s">
        <v>1141</v>
      </c>
      <c r="B1859" s="10" t="s">
        <v>405</v>
      </c>
      <c r="C1859" s="10" t="s">
        <v>112</v>
      </c>
      <c r="D1859" s="10" t="s">
        <v>51</v>
      </c>
      <c r="E1859" s="10" t="s">
        <v>52</v>
      </c>
      <c r="F1859" s="10" t="s">
        <v>223</v>
      </c>
      <c r="G1859" s="10" t="b">
        <f>FALSE()</f>
        <v>0</v>
      </c>
      <c r="H1859" s="10">
        <v>0</v>
      </c>
      <c r="I1859" s="10">
        <v>1</v>
      </c>
      <c r="J1859" s="10">
        <v>0</v>
      </c>
      <c r="K1859" s="10">
        <v>0</v>
      </c>
      <c r="L1859" s="10">
        <v>0</v>
      </c>
      <c r="M1859" s="10">
        <v>1</v>
      </c>
      <c r="N1859" s="10">
        <v>346</v>
      </c>
      <c r="O1859" s="10">
        <v>346</v>
      </c>
    </row>
    <row r="1860" spans="1:15" x14ac:dyDescent="0.2">
      <c r="A1860" s="10" t="s">
        <v>1142</v>
      </c>
      <c r="B1860" s="10" t="s">
        <v>70</v>
      </c>
      <c r="C1860" s="10" t="s">
        <v>70</v>
      </c>
      <c r="D1860" s="10" t="s">
        <v>45</v>
      </c>
      <c r="E1860" s="10" t="s">
        <v>46</v>
      </c>
      <c r="F1860" s="10" t="s">
        <v>113</v>
      </c>
      <c r="G1860" s="10" t="b">
        <f>TRUE()</f>
        <v>1</v>
      </c>
      <c r="H1860" s="10">
        <v>0</v>
      </c>
      <c r="I1860" s="10">
        <v>1</v>
      </c>
      <c r="J1860" s="10">
        <v>0</v>
      </c>
      <c r="K1860" s="10">
        <v>0</v>
      </c>
      <c r="L1860" s="10">
        <v>0</v>
      </c>
      <c r="M1860" s="10">
        <v>1</v>
      </c>
      <c r="N1860" s="10">
        <v>349</v>
      </c>
      <c r="O1860" s="10">
        <v>345</v>
      </c>
    </row>
    <row r="1861" spans="1:15" x14ac:dyDescent="0.2">
      <c r="A1861" s="10" t="s">
        <v>1143</v>
      </c>
      <c r="B1861" s="10" t="s">
        <v>99</v>
      </c>
      <c r="C1861" s="10" t="s">
        <v>50</v>
      </c>
      <c r="D1861" s="10" t="s">
        <v>51</v>
      </c>
      <c r="E1861" s="10" t="s">
        <v>52</v>
      </c>
      <c r="F1861" s="10" t="s">
        <v>94</v>
      </c>
      <c r="G1861" s="10" t="b">
        <f>FALSE()</f>
        <v>0</v>
      </c>
      <c r="H1861" s="10">
        <v>0</v>
      </c>
      <c r="I1861" s="10">
        <v>1</v>
      </c>
      <c r="J1861" s="10">
        <v>0</v>
      </c>
      <c r="K1861" s="10">
        <v>0</v>
      </c>
      <c r="L1861" s="10">
        <v>0</v>
      </c>
      <c r="M1861" s="10">
        <v>1</v>
      </c>
      <c r="N1861" s="10">
        <v>345</v>
      </c>
      <c r="O1861" s="10">
        <v>344</v>
      </c>
    </row>
    <row r="1862" spans="1:15" x14ac:dyDescent="0.2">
      <c r="A1862" s="10" t="s">
        <v>681</v>
      </c>
      <c r="B1862" s="10" t="s">
        <v>43</v>
      </c>
      <c r="C1862" s="10" t="s">
        <v>44</v>
      </c>
      <c r="D1862" s="10" t="s">
        <v>45</v>
      </c>
      <c r="E1862" s="10" t="s">
        <v>46</v>
      </c>
      <c r="F1862" s="10" t="s">
        <v>660</v>
      </c>
      <c r="G1862" s="10" t="b">
        <f>FALSE()</f>
        <v>0</v>
      </c>
      <c r="H1862" s="10">
        <v>0</v>
      </c>
      <c r="I1862" s="10">
        <v>1</v>
      </c>
      <c r="J1862" s="10">
        <v>0</v>
      </c>
      <c r="K1862" s="10">
        <v>0</v>
      </c>
      <c r="L1862" s="10">
        <v>0</v>
      </c>
      <c r="M1862" s="10">
        <v>1</v>
      </c>
      <c r="N1862" s="10">
        <v>344</v>
      </c>
      <c r="O1862" s="10">
        <v>343</v>
      </c>
    </row>
    <row r="1863" spans="1:15" x14ac:dyDescent="0.2">
      <c r="A1863" s="10" t="s">
        <v>1144</v>
      </c>
      <c r="B1863" s="10" t="s">
        <v>128</v>
      </c>
      <c r="C1863" s="10" t="s">
        <v>50</v>
      </c>
      <c r="D1863" s="10" t="s">
        <v>51</v>
      </c>
      <c r="E1863" s="10" t="s">
        <v>52</v>
      </c>
      <c r="F1863" s="10" t="s">
        <v>204</v>
      </c>
      <c r="G1863" s="10" t="b">
        <f>FALSE()</f>
        <v>0</v>
      </c>
      <c r="H1863" s="10">
        <v>0</v>
      </c>
      <c r="I1863" s="10">
        <v>1</v>
      </c>
      <c r="J1863" s="10">
        <v>0</v>
      </c>
      <c r="K1863" s="10">
        <v>0</v>
      </c>
      <c r="L1863" s="10">
        <v>0</v>
      </c>
      <c r="M1863" s="10">
        <v>1</v>
      </c>
      <c r="N1863" s="10">
        <v>412</v>
      </c>
      <c r="O1863" s="10">
        <v>343</v>
      </c>
    </row>
    <row r="1864" spans="1:15" x14ac:dyDescent="0.2">
      <c r="A1864" s="10" t="s">
        <v>1128</v>
      </c>
      <c r="B1864" s="10" t="s">
        <v>549</v>
      </c>
      <c r="C1864" s="10" t="s">
        <v>117</v>
      </c>
      <c r="D1864" s="10" t="s">
        <v>51</v>
      </c>
      <c r="E1864" s="10" t="s">
        <v>52</v>
      </c>
      <c r="F1864" s="10" t="s">
        <v>190</v>
      </c>
      <c r="G1864" s="10" t="b">
        <f>TRUE()</f>
        <v>1</v>
      </c>
      <c r="H1864" s="10">
        <v>0</v>
      </c>
      <c r="I1864" s="10">
        <v>1</v>
      </c>
      <c r="J1864" s="10">
        <v>0</v>
      </c>
      <c r="K1864" s="10">
        <v>0</v>
      </c>
      <c r="L1864" s="10">
        <v>0</v>
      </c>
      <c r="M1864" s="10">
        <v>1</v>
      </c>
      <c r="N1864" s="10">
        <v>342</v>
      </c>
      <c r="O1864" s="10">
        <v>342</v>
      </c>
    </row>
    <row r="1865" spans="1:15" x14ac:dyDescent="0.2">
      <c r="A1865" s="10" t="s">
        <v>1071</v>
      </c>
      <c r="B1865" s="10" t="s">
        <v>167</v>
      </c>
      <c r="C1865" s="10" t="s">
        <v>64</v>
      </c>
      <c r="D1865" s="10" t="s">
        <v>45</v>
      </c>
      <c r="E1865" s="10" t="s">
        <v>46</v>
      </c>
      <c r="F1865" s="10" t="s">
        <v>85</v>
      </c>
      <c r="G1865" s="10" t="b">
        <f>FALSE()</f>
        <v>0</v>
      </c>
      <c r="H1865" s="10">
        <v>0</v>
      </c>
      <c r="I1865" s="10">
        <v>1</v>
      </c>
      <c r="J1865" s="10">
        <v>0</v>
      </c>
      <c r="K1865" s="10">
        <v>0</v>
      </c>
      <c r="L1865" s="10">
        <v>0</v>
      </c>
      <c r="M1865" s="10">
        <v>1</v>
      </c>
      <c r="N1865" s="10">
        <v>356</v>
      </c>
      <c r="O1865" s="10">
        <v>342</v>
      </c>
    </row>
    <row r="1866" spans="1:15" x14ac:dyDescent="0.2">
      <c r="A1866" s="10" t="s">
        <v>1111</v>
      </c>
      <c r="B1866" s="10" t="s">
        <v>70</v>
      </c>
      <c r="C1866" s="10" t="s">
        <v>70</v>
      </c>
      <c r="D1866" s="10" t="s">
        <v>45</v>
      </c>
      <c r="E1866" s="10" t="s">
        <v>46</v>
      </c>
      <c r="F1866" s="10" t="s">
        <v>79</v>
      </c>
      <c r="G1866" s="10" t="b">
        <f>FALSE()</f>
        <v>0</v>
      </c>
      <c r="H1866" s="10">
        <v>0</v>
      </c>
      <c r="I1866" s="10">
        <v>1</v>
      </c>
      <c r="J1866" s="10">
        <v>0</v>
      </c>
      <c r="K1866" s="10">
        <v>0</v>
      </c>
      <c r="L1866" s="10">
        <v>0</v>
      </c>
      <c r="M1866" s="10">
        <v>1</v>
      </c>
      <c r="N1866" s="10">
        <v>341</v>
      </c>
      <c r="O1866" s="10">
        <v>341</v>
      </c>
    </row>
    <row r="1867" spans="1:15" x14ac:dyDescent="0.2">
      <c r="A1867" s="10" t="s">
        <v>1145</v>
      </c>
      <c r="B1867" s="10" t="s">
        <v>70</v>
      </c>
      <c r="C1867" s="10" t="s">
        <v>70</v>
      </c>
      <c r="D1867" s="10" t="s">
        <v>45</v>
      </c>
      <c r="E1867" s="10" t="s">
        <v>46</v>
      </c>
      <c r="F1867" s="10" t="s">
        <v>91</v>
      </c>
      <c r="G1867" s="10" t="b">
        <f>TRUE()</f>
        <v>1</v>
      </c>
      <c r="H1867" s="10">
        <v>0</v>
      </c>
      <c r="I1867" s="10">
        <v>1</v>
      </c>
      <c r="J1867" s="10">
        <v>0</v>
      </c>
      <c r="K1867" s="10">
        <v>0</v>
      </c>
      <c r="L1867" s="10">
        <v>0</v>
      </c>
      <c r="M1867" s="10">
        <v>1</v>
      </c>
      <c r="N1867" s="10">
        <v>361</v>
      </c>
      <c r="O1867" s="10">
        <v>341</v>
      </c>
    </row>
    <row r="1868" spans="1:15" x14ac:dyDescent="0.2">
      <c r="A1868" s="10" t="s">
        <v>1141</v>
      </c>
      <c r="B1868" s="10" t="s">
        <v>405</v>
      </c>
      <c r="C1868" s="10" t="s">
        <v>112</v>
      </c>
      <c r="D1868" s="10" t="s">
        <v>51</v>
      </c>
      <c r="E1868" s="10" t="s">
        <v>52</v>
      </c>
      <c r="F1868" s="10" t="s">
        <v>113</v>
      </c>
      <c r="G1868" s="10" t="b">
        <f>TRUE()</f>
        <v>1</v>
      </c>
      <c r="H1868" s="10">
        <v>0</v>
      </c>
      <c r="I1868" s="10">
        <v>1</v>
      </c>
      <c r="J1868" s="10">
        <v>0</v>
      </c>
      <c r="K1868" s="10">
        <v>0</v>
      </c>
      <c r="L1868" s="10">
        <v>0</v>
      </c>
      <c r="M1868" s="10">
        <v>1</v>
      </c>
      <c r="N1868" s="10">
        <v>405</v>
      </c>
      <c r="O1868" s="10">
        <v>340</v>
      </c>
    </row>
    <row r="1869" spans="1:15" x14ac:dyDescent="0.2">
      <c r="A1869" s="10" t="s">
        <v>1146</v>
      </c>
      <c r="B1869" s="10" t="s">
        <v>70</v>
      </c>
      <c r="C1869" s="10" t="s">
        <v>70</v>
      </c>
      <c r="D1869" s="10" t="s">
        <v>45</v>
      </c>
      <c r="E1869" s="10" t="s">
        <v>46</v>
      </c>
      <c r="F1869" s="10" t="s">
        <v>74</v>
      </c>
      <c r="G1869" s="10" t="b">
        <f>FALSE()</f>
        <v>0</v>
      </c>
      <c r="H1869" s="10">
        <v>0</v>
      </c>
      <c r="I1869" s="10">
        <v>1</v>
      </c>
      <c r="J1869" s="10">
        <v>0</v>
      </c>
      <c r="K1869" s="10">
        <v>0</v>
      </c>
      <c r="L1869" s="10">
        <v>0</v>
      </c>
      <c r="M1869" s="10">
        <v>1</v>
      </c>
      <c r="N1869" s="10">
        <v>339</v>
      </c>
      <c r="O1869" s="10">
        <v>338</v>
      </c>
    </row>
    <row r="1870" spans="1:15" x14ac:dyDescent="0.2">
      <c r="A1870" s="10" t="s">
        <v>1147</v>
      </c>
      <c r="B1870" s="10" t="s">
        <v>1148</v>
      </c>
      <c r="C1870" s="10" t="s">
        <v>50</v>
      </c>
      <c r="D1870" s="10" t="s">
        <v>51</v>
      </c>
      <c r="E1870" s="10" t="s">
        <v>52</v>
      </c>
      <c r="F1870" s="10" t="s">
        <v>1149</v>
      </c>
      <c r="G1870" s="10" t="b">
        <f>FALSE()</f>
        <v>0</v>
      </c>
      <c r="H1870" s="10">
        <v>0</v>
      </c>
      <c r="I1870" s="10">
        <v>1</v>
      </c>
      <c r="J1870" s="10">
        <v>0</v>
      </c>
      <c r="K1870" s="10">
        <v>0</v>
      </c>
      <c r="L1870" s="10">
        <v>0</v>
      </c>
      <c r="M1870" s="10">
        <v>1</v>
      </c>
      <c r="N1870" s="10">
        <v>336</v>
      </c>
      <c r="O1870" s="10">
        <v>335</v>
      </c>
    </row>
    <row r="1871" spans="1:15" x14ac:dyDescent="0.2">
      <c r="A1871" s="10" t="s">
        <v>1069</v>
      </c>
      <c r="B1871" s="10" t="s">
        <v>89</v>
      </c>
      <c r="C1871" s="10" t="s">
        <v>90</v>
      </c>
      <c r="D1871" s="10" t="s">
        <v>51</v>
      </c>
      <c r="E1871" s="10" t="s">
        <v>52</v>
      </c>
      <c r="F1871" s="10" t="s">
        <v>61</v>
      </c>
      <c r="G1871" s="10" t="b">
        <f>FALSE()</f>
        <v>0</v>
      </c>
      <c r="H1871" s="10">
        <v>0</v>
      </c>
      <c r="I1871" s="10">
        <v>1</v>
      </c>
      <c r="J1871" s="10">
        <v>0</v>
      </c>
      <c r="K1871" s="10">
        <v>0</v>
      </c>
      <c r="L1871" s="10">
        <v>0</v>
      </c>
      <c r="M1871" s="10">
        <v>1</v>
      </c>
      <c r="N1871" s="10">
        <v>340</v>
      </c>
      <c r="O1871" s="10">
        <v>335</v>
      </c>
    </row>
    <row r="1872" spans="1:15" x14ac:dyDescent="0.2">
      <c r="A1872" s="10" t="s">
        <v>1097</v>
      </c>
      <c r="B1872" s="10" t="s">
        <v>109</v>
      </c>
      <c r="C1872" s="10" t="s">
        <v>90</v>
      </c>
      <c r="D1872" s="10" t="s">
        <v>51</v>
      </c>
      <c r="E1872" s="10" t="s">
        <v>52</v>
      </c>
      <c r="F1872" s="10" t="s">
        <v>47</v>
      </c>
      <c r="G1872" s="10" t="b">
        <f>FALSE()</f>
        <v>0</v>
      </c>
      <c r="H1872" s="10">
        <v>0</v>
      </c>
      <c r="I1872" s="10">
        <v>1</v>
      </c>
      <c r="J1872" s="10">
        <v>0</v>
      </c>
      <c r="K1872" s="10">
        <v>0</v>
      </c>
      <c r="L1872" s="10">
        <v>0</v>
      </c>
      <c r="M1872" s="10">
        <v>1</v>
      </c>
      <c r="N1872" s="10">
        <v>344</v>
      </c>
      <c r="O1872" s="10">
        <v>332</v>
      </c>
    </row>
    <row r="1873" spans="1:15" x14ac:dyDescent="0.2">
      <c r="A1873" s="10" t="s">
        <v>1150</v>
      </c>
      <c r="B1873" s="10" t="s">
        <v>196</v>
      </c>
      <c r="C1873" s="10" t="s">
        <v>117</v>
      </c>
      <c r="D1873" s="10" t="s">
        <v>51</v>
      </c>
      <c r="E1873" s="10" t="s">
        <v>52</v>
      </c>
      <c r="F1873" s="10" t="s">
        <v>91</v>
      </c>
      <c r="G1873" s="10" t="b">
        <f>TRUE()</f>
        <v>1</v>
      </c>
      <c r="H1873" s="10">
        <v>0</v>
      </c>
      <c r="I1873" s="10">
        <v>1</v>
      </c>
      <c r="J1873" s="10">
        <v>0</v>
      </c>
      <c r="K1873" s="10">
        <v>0</v>
      </c>
      <c r="L1873" s="10">
        <v>0</v>
      </c>
      <c r="M1873" s="10">
        <v>1</v>
      </c>
      <c r="N1873" s="10">
        <v>336</v>
      </c>
      <c r="O1873" s="10">
        <v>331</v>
      </c>
    </row>
    <row r="1874" spans="1:15" x14ac:dyDescent="0.2">
      <c r="A1874" s="10" t="s">
        <v>495</v>
      </c>
      <c r="B1874" s="10" t="s">
        <v>119</v>
      </c>
      <c r="C1874" s="10" t="s">
        <v>56</v>
      </c>
      <c r="D1874" s="10" t="s">
        <v>45</v>
      </c>
      <c r="E1874" s="10" t="s">
        <v>46</v>
      </c>
      <c r="F1874" s="10" t="s">
        <v>403</v>
      </c>
      <c r="G1874" s="10" t="b">
        <f>TRUE()</f>
        <v>1</v>
      </c>
      <c r="H1874" s="10">
        <v>0</v>
      </c>
      <c r="I1874" s="10">
        <v>1</v>
      </c>
      <c r="J1874" s="10">
        <v>0</v>
      </c>
      <c r="K1874" s="10">
        <v>0</v>
      </c>
      <c r="L1874" s="10">
        <v>0</v>
      </c>
      <c r="M1874" s="10">
        <v>1</v>
      </c>
      <c r="N1874" s="10">
        <v>327</v>
      </c>
      <c r="O1874" s="10">
        <v>327</v>
      </c>
    </row>
    <row r="1875" spans="1:15" x14ac:dyDescent="0.2">
      <c r="A1875" s="10" t="s">
        <v>693</v>
      </c>
      <c r="B1875" s="10" t="s">
        <v>130</v>
      </c>
      <c r="C1875" s="10" t="s">
        <v>56</v>
      </c>
      <c r="D1875" s="10" t="s">
        <v>45</v>
      </c>
      <c r="E1875" s="10" t="s">
        <v>46</v>
      </c>
      <c r="F1875" s="10" t="s">
        <v>85</v>
      </c>
      <c r="G1875" s="10" t="b">
        <f>FALSE()</f>
        <v>0</v>
      </c>
      <c r="H1875" s="10">
        <v>0</v>
      </c>
      <c r="I1875" s="10">
        <v>1</v>
      </c>
      <c r="J1875" s="10">
        <v>0</v>
      </c>
      <c r="K1875" s="10">
        <v>0</v>
      </c>
      <c r="L1875" s="10">
        <v>0</v>
      </c>
      <c r="M1875" s="10">
        <v>1</v>
      </c>
      <c r="N1875" s="10">
        <v>327</v>
      </c>
      <c r="O1875" s="10">
        <v>327</v>
      </c>
    </row>
    <row r="1876" spans="1:15" x14ac:dyDescent="0.2">
      <c r="A1876" s="10" t="s">
        <v>1025</v>
      </c>
      <c r="B1876" s="10" t="s">
        <v>285</v>
      </c>
      <c r="C1876" s="10" t="s">
        <v>105</v>
      </c>
      <c r="D1876" s="10" t="s">
        <v>45</v>
      </c>
      <c r="E1876" s="10" t="s">
        <v>46</v>
      </c>
      <c r="F1876" s="10" t="s">
        <v>94</v>
      </c>
      <c r="G1876" s="10" t="b">
        <f>FALSE()</f>
        <v>0</v>
      </c>
      <c r="H1876" s="10">
        <v>0</v>
      </c>
      <c r="I1876" s="10">
        <v>1</v>
      </c>
      <c r="J1876" s="10">
        <v>0</v>
      </c>
      <c r="K1876" s="10">
        <v>0</v>
      </c>
      <c r="L1876" s="10">
        <v>0</v>
      </c>
      <c r="M1876" s="10">
        <v>1</v>
      </c>
      <c r="N1876" s="10">
        <v>327</v>
      </c>
      <c r="O1876" s="10">
        <v>327</v>
      </c>
    </row>
    <row r="1877" spans="1:15" x14ac:dyDescent="0.2">
      <c r="A1877" s="10" t="s">
        <v>1095</v>
      </c>
      <c r="B1877" s="10" t="s">
        <v>122</v>
      </c>
      <c r="C1877" s="10" t="s">
        <v>112</v>
      </c>
      <c r="D1877" s="10" t="s">
        <v>51</v>
      </c>
      <c r="E1877" s="10" t="s">
        <v>52</v>
      </c>
      <c r="F1877" s="10" t="s">
        <v>660</v>
      </c>
      <c r="G1877" s="10" t="b">
        <f>FALSE()</f>
        <v>0</v>
      </c>
      <c r="H1877" s="10">
        <v>0</v>
      </c>
      <c r="I1877" s="10">
        <v>1</v>
      </c>
      <c r="J1877" s="10">
        <v>0</v>
      </c>
      <c r="K1877" s="10">
        <v>0</v>
      </c>
      <c r="L1877" s="10">
        <v>0</v>
      </c>
      <c r="M1877" s="10">
        <v>1</v>
      </c>
      <c r="N1877" s="10">
        <v>326</v>
      </c>
      <c r="O1877" s="10">
        <v>324</v>
      </c>
    </row>
    <row r="1878" spans="1:15" x14ac:dyDescent="0.2">
      <c r="A1878" s="10" t="s">
        <v>1151</v>
      </c>
      <c r="B1878" s="10" t="s">
        <v>70</v>
      </c>
      <c r="C1878" s="10" t="s">
        <v>70</v>
      </c>
      <c r="D1878" s="10" t="s">
        <v>45</v>
      </c>
      <c r="E1878" s="10" t="s">
        <v>46</v>
      </c>
      <c r="F1878" s="10" t="s">
        <v>61</v>
      </c>
      <c r="G1878" s="10" t="b">
        <f>FALSE()</f>
        <v>0</v>
      </c>
      <c r="H1878" s="10">
        <v>0</v>
      </c>
      <c r="I1878" s="10">
        <v>1</v>
      </c>
      <c r="J1878" s="10">
        <v>0</v>
      </c>
      <c r="K1878" s="10">
        <v>0</v>
      </c>
      <c r="L1878" s="10">
        <v>0</v>
      </c>
      <c r="M1878" s="10">
        <v>1</v>
      </c>
      <c r="N1878" s="10">
        <v>325</v>
      </c>
      <c r="O1878" s="10">
        <v>324</v>
      </c>
    </row>
    <row r="1879" spans="1:15" x14ac:dyDescent="0.2">
      <c r="A1879" s="10" t="s">
        <v>383</v>
      </c>
      <c r="B1879" s="10" t="s">
        <v>384</v>
      </c>
      <c r="C1879" s="10" t="s">
        <v>50</v>
      </c>
      <c r="D1879" s="10" t="s">
        <v>51</v>
      </c>
      <c r="E1879" s="10" t="s">
        <v>52</v>
      </c>
      <c r="F1879" s="10" t="s">
        <v>180</v>
      </c>
      <c r="G1879" s="10" t="b">
        <f>FALSE()</f>
        <v>0</v>
      </c>
      <c r="H1879" s="10">
        <v>0</v>
      </c>
      <c r="I1879" s="10">
        <v>1</v>
      </c>
      <c r="J1879" s="10">
        <v>0</v>
      </c>
      <c r="K1879" s="10">
        <v>0</v>
      </c>
      <c r="L1879" s="10">
        <v>0</v>
      </c>
      <c r="M1879" s="10">
        <v>1</v>
      </c>
      <c r="N1879" s="10">
        <v>304</v>
      </c>
      <c r="O1879" s="10">
        <v>322</v>
      </c>
    </row>
    <row r="1880" spans="1:15" x14ac:dyDescent="0.2">
      <c r="A1880" s="10" t="s">
        <v>1061</v>
      </c>
      <c r="B1880" s="10" t="s">
        <v>262</v>
      </c>
      <c r="C1880" s="10" t="s">
        <v>105</v>
      </c>
      <c r="D1880" s="10" t="s">
        <v>45</v>
      </c>
      <c r="E1880" s="10" t="s">
        <v>46</v>
      </c>
      <c r="F1880" s="10" t="s">
        <v>92</v>
      </c>
      <c r="G1880" s="10" t="b">
        <f>FALSE()</f>
        <v>0</v>
      </c>
      <c r="H1880" s="10">
        <v>0</v>
      </c>
      <c r="I1880" s="10">
        <v>1</v>
      </c>
      <c r="J1880" s="10">
        <v>0</v>
      </c>
      <c r="K1880" s="10">
        <v>0</v>
      </c>
      <c r="L1880" s="10">
        <v>0</v>
      </c>
      <c r="M1880" s="10">
        <v>1</v>
      </c>
      <c r="N1880" s="10">
        <v>321</v>
      </c>
      <c r="O1880" s="10">
        <v>321</v>
      </c>
    </row>
    <row r="1881" spans="1:15" x14ac:dyDescent="0.2">
      <c r="A1881" s="10" t="s">
        <v>1152</v>
      </c>
      <c r="B1881" s="10" t="s">
        <v>67</v>
      </c>
      <c r="C1881" s="10" t="s">
        <v>64</v>
      </c>
      <c r="D1881" s="10" t="s">
        <v>45</v>
      </c>
      <c r="E1881" s="10" t="s">
        <v>46</v>
      </c>
      <c r="F1881" s="10" t="s">
        <v>153</v>
      </c>
      <c r="G1881" s="10" t="b">
        <f>FALSE()</f>
        <v>0</v>
      </c>
      <c r="H1881" s="10">
        <v>0</v>
      </c>
      <c r="I1881" s="10">
        <v>1</v>
      </c>
      <c r="J1881" s="10">
        <v>0</v>
      </c>
      <c r="K1881" s="10">
        <v>0</v>
      </c>
      <c r="L1881" s="10">
        <v>0</v>
      </c>
      <c r="M1881" s="10">
        <v>1</v>
      </c>
      <c r="N1881" s="10">
        <v>320</v>
      </c>
      <c r="O1881" s="10">
        <v>320</v>
      </c>
    </row>
    <row r="1882" spans="1:15" x14ac:dyDescent="0.2">
      <c r="A1882" s="10" t="s">
        <v>343</v>
      </c>
      <c r="B1882" s="10" t="s">
        <v>385</v>
      </c>
      <c r="C1882" s="10" t="s">
        <v>90</v>
      </c>
      <c r="D1882" s="10" t="s">
        <v>51</v>
      </c>
      <c r="E1882" s="10" t="s">
        <v>52</v>
      </c>
      <c r="F1882" s="10" t="s">
        <v>1153</v>
      </c>
      <c r="G1882" s="10" t="b">
        <f>FALSE()</f>
        <v>0</v>
      </c>
      <c r="H1882" s="10">
        <v>0</v>
      </c>
      <c r="I1882" s="10">
        <v>1</v>
      </c>
      <c r="J1882" s="10">
        <v>0</v>
      </c>
      <c r="K1882" s="10">
        <v>0</v>
      </c>
      <c r="L1882" s="10">
        <v>0</v>
      </c>
      <c r="M1882" s="10">
        <v>1</v>
      </c>
      <c r="N1882" s="10">
        <v>316</v>
      </c>
      <c r="O1882" s="10">
        <v>319</v>
      </c>
    </row>
    <row r="1883" spans="1:15" x14ac:dyDescent="0.2">
      <c r="A1883" s="10" t="s">
        <v>1075</v>
      </c>
      <c r="B1883" s="10" t="s">
        <v>172</v>
      </c>
      <c r="C1883" s="10" t="s">
        <v>44</v>
      </c>
      <c r="D1883" s="10" t="s">
        <v>45</v>
      </c>
      <c r="E1883" s="10" t="s">
        <v>46</v>
      </c>
      <c r="F1883" s="10" t="s">
        <v>92</v>
      </c>
      <c r="G1883" s="10" t="b">
        <f>FALSE()</f>
        <v>0</v>
      </c>
      <c r="H1883" s="10">
        <v>0</v>
      </c>
      <c r="I1883" s="10">
        <v>1</v>
      </c>
      <c r="J1883" s="10">
        <v>0</v>
      </c>
      <c r="K1883" s="10">
        <v>0</v>
      </c>
      <c r="L1883" s="10">
        <v>0</v>
      </c>
      <c r="M1883" s="10">
        <v>1</v>
      </c>
      <c r="N1883" s="10">
        <v>326</v>
      </c>
      <c r="O1883" s="10">
        <v>319</v>
      </c>
    </row>
    <row r="1884" spans="1:15" x14ac:dyDescent="0.2">
      <c r="A1884" s="10" t="s">
        <v>1113</v>
      </c>
      <c r="B1884" s="10" t="s">
        <v>136</v>
      </c>
      <c r="C1884" s="10" t="s">
        <v>73</v>
      </c>
      <c r="D1884" s="10" t="s">
        <v>45</v>
      </c>
      <c r="E1884" s="10" t="s">
        <v>46</v>
      </c>
      <c r="F1884" s="10" t="s">
        <v>61</v>
      </c>
      <c r="G1884" s="10" t="b">
        <f>FALSE()</f>
        <v>0</v>
      </c>
      <c r="H1884" s="10">
        <v>0</v>
      </c>
      <c r="I1884" s="10">
        <v>1</v>
      </c>
      <c r="J1884" s="10">
        <v>0</v>
      </c>
      <c r="K1884" s="10">
        <v>0</v>
      </c>
      <c r="L1884" s="10">
        <v>0</v>
      </c>
      <c r="M1884" s="10">
        <v>1</v>
      </c>
      <c r="N1884" s="10">
        <v>321</v>
      </c>
      <c r="O1884" s="10">
        <v>316</v>
      </c>
    </row>
    <row r="1885" spans="1:15" x14ac:dyDescent="0.2">
      <c r="A1885" s="10" t="s">
        <v>1154</v>
      </c>
      <c r="B1885" s="10" t="s">
        <v>119</v>
      </c>
      <c r="C1885" s="10" t="s">
        <v>56</v>
      </c>
      <c r="D1885" s="10" t="s">
        <v>45</v>
      </c>
      <c r="E1885" s="10" t="s">
        <v>46</v>
      </c>
      <c r="F1885" s="10" t="s">
        <v>92</v>
      </c>
      <c r="G1885" s="10" t="b">
        <f>FALSE()</f>
        <v>0</v>
      </c>
      <c r="H1885" s="10">
        <v>0</v>
      </c>
      <c r="I1885" s="10">
        <v>1</v>
      </c>
      <c r="J1885" s="10">
        <v>0</v>
      </c>
      <c r="K1885" s="10">
        <v>0</v>
      </c>
      <c r="L1885" s="10">
        <v>0</v>
      </c>
      <c r="M1885" s="10">
        <v>1</v>
      </c>
      <c r="N1885" s="10">
        <v>315</v>
      </c>
      <c r="O1885" s="10">
        <v>315</v>
      </c>
    </row>
    <row r="1886" spans="1:15" x14ac:dyDescent="0.2">
      <c r="A1886" s="10" t="s">
        <v>1155</v>
      </c>
      <c r="B1886" s="10" t="s">
        <v>160</v>
      </c>
      <c r="C1886" s="10" t="s">
        <v>56</v>
      </c>
      <c r="D1886" s="10" t="s">
        <v>45</v>
      </c>
      <c r="E1886" s="10" t="s">
        <v>46</v>
      </c>
      <c r="F1886" s="10" t="s">
        <v>92</v>
      </c>
      <c r="G1886" s="10" t="b">
        <f>FALSE()</f>
        <v>0</v>
      </c>
      <c r="H1886" s="10">
        <v>0</v>
      </c>
      <c r="I1886" s="10">
        <v>1</v>
      </c>
      <c r="J1886" s="10">
        <v>0</v>
      </c>
      <c r="K1886" s="10">
        <v>0</v>
      </c>
      <c r="L1886" s="10">
        <v>0</v>
      </c>
      <c r="M1886" s="10">
        <v>1</v>
      </c>
      <c r="N1886" s="10">
        <v>315</v>
      </c>
      <c r="O1886" s="10">
        <v>315</v>
      </c>
    </row>
    <row r="1887" spans="1:15" x14ac:dyDescent="0.2">
      <c r="A1887" s="10" t="s">
        <v>1122</v>
      </c>
      <c r="B1887" s="10" t="s">
        <v>285</v>
      </c>
      <c r="C1887" s="10" t="s">
        <v>105</v>
      </c>
      <c r="D1887" s="10" t="s">
        <v>45</v>
      </c>
      <c r="E1887" s="10" t="s">
        <v>46</v>
      </c>
      <c r="F1887" s="10" t="s">
        <v>153</v>
      </c>
      <c r="G1887" s="10" t="b">
        <f>FALSE()</f>
        <v>0</v>
      </c>
      <c r="H1887" s="10">
        <v>0</v>
      </c>
      <c r="I1887" s="10">
        <v>1</v>
      </c>
      <c r="J1887" s="10">
        <v>0</v>
      </c>
      <c r="K1887" s="10">
        <v>0</v>
      </c>
      <c r="L1887" s="10">
        <v>0</v>
      </c>
      <c r="M1887" s="10">
        <v>1</v>
      </c>
      <c r="N1887" s="10">
        <v>315</v>
      </c>
      <c r="O1887" s="10">
        <v>314</v>
      </c>
    </row>
    <row r="1888" spans="1:15" x14ac:dyDescent="0.2">
      <c r="A1888" s="10" t="s">
        <v>1075</v>
      </c>
      <c r="B1888" s="10" t="s">
        <v>172</v>
      </c>
      <c r="C1888" s="10" t="s">
        <v>44</v>
      </c>
      <c r="D1888" s="10" t="s">
        <v>45</v>
      </c>
      <c r="E1888" s="10" t="s">
        <v>46</v>
      </c>
      <c r="F1888" s="10" t="s">
        <v>58</v>
      </c>
      <c r="G1888" s="10" t="b">
        <f>FALSE()</f>
        <v>0</v>
      </c>
      <c r="H1888" s="10">
        <v>0</v>
      </c>
      <c r="I1888" s="10">
        <v>1</v>
      </c>
      <c r="J1888" s="10">
        <v>0</v>
      </c>
      <c r="K1888" s="10">
        <v>0</v>
      </c>
      <c r="L1888" s="10">
        <v>0</v>
      </c>
      <c r="M1888" s="10">
        <v>1</v>
      </c>
      <c r="N1888" s="10">
        <v>327</v>
      </c>
      <c r="O1888" s="10">
        <v>312</v>
      </c>
    </row>
    <row r="1889" spans="1:15" x14ac:dyDescent="0.2">
      <c r="A1889" s="10" t="s">
        <v>1156</v>
      </c>
      <c r="B1889" s="10" t="s">
        <v>1157</v>
      </c>
      <c r="C1889" s="10" t="s">
        <v>90</v>
      </c>
      <c r="D1889" s="10" t="s">
        <v>51</v>
      </c>
      <c r="E1889" s="10" t="s">
        <v>52</v>
      </c>
      <c r="F1889" s="10" t="s">
        <v>153</v>
      </c>
      <c r="G1889" s="10" t="b">
        <f>FALSE()</f>
        <v>0</v>
      </c>
      <c r="H1889" s="10">
        <v>0</v>
      </c>
      <c r="I1889" s="10">
        <v>1</v>
      </c>
      <c r="J1889" s="10">
        <v>0</v>
      </c>
      <c r="K1889" s="10">
        <v>0</v>
      </c>
      <c r="L1889" s="10">
        <v>0</v>
      </c>
      <c r="M1889" s="10">
        <v>1</v>
      </c>
      <c r="N1889" s="10">
        <v>334</v>
      </c>
      <c r="O1889" s="10">
        <v>311</v>
      </c>
    </row>
    <row r="1890" spans="1:15" x14ac:dyDescent="0.2">
      <c r="A1890" s="10" t="s">
        <v>1158</v>
      </c>
      <c r="B1890" s="10" t="s">
        <v>456</v>
      </c>
      <c r="C1890" s="10" t="s">
        <v>245</v>
      </c>
      <c r="D1890" s="10" t="s">
        <v>51</v>
      </c>
      <c r="E1890" s="10" t="s">
        <v>52</v>
      </c>
      <c r="F1890" s="10" t="s">
        <v>403</v>
      </c>
      <c r="G1890" s="10" t="b">
        <f>TRUE()</f>
        <v>1</v>
      </c>
      <c r="H1890" s="10">
        <v>0</v>
      </c>
      <c r="I1890" s="10">
        <v>1</v>
      </c>
      <c r="J1890" s="10">
        <v>0</v>
      </c>
      <c r="K1890" s="10">
        <v>0</v>
      </c>
      <c r="L1890" s="10">
        <v>0</v>
      </c>
      <c r="M1890" s="10">
        <v>1</v>
      </c>
      <c r="N1890" s="10">
        <v>347</v>
      </c>
      <c r="O1890" s="10">
        <v>310</v>
      </c>
    </row>
    <row r="1891" spans="1:15" x14ac:dyDescent="0.2">
      <c r="A1891" s="10" t="s">
        <v>1122</v>
      </c>
      <c r="B1891" s="10" t="s">
        <v>285</v>
      </c>
      <c r="C1891" s="10" t="s">
        <v>105</v>
      </c>
      <c r="D1891" s="10" t="s">
        <v>45</v>
      </c>
      <c r="E1891" s="10" t="s">
        <v>46</v>
      </c>
      <c r="F1891" s="10" t="s">
        <v>986</v>
      </c>
      <c r="G1891" s="10" t="b">
        <f>FALSE()</f>
        <v>0</v>
      </c>
      <c r="H1891" s="10">
        <v>0</v>
      </c>
      <c r="I1891" s="10">
        <v>1</v>
      </c>
      <c r="J1891" s="10">
        <v>0</v>
      </c>
      <c r="K1891" s="10">
        <v>0</v>
      </c>
      <c r="L1891" s="10">
        <v>0</v>
      </c>
      <c r="M1891" s="10">
        <v>1</v>
      </c>
      <c r="N1891" s="10">
        <v>310</v>
      </c>
      <c r="O1891" s="10">
        <v>310</v>
      </c>
    </row>
    <row r="1892" spans="1:15" x14ac:dyDescent="0.2">
      <c r="A1892" s="10" t="s">
        <v>1121</v>
      </c>
      <c r="B1892" s="10" t="s">
        <v>55</v>
      </c>
      <c r="C1892" s="10" t="s">
        <v>56</v>
      </c>
      <c r="D1892" s="10" t="s">
        <v>45</v>
      </c>
      <c r="E1892" s="10" t="s">
        <v>46</v>
      </c>
      <c r="F1892" s="10" t="s">
        <v>113</v>
      </c>
      <c r="G1892" s="10" t="b">
        <f>TRUE()</f>
        <v>1</v>
      </c>
      <c r="H1892" s="10">
        <v>0</v>
      </c>
      <c r="I1892" s="10">
        <v>1</v>
      </c>
      <c r="J1892" s="10">
        <v>0</v>
      </c>
      <c r="K1892" s="10">
        <v>0</v>
      </c>
      <c r="L1892" s="10">
        <v>0</v>
      </c>
      <c r="M1892" s="10">
        <v>1</v>
      </c>
      <c r="N1892" s="10">
        <v>310</v>
      </c>
      <c r="O1892" s="10">
        <v>310</v>
      </c>
    </row>
    <row r="1893" spans="1:15" x14ac:dyDescent="0.2">
      <c r="A1893" s="10" t="s">
        <v>1159</v>
      </c>
      <c r="B1893" s="10" t="s">
        <v>165</v>
      </c>
      <c r="C1893" s="10" t="s">
        <v>112</v>
      </c>
      <c r="D1893" s="10" t="s">
        <v>51</v>
      </c>
      <c r="E1893" s="10" t="s">
        <v>52</v>
      </c>
      <c r="F1893" s="10" t="s">
        <v>113</v>
      </c>
      <c r="G1893" s="10" t="b">
        <f>TRUE()</f>
        <v>1</v>
      </c>
      <c r="H1893" s="10">
        <v>0</v>
      </c>
      <c r="I1893" s="10">
        <v>1</v>
      </c>
      <c r="J1893" s="10">
        <v>0</v>
      </c>
      <c r="K1893" s="10">
        <v>0</v>
      </c>
      <c r="L1893" s="10">
        <v>0</v>
      </c>
      <c r="M1893" s="10">
        <v>1</v>
      </c>
      <c r="N1893" s="10">
        <v>402</v>
      </c>
      <c r="O1893" s="10">
        <v>308</v>
      </c>
    </row>
    <row r="1894" spans="1:15" x14ac:dyDescent="0.2">
      <c r="A1894" s="10" t="s">
        <v>1160</v>
      </c>
      <c r="B1894" s="10" t="s">
        <v>260</v>
      </c>
      <c r="C1894" s="10" t="s">
        <v>64</v>
      </c>
      <c r="D1894" s="10" t="s">
        <v>45</v>
      </c>
      <c r="E1894" s="10" t="s">
        <v>46</v>
      </c>
      <c r="F1894" s="10" t="s">
        <v>92</v>
      </c>
      <c r="G1894" s="10" t="b">
        <f>FALSE()</f>
        <v>0</v>
      </c>
      <c r="H1894" s="10">
        <v>0</v>
      </c>
      <c r="I1894" s="10">
        <v>1</v>
      </c>
      <c r="J1894" s="10">
        <v>0</v>
      </c>
      <c r="K1894" s="10">
        <v>0</v>
      </c>
      <c r="L1894" s="10">
        <v>0</v>
      </c>
      <c r="M1894" s="10">
        <v>1</v>
      </c>
      <c r="N1894" s="10">
        <v>308</v>
      </c>
      <c r="O1894" s="10">
        <v>308</v>
      </c>
    </row>
    <row r="1895" spans="1:15" x14ac:dyDescent="0.2">
      <c r="A1895" s="10" t="s">
        <v>1076</v>
      </c>
      <c r="B1895" s="10" t="s">
        <v>285</v>
      </c>
      <c r="C1895" s="10" t="s">
        <v>105</v>
      </c>
      <c r="D1895" s="10" t="s">
        <v>45</v>
      </c>
      <c r="E1895" s="10" t="s">
        <v>46</v>
      </c>
      <c r="F1895" s="10" t="s">
        <v>251</v>
      </c>
      <c r="G1895" s="10" t="b">
        <f>FALSE()</f>
        <v>0</v>
      </c>
      <c r="H1895" s="10">
        <v>0</v>
      </c>
      <c r="I1895" s="10">
        <v>1</v>
      </c>
      <c r="J1895" s="10">
        <v>0</v>
      </c>
      <c r="K1895" s="10">
        <v>0</v>
      </c>
      <c r="L1895" s="10">
        <v>0</v>
      </c>
      <c r="M1895" s="10">
        <v>1</v>
      </c>
      <c r="N1895" s="10">
        <v>307</v>
      </c>
      <c r="O1895" s="10">
        <v>307</v>
      </c>
    </row>
    <row r="1896" spans="1:15" x14ac:dyDescent="0.2">
      <c r="A1896" s="10" t="s">
        <v>1107</v>
      </c>
      <c r="B1896" s="10" t="s">
        <v>146</v>
      </c>
      <c r="C1896" s="10" t="s">
        <v>105</v>
      </c>
      <c r="D1896" s="10" t="s">
        <v>45</v>
      </c>
      <c r="E1896" s="10" t="s">
        <v>46</v>
      </c>
      <c r="F1896" s="10" t="s">
        <v>214</v>
      </c>
      <c r="G1896" s="10" t="b">
        <f>FALSE()</f>
        <v>0</v>
      </c>
      <c r="H1896" s="10">
        <v>0</v>
      </c>
      <c r="I1896" s="10">
        <v>1</v>
      </c>
      <c r="J1896" s="10">
        <v>0</v>
      </c>
      <c r="K1896" s="10">
        <v>0</v>
      </c>
      <c r="L1896" s="10">
        <v>0</v>
      </c>
      <c r="M1896" s="10">
        <v>1</v>
      </c>
      <c r="N1896" s="10">
        <v>320</v>
      </c>
      <c r="O1896" s="10">
        <v>306</v>
      </c>
    </row>
    <row r="1897" spans="1:15" x14ac:dyDescent="0.2">
      <c r="A1897" s="10" t="s">
        <v>1055</v>
      </c>
      <c r="B1897" s="10" t="s">
        <v>178</v>
      </c>
      <c r="C1897" s="10" t="s">
        <v>73</v>
      </c>
      <c r="D1897" s="10" t="s">
        <v>45</v>
      </c>
      <c r="E1897" s="10" t="s">
        <v>46</v>
      </c>
      <c r="F1897" s="10" t="s">
        <v>113</v>
      </c>
      <c r="G1897" s="10" t="b">
        <f>TRUE()</f>
        <v>1</v>
      </c>
      <c r="H1897" s="10">
        <v>0</v>
      </c>
      <c r="I1897" s="10">
        <v>1</v>
      </c>
      <c r="J1897" s="10">
        <v>0</v>
      </c>
      <c r="K1897" s="10">
        <v>0</v>
      </c>
      <c r="L1897" s="10">
        <v>0</v>
      </c>
      <c r="M1897" s="10">
        <v>1</v>
      </c>
      <c r="N1897" s="10">
        <v>304</v>
      </c>
      <c r="O1897" s="10">
        <v>304</v>
      </c>
    </row>
    <row r="1898" spans="1:15" x14ac:dyDescent="0.2">
      <c r="A1898" s="10" t="s">
        <v>1138</v>
      </c>
      <c r="B1898" s="10" t="s">
        <v>130</v>
      </c>
      <c r="C1898" s="10" t="s">
        <v>56</v>
      </c>
      <c r="D1898" s="10" t="s">
        <v>45</v>
      </c>
      <c r="E1898" s="10" t="s">
        <v>46</v>
      </c>
      <c r="F1898" s="10" t="s">
        <v>403</v>
      </c>
      <c r="G1898" s="10" t="b">
        <f>TRUE()</f>
        <v>1</v>
      </c>
      <c r="H1898" s="10">
        <v>0</v>
      </c>
      <c r="I1898" s="10">
        <v>1</v>
      </c>
      <c r="J1898" s="10">
        <v>0</v>
      </c>
      <c r="K1898" s="10">
        <v>0</v>
      </c>
      <c r="L1898" s="10">
        <v>0</v>
      </c>
      <c r="M1898" s="10">
        <v>1</v>
      </c>
      <c r="N1898" s="10">
        <v>304</v>
      </c>
      <c r="O1898" s="10">
        <v>303</v>
      </c>
    </row>
    <row r="1899" spans="1:15" x14ac:dyDescent="0.2">
      <c r="A1899" s="10" t="s">
        <v>1161</v>
      </c>
      <c r="B1899" s="10" t="s">
        <v>165</v>
      </c>
      <c r="C1899" s="10" t="s">
        <v>112</v>
      </c>
      <c r="D1899" s="10" t="s">
        <v>51</v>
      </c>
      <c r="E1899" s="10" t="s">
        <v>52</v>
      </c>
      <c r="F1899" s="10" t="s">
        <v>94</v>
      </c>
      <c r="G1899" s="10" t="b">
        <f>FALSE()</f>
        <v>0</v>
      </c>
      <c r="H1899" s="10">
        <v>0</v>
      </c>
      <c r="I1899" s="10">
        <v>1</v>
      </c>
      <c r="J1899" s="10">
        <v>0</v>
      </c>
      <c r="K1899" s="10">
        <v>0</v>
      </c>
      <c r="L1899" s="10">
        <v>0</v>
      </c>
      <c r="M1899" s="10">
        <v>1</v>
      </c>
      <c r="N1899" s="10">
        <v>302</v>
      </c>
      <c r="O1899" s="10">
        <v>298</v>
      </c>
    </row>
    <row r="1900" spans="1:15" x14ac:dyDescent="0.2">
      <c r="A1900" s="10" t="s">
        <v>1162</v>
      </c>
      <c r="B1900" s="10" t="s">
        <v>759</v>
      </c>
      <c r="C1900" s="10" t="s">
        <v>112</v>
      </c>
      <c r="D1900" s="10" t="s">
        <v>51</v>
      </c>
      <c r="E1900" s="10" t="s">
        <v>52</v>
      </c>
      <c r="F1900" s="10" t="s">
        <v>123</v>
      </c>
      <c r="G1900" s="10" t="b">
        <f>FALSE()</f>
        <v>0</v>
      </c>
      <c r="H1900" s="10">
        <v>0</v>
      </c>
      <c r="I1900" s="10">
        <v>1</v>
      </c>
      <c r="J1900" s="10">
        <v>0</v>
      </c>
      <c r="K1900" s="10">
        <v>0</v>
      </c>
      <c r="L1900" s="10">
        <v>0</v>
      </c>
      <c r="M1900" s="10">
        <v>1</v>
      </c>
      <c r="N1900" s="10">
        <v>303</v>
      </c>
      <c r="O1900" s="10">
        <v>298</v>
      </c>
    </row>
    <row r="1901" spans="1:15" x14ac:dyDescent="0.2">
      <c r="A1901" s="10" t="s">
        <v>1086</v>
      </c>
      <c r="B1901" s="10" t="s">
        <v>172</v>
      </c>
      <c r="C1901" s="10" t="s">
        <v>44</v>
      </c>
      <c r="D1901" s="10" t="s">
        <v>45</v>
      </c>
      <c r="E1901" s="10" t="s">
        <v>46</v>
      </c>
      <c r="F1901" s="10" t="s">
        <v>446</v>
      </c>
      <c r="G1901" s="10" t="b">
        <f>FALSE()</f>
        <v>0</v>
      </c>
      <c r="H1901" s="10">
        <v>0</v>
      </c>
      <c r="I1901" s="10">
        <v>1</v>
      </c>
      <c r="J1901" s="10">
        <v>0</v>
      </c>
      <c r="K1901" s="10">
        <v>0</v>
      </c>
      <c r="L1901" s="10">
        <v>0</v>
      </c>
      <c r="M1901" s="10">
        <v>1</v>
      </c>
      <c r="N1901" s="10">
        <v>299</v>
      </c>
      <c r="O1901" s="10">
        <v>298</v>
      </c>
    </row>
    <row r="1902" spans="1:15" x14ac:dyDescent="0.2">
      <c r="A1902" s="10" t="s">
        <v>1163</v>
      </c>
      <c r="B1902" s="10" t="s">
        <v>247</v>
      </c>
      <c r="C1902" s="10" t="s">
        <v>245</v>
      </c>
      <c r="D1902" s="10" t="s">
        <v>51</v>
      </c>
      <c r="E1902" s="10" t="s">
        <v>52</v>
      </c>
      <c r="F1902" s="10" t="s">
        <v>113</v>
      </c>
      <c r="G1902" s="10" t="b">
        <f>TRUE()</f>
        <v>1</v>
      </c>
      <c r="H1902" s="10">
        <v>0</v>
      </c>
      <c r="I1902" s="10">
        <v>1</v>
      </c>
      <c r="J1902" s="10">
        <v>0</v>
      </c>
      <c r="K1902" s="10">
        <v>0</v>
      </c>
      <c r="L1902" s="10">
        <v>0</v>
      </c>
      <c r="M1902" s="10">
        <v>1</v>
      </c>
      <c r="N1902" s="10">
        <v>347</v>
      </c>
      <c r="O1902" s="10">
        <v>296</v>
      </c>
    </row>
    <row r="1903" spans="1:15" x14ac:dyDescent="0.2">
      <c r="A1903" s="10" t="s">
        <v>1068</v>
      </c>
      <c r="B1903" s="10" t="s">
        <v>238</v>
      </c>
      <c r="C1903" s="10" t="s">
        <v>90</v>
      </c>
      <c r="D1903" s="10" t="s">
        <v>51</v>
      </c>
      <c r="E1903" s="10" t="s">
        <v>52</v>
      </c>
      <c r="F1903" s="10" t="s">
        <v>61</v>
      </c>
      <c r="G1903" s="10" t="b">
        <f>FALSE()</f>
        <v>0</v>
      </c>
      <c r="H1903" s="10">
        <v>0</v>
      </c>
      <c r="I1903" s="10">
        <v>1</v>
      </c>
      <c r="J1903" s="10">
        <v>0</v>
      </c>
      <c r="K1903" s="10">
        <v>0</v>
      </c>
      <c r="L1903" s="10">
        <v>0</v>
      </c>
      <c r="M1903" s="10">
        <v>1</v>
      </c>
      <c r="N1903" s="10">
        <v>312</v>
      </c>
      <c r="O1903" s="10">
        <v>294</v>
      </c>
    </row>
    <row r="1904" spans="1:15" x14ac:dyDescent="0.2">
      <c r="A1904" s="10" t="s">
        <v>1120</v>
      </c>
      <c r="B1904" s="10" t="s">
        <v>265</v>
      </c>
      <c r="C1904" s="10" t="s">
        <v>245</v>
      </c>
      <c r="D1904" s="10" t="s">
        <v>51</v>
      </c>
      <c r="E1904" s="10" t="s">
        <v>52</v>
      </c>
      <c r="F1904" s="10" t="s">
        <v>61</v>
      </c>
      <c r="G1904" s="10" t="b">
        <f>FALSE()</f>
        <v>0</v>
      </c>
      <c r="H1904" s="10">
        <v>0</v>
      </c>
      <c r="I1904" s="10">
        <v>1</v>
      </c>
      <c r="J1904" s="10">
        <v>0</v>
      </c>
      <c r="K1904" s="10">
        <v>0</v>
      </c>
      <c r="L1904" s="10">
        <v>0</v>
      </c>
      <c r="M1904" s="10">
        <v>1</v>
      </c>
      <c r="N1904" s="10">
        <v>295</v>
      </c>
      <c r="O1904" s="10">
        <v>294</v>
      </c>
    </row>
    <row r="1905" spans="1:15" x14ac:dyDescent="0.2">
      <c r="A1905" s="10" t="s">
        <v>1040</v>
      </c>
      <c r="B1905" s="10" t="s">
        <v>55</v>
      </c>
      <c r="C1905" s="10" t="s">
        <v>56</v>
      </c>
      <c r="D1905" s="10" t="s">
        <v>45</v>
      </c>
      <c r="E1905" s="10" t="s">
        <v>46</v>
      </c>
      <c r="F1905" s="10" t="s">
        <v>97</v>
      </c>
      <c r="G1905" s="10" t="b">
        <f>TRUE()</f>
        <v>1</v>
      </c>
      <c r="H1905" s="10">
        <v>0</v>
      </c>
      <c r="I1905" s="10">
        <v>1</v>
      </c>
      <c r="J1905" s="10">
        <v>0</v>
      </c>
      <c r="K1905" s="10">
        <v>0</v>
      </c>
      <c r="L1905" s="10">
        <v>0</v>
      </c>
      <c r="M1905" s="10">
        <v>1</v>
      </c>
      <c r="N1905" s="10">
        <v>296</v>
      </c>
      <c r="O1905" s="10">
        <v>293</v>
      </c>
    </row>
    <row r="1906" spans="1:15" x14ac:dyDescent="0.2">
      <c r="A1906" s="10" t="s">
        <v>1164</v>
      </c>
      <c r="B1906" s="10" t="s">
        <v>111</v>
      </c>
      <c r="C1906" s="10" t="s">
        <v>112</v>
      </c>
      <c r="D1906" s="10" t="s">
        <v>51</v>
      </c>
      <c r="E1906" s="10" t="s">
        <v>52</v>
      </c>
      <c r="F1906" s="10" t="s">
        <v>94</v>
      </c>
      <c r="G1906" s="10" t="b">
        <f>FALSE()</f>
        <v>0</v>
      </c>
      <c r="H1906" s="10">
        <v>0</v>
      </c>
      <c r="I1906" s="10">
        <v>1</v>
      </c>
      <c r="J1906" s="10">
        <v>0</v>
      </c>
      <c r="K1906" s="10">
        <v>0</v>
      </c>
      <c r="L1906" s="10">
        <v>0</v>
      </c>
      <c r="M1906" s="10">
        <v>1</v>
      </c>
      <c r="N1906" s="10">
        <v>292</v>
      </c>
      <c r="O1906" s="10">
        <v>292</v>
      </c>
    </row>
    <row r="1907" spans="1:15" x14ac:dyDescent="0.2">
      <c r="A1907" s="10" t="s">
        <v>1138</v>
      </c>
      <c r="B1907" s="10" t="s">
        <v>130</v>
      </c>
      <c r="C1907" s="10" t="s">
        <v>56</v>
      </c>
      <c r="D1907" s="10" t="s">
        <v>45</v>
      </c>
      <c r="E1907" s="10" t="s">
        <v>46</v>
      </c>
      <c r="F1907" s="10" t="s">
        <v>155</v>
      </c>
      <c r="G1907" s="10" t="b">
        <f>TRUE()</f>
        <v>1</v>
      </c>
      <c r="H1907" s="10">
        <v>0</v>
      </c>
      <c r="I1907" s="10">
        <v>1</v>
      </c>
      <c r="J1907" s="10">
        <v>0</v>
      </c>
      <c r="K1907" s="10">
        <v>0</v>
      </c>
      <c r="L1907" s="10">
        <v>0</v>
      </c>
      <c r="M1907" s="10">
        <v>1</v>
      </c>
      <c r="N1907" s="10">
        <v>292</v>
      </c>
      <c r="O1907" s="10">
        <v>292</v>
      </c>
    </row>
    <row r="1908" spans="1:15" x14ac:dyDescent="0.2">
      <c r="A1908" s="10" t="s">
        <v>1150</v>
      </c>
      <c r="B1908" s="10" t="s">
        <v>196</v>
      </c>
      <c r="C1908" s="10" t="s">
        <v>117</v>
      </c>
      <c r="D1908" s="10" t="s">
        <v>51</v>
      </c>
      <c r="E1908" s="10" t="s">
        <v>52</v>
      </c>
      <c r="F1908" s="10" t="s">
        <v>190</v>
      </c>
      <c r="G1908" s="10" t="b">
        <f>TRUE()</f>
        <v>1</v>
      </c>
      <c r="H1908" s="10">
        <v>0</v>
      </c>
      <c r="I1908" s="10">
        <v>1</v>
      </c>
      <c r="J1908" s="10">
        <v>0</v>
      </c>
      <c r="K1908" s="10">
        <v>0</v>
      </c>
      <c r="L1908" s="10">
        <v>0</v>
      </c>
      <c r="M1908" s="10">
        <v>1</v>
      </c>
      <c r="N1908" s="10">
        <v>292</v>
      </c>
      <c r="O1908" s="10">
        <v>291</v>
      </c>
    </row>
    <row r="1909" spans="1:15" x14ac:dyDescent="0.2">
      <c r="A1909" s="10" t="s">
        <v>1145</v>
      </c>
      <c r="B1909" s="10" t="s">
        <v>70</v>
      </c>
      <c r="C1909" s="10" t="s">
        <v>70</v>
      </c>
      <c r="D1909" s="10" t="s">
        <v>45</v>
      </c>
      <c r="E1909" s="10" t="s">
        <v>46</v>
      </c>
      <c r="F1909" s="10" t="s">
        <v>403</v>
      </c>
      <c r="G1909" s="10" t="b">
        <f>TRUE()</f>
        <v>1</v>
      </c>
      <c r="H1909" s="10">
        <v>0</v>
      </c>
      <c r="I1909" s="10">
        <v>1</v>
      </c>
      <c r="J1909" s="10">
        <v>0</v>
      </c>
      <c r="K1909" s="10">
        <v>0</v>
      </c>
      <c r="L1909" s="10">
        <v>0</v>
      </c>
      <c r="M1909" s="10">
        <v>1</v>
      </c>
      <c r="N1909" s="10">
        <v>288</v>
      </c>
      <c r="O1909" s="10">
        <v>288</v>
      </c>
    </row>
    <row r="1910" spans="1:15" x14ac:dyDescent="0.2">
      <c r="A1910" s="10" t="s">
        <v>414</v>
      </c>
      <c r="B1910" s="10" t="s">
        <v>96</v>
      </c>
      <c r="C1910" s="10" t="s">
        <v>50</v>
      </c>
      <c r="D1910" s="10" t="s">
        <v>51</v>
      </c>
      <c r="E1910" s="10" t="s">
        <v>52</v>
      </c>
      <c r="F1910" s="10" t="s">
        <v>91</v>
      </c>
      <c r="G1910" s="10" t="b">
        <f>TRUE()</f>
        <v>1</v>
      </c>
      <c r="H1910" s="10">
        <v>0</v>
      </c>
      <c r="I1910" s="10">
        <v>1</v>
      </c>
      <c r="J1910" s="10">
        <v>0</v>
      </c>
      <c r="K1910" s="10">
        <v>0</v>
      </c>
      <c r="L1910" s="10">
        <v>0</v>
      </c>
      <c r="M1910" s="10">
        <v>1</v>
      </c>
      <c r="N1910" s="10">
        <v>293</v>
      </c>
      <c r="O1910" s="10">
        <v>287</v>
      </c>
    </row>
    <row r="1911" spans="1:15" x14ac:dyDescent="0.2">
      <c r="A1911" s="10" t="s">
        <v>712</v>
      </c>
      <c r="B1911" s="10" t="s">
        <v>247</v>
      </c>
      <c r="C1911" s="10" t="s">
        <v>245</v>
      </c>
      <c r="D1911" s="10" t="s">
        <v>51</v>
      </c>
      <c r="E1911" s="10" t="s">
        <v>52</v>
      </c>
      <c r="F1911" s="10" t="s">
        <v>190</v>
      </c>
      <c r="G1911" s="10" t="b">
        <f>TRUE()</f>
        <v>1</v>
      </c>
      <c r="H1911" s="10">
        <v>0</v>
      </c>
      <c r="I1911" s="10">
        <v>1</v>
      </c>
      <c r="J1911" s="10">
        <v>0</v>
      </c>
      <c r="K1911" s="10">
        <v>0</v>
      </c>
      <c r="L1911" s="10">
        <v>0</v>
      </c>
      <c r="M1911" s="10">
        <v>1</v>
      </c>
      <c r="N1911" s="10">
        <v>289</v>
      </c>
      <c r="O1911" s="10">
        <v>287</v>
      </c>
    </row>
    <row r="1912" spans="1:15" x14ac:dyDescent="0.2">
      <c r="A1912" s="10" t="s">
        <v>1165</v>
      </c>
      <c r="B1912" s="10" t="s">
        <v>136</v>
      </c>
      <c r="C1912" s="10" t="s">
        <v>73</v>
      </c>
      <c r="D1912" s="10" t="s">
        <v>45</v>
      </c>
      <c r="E1912" s="10" t="s">
        <v>46</v>
      </c>
      <c r="F1912" s="10" t="s">
        <v>92</v>
      </c>
      <c r="G1912" s="10" t="b">
        <f>FALSE()</f>
        <v>0</v>
      </c>
      <c r="H1912" s="10">
        <v>0</v>
      </c>
      <c r="I1912" s="10">
        <v>1</v>
      </c>
      <c r="J1912" s="10">
        <v>0</v>
      </c>
      <c r="K1912" s="10">
        <v>0</v>
      </c>
      <c r="L1912" s="10">
        <v>0</v>
      </c>
      <c r="M1912" s="10">
        <v>1</v>
      </c>
      <c r="N1912" s="10">
        <v>301</v>
      </c>
      <c r="O1912" s="10">
        <v>287</v>
      </c>
    </row>
    <row r="1913" spans="1:15" x14ac:dyDescent="0.2">
      <c r="A1913" s="10" t="s">
        <v>1166</v>
      </c>
      <c r="B1913" s="10" t="s">
        <v>456</v>
      </c>
      <c r="C1913" s="10" t="s">
        <v>245</v>
      </c>
      <c r="D1913" s="10" t="s">
        <v>51</v>
      </c>
      <c r="E1913" s="10" t="s">
        <v>52</v>
      </c>
      <c r="F1913" s="10" t="s">
        <v>223</v>
      </c>
      <c r="G1913" s="10" t="b">
        <f>FALSE()</f>
        <v>0</v>
      </c>
      <c r="H1913" s="10">
        <v>0</v>
      </c>
      <c r="I1913" s="10">
        <v>1</v>
      </c>
      <c r="J1913" s="10">
        <v>0</v>
      </c>
      <c r="K1913" s="10">
        <v>0</v>
      </c>
      <c r="L1913" s="10">
        <v>0</v>
      </c>
      <c r="M1913" s="10">
        <v>1</v>
      </c>
      <c r="N1913" s="10">
        <v>286</v>
      </c>
      <c r="O1913" s="10">
        <v>286</v>
      </c>
    </row>
    <row r="1914" spans="1:15" x14ac:dyDescent="0.2">
      <c r="A1914" s="10" t="s">
        <v>1167</v>
      </c>
      <c r="B1914" s="10" t="s">
        <v>285</v>
      </c>
      <c r="C1914" s="10" t="s">
        <v>105</v>
      </c>
      <c r="D1914" s="10" t="s">
        <v>45</v>
      </c>
      <c r="E1914" s="10" t="s">
        <v>46</v>
      </c>
      <c r="F1914" s="10" t="s">
        <v>85</v>
      </c>
      <c r="G1914" s="10" t="b">
        <f>FALSE()</f>
        <v>0</v>
      </c>
      <c r="H1914" s="10">
        <v>0</v>
      </c>
      <c r="I1914" s="10">
        <v>1</v>
      </c>
      <c r="J1914" s="10">
        <v>0</v>
      </c>
      <c r="K1914" s="10">
        <v>0</v>
      </c>
      <c r="L1914" s="10">
        <v>0</v>
      </c>
      <c r="M1914" s="10">
        <v>1</v>
      </c>
      <c r="N1914" s="10">
        <v>286</v>
      </c>
      <c r="O1914" s="10">
        <v>285</v>
      </c>
    </row>
    <row r="1915" spans="1:15" x14ac:dyDescent="0.2">
      <c r="A1915" s="10" t="s">
        <v>1067</v>
      </c>
      <c r="B1915" s="10" t="s">
        <v>55</v>
      </c>
      <c r="C1915" s="10" t="s">
        <v>56</v>
      </c>
      <c r="D1915" s="10" t="s">
        <v>45</v>
      </c>
      <c r="E1915" s="10" t="s">
        <v>46</v>
      </c>
      <c r="F1915" s="10" t="s">
        <v>47</v>
      </c>
      <c r="G1915" s="10" t="b">
        <f>FALSE()</f>
        <v>0</v>
      </c>
      <c r="H1915" s="10">
        <v>0</v>
      </c>
      <c r="I1915" s="10">
        <v>1</v>
      </c>
      <c r="J1915" s="10">
        <v>0</v>
      </c>
      <c r="K1915" s="10">
        <v>0</v>
      </c>
      <c r="L1915" s="10">
        <v>0</v>
      </c>
      <c r="M1915" s="10">
        <v>1</v>
      </c>
      <c r="N1915" s="10">
        <v>299</v>
      </c>
      <c r="O1915" s="10">
        <v>285</v>
      </c>
    </row>
    <row r="1916" spans="1:15" x14ac:dyDescent="0.2">
      <c r="A1916" s="10" t="s">
        <v>1168</v>
      </c>
      <c r="B1916" s="10" t="s">
        <v>43</v>
      </c>
      <c r="C1916" s="10" t="s">
        <v>44</v>
      </c>
      <c r="D1916" s="10" t="s">
        <v>45</v>
      </c>
      <c r="E1916" s="10" t="s">
        <v>46</v>
      </c>
      <c r="F1916" s="10" t="s">
        <v>85</v>
      </c>
      <c r="G1916" s="10" t="b">
        <f>FALSE()</f>
        <v>0</v>
      </c>
      <c r="H1916" s="10">
        <v>0</v>
      </c>
      <c r="I1916" s="10">
        <v>1</v>
      </c>
      <c r="J1916" s="10">
        <v>0</v>
      </c>
      <c r="K1916" s="10">
        <v>0</v>
      </c>
      <c r="L1916" s="10">
        <v>0</v>
      </c>
      <c r="M1916" s="10">
        <v>1</v>
      </c>
      <c r="N1916" s="10">
        <v>285</v>
      </c>
      <c r="O1916" s="10">
        <v>285</v>
      </c>
    </row>
    <row r="1917" spans="1:15" x14ac:dyDescent="0.2">
      <c r="A1917" s="10" t="s">
        <v>1079</v>
      </c>
      <c r="B1917" s="10" t="s">
        <v>70</v>
      </c>
      <c r="C1917" s="10" t="s">
        <v>70</v>
      </c>
      <c r="D1917" s="10" t="s">
        <v>45</v>
      </c>
      <c r="E1917" s="10" t="s">
        <v>46</v>
      </c>
      <c r="F1917" s="10" t="s">
        <v>107</v>
      </c>
      <c r="G1917" s="10" t="b">
        <f>FALSE()</f>
        <v>0</v>
      </c>
      <c r="H1917" s="10">
        <v>0</v>
      </c>
      <c r="I1917" s="10">
        <v>1</v>
      </c>
      <c r="J1917" s="10">
        <v>0</v>
      </c>
      <c r="K1917" s="10">
        <v>0</v>
      </c>
      <c r="L1917" s="10">
        <v>0</v>
      </c>
      <c r="M1917" s="10">
        <v>1</v>
      </c>
      <c r="N1917" s="10">
        <v>287</v>
      </c>
      <c r="O1917" s="10">
        <v>285</v>
      </c>
    </row>
    <row r="1918" spans="1:15" x14ac:dyDescent="0.2">
      <c r="A1918" s="10" t="s">
        <v>853</v>
      </c>
      <c r="B1918" s="10" t="s">
        <v>456</v>
      </c>
      <c r="C1918" s="10" t="s">
        <v>245</v>
      </c>
      <c r="D1918" s="10" t="s">
        <v>51</v>
      </c>
      <c r="E1918" s="10" t="s">
        <v>52</v>
      </c>
      <c r="F1918" s="10" t="s">
        <v>153</v>
      </c>
      <c r="G1918" s="10" t="b">
        <f>FALSE()</f>
        <v>0</v>
      </c>
      <c r="H1918" s="10">
        <v>0</v>
      </c>
      <c r="I1918" s="10">
        <v>1</v>
      </c>
      <c r="J1918" s="10">
        <v>0</v>
      </c>
      <c r="K1918" s="10">
        <v>0</v>
      </c>
      <c r="L1918" s="10">
        <v>0</v>
      </c>
      <c r="M1918" s="10">
        <v>1</v>
      </c>
      <c r="N1918" s="10">
        <v>295</v>
      </c>
      <c r="O1918" s="10">
        <v>284</v>
      </c>
    </row>
    <row r="1919" spans="1:15" x14ac:dyDescent="0.2">
      <c r="A1919" s="10" t="s">
        <v>1036</v>
      </c>
      <c r="B1919" s="10" t="s">
        <v>119</v>
      </c>
      <c r="C1919" s="10" t="s">
        <v>56</v>
      </c>
      <c r="D1919" s="10" t="s">
        <v>45</v>
      </c>
      <c r="E1919" s="10" t="s">
        <v>46</v>
      </c>
      <c r="F1919" s="10" t="s">
        <v>986</v>
      </c>
      <c r="G1919" s="10" t="b">
        <f>FALSE()</f>
        <v>0</v>
      </c>
      <c r="H1919" s="10">
        <v>0</v>
      </c>
      <c r="I1919" s="10">
        <v>1</v>
      </c>
      <c r="J1919" s="10">
        <v>0</v>
      </c>
      <c r="K1919" s="10">
        <v>0</v>
      </c>
      <c r="L1919" s="10">
        <v>0</v>
      </c>
      <c r="M1919" s="10">
        <v>1</v>
      </c>
      <c r="N1919" s="10">
        <v>292</v>
      </c>
      <c r="O1919" s="10">
        <v>284</v>
      </c>
    </row>
    <row r="1920" spans="1:15" x14ac:dyDescent="0.2">
      <c r="A1920" s="10" t="s">
        <v>1055</v>
      </c>
      <c r="B1920" s="10" t="s">
        <v>178</v>
      </c>
      <c r="C1920" s="10" t="s">
        <v>73</v>
      </c>
      <c r="D1920" s="10" t="s">
        <v>45</v>
      </c>
      <c r="E1920" s="10" t="s">
        <v>46</v>
      </c>
      <c r="F1920" s="10" t="s">
        <v>91</v>
      </c>
      <c r="G1920" s="10" t="b">
        <f>TRUE()</f>
        <v>1</v>
      </c>
      <c r="H1920" s="10">
        <v>0</v>
      </c>
      <c r="I1920" s="10">
        <v>1</v>
      </c>
      <c r="J1920" s="10">
        <v>0</v>
      </c>
      <c r="K1920" s="10">
        <v>0</v>
      </c>
      <c r="L1920" s="10">
        <v>0</v>
      </c>
      <c r="M1920" s="10">
        <v>1</v>
      </c>
      <c r="N1920" s="10">
        <v>283</v>
      </c>
      <c r="O1920" s="10">
        <v>283</v>
      </c>
    </row>
    <row r="1921" spans="1:15" x14ac:dyDescent="0.2">
      <c r="A1921" s="10" t="s">
        <v>1055</v>
      </c>
      <c r="B1921" s="10" t="s">
        <v>178</v>
      </c>
      <c r="C1921" s="10" t="s">
        <v>73</v>
      </c>
      <c r="D1921" s="10" t="s">
        <v>45</v>
      </c>
      <c r="E1921" s="10" t="s">
        <v>46</v>
      </c>
      <c r="F1921" s="10" t="s">
        <v>61</v>
      </c>
      <c r="G1921" s="10" t="b">
        <f>FALSE()</f>
        <v>0</v>
      </c>
      <c r="H1921" s="10">
        <v>0</v>
      </c>
      <c r="I1921" s="10">
        <v>1</v>
      </c>
      <c r="J1921" s="10">
        <v>0</v>
      </c>
      <c r="K1921" s="10">
        <v>0</v>
      </c>
      <c r="L1921" s="10">
        <v>0</v>
      </c>
      <c r="M1921" s="10">
        <v>1</v>
      </c>
      <c r="N1921" s="10">
        <v>283</v>
      </c>
      <c r="O1921" s="10">
        <v>282</v>
      </c>
    </row>
    <row r="1922" spans="1:15" x14ac:dyDescent="0.2">
      <c r="A1922" s="10" t="s">
        <v>1072</v>
      </c>
      <c r="B1922" s="10" t="s">
        <v>116</v>
      </c>
      <c r="C1922" s="10" t="s">
        <v>117</v>
      </c>
      <c r="D1922" s="10" t="s">
        <v>51</v>
      </c>
      <c r="E1922" s="10" t="s">
        <v>52</v>
      </c>
      <c r="F1922" s="10" t="s">
        <v>79</v>
      </c>
      <c r="G1922" s="10" t="b">
        <f>FALSE()</f>
        <v>0</v>
      </c>
      <c r="H1922" s="10">
        <v>0</v>
      </c>
      <c r="I1922" s="10">
        <v>1</v>
      </c>
      <c r="J1922" s="10">
        <v>0</v>
      </c>
      <c r="K1922" s="10">
        <v>0</v>
      </c>
      <c r="L1922" s="10">
        <v>0</v>
      </c>
      <c r="M1922" s="10">
        <v>1</v>
      </c>
      <c r="N1922" s="10">
        <v>294</v>
      </c>
      <c r="O1922" s="10">
        <v>281</v>
      </c>
    </row>
    <row r="1923" spans="1:15" x14ac:dyDescent="0.2">
      <c r="A1923" s="10" t="s">
        <v>1169</v>
      </c>
      <c r="B1923" s="10" t="s">
        <v>60</v>
      </c>
      <c r="C1923" s="10" t="s">
        <v>50</v>
      </c>
      <c r="D1923" s="10" t="s">
        <v>51</v>
      </c>
      <c r="E1923" s="10" t="s">
        <v>52</v>
      </c>
      <c r="F1923" s="10" t="s">
        <v>153</v>
      </c>
      <c r="G1923" s="10" t="b">
        <f>FALSE()</f>
        <v>0</v>
      </c>
      <c r="H1923" s="10">
        <v>0</v>
      </c>
      <c r="I1923" s="10">
        <v>1</v>
      </c>
      <c r="J1923" s="10">
        <v>0</v>
      </c>
      <c r="K1923" s="10">
        <v>0</v>
      </c>
      <c r="L1923" s="10">
        <v>0</v>
      </c>
      <c r="M1923" s="10">
        <v>1</v>
      </c>
      <c r="N1923" s="10">
        <v>280</v>
      </c>
      <c r="O1923" s="10">
        <v>280</v>
      </c>
    </row>
    <row r="1924" spans="1:15" x14ac:dyDescent="0.2">
      <c r="A1924" s="10" t="s">
        <v>1076</v>
      </c>
      <c r="B1924" s="10" t="s">
        <v>285</v>
      </c>
      <c r="C1924" s="10" t="s">
        <v>105</v>
      </c>
      <c r="D1924" s="10" t="s">
        <v>45</v>
      </c>
      <c r="E1924" s="10" t="s">
        <v>46</v>
      </c>
      <c r="F1924" s="10" t="s">
        <v>61</v>
      </c>
      <c r="G1924" s="10" t="b">
        <f>FALSE()</f>
        <v>0</v>
      </c>
      <c r="H1924" s="10">
        <v>0</v>
      </c>
      <c r="I1924" s="10">
        <v>1</v>
      </c>
      <c r="J1924" s="10">
        <v>0</v>
      </c>
      <c r="K1924" s="10">
        <v>0</v>
      </c>
      <c r="L1924" s="10">
        <v>0</v>
      </c>
      <c r="M1924" s="10">
        <v>1</v>
      </c>
      <c r="N1924" s="10">
        <v>281</v>
      </c>
      <c r="O1924" s="10">
        <v>280</v>
      </c>
    </row>
    <row r="1925" spans="1:15" x14ac:dyDescent="0.2">
      <c r="A1925" s="10" t="s">
        <v>1115</v>
      </c>
      <c r="B1925" s="10" t="s">
        <v>89</v>
      </c>
      <c r="C1925" s="10" t="s">
        <v>90</v>
      </c>
      <c r="D1925" s="10" t="s">
        <v>51</v>
      </c>
      <c r="E1925" s="10" t="s">
        <v>52</v>
      </c>
      <c r="F1925" s="10" t="s">
        <v>94</v>
      </c>
      <c r="G1925" s="10" t="b">
        <f>FALSE()</f>
        <v>0</v>
      </c>
      <c r="H1925" s="10">
        <v>0</v>
      </c>
      <c r="I1925" s="10">
        <v>1</v>
      </c>
      <c r="J1925" s="10">
        <v>0</v>
      </c>
      <c r="K1925" s="10">
        <v>0</v>
      </c>
      <c r="L1925" s="10">
        <v>0</v>
      </c>
      <c r="M1925" s="10">
        <v>1</v>
      </c>
      <c r="N1925" s="10">
        <v>282</v>
      </c>
      <c r="O1925" s="10">
        <v>279</v>
      </c>
    </row>
    <row r="1926" spans="1:15" x14ac:dyDescent="0.2">
      <c r="A1926" s="10" t="s">
        <v>1048</v>
      </c>
      <c r="B1926" s="10" t="s">
        <v>1049</v>
      </c>
      <c r="C1926" s="10" t="s">
        <v>64</v>
      </c>
      <c r="D1926" s="10" t="s">
        <v>45</v>
      </c>
      <c r="E1926" s="10" t="s">
        <v>46</v>
      </c>
      <c r="F1926" s="10" t="s">
        <v>704</v>
      </c>
      <c r="G1926" s="10" t="b">
        <f>FALSE()</f>
        <v>0</v>
      </c>
      <c r="H1926" s="10">
        <v>0</v>
      </c>
      <c r="I1926" s="10">
        <v>1</v>
      </c>
      <c r="J1926" s="10">
        <v>0</v>
      </c>
      <c r="K1926" s="10">
        <v>0</v>
      </c>
      <c r="L1926" s="10">
        <v>0</v>
      </c>
      <c r="M1926" s="10">
        <v>1</v>
      </c>
      <c r="N1926" s="10">
        <v>286</v>
      </c>
      <c r="O1926" s="10">
        <v>279</v>
      </c>
    </row>
    <row r="1927" spans="1:15" x14ac:dyDescent="0.2">
      <c r="A1927" s="10" t="s">
        <v>1170</v>
      </c>
      <c r="B1927" s="10" t="s">
        <v>146</v>
      </c>
      <c r="C1927" s="10" t="s">
        <v>105</v>
      </c>
      <c r="D1927" s="10" t="s">
        <v>45</v>
      </c>
      <c r="E1927" s="10" t="s">
        <v>46</v>
      </c>
      <c r="F1927" s="10" t="s">
        <v>92</v>
      </c>
      <c r="G1927" s="10" t="b">
        <f>FALSE()</f>
        <v>0</v>
      </c>
      <c r="H1927" s="10">
        <v>0</v>
      </c>
      <c r="I1927" s="10">
        <v>1</v>
      </c>
      <c r="J1927" s="10">
        <v>0</v>
      </c>
      <c r="K1927" s="10">
        <v>0</v>
      </c>
      <c r="L1927" s="10">
        <v>0</v>
      </c>
      <c r="M1927" s="10">
        <v>1</v>
      </c>
      <c r="N1927" s="10">
        <v>278</v>
      </c>
      <c r="O1927" s="10">
        <v>278</v>
      </c>
    </row>
    <row r="1928" spans="1:15" x14ac:dyDescent="0.2">
      <c r="A1928" s="10" t="s">
        <v>1078</v>
      </c>
      <c r="B1928" s="10" t="s">
        <v>188</v>
      </c>
      <c r="C1928" s="10" t="s">
        <v>112</v>
      </c>
      <c r="D1928" s="10" t="s">
        <v>51</v>
      </c>
      <c r="E1928" s="10" t="s">
        <v>52</v>
      </c>
      <c r="F1928" s="10" t="s">
        <v>660</v>
      </c>
      <c r="G1928" s="10" t="b">
        <f>FALSE()</f>
        <v>0</v>
      </c>
      <c r="H1928" s="10">
        <v>0</v>
      </c>
      <c r="I1928" s="10">
        <v>1</v>
      </c>
      <c r="J1928" s="10">
        <v>0</v>
      </c>
      <c r="K1928" s="10">
        <v>0</v>
      </c>
      <c r="L1928" s="10">
        <v>0</v>
      </c>
      <c r="M1928" s="10">
        <v>1</v>
      </c>
      <c r="N1928" s="10">
        <v>282</v>
      </c>
      <c r="O1928" s="10">
        <v>277</v>
      </c>
    </row>
    <row r="1929" spans="1:15" x14ac:dyDescent="0.2">
      <c r="A1929" s="10" t="s">
        <v>1104</v>
      </c>
      <c r="B1929" s="10" t="s">
        <v>128</v>
      </c>
      <c r="C1929" s="10" t="s">
        <v>50</v>
      </c>
      <c r="D1929" s="10" t="s">
        <v>51</v>
      </c>
      <c r="E1929" s="10" t="s">
        <v>52</v>
      </c>
      <c r="F1929" s="10" t="s">
        <v>97</v>
      </c>
      <c r="G1929" s="10" t="b">
        <f>TRUE()</f>
        <v>1</v>
      </c>
      <c r="H1929" s="10">
        <v>0</v>
      </c>
      <c r="I1929" s="10">
        <v>1</v>
      </c>
      <c r="J1929" s="10">
        <v>0</v>
      </c>
      <c r="K1929" s="10">
        <v>0</v>
      </c>
      <c r="L1929" s="10">
        <v>0</v>
      </c>
      <c r="M1929" s="10">
        <v>1</v>
      </c>
      <c r="N1929" s="10">
        <v>278</v>
      </c>
      <c r="O1929" s="10">
        <v>277</v>
      </c>
    </row>
    <row r="1930" spans="1:15" x14ac:dyDescent="0.2">
      <c r="A1930" s="10" t="s">
        <v>66</v>
      </c>
      <c r="B1930" s="10" t="s">
        <v>157</v>
      </c>
      <c r="C1930" s="10" t="s">
        <v>64</v>
      </c>
      <c r="D1930" s="10" t="s">
        <v>45</v>
      </c>
      <c r="E1930" s="10" t="s">
        <v>46</v>
      </c>
      <c r="F1930" s="10" t="s">
        <v>75</v>
      </c>
      <c r="G1930" s="10" t="b">
        <f>FALSE()</f>
        <v>0</v>
      </c>
      <c r="H1930" s="10">
        <v>0</v>
      </c>
      <c r="I1930" s="10">
        <v>1</v>
      </c>
      <c r="J1930" s="10">
        <v>0</v>
      </c>
      <c r="K1930" s="10">
        <v>0</v>
      </c>
      <c r="L1930" s="10">
        <v>0</v>
      </c>
      <c r="M1930" s="10">
        <v>1</v>
      </c>
      <c r="N1930" s="10">
        <v>277</v>
      </c>
      <c r="O1930" s="10">
        <v>277</v>
      </c>
    </row>
    <row r="1931" spans="1:15" x14ac:dyDescent="0.2">
      <c r="A1931" s="10" t="s">
        <v>1112</v>
      </c>
      <c r="B1931" s="10" t="s">
        <v>262</v>
      </c>
      <c r="C1931" s="10" t="s">
        <v>105</v>
      </c>
      <c r="D1931" s="10" t="s">
        <v>45</v>
      </c>
      <c r="E1931" s="10" t="s">
        <v>46</v>
      </c>
      <c r="F1931" s="10" t="s">
        <v>92</v>
      </c>
      <c r="G1931" s="10" t="b">
        <f>FALSE()</f>
        <v>0</v>
      </c>
      <c r="H1931" s="10">
        <v>0</v>
      </c>
      <c r="I1931" s="10">
        <v>1</v>
      </c>
      <c r="J1931" s="10">
        <v>0</v>
      </c>
      <c r="K1931" s="10">
        <v>0</v>
      </c>
      <c r="L1931" s="10">
        <v>0</v>
      </c>
      <c r="M1931" s="10">
        <v>1</v>
      </c>
      <c r="N1931" s="10">
        <v>277</v>
      </c>
      <c r="O1931" s="10">
        <v>277</v>
      </c>
    </row>
    <row r="1932" spans="1:15" x14ac:dyDescent="0.2">
      <c r="A1932" s="10" t="s">
        <v>1073</v>
      </c>
      <c r="B1932" s="10" t="s">
        <v>193</v>
      </c>
      <c r="C1932" s="10" t="s">
        <v>117</v>
      </c>
      <c r="D1932" s="10" t="s">
        <v>51</v>
      </c>
      <c r="E1932" s="10" t="s">
        <v>52</v>
      </c>
      <c r="F1932" s="10" t="s">
        <v>79</v>
      </c>
      <c r="G1932" s="10" t="b">
        <f>FALSE()</f>
        <v>0</v>
      </c>
      <c r="H1932" s="10">
        <v>0</v>
      </c>
      <c r="I1932" s="10">
        <v>1</v>
      </c>
      <c r="J1932" s="10">
        <v>0</v>
      </c>
      <c r="K1932" s="10">
        <v>0</v>
      </c>
      <c r="L1932" s="10">
        <v>0</v>
      </c>
      <c r="M1932" s="10">
        <v>1</v>
      </c>
      <c r="N1932" s="10">
        <v>276</v>
      </c>
      <c r="O1932" s="10">
        <v>275</v>
      </c>
    </row>
    <row r="1933" spans="1:15" x14ac:dyDescent="0.2">
      <c r="A1933" s="10" t="s">
        <v>700</v>
      </c>
      <c r="B1933" s="10" t="s">
        <v>67</v>
      </c>
      <c r="C1933" s="10" t="s">
        <v>64</v>
      </c>
      <c r="D1933" s="10" t="s">
        <v>45</v>
      </c>
      <c r="E1933" s="10" t="s">
        <v>46</v>
      </c>
      <c r="F1933" s="10" t="s">
        <v>47</v>
      </c>
      <c r="G1933" s="10" t="b">
        <f>FALSE()</f>
        <v>0</v>
      </c>
      <c r="H1933" s="10">
        <v>0</v>
      </c>
      <c r="I1933" s="10">
        <v>1</v>
      </c>
      <c r="J1933" s="10">
        <v>0</v>
      </c>
      <c r="K1933" s="10">
        <v>0</v>
      </c>
      <c r="L1933" s="10">
        <v>0</v>
      </c>
      <c r="M1933" s="10">
        <v>1</v>
      </c>
      <c r="N1933" s="10">
        <v>277</v>
      </c>
      <c r="O1933" s="10">
        <v>275</v>
      </c>
    </row>
    <row r="1934" spans="1:15" x14ac:dyDescent="0.2">
      <c r="A1934" s="10" t="s">
        <v>1171</v>
      </c>
      <c r="B1934" s="10" t="s">
        <v>633</v>
      </c>
      <c r="C1934" s="10" t="s">
        <v>90</v>
      </c>
      <c r="D1934" s="10" t="s">
        <v>51</v>
      </c>
      <c r="E1934" s="10" t="s">
        <v>52</v>
      </c>
      <c r="F1934" s="10" t="s">
        <v>92</v>
      </c>
      <c r="G1934" s="10" t="b">
        <f>FALSE()</f>
        <v>0</v>
      </c>
      <c r="H1934" s="10">
        <v>0</v>
      </c>
      <c r="I1934" s="10">
        <v>1</v>
      </c>
      <c r="J1934" s="10">
        <v>0</v>
      </c>
      <c r="K1934" s="10">
        <v>0</v>
      </c>
      <c r="L1934" s="10">
        <v>0</v>
      </c>
      <c r="M1934" s="10">
        <v>1</v>
      </c>
      <c r="N1934" s="10">
        <v>275</v>
      </c>
      <c r="O1934" s="10">
        <v>274</v>
      </c>
    </row>
    <row r="1935" spans="1:15" x14ac:dyDescent="0.2">
      <c r="A1935" s="10" t="s">
        <v>1165</v>
      </c>
      <c r="B1935" s="10" t="s">
        <v>136</v>
      </c>
      <c r="C1935" s="10" t="s">
        <v>73</v>
      </c>
      <c r="D1935" s="10" t="s">
        <v>45</v>
      </c>
      <c r="E1935" s="10" t="s">
        <v>46</v>
      </c>
      <c r="F1935" s="10" t="s">
        <v>47</v>
      </c>
      <c r="G1935" s="10" t="b">
        <f>FALSE()</f>
        <v>0</v>
      </c>
      <c r="H1935" s="10">
        <v>0</v>
      </c>
      <c r="I1935" s="10">
        <v>1</v>
      </c>
      <c r="J1935" s="10">
        <v>0</v>
      </c>
      <c r="K1935" s="10">
        <v>0</v>
      </c>
      <c r="L1935" s="10">
        <v>0</v>
      </c>
      <c r="M1935" s="10">
        <v>1</v>
      </c>
      <c r="N1935" s="10">
        <v>277</v>
      </c>
      <c r="O1935" s="10">
        <v>274</v>
      </c>
    </row>
    <row r="1936" spans="1:15" x14ac:dyDescent="0.2">
      <c r="A1936" s="10" t="s">
        <v>1172</v>
      </c>
      <c r="B1936" s="10" t="s">
        <v>280</v>
      </c>
      <c r="C1936" s="10" t="s">
        <v>64</v>
      </c>
      <c r="D1936" s="10" t="s">
        <v>45</v>
      </c>
      <c r="E1936" s="10" t="s">
        <v>46</v>
      </c>
      <c r="F1936" s="10" t="s">
        <v>65</v>
      </c>
      <c r="G1936" s="10" t="b">
        <f>FALSE()</f>
        <v>0</v>
      </c>
      <c r="H1936" s="10">
        <v>0</v>
      </c>
      <c r="I1936" s="10">
        <v>1</v>
      </c>
      <c r="J1936" s="10">
        <v>0</v>
      </c>
      <c r="K1936" s="10">
        <v>0</v>
      </c>
      <c r="L1936" s="10">
        <v>0</v>
      </c>
      <c r="M1936" s="10">
        <v>1</v>
      </c>
      <c r="N1936" s="10">
        <v>274</v>
      </c>
      <c r="O1936" s="10">
        <v>274</v>
      </c>
    </row>
    <row r="1937" spans="1:15" x14ac:dyDescent="0.2">
      <c r="A1937" s="10" t="s">
        <v>120</v>
      </c>
      <c r="B1937" s="10" t="s">
        <v>72</v>
      </c>
      <c r="C1937" s="10" t="s">
        <v>73</v>
      </c>
      <c r="D1937" s="10" t="s">
        <v>45</v>
      </c>
      <c r="E1937" s="10" t="s">
        <v>46</v>
      </c>
      <c r="F1937" s="10" t="s">
        <v>1173</v>
      </c>
      <c r="G1937" s="10" t="b">
        <f>FALSE()</f>
        <v>0</v>
      </c>
      <c r="H1937" s="10">
        <v>0</v>
      </c>
      <c r="I1937" s="10">
        <v>1</v>
      </c>
      <c r="J1937" s="10">
        <v>0</v>
      </c>
      <c r="K1937" s="10">
        <v>0</v>
      </c>
      <c r="L1937" s="10">
        <v>0</v>
      </c>
      <c r="M1937" s="10">
        <v>1</v>
      </c>
      <c r="N1937" s="10">
        <v>272</v>
      </c>
      <c r="O1937" s="10">
        <v>271</v>
      </c>
    </row>
    <row r="1938" spans="1:15" x14ac:dyDescent="0.2">
      <c r="A1938" s="10" t="s">
        <v>1108</v>
      </c>
      <c r="B1938" s="10" t="s">
        <v>232</v>
      </c>
      <c r="C1938" s="10" t="s">
        <v>90</v>
      </c>
      <c r="D1938" s="10" t="s">
        <v>51</v>
      </c>
      <c r="E1938" s="10" t="s">
        <v>52</v>
      </c>
      <c r="F1938" s="10" t="s">
        <v>190</v>
      </c>
      <c r="G1938" s="10" t="b">
        <f>TRUE()</f>
        <v>1</v>
      </c>
      <c r="H1938" s="10">
        <v>0</v>
      </c>
      <c r="I1938" s="10">
        <v>1</v>
      </c>
      <c r="J1938" s="10">
        <v>0</v>
      </c>
      <c r="K1938" s="10">
        <v>0</v>
      </c>
      <c r="L1938" s="10">
        <v>0</v>
      </c>
      <c r="M1938" s="10">
        <v>1</v>
      </c>
      <c r="N1938" s="10">
        <v>294</v>
      </c>
      <c r="O1938" s="10">
        <v>271</v>
      </c>
    </row>
    <row r="1939" spans="1:15" x14ac:dyDescent="0.2">
      <c r="A1939" s="10" t="s">
        <v>324</v>
      </c>
      <c r="B1939" s="10" t="s">
        <v>72</v>
      </c>
      <c r="C1939" s="10" t="s">
        <v>73</v>
      </c>
      <c r="D1939" s="10" t="s">
        <v>45</v>
      </c>
      <c r="E1939" s="10" t="s">
        <v>46</v>
      </c>
      <c r="F1939" s="10" t="s">
        <v>61</v>
      </c>
      <c r="G1939" s="10" t="b">
        <f>FALSE()</f>
        <v>0</v>
      </c>
      <c r="H1939" s="10">
        <v>0</v>
      </c>
      <c r="I1939" s="10">
        <v>1</v>
      </c>
      <c r="J1939" s="10">
        <v>0</v>
      </c>
      <c r="K1939" s="10">
        <v>0</v>
      </c>
      <c r="L1939" s="10">
        <v>0</v>
      </c>
      <c r="M1939" s="10">
        <v>1</v>
      </c>
      <c r="N1939" s="10">
        <v>271</v>
      </c>
      <c r="O1939" s="10">
        <v>271</v>
      </c>
    </row>
    <row r="1940" spans="1:15" x14ac:dyDescent="0.2">
      <c r="A1940" s="10" t="s">
        <v>1085</v>
      </c>
      <c r="B1940" s="10" t="s">
        <v>139</v>
      </c>
      <c r="C1940" s="10" t="s">
        <v>64</v>
      </c>
      <c r="D1940" s="10" t="s">
        <v>45</v>
      </c>
      <c r="E1940" s="10" t="s">
        <v>46</v>
      </c>
      <c r="F1940" s="10" t="s">
        <v>58</v>
      </c>
      <c r="G1940" s="10" t="b">
        <f>FALSE()</f>
        <v>0</v>
      </c>
      <c r="H1940" s="10">
        <v>0</v>
      </c>
      <c r="I1940" s="10">
        <v>1</v>
      </c>
      <c r="J1940" s="10">
        <v>0</v>
      </c>
      <c r="K1940" s="10">
        <v>0</v>
      </c>
      <c r="L1940" s="10">
        <v>0</v>
      </c>
      <c r="M1940" s="10">
        <v>1</v>
      </c>
      <c r="N1940" s="10">
        <v>272</v>
      </c>
      <c r="O1940" s="10">
        <v>271</v>
      </c>
    </row>
    <row r="1941" spans="1:15" x14ac:dyDescent="0.2">
      <c r="A1941" s="10" t="s">
        <v>1061</v>
      </c>
      <c r="B1941" s="10" t="s">
        <v>262</v>
      </c>
      <c r="C1941" s="10" t="s">
        <v>105</v>
      </c>
      <c r="D1941" s="10" t="s">
        <v>45</v>
      </c>
      <c r="E1941" s="10" t="s">
        <v>46</v>
      </c>
      <c r="F1941" s="10" t="s">
        <v>47</v>
      </c>
      <c r="G1941" s="10" t="b">
        <f>FALSE()</f>
        <v>0</v>
      </c>
      <c r="H1941" s="10">
        <v>0</v>
      </c>
      <c r="I1941" s="10">
        <v>1</v>
      </c>
      <c r="J1941" s="10">
        <v>0</v>
      </c>
      <c r="K1941" s="10">
        <v>0</v>
      </c>
      <c r="L1941" s="10">
        <v>0</v>
      </c>
      <c r="M1941" s="10">
        <v>1</v>
      </c>
      <c r="N1941" s="10">
        <v>298</v>
      </c>
      <c r="O1941" s="10">
        <v>271</v>
      </c>
    </row>
    <row r="1942" spans="1:15" x14ac:dyDescent="0.2">
      <c r="A1942" s="10" t="s">
        <v>1028</v>
      </c>
      <c r="B1942" s="10" t="s">
        <v>262</v>
      </c>
      <c r="C1942" s="10" t="s">
        <v>105</v>
      </c>
      <c r="D1942" s="10" t="s">
        <v>45</v>
      </c>
      <c r="E1942" s="10" t="s">
        <v>46</v>
      </c>
      <c r="F1942" s="10" t="s">
        <v>219</v>
      </c>
      <c r="G1942" s="10" t="b">
        <f>FALSE()</f>
        <v>0</v>
      </c>
      <c r="H1942" s="10">
        <v>0</v>
      </c>
      <c r="I1942" s="10">
        <v>1</v>
      </c>
      <c r="J1942" s="10">
        <v>0</v>
      </c>
      <c r="K1942" s="10">
        <v>0</v>
      </c>
      <c r="L1942" s="10">
        <v>0</v>
      </c>
      <c r="M1942" s="10">
        <v>1</v>
      </c>
      <c r="N1942" s="10">
        <v>294</v>
      </c>
      <c r="O1942" s="10">
        <v>270</v>
      </c>
    </row>
    <row r="1943" spans="1:15" x14ac:dyDescent="0.2">
      <c r="A1943" s="10" t="s">
        <v>1174</v>
      </c>
      <c r="B1943" s="10" t="s">
        <v>633</v>
      </c>
      <c r="C1943" s="10" t="s">
        <v>90</v>
      </c>
      <c r="D1943" s="10" t="s">
        <v>51</v>
      </c>
      <c r="E1943" s="10" t="s">
        <v>52</v>
      </c>
      <c r="F1943" s="10" t="s">
        <v>47</v>
      </c>
      <c r="G1943" s="10" t="b">
        <f>FALSE()</f>
        <v>0</v>
      </c>
      <c r="H1943" s="10">
        <v>0</v>
      </c>
      <c r="I1943" s="10">
        <v>1</v>
      </c>
      <c r="J1943" s="10">
        <v>0</v>
      </c>
      <c r="K1943" s="10">
        <v>0</v>
      </c>
      <c r="L1943" s="10">
        <v>0</v>
      </c>
      <c r="M1943" s="10">
        <v>1</v>
      </c>
      <c r="N1943" s="10">
        <v>250</v>
      </c>
      <c r="O1943" s="10">
        <v>269</v>
      </c>
    </row>
    <row r="1944" spans="1:15" x14ac:dyDescent="0.2">
      <c r="A1944" s="10" t="s">
        <v>1175</v>
      </c>
      <c r="B1944" s="10" t="s">
        <v>260</v>
      </c>
      <c r="C1944" s="10" t="s">
        <v>64</v>
      </c>
      <c r="D1944" s="10" t="s">
        <v>45</v>
      </c>
      <c r="E1944" s="10" t="s">
        <v>46</v>
      </c>
      <c r="F1944" s="10" t="s">
        <v>488</v>
      </c>
      <c r="G1944" s="10" t="b">
        <f>FALSE()</f>
        <v>0</v>
      </c>
      <c r="H1944" s="10">
        <v>0</v>
      </c>
      <c r="I1944" s="10">
        <v>1</v>
      </c>
      <c r="J1944" s="10">
        <v>0</v>
      </c>
      <c r="K1944" s="10">
        <v>0</v>
      </c>
      <c r="L1944" s="10">
        <v>0</v>
      </c>
      <c r="M1944" s="10">
        <v>1</v>
      </c>
      <c r="N1944" s="10">
        <v>271</v>
      </c>
      <c r="O1944" s="10">
        <v>269</v>
      </c>
    </row>
    <row r="1945" spans="1:15" x14ac:dyDescent="0.2">
      <c r="A1945" s="10" t="s">
        <v>1135</v>
      </c>
      <c r="B1945" s="10" t="s">
        <v>517</v>
      </c>
      <c r="C1945" s="10" t="s">
        <v>90</v>
      </c>
      <c r="D1945" s="10" t="s">
        <v>51</v>
      </c>
      <c r="E1945" s="10" t="s">
        <v>52</v>
      </c>
      <c r="F1945" s="10" t="s">
        <v>61</v>
      </c>
      <c r="G1945" s="10" t="b">
        <f>FALSE()</f>
        <v>0</v>
      </c>
      <c r="H1945" s="10">
        <v>0</v>
      </c>
      <c r="I1945" s="10">
        <v>1</v>
      </c>
      <c r="J1945" s="10">
        <v>0</v>
      </c>
      <c r="K1945" s="10">
        <v>0</v>
      </c>
      <c r="L1945" s="10">
        <v>0</v>
      </c>
      <c r="M1945" s="10">
        <v>1</v>
      </c>
      <c r="N1945" s="10">
        <v>300</v>
      </c>
      <c r="O1945" s="10">
        <v>268</v>
      </c>
    </row>
    <row r="1946" spans="1:15" x14ac:dyDescent="0.2">
      <c r="A1946" s="10" t="s">
        <v>1055</v>
      </c>
      <c r="B1946" s="10" t="s">
        <v>178</v>
      </c>
      <c r="C1946" s="10" t="s">
        <v>73</v>
      </c>
      <c r="D1946" s="10" t="s">
        <v>45</v>
      </c>
      <c r="E1946" s="10" t="s">
        <v>46</v>
      </c>
      <c r="F1946" s="10" t="s">
        <v>47</v>
      </c>
      <c r="G1946" s="10" t="b">
        <f>FALSE()</f>
        <v>0</v>
      </c>
      <c r="H1946" s="10">
        <v>0</v>
      </c>
      <c r="I1946" s="10">
        <v>1</v>
      </c>
      <c r="J1946" s="10">
        <v>0</v>
      </c>
      <c r="K1946" s="10">
        <v>0</v>
      </c>
      <c r="L1946" s="10">
        <v>0</v>
      </c>
      <c r="M1946" s="10">
        <v>1</v>
      </c>
      <c r="N1946" s="10">
        <v>270</v>
      </c>
      <c r="O1946" s="10">
        <v>268</v>
      </c>
    </row>
    <row r="1947" spans="1:15" x14ac:dyDescent="0.2">
      <c r="A1947" s="10" t="s">
        <v>135</v>
      </c>
      <c r="B1947" s="10" t="s">
        <v>136</v>
      </c>
      <c r="C1947" s="10" t="s">
        <v>73</v>
      </c>
      <c r="D1947" s="10" t="s">
        <v>45</v>
      </c>
      <c r="E1947" s="10" t="s">
        <v>46</v>
      </c>
      <c r="F1947" s="10" t="s">
        <v>102</v>
      </c>
      <c r="G1947" s="10" t="b">
        <f>TRUE()</f>
        <v>1</v>
      </c>
      <c r="H1947" s="10">
        <v>0</v>
      </c>
      <c r="I1947" s="10">
        <v>1</v>
      </c>
      <c r="J1947" s="10">
        <v>0</v>
      </c>
      <c r="K1947" s="10">
        <v>0</v>
      </c>
      <c r="L1947" s="10">
        <v>0</v>
      </c>
      <c r="M1947" s="10">
        <v>1</v>
      </c>
      <c r="N1947" s="10">
        <v>268</v>
      </c>
      <c r="O1947" s="10">
        <v>267</v>
      </c>
    </row>
    <row r="1948" spans="1:15" x14ac:dyDescent="0.2">
      <c r="A1948" s="10" t="s">
        <v>703</v>
      </c>
      <c r="B1948" s="10" t="s">
        <v>167</v>
      </c>
      <c r="C1948" s="10" t="s">
        <v>64</v>
      </c>
      <c r="D1948" s="10" t="s">
        <v>45</v>
      </c>
      <c r="E1948" s="10" t="s">
        <v>46</v>
      </c>
      <c r="F1948" s="10" t="s">
        <v>107</v>
      </c>
      <c r="G1948" s="10" t="b">
        <f>FALSE()</f>
        <v>0</v>
      </c>
      <c r="H1948" s="10">
        <v>0</v>
      </c>
      <c r="I1948" s="10">
        <v>1</v>
      </c>
      <c r="J1948" s="10">
        <v>0</v>
      </c>
      <c r="K1948" s="10">
        <v>0</v>
      </c>
      <c r="L1948" s="10">
        <v>0</v>
      </c>
      <c r="M1948" s="10">
        <v>1</v>
      </c>
      <c r="N1948" s="10">
        <v>268</v>
      </c>
      <c r="O1948" s="10">
        <v>267</v>
      </c>
    </row>
    <row r="1949" spans="1:15" x14ac:dyDescent="0.2">
      <c r="A1949" s="10" t="s">
        <v>395</v>
      </c>
      <c r="B1949" s="10" t="s">
        <v>902</v>
      </c>
      <c r="C1949" s="10" t="s">
        <v>50</v>
      </c>
      <c r="D1949" s="10" t="s">
        <v>51</v>
      </c>
      <c r="E1949" s="10" t="s">
        <v>52</v>
      </c>
      <c r="F1949" s="10" t="s">
        <v>61</v>
      </c>
      <c r="G1949" s="10" t="b">
        <f>FALSE()</f>
        <v>0</v>
      </c>
      <c r="H1949" s="10">
        <v>0</v>
      </c>
      <c r="I1949" s="10">
        <v>1</v>
      </c>
      <c r="J1949" s="10">
        <v>0</v>
      </c>
      <c r="K1949" s="10">
        <v>0</v>
      </c>
      <c r="L1949" s="10">
        <v>0</v>
      </c>
      <c r="M1949" s="10">
        <v>1</v>
      </c>
      <c r="N1949" s="10">
        <v>267</v>
      </c>
      <c r="O1949" s="10">
        <v>266</v>
      </c>
    </row>
    <row r="1950" spans="1:15" x14ac:dyDescent="0.2">
      <c r="A1950" s="10" t="s">
        <v>1121</v>
      </c>
      <c r="B1950" s="10" t="s">
        <v>55</v>
      </c>
      <c r="C1950" s="10" t="s">
        <v>56</v>
      </c>
      <c r="D1950" s="10" t="s">
        <v>45</v>
      </c>
      <c r="E1950" s="10" t="s">
        <v>46</v>
      </c>
      <c r="F1950" s="10" t="s">
        <v>481</v>
      </c>
      <c r="G1950" s="10" t="b">
        <f>FALSE()</f>
        <v>0</v>
      </c>
      <c r="H1950" s="10">
        <v>0</v>
      </c>
      <c r="I1950" s="10">
        <v>1</v>
      </c>
      <c r="J1950" s="10">
        <v>0</v>
      </c>
      <c r="K1950" s="10">
        <v>0</v>
      </c>
      <c r="L1950" s="10">
        <v>0</v>
      </c>
      <c r="M1950" s="10">
        <v>1</v>
      </c>
      <c r="N1950" s="10">
        <v>273</v>
      </c>
      <c r="O1950" s="10">
        <v>266</v>
      </c>
    </row>
    <row r="1951" spans="1:15" x14ac:dyDescent="0.2">
      <c r="A1951" s="10" t="s">
        <v>1176</v>
      </c>
      <c r="B1951" s="10" t="s">
        <v>70</v>
      </c>
      <c r="C1951" s="10" t="s">
        <v>70</v>
      </c>
      <c r="D1951" s="10" t="s">
        <v>45</v>
      </c>
      <c r="E1951" s="10" t="s">
        <v>46</v>
      </c>
      <c r="F1951" s="10" t="s">
        <v>47</v>
      </c>
      <c r="G1951" s="10" t="b">
        <f>FALSE()</f>
        <v>0</v>
      </c>
      <c r="H1951" s="10">
        <v>0</v>
      </c>
      <c r="I1951" s="10">
        <v>1</v>
      </c>
      <c r="J1951" s="10">
        <v>0</v>
      </c>
      <c r="K1951" s="10">
        <v>0</v>
      </c>
      <c r="L1951" s="10">
        <v>0</v>
      </c>
      <c r="M1951" s="10">
        <v>1</v>
      </c>
      <c r="N1951" s="10">
        <v>278</v>
      </c>
      <c r="O1951" s="10">
        <v>266</v>
      </c>
    </row>
    <row r="1952" spans="1:15" x14ac:dyDescent="0.2">
      <c r="A1952" s="10" t="s">
        <v>1177</v>
      </c>
      <c r="B1952" s="10" t="s">
        <v>70</v>
      </c>
      <c r="C1952" s="10" t="s">
        <v>70</v>
      </c>
      <c r="D1952" s="10" t="s">
        <v>45</v>
      </c>
      <c r="E1952" s="10" t="s">
        <v>46</v>
      </c>
      <c r="F1952" s="10" t="s">
        <v>61</v>
      </c>
      <c r="G1952" s="10" t="b">
        <f>FALSE()</f>
        <v>0</v>
      </c>
      <c r="H1952" s="10">
        <v>0</v>
      </c>
      <c r="I1952" s="10">
        <v>1</v>
      </c>
      <c r="J1952" s="10">
        <v>0</v>
      </c>
      <c r="K1952" s="10">
        <v>0</v>
      </c>
      <c r="L1952" s="10">
        <v>0</v>
      </c>
      <c r="M1952" s="10">
        <v>1</v>
      </c>
      <c r="N1952" s="10">
        <v>266</v>
      </c>
      <c r="O1952" s="10">
        <v>265</v>
      </c>
    </row>
    <row r="1953" spans="1:15" x14ac:dyDescent="0.2">
      <c r="A1953" s="10" t="s">
        <v>1079</v>
      </c>
      <c r="B1953" s="10" t="s">
        <v>70</v>
      </c>
      <c r="C1953" s="10" t="s">
        <v>70</v>
      </c>
      <c r="D1953" s="10" t="s">
        <v>45</v>
      </c>
      <c r="E1953" s="10" t="s">
        <v>46</v>
      </c>
      <c r="F1953" s="10" t="s">
        <v>1098</v>
      </c>
      <c r="G1953" s="10" t="b">
        <f>FALSE()</f>
        <v>0</v>
      </c>
      <c r="H1953" s="10">
        <v>0</v>
      </c>
      <c r="I1953" s="10">
        <v>1</v>
      </c>
      <c r="J1953" s="10">
        <v>0</v>
      </c>
      <c r="K1953" s="10">
        <v>0</v>
      </c>
      <c r="L1953" s="10">
        <v>0</v>
      </c>
      <c r="M1953" s="10">
        <v>1</v>
      </c>
      <c r="N1953" s="10">
        <v>264</v>
      </c>
      <c r="O1953" s="10">
        <v>264</v>
      </c>
    </row>
    <row r="1954" spans="1:15" x14ac:dyDescent="0.2">
      <c r="A1954" s="10" t="s">
        <v>1178</v>
      </c>
      <c r="B1954" s="10" t="s">
        <v>96</v>
      </c>
      <c r="C1954" s="10" t="s">
        <v>50</v>
      </c>
      <c r="D1954" s="10" t="s">
        <v>51</v>
      </c>
      <c r="E1954" s="10" t="s">
        <v>52</v>
      </c>
      <c r="F1954" s="10" t="s">
        <v>113</v>
      </c>
      <c r="G1954" s="10" t="b">
        <f>TRUE()</f>
        <v>1</v>
      </c>
      <c r="H1954" s="10">
        <v>0</v>
      </c>
      <c r="I1954" s="10">
        <v>1</v>
      </c>
      <c r="J1954" s="10">
        <v>0</v>
      </c>
      <c r="K1954" s="10">
        <v>0</v>
      </c>
      <c r="L1954" s="10">
        <v>0</v>
      </c>
      <c r="M1954" s="10">
        <v>1</v>
      </c>
      <c r="N1954" s="10">
        <v>267</v>
      </c>
      <c r="O1954" s="10">
        <v>263</v>
      </c>
    </row>
    <row r="1955" spans="1:15" x14ac:dyDescent="0.2">
      <c r="A1955" s="10" t="s">
        <v>1179</v>
      </c>
      <c r="B1955" s="10" t="s">
        <v>70</v>
      </c>
      <c r="C1955" s="10" t="s">
        <v>70</v>
      </c>
      <c r="D1955" s="10" t="s">
        <v>45</v>
      </c>
      <c r="E1955" s="10" t="s">
        <v>46</v>
      </c>
      <c r="F1955" s="10" t="s">
        <v>91</v>
      </c>
      <c r="G1955" s="10" t="b">
        <f>TRUE()</f>
        <v>1</v>
      </c>
      <c r="H1955" s="10">
        <v>0</v>
      </c>
      <c r="I1955" s="10">
        <v>1</v>
      </c>
      <c r="J1955" s="10">
        <v>0</v>
      </c>
      <c r="K1955" s="10">
        <v>0</v>
      </c>
      <c r="L1955" s="10">
        <v>0</v>
      </c>
      <c r="M1955" s="10">
        <v>1</v>
      </c>
      <c r="N1955" s="10">
        <v>265</v>
      </c>
      <c r="O1955" s="10">
        <v>262</v>
      </c>
    </row>
    <row r="1956" spans="1:15" x14ac:dyDescent="0.2">
      <c r="A1956" s="10" t="s">
        <v>1074</v>
      </c>
      <c r="B1956" s="10" t="s">
        <v>104</v>
      </c>
      <c r="C1956" s="10" t="s">
        <v>105</v>
      </c>
      <c r="D1956" s="10" t="s">
        <v>45</v>
      </c>
      <c r="E1956" s="10" t="s">
        <v>46</v>
      </c>
      <c r="F1956" s="10" t="s">
        <v>861</v>
      </c>
      <c r="G1956" s="10" t="b">
        <f>TRUE()</f>
        <v>1</v>
      </c>
      <c r="H1956" s="10">
        <v>0</v>
      </c>
      <c r="I1956" s="10">
        <v>1</v>
      </c>
      <c r="J1956" s="10">
        <v>0</v>
      </c>
      <c r="K1956" s="10">
        <v>0</v>
      </c>
      <c r="L1956" s="10">
        <v>0</v>
      </c>
      <c r="M1956" s="10">
        <v>1</v>
      </c>
      <c r="N1956" s="10">
        <v>271</v>
      </c>
      <c r="O1956" s="10">
        <v>259</v>
      </c>
    </row>
    <row r="1957" spans="1:15" x14ac:dyDescent="0.2">
      <c r="A1957" s="10" t="s">
        <v>1180</v>
      </c>
      <c r="B1957" s="10" t="s">
        <v>116</v>
      </c>
      <c r="C1957" s="10" t="s">
        <v>117</v>
      </c>
      <c r="D1957" s="10" t="s">
        <v>51</v>
      </c>
      <c r="E1957" s="10" t="s">
        <v>52</v>
      </c>
      <c r="F1957" s="10" t="s">
        <v>207</v>
      </c>
      <c r="G1957" s="10" t="b">
        <f>FALSE()</f>
        <v>0</v>
      </c>
      <c r="H1957" s="10">
        <v>0</v>
      </c>
      <c r="I1957" s="10">
        <v>1</v>
      </c>
      <c r="J1957" s="10">
        <v>0</v>
      </c>
      <c r="K1957" s="10">
        <v>0</v>
      </c>
      <c r="L1957" s="10">
        <v>0</v>
      </c>
      <c r="M1957" s="10">
        <v>1</v>
      </c>
      <c r="N1957" s="10">
        <v>255</v>
      </c>
      <c r="O1957" s="10">
        <v>258</v>
      </c>
    </row>
    <row r="1958" spans="1:15" x14ac:dyDescent="0.2">
      <c r="A1958" s="10" t="s">
        <v>1142</v>
      </c>
      <c r="B1958" s="10" t="s">
        <v>70</v>
      </c>
      <c r="C1958" s="10" t="s">
        <v>70</v>
      </c>
      <c r="D1958" s="10" t="s">
        <v>45</v>
      </c>
      <c r="E1958" s="10" t="s">
        <v>46</v>
      </c>
      <c r="F1958" s="10" t="s">
        <v>91</v>
      </c>
      <c r="G1958" s="10" t="b">
        <f>TRUE()</f>
        <v>1</v>
      </c>
      <c r="H1958" s="10">
        <v>0</v>
      </c>
      <c r="I1958" s="10">
        <v>1</v>
      </c>
      <c r="J1958" s="10">
        <v>0</v>
      </c>
      <c r="K1958" s="10">
        <v>0</v>
      </c>
      <c r="L1958" s="10">
        <v>0</v>
      </c>
      <c r="M1958" s="10">
        <v>1</v>
      </c>
      <c r="N1958" s="10">
        <v>262</v>
      </c>
      <c r="O1958" s="10">
        <v>258</v>
      </c>
    </row>
    <row r="1959" spans="1:15" x14ac:dyDescent="0.2">
      <c r="A1959" s="10" t="s">
        <v>1181</v>
      </c>
      <c r="B1959" s="10" t="s">
        <v>116</v>
      </c>
      <c r="C1959" s="10" t="s">
        <v>117</v>
      </c>
      <c r="D1959" s="10" t="s">
        <v>51</v>
      </c>
      <c r="E1959" s="10" t="s">
        <v>52</v>
      </c>
      <c r="F1959" s="10" t="s">
        <v>74</v>
      </c>
      <c r="G1959" s="10" t="b">
        <f>FALSE()</f>
        <v>0</v>
      </c>
      <c r="H1959" s="10">
        <v>0</v>
      </c>
      <c r="I1959" s="10">
        <v>1</v>
      </c>
      <c r="J1959" s="10">
        <v>0</v>
      </c>
      <c r="K1959" s="10">
        <v>0</v>
      </c>
      <c r="L1959" s="10">
        <v>0</v>
      </c>
      <c r="M1959" s="10">
        <v>1</v>
      </c>
      <c r="N1959" s="10">
        <v>265</v>
      </c>
      <c r="O1959" s="10">
        <v>257</v>
      </c>
    </row>
    <row r="1960" spans="1:15" x14ac:dyDescent="0.2">
      <c r="A1960" s="10" t="s">
        <v>1059</v>
      </c>
      <c r="B1960" s="10" t="s">
        <v>109</v>
      </c>
      <c r="C1960" s="10" t="s">
        <v>90</v>
      </c>
      <c r="D1960" s="10" t="s">
        <v>51</v>
      </c>
      <c r="E1960" s="10" t="s">
        <v>52</v>
      </c>
      <c r="F1960" s="10" t="s">
        <v>207</v>
      </c>
      <c r="G1960" s="10" t="b">
        <f>FALSE()</f>
        <v>0</v>
      </c>
      <c r="H1960" s="10">
        <v>0</v>
      </c>
      <c r="I1960" s="10">
        <v>1</v>
      </c>
      <c r="J1960" s="10">
        <v>0</v>
      </c>
      <c r="K1960" s="10">
        <v>0</v>
      </c>
      <c r="L1960" s="10">
        <v>0</v>
      </c>
      <c r="M1960" s="10">
        <v>1</v>
      </c>
      <c r="N1960" s="10">
        <v>264</v>
      </c>
      <c r="O1960" s="10">
        <v>256</v>
      </c>
    </row>
    <row r="1961" spans="1:15" x14ac:dyDescent="0.2">
      <c r="A1961" s="10" t="s">
        <v>1028</v>
      </c>
      <c r="B1961" s="10" t="s">
        <v>262</v>
      </c>
      <c r="C1961" s="10" t="s">
        <v>105</v>
      </c>
      <c r="D1961" s="10" t="s">
        <v>45</v>
      </c>
      <c r="E1961" s="10" t="s">
        <v>46</v>
      </c>
      <c r="F1961" s="10" t="s">
        <v>92</v>
      </c>
      <c r="G1961" s="10" t="b">
        <f>FALSE()</f>
        <v>0</v>
      </c>
      <c r="H1961" s="10">
        <v>0</v>
      </c>
      <c r="I1961" s="10">
        <v>1</v>
      </c>
      <c r="J1961" s="10">
        <v>0</v>
      </c>
      <c r="K1961" s="10">
        <v>0</v>
      </c>
      <c r="L1961" s="10">
        <v>0</v>
      </c>
      <c r="M1961" s="10">
        <v>1</v>
      </c>
      <c r="N1961" s="10">
        <v>256</v>
      </c>
      <c r="O1961" s="10">
        <v>256</v>
      </c>
    </row>
    <row r="1962" spans="1:15" x14ac:dyDescent="0.2">
      <c r="A1962" s="10" t="s">
        <v>1182</v>
      </c>
      <c r="B1962" s="10" t="s">
        <v>116</v>
      </c>
      <c r="C1962" s="10" t="s">
        <v>117</v>
      </c>
      <c r="D1962" s="10" t="s">
        <v>51</v>
      </c>
      <c r="E1962" s="10" t="s">
        <v>52</v>
      </c>
      <c r="F1962" s="10" t="s">
        <v>75</v>
      </c>
      <c r="G1962" s="10" t="b">
        <f>FALSE()</f>
        <v>0</v>
      </c>
      <c r="H1962" s="10">
        <v>0</v>
      </c>
      <c r="I1962" s="10">
        <v>1</v>
      </c>
      <c r="J1962" s="10">
        <v>0</v>
      </c>
      <c r="K1962" s="10">
        <v>0</v>
      </c>
      <c r="L1962" s="10">
        <v>0</v>
      </c>
      <c r="M1962" s="10">
        <v>1</v>
      </c>
      <c r="N1962" s="10">
        <v>255</v>
      </c>
      <c r="O1962" s="10">
        <v>255</v>
      </c>
    </row>
    <row r="1963" spans="1:15" x14ac:dyDescent="0.2">
      <c r="A1963" s="10" t="s">
        <v>1130</v>
      </c>
      <c r="B1963" s="10" t="s">
        <v>193</v>
      </c>
      <c r="C1963" s="10" t="s">
        <v>117</v>
      </c>
      <c r="D1963" s="10" t="s">
        <v>51</v>
      </c>
      <c r="E1963" s="10" t="s">
        <v>52</v>
      </c>
      <c r="F1963" s="10" t="s">
        <v>91</v>
      </c>
      <c r="G1963" s="10" t="b">
        <f>TRUE()</f>
        <v>1</v>
      </c>
      <c r="H1963" s="10">
        <v>0</v>
      </c>
      <c r="I1963" s="10">
        <v>1</v>
      </c>
      <c r="J1963" s="10">
        <v>0</v>
      </c>
      <c r="K1963" s="10">
        <v>0</v>
      </c>
      <c r="L1963" s="10">
        <v>0</v>
      </c>
      <c r="M1963" s="10">
        <v>1</v>
      </c>
      <c r="N1963" s="10">
        <v>260</v>
      </c>
      <c r="O1963" s="10">
        <v>255</v>
      </c>
    </row>
    <row r="1964" spans="1:15" x14ac:dyDescent="0.2">
      <c r="A1964" s="10" t="s">
        <v>1100</v>
      </c>
      <c r="B1964" s="10" t="s">
        <v>572</v>
      </c>
      <c r="C1964" s="10" t="s">
        <v>112</v>
      </c>
      <c r="D1964" s="10" t="s">
        <v>51</v>
      </c>
      <c r="E1964" s="10" t="s">
        <v>52</v>
      </c>
      <c r="F1964" s="10" t="s">
        <v>214</v>
      </c>
      <c r="G1964" s="10" t="b">
        <f>FALSE()</f>
        <v>0</v>
      </c>
      <c r="H1964" s="10">
        <v>0</v>
      </c>
      <c r="I1964" s="10">
        <v>1</v>
      </c>
      <c r="J1964" s="10">
        <v>0</v>
      </c>
      <c r="K1964" s="10">
        <v>0</v>
      </c>
      <c r="L1964" s="10">
        <v>0</v>
      </c>
      <c r="M1964" s="10">
        <v>1</v>
      </c>
      <c r="N1964" s="10">
        <v>255</v>
      </c>
      <c r="O1964" s="10">
        <v>253</v>
      </c>
    </row>
    <row r="1965" spans="1:15" x14ac:dyDescent="0.2">
      <c r="A1965" s="10" t="s">
        <v>1034</v>
      </c>
      <c r="B1965" s="10" t="s">
        <v>111</v>
      </c>
      <c r="C1965" s="10" t="s">
        <v>112</v>
      </c>
      <c r="D1965" s="10" t="s">
        <v>51</v>
      </c>
      <c r="E1965" s="10" t="s">
        <v>52</v>
      </c>
      <c r="F1965" s="10" t="s">
        <v>47</v>
      </c>
      <c r="G1965" s="10" t="b">
        <f>FALSE()</f>
        <v>0</v>
      </c>
      <c r="H1965" s="10">
        <v>0</v>
      </c>
      <c r="I1965" s="10">
        <v>1</v>
      </c>
      <c r="J1965" s="10">
        <v>0</v>
      </c>
      <c r="K1965" s="10">
        <v>0</v>
      </c>
      <c r="L1965" s="10">
        <v>0</v>
      </c>
      <c r="M1965" s="10">
        <v>1</v>
      </c>
      <c r="N1965" s="10">
        <v>207</v>
      </c>
      <c r="O1965" s="10">
        <v>251</v>
      </c>
    </row>
    <row r="1966" spans="1:15" x14ac:dyDescent="0.2">
      <c r="A1966" s="10" t="s">
        <v>1183</v>
      </c>
      <c r="B1966" s="10" t="s">
        <v>89</v>
      </c>
      <c r="C1966" s="10" t="s">
        <v>90</v>
      </c>
      <c r="D1966" s="10" t="s">
        <v>51</v>
      </c>
      <c r="E1966" s="10" t="s">
        <v>52</v>
      </c>
      <c r="F1966" s="10" t="s">
        <v>58</v>
      </c>
      <c r="G1966" s="10" t="b">
        <f>FALSE()</f>
        <v>0</v>
      </c>
      <c r="H1966" s="10">
        <v>0</v>
      </c>
      <c r="I1966" s="10">
        <v>1</v>
      </c>
      <c r="J1966" s="10">
        <v>0</v>
      </c>
      <c r="K1966" s="10">
        <v>0</v>
      </c>
      <c r="L1966" s="10">
        <v>0</v>
      </c>
      <c r="M1966" s="10">
        <v>1</v>
      </c>
      <c r="N1966" s="10">
        <v>252</v>
      </c>
      <c r="O1966" s="10">
        <v>251</v>
      </c>
    </row>
    <row r="1967" spans="1:15" x14ac:dyDescent="0.2">
      <c r="A1967" s="10" t="s">
        <v>1184</v>
      </c>
      <c r="B1967" s="10" t="s">
        <v>63</v>
      </c>
      <c r="C1967" s="10" t="s">
        <v>64</v>
      </c>
      <c r="D1967" s="10" t="s">
        <v>45</v>
      </c>
      <c r="E1967" s="10" t="s">
        <v>46</v>
      </c>
      <c r="F1967" s="10" t="s">
        <v>65</v>
      </c>
      <c r="G1967" s="10" t="b">
        <f>FALSE()</f>
        <v>0</v>
      </c>
      <c r="H1967" s="10">
        <v>0</v>
      </c>
      <c r="I1967" s="10">
        <v>1</v>
      </c>
      <c r="J1967" s="10">
        <v>0</v>
      </c>
      <c r="K1967" s="10">
        <v>0</v>
      </c>
      <c r="L1967" s="10">
        <v>0</v>
      </c>
      <c r="M1967" s="10">
        <v>1</v>
      </c>
      <c r="N1967" s="10">
        <v>252</v>
      </c>
      <c r="O1967" s="10">
        <v>251</v>
      </c>
    </row>
    <row r="1968" spans="1:15" x14ac:dyDescent="0.2">
      <c r="A1968" s="10" t="s">
        <v>1028</v>
      </c>
      <c r="B1968" s="10" t="s">
        <v>262</v>
      </c>
      <c r="C1968" s="10" t="s">
        <v>105</v>
      </c>
      <c r="D1968" s="10" t="s">
        <v>45</v>
      </c>
      <c r="E1968" s="10" t="s">
        <v>46</v>
      </c>
      <c r="F1968" s="10" t="s">
        <v>113</v>
      </c>
      <c r="G1968" s="10" t="b">
        <f>TRUE()</f>
        <v>1</v>
      </c>
      <c r="H1968" s="10">
        <v>0</v>
      </c>
      <c r="I1968" s="10">
        <v>1</v>
      </c>
      <c r="J1968" s="10">
        <v>0</v>
      </c>
      <c r="K1968" s="10">
        <v>0</v>
      </c>
      <c r="L1968" s="10">
        <v>0</v>
      </c>
      <c r="M1968" s="10">
        <v>1</v>
      </c>
      <c r="N1968" s="10">
        <v>252</v>
      </c>
      <c r="O1968" s="10">
        <v>251</v>
      </c>
    </row>
    <row r="1969" spans="1:15" x14ac:dyDescent="0.2">
      <c r="A1969" s="10" t="s">
        <v>135</v>
      </c>
      <c r="B1969" s="10" t="s">
        <v>136</v>
      </c>
      <c r="C1969" s="10" t="s">
        <v>73</v>
      </c>
      <c r="D1969" s="10" t="s">
        <v>45</v>
      </c>
      <c r="E1969" s="10" t="s">
        <v>46</v>
      </c>
      <c r="F1969" s="10" t="s">
        <v>223</v>
      </c>
      <c r="G1969" s="10" t="b">
        <f>FALSE()</f>
        <v>0</v>
      </c>
      <c r="H1969" s="10">
        <v>0</v>
      </c>
      <c r="I1969" s="10">
        <v>1</v>
      </c>
      <c r="J1969" s="10">
        <v>0</v>
      </c>
      <c r="K1969" s="10">
        <v>0</v>
      </c>
      <c r="L1969" s="10">
        <v>0</v>
      </c>
      <c r="M1969" s="10">
        <v>1</v>
      </c>
      <c r="N1969" s="10">
        <v>249</v>
      </c>
      <c r="O1969" s="10">
        <v>249</v>
      </c>
    </row>
    <row r="1970" spans="1:15" x14ac:dyDescent="0.2">
      <c r="A1970" s="10" t="s">
        <v>1068</v>
      </c>
      <c r="B1970" s="10" t="s">
        <v>238</v>
      </c>
      <c r="C1970" s="10" t="s">
        <v>90</v>
      </c>
      <c r="D1970" s="10" t="s">
        <v>51</v>
      </c>
      <c r="E1970" s="10" t="s">
        <v>52</v>
      </c>
      <c r="F1970" s="10" t="s">
        <v>345</v>
      </c>
      <c r="G1970" s="10" t="b">
        <f>FALSE()</f>
        <v>0</v>
      </c>
      <c r="H1970" s="10">
        <v>0</v>
      </c>
      <c r="I1970" s="10">
        <v>1</v>
      </c>
      <c r="J1970" s="10">
        <v>0</v>
      </c>
      <c r="K1970" s="10">
        <v>0</v>
      </c>
      <c r="L1970" s="10">
        <v>0</v>
      </c>
      <c r="M1970" s="10">
        <v>1</v>
      </c>
      <c r="N1970" s="10">
        <v>253</v>
      </c>
      <c r="O1970" s="10">
        <v>249</v>
      </c>
    </row>
    <row r="1971" spans="1:15" x14ac:dyDescent="0.2">
      <c r="A1971" s="10" t="s">
        <v>1126</v>
      </c>
      <c r="B1971" s="10" t="s">
        <v>260</v>
      </c>
      <c r="C1971" s="10" t="s">
        <v>64</v>
      </c>
      <c r="D1971" s="10" t="s">
        <v>45</v>
      </c>
      <c r="E1971" s="10" t="s">
        <v>46</v>
      </c>
      <c r="F1971" s="10" t="s">
        <v>446</v>
      </c>
      <c r="G1971" s="10" t="b">
        <f>FALSE()</f>
        <v>0</v>
      </c>
      <c r="H1971" s="10">
        <v>0</v>
      </c>
      <c r="I1971" s="10">
        <v>1</v>
      </c>
      <c r="J1971" s="10">
        <v>0</v>
      </c>
      <c r="K1971" s="10">
        <v>0</v>
      </c>
      <c r="L1971" s="10">
        <v>0</v>
      </c>
      <c r="M1971" s="10">
        <v>1</v>
      </c>
      <c r="N1971" s="10">
        <v>253</v>
      </c>
      <c r="O1971" s="10">
        <v>249</v>
      </c>
    </row>
    <row r="1972" spans="1:15" x14ac:dyDescent="0.2">
      <c r="A1972" s="10" t="s">
        <v>1086</v>
      </c>
      <c r="B1972" s="10" t="s">
        <v>172</v>
      </c>
      <c r="C1972" s="10" t="s">
        <v>44</v>
      </c>
      <c r="D1972" s="10" t="s">
        <v>45</v>
      </c>
      <c r="E1972" s="10" t="s">
        <v>46</v>
      </c>
      <c r="F1972" s="10" t="s">
        <v>481</v>
      </c>
      <c r="G1972" s="10" t="b">
        <f>FALSE()</f>
        <v>0</v>
      </c>
      <c r="H1972" s="10">
        <v>0</v>
      </c>
      <c r="I1972" s="10">
        <v>1</v>
      </c>
      <c r="J1972" s="10">
        <v>0</v>
      </c>
      <c r="K1972" s="10">
        <v>0</v>
      </c>
      <c r="L1972" s="10">
        <v>0</v>
      </c>
      <c r="M1972" s="10">
        <v>1</v>
      </c>
      <c r="N1972" s="10">
        <v>248</v>
      </c>
      <c r="O1972" s="10">
        <v>248</v>
      </c>
    </row>
    <row r="1973" spans="1:15" x14ac:dyDescent="0.2">
      <c r="A1973" s="10" t="s">
        <v>1097</v>
      </c>
      <c r="B1973" s="10" t="s">
        <v>109</v>
      </c>
      <c r="C1973" s="10" t="s">
        <v>90</v>
      </c>
      <c r="D1973" s="10" t="s">
        <v>51</v>
      </c>
      <c r="E1973" s="10" t="s">
        <v>52</v>
      </c>
      <c r="F1973" s="10" t="s">
        <v>74</v>
      </c>
      <c r="G1973" s="10" t="b">
        <f>FALSE()</f>
        <v>0</v>
      </c>
      <c r="H1973" s="10">
        <v>0</v>
      </c>
      <c r="I1973" s="10">
        <v>1</v>
      </c>
      <c r="J1973" s="10">
        <v>0</v>
      </c>
      <c r="K1973" s="10">
        <v>0</v>
      </c>
      <c r="L1973" s="10">
        <v>0</v>
      </c>
      <c r="M1973" s="10">
        <v>1</v>
      </c>
      <c r="N1973" s="10">
        <v>252</v>
      </c>
      <c r="O1973" s="10">
        <v>247</v>
      </c>
    </row>
    <row r="1974" spans="1:15" x14ac:dyDescent="0.2">
      <c r="A1974" s="10" t="s">
        <v>1047</v>
      </c>
      <c r="B1974" s="10" t="s">
        <v>96</v>
      </c>
      <c r="C1974" s="10" t="s">
        <v>50</v>
      </c>
      <c r="D1974" s="10" t="s">
        <v>51</v>
      </c>
      <c r="E1974" s="10" t="s">
        <v>52</v>
      </c>
      <c r="F1974" s="10" t="s">
        <v>92</v>
      </c>
      <c r="G1974" s="10" t="b">
        <f>FALSE()</f>
        <v>0</v>
      </c>
      <c r="H1974" s="10">
        <v>0</v>
      </c>
      <c r="I1974" s="10">
        <v>1</v>
      </c>
      <c r="J1974" s="10">
        <v>0</v>
      </c>
      <c r="K1974" s="10">
        <v>0</v>
      </c>
      <c r="L1974" s="10">
        <v>0</v>
      </c>
      <c r="M1974" s="10">
        <v>1</v>
      </c>
      <c r="N1974" s="10">
        <v>245</v>
      </c>
      <c r="O1974" s="10">
        <v>245</v>
      </c>
    </row>
    <row r="1975" spans="1:15" x14ac:dyDescent="0.2">
      <c r="A1975" s="10" t="s">
        <v>1152</v>
      </c>
      <c r="B1975" s="10" t="s">
        <v>67</v>
      </c>
      <c r="C1975" s="10" t="s">
        <v>64</v>
      </c>
      <c r="D1975" s="10" t="s">
        <v>45</v>
      </c>
      <c r="E1975" s="10" t="s">
        <v>46</v>
      </c>
      <c r="F1975" s="10" t="s">
        <v>61</v>
      </c>
      <c r="G1975" s="10" t="b">
        <f>FALSE()</f>
        <v>0</v>
      </c>
      <c r="H1975" s="10">
        <v>0</v>
      </c>
      <c r="I1975" s="10">
        <v>1</v>
      </c>
      <c r="J1975" s="10">
        <v>0</v>
      </c>
      <c r="K1975" s="10">
        <v>0</v>
      </c>
      <c r="L1975" s="10">
        <v>0</v>
      </c>
      <c r="M1975" s="10">
        <v>1</v>
      </c>
      <c r="N1975" s="10">
        <v>245</v>
      </c>
      <c r="O1975" s="10">
        <v>245</v>
      </c>
    </row>
    <row r="1976" spans="1:15" x14ac:dyDescent="0.2">
      <c r="A1976" s="10" t="s">
        <v>1132</v>
      </c>
      <c r="B1976" s="10" t="s">
        <v>262</v>
      </c>
      <c r="C1976" s="10" t="s">
        <v>105</v>
      </c>
      <c r="D1976" s="10" t="s">
        <v>45</v>
      </c>
      <c r="E1976" s="10" t="s">
        <v>46</v>
      </c>
      <c r="F1976" s="10" t="s">
        <v>61</v>
      </c>
      <c r="G1976" s="10" t="b">
        <f>FALSE()</f>
        <v>0</v>
      </c>
      <c r="H1976" s="10">
        <v>0</v>
      </c>
      <c r="I1976" s="10">
        <v>1</v>
      </c>
      <c r="J1976" s="10">
        <v>0</v>
      </c>
      <c r="K1976" s="10">
        <v>0</v>
      </c>
      <c r="L1976" s="10">
        <v>0</v>
      </c>
      <c r="M1976" s="10">
        <v>1</v>
      </c>
      <c r="N1976" s="10">
        <v>245</v>
      </c>
      <c r="O1976" s="10">
        <v>245</v>
      </c>
    </row>
    <row r="1977" spans="1:15" x14ac:dyDescent="0.2">
      <c r="A1977" s="10" t="s">
        <v>1078</v>
      </c>
      <c r="B1977" s="10" t="s">
        <v>188</v>
      </c>
      <c r="C1977" s="10" t="s">
        <v>112</v>
      </c>
      <c r="D1977" s="10" t="s">
        <v>51</v>
      </c>
      <c r="E1977" s="10" t="s">
        <v>52</v>
      </c>
      <c r="F1977" s="10" t="s">
        <v>251</v>
      </c>
      <c r="G1977" s="10" t="b">
        <f>FALSE()</f>
        <v>0</v>
      </c>
      <c r="H1977" s="10">
        <v>0</v>
      </c>
      <c r="I1977" s="10">
        <v>1</v>
      </c>
      <c r="J1977" s="10">
        <v>0</v>
      </c>
      <c r="K1977" s="10">
        <v>0</v>
      </c>
      <c r="L1977" s="10">
        <v>0</v>
      </c>
      <c r="M1977" s="10">
        <v>1</v>
      </c>
      <c r="N1977" s="10">
        <v>247</v>
      </c>
      <c r="O1977" s="10">
        <v>244</v>
      </c>
    </row>
    <row r="1978" spans="1:15" x14ac:dyDescent="0.2">
      <c r="A1978" s="10" t="s">
        <v>1185</v>
      </c>
      <c r="B1978" s="10" t="s">
        <v>43</v>
      </c>
      <c r="C1978" s="10" t="s">
        <v>44</v>
      </c>
      <c r="D1978" s="10" t="s">
        <v>45</v>
      </c>
      <c r="E1978" s="10" t="s">
        <v>46</v>
      </c>
      <c r="F1978" s="10" t="s">
        <v>1035</v>
      </c>
      <c r="G1978" s="10" t="b">
        <f>FALSE()</f>
        <v>0</v>
      </c>
      <c r="H1978" s="10">
        <v>0</v>
      </c>
      <c r="I1978" s="10">
        <v>1</v>
      </c>
      <c r="J1978" s="10">
        <v>0</v>
      </c>
      <c r="K1978" s="10">
        <v>0</v>
      </c>
      <c r="L1978" s="10">
        <v>0</v>
      </c>
      <c r="M1978" s="10">
        <v>1</v>
      </c>
      <c r="N1978" s="10">
        <v>246</v>
      </c>
      <c r="O1978" s="10">
        <v>244</v>
      </c>
    </row>
    <row r="1979" spans="1:15" x14ac:dyDescent="0.2">
      <c r="A1979" s="10" t="s">
        <v>1186</v>
      </c>
      <c r="B1979" s="10" t="s">
        <v>498</v>
      </c>
      <c r="C1979" s="10" t="s">
        <v>245</v>
      </c>
      <c r="D1979" s="10" t="s">
        <v>51</v>
      </c>
      <c r="E1979" s="10" t="s">
        <v>52</v>
      </c>
      <c r="F1979" s="10" t="s">
        <v>61</v>
      </c>
      <c r="G1979" s="10" t="b">
        <f>FALSE()</f>
        <v>0</v>
      </c>
      <c r="H1979" s="10">
        <v>0</v>
      </c>
      <c r="I1979" s="10">
        <v>1</v>
      </c>
      <c r="J1979" s="10">
        <v>0</v>
      </c>
      <c r="K1979" s="10">
        <v>0</v>
      </c>
      <c r="L1979" s="10">
        <v>0</v>
      </c>
      <c r="M1979" s="10">
        <v>1</v>
      </c>
      <c r="N1979" s="10">
        <v>242</v>
      </c>
      <c r="O1979" s="10">
        <v>243</v>
      </c>
    </row>
    <row r="1980" spans="1:15" x14ac:dyDescent="0.2">
      <c r="A1980" s="10" t="s">
        <v>1128</v>
      </c>
      <c r="B1980" s="10" t="s">
        <v>549</v>
      </c>
      <c r="C1980" s="10" t="s">
        <v>117</v>
      </c>
      <c r="D1980" s="10" t="s">
        <v>51</v>
      </c>
      <c r="E1980" s="10" t="s">
        <v>52</v>
      </c>
      <c r="F1980" s="10" t="s">
        <v>91</v>
      </c>
      <c r="G1980" s="10" t="b">
        <f>TRUE()</f>
        <v>1</v>
      </c>
      <c r="H1980" s="10">
        <v>0</v>
      </c>
      <c r="I1980" s="10">
        <v>1</v>
      </c>
      <c r="J1980" s="10">
        <v>0</v>
      </c>
      <c r="K1980" s="10">
        <v>0</v>
      </c>
      <c r="L1980" s="10">
        <v>0</v>
      </c>
      <c r="M1980" s="10">
        <v>1</v>
      </c>
      <c r="N1980" s="10">
        <v>255</v>
      </c>
      <c r="O1980" s="10">
        <v>242</v>
      </c>
    </row>
    <row r="1981" spans="1:15" x14ac:dyDescent="0.2">
      <c r="A1981" s="10" t="s">
        <v>1187</v>
      </c>
      <c r="B1981" s="10" t="s">
        <v>119</v>
      </c>
      <c r="C1981" s="10" t="s">
        <v>56</v>
      </c>
      <c r="D1981" s="10" t="s">
        <v>45</v>
      </c>
      <c r="E1981" s="10" t="s">
        <v>46</v>
      </c>
      <c r="F1981" s="10" t="s">
        <v>47</v>
      </c>
      <c r="G1981" s="10" t="b">
        <f>FALSE()</f>
        <v>0</v>
      </c>
      <c r="H1981" s="10">
        <v>0</v>
      </c>
      <c r="I1981" s="10">
        <v>1</v>
      </c>
      <c r="J1981" s="10">
        <v>0</v>
      </c>
      <c r="K1981" s="10">
        <v>0</v>
      </c>
      <c r="L1981" s="10">
        <v>0</v>
      </c>
      <c r="M1981" s="10">
        <v>1</v>
      </c>
      <c r="N1981" s="10">
        <v>229</v>
      </c>
      <c r="O1981" s="10">
        <v>242</v>
      </c>
    </row>
    <row r="1982" spans="1:15" x14ac:dyDescent="0.2">
      <c r="A1982" s="10" t="s">
        <v>1111</v>
      </c>
      <c r="B1982" s="10" t="s">
        <v>70</v>
      </c>
      <c r="C1982" s="10" t="s">
        <v>70</v>
      </c>
      <c r="D1982" s="10" t="s">
        <v>45</v>
      </c>
      <c r="E1982" s="10" t="s">
        <v>46</v>
      </c>
      <c r="F1982" s="10" t="s">
        <v>58</v>
      </c>
      <c r="G1982" s="10" t="b">
        <f>FALSE()</f>
        <v>0</v>
      </c>
      <c r="H1982" s="10">
        <v>0</v>
      </c>
      <c r="I1982" s="10">
        <v>1</v>
      </c>
      <c r="J1982" s="10">
        <v>0</v>
      </c>
      <c r="K1982" s="10">
        <v>0</v>
      </c>
      <c r="L1982" s="10">
        <v>0</v>
      </c>
      <c r="M1982" s="10">
        <v>1</v>
      </c>
      <c r="N1982" s="10">
        <v>245</v>
      </c>
      <c r="O1982" s="10">
        <v>241</v>
      </c>
    </row>
    <row r="1983" spans="1:15" x14ac:dyDescent="0.2">
      <c r="A1983" s="10" t="s">
        <v>1120</v>
      </c>
      <c r="B1983" s="10" t="s">
        <v>265</v>
      </c>
      <c r="C1983" s="10" t="s">
        <v>245</v>
      </c>
      <c r="D1983" s="10" t="s">
        <v>51</v>
      </c>
      <c r="E1983" s="10" t="s">
        <v>52</v>
      </c>
      <c r="F1983" s="10" t="s">
        <v>58</v>
      </c>
      <c r="G1983" s="10" t="b">
        <f>FALSE()</f>
        <v>0</v>
      </c>
      <c r="H1983" s="10">
        <v>0</v>
      </c>
      <c r="I1983" s="10">
        <v>1</v>
      </c>
      <c r="J1983" s="10">
        <v>0</v>
      </c>
      <c r="K1983" s="10">
        <v>0</v>
      </c>
      <c r="L1983" s="10">
        <v>0</v>
      </c>
      <c r="M1983" s="10">
        <v>1</v>
      </c>
      <c r="N1983" s="10">
        <v>247</v>
      </c>
      <c r="O1983" s="10">
        <v>240</v>
      </c>
    </row>
    <row r="1984" spans="1:15" x14ac:dyDescent="0.2">
      <c r="A1984" s="10" t="s">
        <v>343</v>
      </c>
      <c r="B1984" s="10" t="s">
        <v>385</v>
      </c>
      <c r="C1984" s="10" t="s">
        <v>90</v>
      </c>
      <c r="D1984" s="10" t="s">
        <v>51</v>
      </c>
      <c r="E1984" s="10" t="s">
        <v>52</v>
      </c>
      <c r="F1984" s="10" t="s">
        <v>180</v>
      </c>
      <c r="G1984" s="10" t="b">
        <f>FALSE()</f>
        <v>0</v>
      </c>
      <c r="H1984" s="10">
        <v>0</v>
      </c>
      <c r="I1984" s="10">
        <v>1</v>
      </c>
      <c r="J1984" s="10">
        <v>0</v>
      </c>
      <c r="K1984" s="10">
        <v>0</v>
      </c>
      <c r="L1984" s="10">
        <v>0</v>
      </c>
      <c r="M1984" s="10">
        <v>1</v>
      </c>
      <c r="N1984" s="10">
        <v>239</v>
      </c>
      <c r="O1984" s="10">
        <v>239</v>
      </c>
    </row>
    <row r="1985" spans="1:15" x14ac:dyDescent="0.2">
      <c r="A1985" s="10" t="s">
        <v>1188</v>
      </c>
      <c r="B1985" s="10" t="s">
        <v>111</v>
      </c>
      <c r="C1985" s="10" t="s">
        <v>112</v>
      </c>
      <c r="D1985" s="10" t="s">
        <v>51</v>
      </c>
      <c r="E1985" s="10" t="s">
        <v>52</v>
      </c>
      <c r="F1985" s="10" t="s">
        <v>47</v>
      </c>
      <c r="G1985" s="10" t="b">
        <f>FALSE()</f>
        <v>0</v>
      </c>
      <c r="H1985" s="10">
        <v>0</v>
      </c>
      <c r="I1985" s="10">
        <v>1</v>
      </c>
      <c r="J1985" s="10">
        <v>0</v>
      </c>
      <c r="K1985" s="10">
        <v>0</v>
      </c>
      <c r="L1985" s="10">
        <v>0</v>
      </c>
      <c r="M1985" s="10">
        <v>1</v>
      </c>
      <c r="N1985" s="10">
        <v>223</v>
      </c>
      <c r="O1985" s="10">
        <v>239</v>
      </c>
    </row>
    <row r="1986" spans="1:15" x14ac:dyDescent="0.2">
      <c r="A1986" s="10" t="s">
        <v>453</v>
      </c>
      <c r="B1986" s="10" t="s">
        <v>136</v>
      </c>
      <c r="C1986" s="10" t="s">
        <v>73</v>
      </c>
      <c r="D1986" s="10" t="s">
        <v>45</v>
      </c>
      <c r="E1986" s="10" t="s">
        <v>46</v>
      </c>
      <c r="F1986" s="10" t="s">
        <v>91</v>
      </c>
      <c r="G1986" s="10" t="b">
        <f>TRUE()</f>
        <v>1</v>
      </c>
      <c r="H1986" s="10">
        <v>1</v>
      </c>
      <c r="I1986" s="10">
        <v>1</v>
      </c>
      <c r="J1986" s="10">
        <v>1</v>
      </c>
      <c r="K1986" s="10">
        <v>24</v>
      </c>
      <c r="L1986" s="10">
        <v>0</v>
      </c>
      <c r="M1986" s="10">
        <v>1</v>
      </c>
      <c r="N1986" s="10">
        <v>238</v>
      </c>
      <c r="O1986" s="10">
        <v>238</v>
      </c>
    </row>
    <row r="1987" spans="1:15" x14ac:dyDescent="0.2">
      <c r="A1987" s="10" t="s">
        <v>278</v>
      </c>
      <c r="B1987" s="10" t="s">
        <v>43</v>
      </c>
      <c r="C1987" s="10" t="s">
        <v>44</v>
      </c>
      <c r="D1987" s="10" t="s">
        <v>45</v>
      </c>
      <c r="E1987" s="10" t="s">
        <v>46</v>
      </c>
      <c r="F1987" s="10" t="s">
        <v>986</v>
      </c>
      <c r="G1987" s="10" t="b">
        <f>FALSE()</f>
        <v>0</v>
      </c>
      <c r="H1987" s="10">
        <v>0</v>
      </c>
      <c r="I1987" s="10">
        <v>1</v>
      </c>
      <c r="J1987" s="10">
        <v>0</v>
      </c>
      <c r="K1987" s="10">
        <v>0</v>
      </c>
      <c r="L1987" s="10">
        <v>0</v>
      </c>
      <c r="M1987" s="10">
        <v>1</v>
      </c>
      <c r="N1987" s="10">
        <v>240</v>
      </c>
      <c r="O1987" s="10">
        <v>237</v>
      </c>
    </row>
    <row r="1988" spans="1:15" x14ac:dyDescent="0.2">
      <c r="A1988" s="10" t="s">
        <v>1189</v>
      </c>
      <c r="B1988" s="10" t="s">
        <v>70</v>
      </c>
      <c r="C1988" s="10" t="s">
        <v>70</v>
      </c>
      <c r="D1988" s="10" t="s">
        <v>45</v>
      </c>
      <c r="E1988" s="10" t="s">
        <v>46</v>
      </c>
      <c r="F1988" s="10" t="s">
        <v>153</v>
      </c>
      <c r="G1988" s="10" t="b">
        <f>FALSE()</f>
        <v>0</v>
      </c>
      <c r="H1988" s="10">
        <v>0</v>
      </c>
      <c r="I1988" s="10">
        <v>1</v>
      </c>
      <c r="J1988" s="10">
        <v>0</v>
      </c>
      <c r="K1988" s="10">
        <v>0</v>
      </c>
      <c r="L1988" s="10">
        <v>0</v>
      </c>
      <c r="M1988" s="10">
        <v>1</v>
      </c>
      <c r="N1988" s="10">
        <v>239</v>
      </c>
      <c r="O1988" s="10">
        <v>237</v>
      </c>
    </row>
    <row r="1989" spans="1:15" x14ac:dyDescent="0.2">
      <c r="A1989" s="10" t="s">
        <v>1068</v>
      </c>
      <c r="B1989" s="10" t="s">
        <v>238</v>
      </c>
      <c r="C1989" s="10" t="s">
        <v>90</v>
      </c>
      <c r="D1989" s="10" t="s">
        <v>51</v>
      </c>
      <c r="E1989" s="10" t="s">
        <v>52</v>
      </c>
      <c r="F1989" s="10" t="s">
        <v>475</v>
      </c>
      <c r="G1989" s="10" t="b">
        <f>FALSE()</f>
        <v>0</v>
      </c>
      <c r="H1989" s="10">
        <v>0</v>
      </c>
      <c r="I1989" s="10">
        <v>1</v>
      </c>
      <c r="J1989" s="10">
        <v>0</v>
      </c>
      <c r="K1989" s="10">
        <v>0</v>
      </c>
      <c r="L1989" s="10">
        <v>0</v>
      </c>
      <c r="M1989" s="10">
        <v>1</v>
      </c>
      <c r="N1989" s="10">
        <v>198</v>
      </c>
      <c r="O1989" s="10">
        <v>236</v>
      </c>
    </row>
    <row r="1990" spans="1:15" x14ac:dyDescent="0.2">
      <c r="A1990" s="10" t="s">
        <v>1123</v>
      </c>
      <c r="B1990" s="10" t="s">
        <v>70</v>
      </c>
      <c r="C1990" s="10" t="s">
        <v>70</v>
      </c>
      <c r="D1990" s="10" t="s">
        <v>45</v>
      </c>
      <c r="E1990" s="10" t="s">
        <v>46</v>
      </c>
      <c r="F1990" s="10" t="s">
        <v>123</v>
      </c>
      <c r="G1990" s="10" t="b">
        <f>FALSE()</f>
        <v>0</v>
      </c>
      <c r="H1990" s="10">
        <v>0</v>
      </c>
      <c r="I1990" s="10">
        <v>1</v>
      </c>
      <c r="J1990" s="10">
        <v>0</v>
      </c>
      <c r="K1990" s="10">
        <v>0</v>
      </c>
      <c r="L1990" s="10">
        <v>0</v>
      </c>
      <c r="M1990" s="10">
        <v>1</v>
      </c>
      <c r="N1990" s="10">
        <v>240</v>
      </c>
      <c r="O1990" s="10">
        <v>236</v>
      </c>
    </row>
    <row r="1991" spans="1:15" x14ac:dyDescent="0.2">
      <c r="A1991" s="10" t="s">
        <v>1100</v>
      </c>
      <c r="B1991" s="10" t="s">
        <v>572</v>
      </c>
      <c r="C1991" s="10" t="s">
        <v>112</v>
      </c>
      <c r="D1991" s="10" t="s">
        <v>51</v>
      </c>
      <c r="E1991" s="10" t="s">
        <v>52</v>
      </c>
      <c r="F1991" s="10" t="s">
        <v>481</v>
      </c>
      <c r="G1991" s="10" t="b">
        <f>FALSE()</f>
        <v>0</v>
      </c>
      <c r="H1991" s="10">
        <v>0</v>
      </c>
      <c r="I1991" s="10">
        <v>1</v>
      </c>
      <c r="J1991" s="10">
        <v>0</v>
      </c>
      <c r="K1991" s="10">
        <v>0</v>
      </c>
      <c r="L1991" s="10">
        <v>0</v>
      </c>
      <c r="M1991" s="10">
        <v>1</v>
      </c>
      <c r="N1991" s="10">
        <v>238</v>
      </c>
      <c r="O1991" s="10">
        <v>235</v>
      </c>
    </row>
    <row r="1992" spans="1:15" x14ac:dyDescent="0.2">
      <c r="A1992" s="10" t="s">
        <v>1031</v>
      </c>
      <c r="B1992" s="10" t="s">
        <v>119</v>
      </c>
      <c r="C1992" s="10" t="s">
        <v>56</v>
      </c>
      <c r="D1992" s="10" t="s">
        <v>45</v>
      </c>
      <c r="E1992" s="10" t="s">
        <v>46</v>
      </c>
      <c r="F1992" s="10" t="s">
        <v>79</v>
      </c>
      <c r="G1992" s="10" t="b">
        <f>FALSE()</f>
        <v>0</v>
      </c>
      <c r="H1992" s="10">
        <v>0</v>
      </c>
      <c r="I1992" s="10">
        <v>1</v>
      </c>
      <c r="J1992" s="10">
        <v>0</v>
      </c>
      <c r="K1992" s="10">
        <v>0</v>
      </c>
      <c r="L1992" s="10">
        <v>0</v>
      </c>
      <c r="M1992" s="10">
        <v>1</v>
      </c>
      <c r="N1992" s="10">
        <v>243</v>
      </c>
      <c r="O1992" s="10">
        <v>235</v>
      </c>
    </row>
    <row r="1993" spans="1:15" x14ac:dyDescent="0.2">
      <c r="A1993" s="10" t="s">
        <v>1135</v>
      </c>
      <c r="B1993" s="10" t="s">
        <v>517</v>
      </c>
      <c r="C1993" s="10" t="s">
        <v>90</v>
      </c>
      <c r="D1993" s="10" t="s">
        <v>51</v>
      </c>
      <c r="E1993" s="10" t="s">
        <v>52</v>
      </c>
      <c r="F1993" s="10" t="s">
        <v>91</v>
      </c>
      <c r="G1993" s="10" t="b">
        <f>TRUE()</f>
        <v>1</v>
      </c>
      <c r="H1993" s="10">
        <v>0</v>
      </c>
      <c r="I1993" s="10">
        <v>1</v>
      </c>
      <c r="J1993" s="10">
        <v>0</v>
      </c>
      <c r="K1993" s="10">
        <v>0</v>
      </c>
      <c r="L1993" s="10">
        <v>0</v>
      </c>
      <c r="M1993" s="10">
        <v>1</v>
      </c>
      <c r="N1993" s="10">
        <v>240</v>
      </c>
      <c r="O1993" s="10">
        <v>233</v>
      </c>
    </row>
    <row r="1994" spans="1:15" x14ac:dyDescent="0.2">
      <c r="A1994" s="10" t="s">
        <v>1190</v>
      </c>
      <c r="B1994" s="10" t="s">
        <v>321</v>
      </c>
      <c r="C1994" s="10" t="s">
        <v>245</v>
      </c>
      <c r="D1994" s="10" t="s">
        <v>51</v>
      </c>
      <c r="E1994" s="10" t="s">
        <v>52</v>
      </c>
      <c r="F1994" s="10" t="s">
        <v>74</v>
      </c>
      <c r="G1994" s="10" t="b">
        <f>FALSE()</f>
        <v>0</v>
      </c>
      <c r="H1994" s="10">
        <v>0</v>
      </c>
      <c r="I1994" s="10">
        <v>1</v>
      </c>
      <c r="J1994" s="10">
        <v>0</v>
      </c>
      <c r="K1994" s="10">
        <v>0</v>
      </c>
      <c r="L1994" s="10">
        <v>0</v>
      </c>
      <c r="M1994" s="10">
        <v>1</v>
      </c>
      <c r="N1994" s="10">
        <v>238</v>
      </c>
      <c r="O1994" s="10">
        <v>232</v>
      </c>
    </row>
    <row r="1995" spans="1:15" x14ac:dyDescent="0.2">
      <c r="A1995" s="10" t="s">
        <v>691</v>
      </c>
      <c r="B1995" s="10" t="s">
        <v>136</v>
      </c>
      <c r="C1995" s="10" t="s">
        <v>73</v>
      </c>
      <c r="D1995" s="10" t="s">
        <v>45</v>
      </c>
      <c r="E1995" s="10" t="s">
        <v>46</v>
      </c>
      <c r="F1995" s="10" t="s">
        <v>91</v>
      </c>
      <c r="G1995" s="10" t="b">
        <f>TRUE()</f>
        <v>1</v>
      </c>
      <c r="H1995" s="10">
        <v>0</v>
      </c>
      <c r="I1995" s="10">
        <v>1</v>
      </c>
      <c r="J1995" s="10">
        <v>0</v>
      </c>
      <c r="K1995" s="10">
        <v>0</v>
      </c>
      <c r="L1995" s="10">
        <v>0</v>
      </c>
      <c r="M1995" s="10">
        <v>1</v>
      </c>
      <c r="N1995" s="10">
        <v>230</v>
      </c>
      <c r="O1995" s="10">
        <v>230</v>
      </c>
    </row>
    <row r="1996" spans="1:15" x14ac:dyDescent="0.2">
      <c r="A1996" s="10" t="s">
        <v>414</v>
      </c>
      <c r="B1996" s="10" t="s">
        <v>96</v>
      </c>
      <c r="C1996" s="10" t="s">
        <v>50</v>
      </c>
      <c r="D1996" s="10" t="s">
        <v>51</v>
      </c>
      <c r="E1996" s="10" t="s">
        <v>52</v>
      </c>
      <c r="F1996" s="10" t="s">
        <v>223</v>
      </c>
      <c r="G1996" s="10" t="b">
        <f>FALSE()</f>
        <v>0</v>
      </c>
      <c r="H1996" s="10">
        <v>0</v>
      </c>
      <c r="I1996" s="10">
        <v>1</v>
      </c>
      <c r="J1996" s="10">
        <v>0</v>
      </c>
      <c r="K1996" s="10">
        <v>0</v>
      </c>
      <c r="L1996" s="10">
        <v>0</v>
      </c>
      <c r="M1996" s="10">
        <v>1</v>
      </c>
      <c r="N1996" s="10">
        <v>230</v>
      </c>
      <c r="O1996" s="10">
        <v>230</v>
      </c>
    </row>
    <row r="1997" spans="1:15" x14ac:dyDescent="0.2">
      <c r="A1997" s="10" t="s">
        <v>1024</v>
      </c>
      <c r="B1997" s="10" t="s">
        <v>172</v>
      </c>
      <c r="C1997" s="10" t="s">
        <v>44</v>
      </c>
      <c r="D1997" s="10" t="s">
        <v>45</v>
      </c>
      <c r="E1997" s="10" t="s">
        <v>46</v>
      </c>
      <c r="F1997" s="10" t="s">
        <v>251</v>
      </c>
      <c r="G1997" s="10" t="b">
        <f>FALSE()</f>
        <v>0</v>
      </c>
      <c r="H1997" s="10">
        <v>0</v>
      </c>
      <c r="I1997" s="10">
        <v>1</v>
      </c>
      <c r="J1997" s="10">
        <v>0</v>
      </c>
      <c r="K1997" s="10">
        <v>0</v>
      </c>
      <c r="L1997" s="10">
        <v>0</v>
      </c>
      <c r="M1997" s="10">
        <v>1</v>
      </c>
      <c r="N1997" s="10">
        <v>236</v>
      </c>
      <c r="O1997" s="10">
        <v>229</v>
      </c>
    </row>
    <row r="1998" spans="1:15" x14ac:dyDescent="0.2">
      <c r="A1998" s="10" t="s">
        <v>1032</v>
      </c>
      <c r="B1998" s="10" t="s">
        <v>96</v>
      </c>
      <c r="C1998" s="10" t="s">
        <v>50</v>
      </c>
      <c r="D1998" s="10" t="s">
        <v>51</v>
      </c>
      <c r="E1998" s="10" t="s">
        <v>52</v>
      </c>
      <c r="F1998" s="10" t="s">
        <v>61</v>
      </c>
      <c r="G1998" s="10" t="b">
        <f>FALSE()</f>
        <v>0</v>
      </c>
      <c r="H1998" s="10">
        <v>0</v>
      </c>
      <c r="I1998" s="10">
        <v>1</v>
      </c>
      <c r="J1998" s="10">
        <v>0</v>
      </c>
      <c r="K1998" s="10">
        <v>0</v>
      </c>
      <c r="L1998" s="10">
        <v>0</v>
      </c>
      <c r="M1998" s="10">
        <v>1</v>
      </c>
      <c r="N1998" s="10">
        <v>253</v>
      </c>
      <c r="O1998" s="10">
        <v>228</v>
      </c>
    </row>
    <row r="1999" spans="1:15" x14ac:dyDescent="0.2">
      <c r="A1999" s="10" t="s">
        <v>1025</v>
      </c>
      <c r="B1999" s="10" t="s">
        <v>285</v>
      </c>
      <c r="C1999" s="10" t="s">
        <v>105</v>
      </c>
      <c r="D1999" s="10" t="s">
        <v>45</v>
      </c>
      <c r="E1999" s="10" t="s">
        <v>46</v>
      </c>
      <c r="F1999" s="10" t="s">
        <v>251</v>
      </c>
      <c r="G1999" s="10" t="b">
        <f>FALSE()</f>
        <v>0</v>
      </c>
      <c r="H1999" s="10">
        <v>0</v>
      </c>
      <c r="I1999" s="10">
        <v>1</v>
      </c>
      <c r="J1999" s="10">
        <v>0</v>
      </c>
      <c r="K1999" s="10">
        <v>0</v>
      </c>
      <c r="L1999" s="10">
        <v>0</v>
      </c>
      <c r="M1999" s="10">
        <v>1</v>
      </c>
      <c r="N1999" s="10">
        <v>228</v>
      </c>
      <c r="O1999" s="10">
        <v>228</v>
      </c>
    </row>
    <row r="2000" spans="1:15" x14ac:dyDescent="0.2">
      <c r="A2000" s="10" t="s">
        <v>1191</v>
      </c>
      <c r="B2000" s="10" t="s">
        <v>384</v>
      </c>
      <c r="C2000" s="10" t="s">
        <v>50</v>
      </c>
      <c r="D2000" s="10" t="s">
        <v>51</v>
      </c>
      <c r="E2000" s="10" t="s">
        <v>52</v>
      </c>
      <c r="F2000" s="10" t="s">
        <v>47</v>
      </c>
      <c r="G2000" s="10" t="b">
        <f>FALSE()</f>
        <v>0</v>
      </c>
      <c r="H2000" s="10">
        <v>0</v>
      </c>
      <c r="I2000" s="10">
        <v>1</v>
      </c>
      <c r="J2000" s="10">
        <v>0</v>
      </c>
      <c r="K2000" s="10">
        <v>0</v>
      </c>
      <c r="L2000" s="10">
        <v>0</v>
      </c>
      <c r="M2000" s="10">
        <v>1</v>
      </c>
      <c r="N2000" s="10">
        <v>205</v>
      </c>
      <c r="O2000" s="10">
        <v>227</v>
      </c>
    </row>
    <row r="2001" spans="1:15" x14ac:dyDescent="0.2">
      <c r="A2001" s="10" t="s">
        <v>71</v>
      </c>
      <c r="B2001" s="10" t="s">
        <v>72</v>
      </c>
      <c r="C2001" s="10" t="s">
        <v>73</v>
      </c>
      <c r="D2001" s="10" t="s">
        <v>45</v>
      </c>
      <c r="E2001" s="10" t="s">
        <v>46</v>
      </c>
      <c r="F2001" s="10" t="s">
        <v>791</v>
      </c>
      <c r="G2001" s="10" t="b">
        <f>FALSE()</f>
        <v>0</v>
      </c>
      <c r="H2001" s="10">
        <v>0</v>
      </c>
      <c r="I2001" s="10">
        <v>1</v>
      </c>
      <c r="J2001" s="10">
        <v>0</v>
      </c>
      <c r="K2001" s="10">
        <v>0</v>
      </c>
      <c r="L2001" s="10">
        <v>0</v>
      </c>
      <c r="M2001" s="10">
        <v>1</v>
      </c>
      <c r="N2001" s="10">
        <v>226</v>
      </c>
      <c r="O2001" s="10">
        <v>226</v>
      </c>
    </row>
    <row r="2002" spans="1:15" x14ac:dyDescent="0.2">
      <c r="A2002" s="10" t="s">
        <v>1066</v>
      </c>
      <c r="B2002" s="10" t="s">
        <v>477</v>
      </c>
      <c r="C2002" s="10" t="s">
        <v>50</v>
      </c>
      <c r="D2002" s="10" t="s">
        <v>51</v>
      </c>
      <c r="E2002" s="10" t="s">
        <v>52</v>
      </c>
      <c r="F2002" s="10" t="s">
        <v>251</v>
      </c>
      <c r="G2002" s="10" t="b">
        <f>FALSE()</f>
        <v>0</v>
      </c>
      <c r="H2002" s="10">
        <v>0</v>
      </c>
      <c r="I2002" s="10">
        <v>1</v>
      </c>
      <c r="J2002" s="10">
        <v>0</v>
      </c>
      <c r="K2002" s="10">
        <v>0</v>
      </c>
      <c r="L2002" s="10">
        <v>0</v>
      </c>
      <c r="M2002" s="10">
        <v>1</v>
      </c>
      <c r="N2002" s="10">
        <v>226</v>
      </c>
      <c r="O2002" s="10">
        <v>226</v>
      </c>
    </row>
    <row r="2003" spans="1:15" x14ac:dyDescent="0.2">
      <c r="A2003" s="10" t="s">
        <v>1192</v>
      </c>
      <c r="B2003" s="10" t="s">
        <v>508</v>
      </c>
      <c r="C2003" s="10" t="s">
        <v>90</v>
      </c>
      <c r="D2003" s="10" t="s">
        <v>51</v>
      </c>
      <c r="E2003" s="10" t="s">
        <v>52</v>
      </c>
      <c r="F2003" s="10" t="s">
        <v>92</v>
      </c>
      <c r="G2003" s="10" t="b">
        <f>FALSE()</f>
        <v>0</v>
      </c>
      <c r="H2003" s="10">
        <v>0</v>
      </c>
      <c r="I2003" s="10">
        <v>1</v>
      </c>
      <c r="J2003" s="10">
        <v>0</v>
      </c>
      <c r="K2003" s="10">
        <v>0</v>
      </c>
      <c r="L2003" s="10">
        <v>0</v>
      </c>
      <c r="M2003" s="10">
        <v>1</v>
      </c>
      <c r="N2003" s="10">
        <v>226</v>
      </c>
      <c r="O2003" s="10">
        <v>226</v>
      </c>
    </row>
    <row r="2004" spans="1:15" x14ac:dyDescent="0.2">
      <c r="A2004" s="10" t="s">
        <v>1043</v>
      </c>
      <c r="B2004" s="10" t="s">
        <v>218</v>
      </c>
      <c r="C2004" s="10" t="s">
        <v>73</v>
      </c>
      <c r="D2004" s="10" t="s">
        <v>45</v>
      </c>
      <c r="E2004" s="10" t="s">
        <v>46</v>
      </c>
      <c r="F2004" s="10" t="s">
        <v>494</v>
      </c>
      <c r="G2004" s="10" t="b">
        <f>TRUE()</f>
        <v>1</v>
      </c>
      <c r="H2004" s="10">
        <v>0</v>
      </c>
      <c r="I2004" s="10">
        <v>1</v>
      </c>
      <c r="J2004" s="10">
        <v>0</v>
      </c>
      <c r="K2004" s="10">
        <v>0</v>
      </c>
      <c r="L2004" s="10">
        <v>0</v>
      </c>
      <c r="M2004" s="10">
        <v>1</v>
      </c>
      <c r="N2004" s="10">
        <v>226</v>
      </c>
      <c r="O2004" s="10">
        <v>226</v>
      </c>
    </row>
    <row r="2005" spans="1:15" x14ac:dyDescent="0.2">
      <c r="A2005" s="10" t="s">
        <v>903</v>
      </c>
      <c r="B2005" s="10" t="s">
        <v>163</v>
      </c>
      <c r="C2005" s="10" t="s">
        <v>90</v>
      </c>
      <c r="D2005" s="10" t="s">
        <v>51</v>
      </c>
      <c r="E2005" s="10" t="s">
        <v>52</v>
      </c>
      <c r="F2005" s="10" t="s">
        <v>92</v>
      </c>
      <c r="G2005" s="10" t="b">
        <f>FALSE()</f>
        <v>0</v>
      </c>
      <c r="H2005" s="10">
        <v>0</v>
      </c>
      <c r="I2005" s="10">
        <v>1</v>
      </c>
      <c r="J2005" s="10">
        <v>0</v>
      </c>
      <c r="K2005" s="10">
        <v>0</v>
      </c>
      <c r="L2005" s="10">
        <v>0</v>
      </c>
      <c r="M2005" s="10">
        <v>1</v>
      </c>
      <c r="N2005" s="10">
        <v>225</v>
      </c>
      <c r="O2005" s="10">
        <v>225</v>
      </c>
    </row>
    <row r="2006" spans="1:15" x14ac:dyDescent="0.2">
      <c r="A2006" s="10" t="s">
        <v>1043</v>
      </c>
      <c r="B2006" s="10" t="s">
        <v>218</v>
      </c>
      <c r="C2006" s="10" t="s">
        <v>73</v>
      </c>
      <c r="D2006" s="10" t="s">
        <v>45</v>
      </c>
      <c r="E2006" s="10" t="s">
        <v>46</v>
      </c>
      <c r="F2006" s="10" t="s">
        <v>365</v>
      </c>
      <c r="G2006" s="10" t="b">
        <f>TRUE()</f>
        <v>1</v>
      </c>
      <c r="H2006" s="10">
        <v>0</v>
      </c>
      <c r="I2006" s="10">
        <v>1</v>
      </c>
      <c r="J2006" s="10">
        <v>0</v>
      </c>
      <c r="K2006" s="10">
        <v>0</v>
      </c>
      <c r="L2006" s="10">
        <v>0</v>
      </c>
      <c r="M2006" s="10">
        <v>1</v>
      </c>
      <c r="N2006" s="10">
        <v>225</v>
      </c>
      <c r="O2006" s="10">
        <v>225</v>
      </c>
    </row>
    <row r="2007" spans="1:15" x14ac:dyDescent="0.2">
      <c r="A2007" s="10" t="s">
        <v>1193</v>
      </c>
      <c r="B2007" s="10" t="s">
        <v>119</v>
      </c>
      <c r="C2007" s="10" t="s">
        <v>56</v>
      </c>
      <c r="D2007" s="10" t="s">
        <v>45</v>
      </c>
      <c r="E2007" s="10" t="s">
        <v>46</v>
      </c>
      <c r="F2007" s="10" t="s">
        <v>75</v>
      </c>
      <c r="G2007" s="10" t="b">
        <f>FALSE()</f>
        <v>0</v>
      </c>
      <c r="H2007" s="10">
        <v>0</v>
      </c>
      <c r="I2007" s="10">
        <v>1</v>
      </c>
      <c r="J2007" s="10">
        <v>0</v>
      </c>
      <c r="K2007" s="10">
        <v>0</v>
      </c>
      <c r="L2007" s="10">
        <v>0</v>
      </c>
      <c r="M2007" s="10">
        <v>1</v>
      </c>
      <c r="N2007" s="10">
        <v>228</v>
      </c>
      <c r="O2007" s="10">
        <v>225</v>
      </c>
    </row>
    <row r="2008" spans="1:15" x14ac:dyDescent="0.2">
      <c r="A2008" s="10" t="s">
        <v>1097</v>
      </c>
      <c r="B2008" s="10" t="s">
        <v>109</v>
      </c>
      <c r="C2008" s="10" t="s">
        <v>90</v>
      </c>
      <c r="D2008" s="10" t="s">
        <v>51</v>
      </c>
      <c r="E2008" s="10" t="s">
        <v>52</v>
      </c>
      <c r="F2008" s="10" t="s">
        <v>92</v>
      </c>
      <c r="G2008" s="10" t="b">
        <f>FALSE()</f>
        <v>0</v>
      </c>
      <c r="H2008" s="10">
        <v>0</v>
      </c>
      <c r="I2008" s="10">
        <v>1</v>
      </c>
      <c r="J2008" s="10">
        <v>0</v>
      </c>
      <c r="K2008" s="10">
        <v>0</v>
      </c>
      <c r="L2008" s="10">
        <v>0</v>
      </c>
      <c r="M2008" s="10">
        <v>1</v>
      </c>
      <c r="N2008" s="10">
        <v>224</v>
      </c>
      <c r="O2008" s="10">
        <v>224</v>
      </c>
    </row>
    <row r="2009" spans="1:15" x14ac:dyDescent="0.2">
      <c r="A2009" s="10" t="s">
        <v>1025</v>
      </c>
      <c r="B2009" s="10" t="s">
        <v>285</v>
      </c>
      <c r="C2009" s="10" t="s">
        <v>105</v>
      </c>
      <c r="D2009" s="10" t="s">
        <v>45</v>
      </c>
      <c r="E2009" s="10" t="s">
        <v>46</v>
      </c>
      <c r="F2009" s="10" t="s">
        <v>47</v>
      </c>
      <c r="G2009" s="10" t="b">
        <f>FALSE()</f>
        <v>0</v>
      </c>
      <c r="H2009" s="10">
        <v>0</v>
      </c>
      <c r="I2009" s="10">
        <v>1</v>
      </c>
      <c r="J2009" s="10">
        <v>0</v>
      </c>
      <c r="K2009" s="10">
        <v>0</v>
      </c>
      <c r="L2009" s="10">
        <v>0</v>
      </c>
      <c r="M2009" s="10">
        <v>1</v>
      </c>
      <c r="N2009" s="10">
        <v>223</v>
      </c>
      <c r="O2009" s="10">
        <v>223</v>
      </c>
    </row>
    <row r="2010" spans="1:15" x14ac:dyDescent="0.2">
      <c r="A2010" s="10" t="s">
        <v>1095</v>
      </c>
      <c r="B2010" s="10" t="s">
        <v>122</v>
      </c>
      <c r="C2010" s="10" t="s">
        <v>112</v>
      </c>
      <c r="D2010" s="10" t="s">
        <v>51</v>
      </c>
      <c r="E2010" s="10" t="s">
        <v>52</v>
      </c>
      <c r="F2010" s="10" t="s">
        <v>123</v>
      </c>
      <c r="G2010" s="10" t="b">
        <f>FALSE()</f>
        <v>0</v>
      </c>
      <c r="H2010" s="10">
        <v>0</v>
      </c>
      <c r="I2010" s="10">
        <v>1</v>
      </c>
      <c r="J2010" s="10">
        <v>0</v>
      </c>
      <c r="K2010" s="10">
        <v>0</v>
      </c>
      <c r="L2010" s="10">
        <v>0</v>
      </c>
      <c r="M2010" s="10">
        <v>1</v>
      </c>
      <c r="N2010" s="10">
        <v>225</v>
      </c>
      <c r="O2010" s="10">
        <v>222</v>
      </c>
    </row>
    <row r="2011" spans="1:15" x14ac:dyDescent="0.2">
      <c r="A2011" s="10" t="s">
        <v>1095</v>
      </c>
      <c r="B2011" s="10" t="s">
        <v>122</v>
      </c>
      <c r="C2011" s="10" t="s">
        <v>112</v>
      </c>
      <c r="D2011" s="10" t="s">
        <v>51</v>
      </c>
      <c r="E2011" s="10" t="s">
        <v>52</v>
      </c>
      <c r="F2011" s="10" t="s">
        <v>92</v>
      </c>
      <c r="G2011" s="10" t="b">
        <f>FALSE()</f>
        <v>0</v>
      </c>
      <c r="H2011" s="10">
        <v>0</v>
      </c>
      <c r="I2011" s="10">
        <v>1</v>
      </c>
      <c r="J2011" s="10">
        <v>0</v>
      </c>
      <c r="K2011" s="10">
        <v>0</v>
      </c>
      <c r="L2011" s="10">
        <v>0</v>
      </c>
      <c r="M2011" s="10">
        <v>1</v>
      </c>
      <c r="N2011" s="10">
        <v>222</v>
      </c>
      <c r="O2011" s="10">
        <v>222</v>
      </c>
    </row>
    <row r="2012" spans="1:15" x14ac:dyDescent="0.2">
      <c r="A2012" s="10" t="s">
        <v>1194</v>
      </c>
      <c r="B2012" s="10" t="s">
        <v>89</v>
      </c>
      <c r="C2012" s="10" t="s">
        <v>90</v>
      </c>
      <c r="D2012" s="10" t="s">
        <v>51</v>
      </c>
      <c r="E2012" s="10" t="s">
        <v>52</v>
      </c>
      <c r="F2012" s="10" t="s">
        <v>75</v>
      </c>
      <c r="G2012" s="10" t="b">
        <f>FALSE()</f>
        <v>0</v>
      </c>
      <c r="H2012" s="10">
        <v>0</v>
      </c>
      <c r="I2012" s="10">
        <v>1</v>
      </c>
      <c r="J2012" s="10">
        <v>0</v>
      </c>
      <c r="K2012" s="10">
        <v>0</v>
      </c>
      <c r="L2012" s="10">
        <v>0</v>
      </c>
      <c r="M2012" s="10">
        <v>1</v>
      </c>
      <c r="N2012" s="10">
        <v>223</v>
      </c>
      <c r="O2012" s="10">
        <v>222</v>
      </c>
    </row>
    <row r="2013" spans="1:15" x14ac:dyDescent="0.2">
      <c r="A2013" s="10" t="s">
        <v>1015</v>
      </c>
      <c r="B2013" s="10" t="s">
        <v>139</v>
      </c>
      <c r="C2013" s="10" t="s">
        <v>64</v>
      </c>
      <c r="D2013" s="10" t="s">
        <v>45</v>
      </c>
      <c r="E2013" s="10" t="s">
        <v>46</v>
      </c>
      <c r="F2013" s="10" t="s">
        <v>123</v>
      </c>
      <c r="G2013" s="10" t="b">
        <f>FALSE()</f>
        <v>0</v>
      </c>
      <c r="H2013" s="10">
        <v>0</v>
      </c>
      <c r="I2013" s="10">
        <v>1</v>
      </c>
      <c r="J2013" s="10">
        <v>0</v>
      </c>
      <c r="K2013" s="10">
        <v>0</v>
      </c>
      <c r="L2013" s="10">
        <v>0</v>
      </c>
      <c r="M2013" s="10">
        <v>1</v>
      </c>
      <c r="N2013" s="10">
        <v>222</v>
      </c>
      <c r="O2013" s="10">
        <v>222</v>
      </c>
    </row>
    <row r="2014" spans="1:15" x14ac:dyDescent="0.2">
      <c r="A2014" s="10" t="s">
        <v>1154</v>
      </c>
      <c r="B2014" s="10" t="s">
        <v>119</v>
      </c>
      <c r="C2014" s="10" t="s">
        <v>56</v>
      </c>
      <c r="D2014" s="10" t="s">
        <v>45</v>
      </c>
      <c r="E2014" s="10" t="s">
        <v>46</v>
      </c>
      <c r="F2014" s="10" t="s">
        <v>61</v>
      </c>
      <c r="G2014" s="10" t="b">
        <f>FALSE()</f>
        <v>0</v>
      </c>
      <c r="H2014" s="10">
        <v>0</v>
      </c>
      <c r="I2014" s="10">
        <v>1</v>
      </c>
      <c r="J2014" s="10">
        <v>0</v>
      </c>
      <c r="K2014" s="10">
        <v>0</v>
      </c>
      <c r="L2014" s="10">
        <v>0</v>
      </c>
      <c r="M2014" s="10">
        <v>1</v>
      </c>
      <c r="N2014" s="10">
        <v>222</v>
      </c>
      <c r="O2014" s="10">
        <v>222</v>
      </c>
    </row>
    <row r="2015" spans="1:15" x14ac:dyDescent="0.2">
      <c r="A2015" s="10" t="s">
        <v>853</v>
      </c>
      <c r="B2015" s="10" t="s">
        <v>456</v>
      </c>
      <c r="C2015" s="10" t="s">
        <v>245</v>
      </c>
      <c r="D2015" s="10" t="s">
        <v>51</v>
      </c>
      <c r="E2015" s="10" t="s">
        <v>52</v>
      </c>
      <c r="F2015" s="10" t="s">
        <v>1035</v>
      </c>
      <c r="G2015" s="10" t="b">
        <f>FALSE()</f>
        <v>0</v>
      </c>
      <c r="H2015" s="10">
        <v>0</v>
      </c>
      <c r="I2015" s="10">
        <v>1</v>
      </c>
      <c r="J2015" s="10">
        <v>0</v>
      </c>
      <c r="K2015" s="10">
        <v>0</v>
      </c>
      <c r="L2015" s="10">
        <v>0</v>
      </c>
      <c r="M2015" s="10">
        <v>1</v>
      </c>
      <c r="N2015" s="10">
        <v>221</v>
      </c>
      <c r="O2015" s="10">
        <v>221</v>
      </c>
    </row>
    <row r="2016" spans="1:15" x14ac:dyDescent="0.2">
      <c r="A2016" s="10" t="s">
        <v>1085</v>
      </c>
      <c r="B2016" s="10" t="s">
        <v>139</v>
      </c>
      <c r="C2016" s="10" t="s">
        <v>64</v>
      </c>
      <c r="D2016" s="10" t="s">
        <v>45</v>
      </c>
      <c r="E2016" s="10" t="s">
        <v>46</v>
      </c>
      <c r="F2016" s="10" t="s">
        <v>153</v>
      </c>
      <c r="G2016" s="10" t="b">
        <f>FALSE()</f>
        <v>0</v>
      </c>
      <c r="H2016" s="10">
        <v>0</v>
      </c>
      <c r="I2016" s="10">
        <v>1</v>
      </c>
      <c r="J2016" s="10">
        <v>0</v>
      </c>
      <c r="K2016" s="10">
        <v>0</v>
      </c>
      <c r="L2016" s="10">
        <v>0</v>
      </c>
      <c r="M2016" s="10">
        <v>1</v>
      </c>
      <c r="N2016" s="10">
        <v>221</v>
      </c>
      <c r="O2016" s="10">
        <v>221</v>
      </c>
    </row>
    <row r="2017" spans="1:15" x14ac:dyDescent="0.2">
      <c r="A2017" s="10" t="s">
        <v>1042</v>
      </c>
      <c r="B2017" s="10" t="s">
        <v>719</v>
      </c>
      <c r="C2017" s="10" t="s">
        <v>117</v>
      </c>
      <c r="D2017" s="10" t="s">
        <v>51</v>
      </c>
      <c r="E2017" s="10" t="s">
        <v>52</v>
      </c>
      <c r="F2017" s="10" t="s">
        <v>92</v>
      </c>
      <c r="G2017" s="10" t="b">
        <f>FALSE()</f>
        <v>0</v>
      </c>
      <c r="H2017" s="10">
        <v>0</v>
      </c>
      <c r="I2017" s="10">
        <v>1</v>
      </c>
      <c r="J2017" s="10">
        <v>0</v>
      </c>
      <c r="K2017" s="10">
        <v>0</v>
      </c>
      <c r="L2017" s="10">
        <v>0</v>
      </c>
      <c r="M2017" s="10">
        <v>1</v>
      </c>
      <c r="N2017" s="10">
        <v>219</v>
      </c>
      <c r="O2017" s="10">
        <v>220</v>
      </c>
    </row>
    <row r="2018" spans="1:15" x14ac:dyDescent="0.2">
      <c r="A2018" s="10" t="s">
        <v>1073</v>
      </c>
      <c r="B2018" s="10" t="s">
        <v>193</v>
      </c>
      <c r="C2018" s="10" t="s">
        <v>117</v>
      </c>
      <c r="D2018" s="10" t="s">
        <v>51</v>
      </c>
      <c r="E2018" s="10" t="s">
        <v>52</v>
      </c>
      <c r="F2018" s="10" t="s">
        <v>251</v>
      </c>
      <c r="G2018" s="10" t="b">
        <f>FALSE()</f>
        <v>0</v>
      </c>
      <c r="H2018" s="10">
        <v>0</v>
      </c>
      <c r="I2018" s="10">
        <v>1</v>
      </c>
      <c r="J2018" s="10">
        <v>0</v>
      </c>
      <c r="K2018" s="10">
        <v>0</v>
      </c>
      <c r="L2018" s="10">
        <v>0</v>
      </c>
      <c r="M2018" s="10">
        <v>1</v>
      </c>
      <c r="N2018" s="10">
        <v>203</v>
      </c>
      <c r="O2018" s="10">
        <v>220</v>
      </c>
    </row>
    <row r="2019" spans="1:15" x14ac:dyDescent="0.2">
      <c r="A2019" s="10" t="s">
        <v>1048</v>
      </c>
      <c r="B2019" s="10" t="s">
        <v>1049</v>
      </c>
      <c r="C2019" s="10" t="s">
        <v>64</v>
      </c>
      <c r="D2019" s="10" t="s">
        <v>45</v>
      </c>
      <c r="E2019" s="10" t="s">
        <v>46</v>
      </c>
      <c r="F2019" s="10" t="s">
        <v>363</v>
      </c>
      <c r="G2019" s="10" t="b">
        <f>FALSE()</f>
        <v>0</v>
      </c>
      <c r="H2019" s="10">
        <v>0</v>
      </c>
      <c r="I2019" s="10">
        <v>1</v>
      </c>
      <c r="J2019" s="10">
        <v>0</v>
      </c>
      <c r="K2019" s="10">
        <v>0</v>
      </c>
      <c r="L2019" s="10">
        <v>0</v>
      </c>
      <c r="M2019" s="10">
        <v>1</v>
      </c>
      <c r="N2019" s="10">
        <v>220</v>
      </c>
      <c r="O2019" s="10">
        <v>220</v>
      </c>
    </row>
    <row r="2020" spans="1:15" x14ac:dyDescent="0.2">
      <c r="A2020" s="10" t="s">
        <v>1195</v>
      </c>
      <c r="B2020" s="10" t="s">
        <v>163</v>
      </c>
      <c r="C2020" s="10" t="s">
        <v>90</v>
      </c>
      <c r="D2020" s="10" t="s">
        <v>51</v>
      </c>
      <c r="E2020" s="10" t="s">
        <v>52</v>
      </c>
      <c r="F2020" s="10" t="s">
        <v>345</v>
      </c>
      <c r="G2020" s="10" t="b">
        <f>FALSE()</f>
        <v>0</v>
      </c>
      <c r="H2020" s="10">
        <v>0</v>
      </c>
      <c r="I2020" s="10">
        <v>1</v>
      </c>
      <c r="J2020" s="10">
        <v>0</v>
      </c>
      <c r="K2020" s="10">
        <v>0</v>
      </c>
      <c r="L2020" s="10">
        <v>0</v>
      </c>
      <c r="M2020" s="10">
        <v>1</v>
      </c>
      <c r="N2020" s="10">
        <v>219</v>
      </c>
      <c r="O2020" s="10">
        <v>219</v>
      </c>
    </row>
    <row r="2021" spans="1:15" x14ac:dyDescent="0.2">
      <c r="A2021" s="10" t="s">
        <v>1120</v>
      </c>
      <c r="B2021" s="10" t="s">
        <v>265</v>
      </c>
      <c r="C2021" s="10" t="s">
        <v>245</v>
      </c>
      <c r="D2021" s="10" t="s">
        <v>51</v>
      </c>
      <c r="E2021" s="10" t="s">
        <v>52</v>
      </c>
      <c r="F2021" s="10" t="s">
        <v>113</v>
      </c>
      <c r="G2021" s="10" t="b">
        <f>TRUE()</f>
        <v>1</v>
      </c>
      <c r="H2021" s="10">
        <v>0</v>
      </c>
      <c r="I2021" s="10">
        <v>1</v>
      </c>
      <c r="J2021" s="10">
        <v>0</v>
      </c>
      <c r="K2021" s="10">
        <v>0</v>
      </c>
      <c r="L2021" s="10">
        <v>0</v>
      </c>
      <c r="M2021" s="10">
        <v>1</v>
      </c>
      <c r="N2021" s="10">
        <v>224</v>
      </c>
      <c r="O2021" s="10">
        <v>219</v>
      </c>
    </row>
    <row r="2022" spans="1:15" x14ac:dyDescent="0.2">
      <c r="A2022" s="10" t="s">
        <v>1196</v>
      </c>
      <c r="B2022" s="10" t="s">
        <v>104</v>
      </c>
      <c r="C2022" s="10" t="s">
        <v>105</v>
      </c>
      <c r="D2022" s="10" t="s">
        <v>45</v>
      </c>
      <c r="E2022" s="10" t="s">
        <v>46</v>
      </c>
      <c r="F2022" s="10" t="s">
        <v>74</v>
      </c>
      <c r="G2022" s="10" t="b">
        <f>FALSE()</f>
        <v>0</v>
      </c>
      <c r="H2022" s="10">
        <v>0</v>
      </c>
      <c r="I2022" s="10">
        <v>1</v>
      </c>
      <c r="J2022" s="10">
        <v>0</v>
      </c>
      <c r="K2022" s="10">
        <v>0</v>
      </c>
      <c r="L2022" s="10">
        <v>0</v>
      </c>
      <c r="M2022" s="10">
        <v>1</v>
      </c>
      <c r="N2022" s="10">
        <v>227</v>
      </c>
      <c r="O2022" s="10">
        <v>219</v>
      </c>
    </row>
    <row r="2023" spans="1:15" x14ac:dyDescent="0.2">
      <c r="A2023" s="10" t="s">
        <v>1086</v>
      </c>
      <c r="B2023" s="10" t="s">
        <v>172</v>
      </c>
      <c r="C2023" s="10" t="s">
        <v>44</v>
      </c>
      <c r="D2023" s="10" t="s">
        <v>45</v>
      </c>
      <c r="E2023" s="10" t="s">
        <v>46</v>
      </c>
      <c r="F2023" s="10" t="s">
        <v>214</v>
      </c>
      <c r="G2023" s="10" t="b">
        <f>FALSE()</f>
        <v>0</v>
      </c>
      <c r="H2023" s="10">
        <v>0</v>
      </c>
      <c r="I2023" s="10">
        <v>1</v>
      </c>
      <c r="J2023" s="10">
        <v>0</v>
      </c>
      <c r="K2023" s="10">
        <v>0</v>
      </c>
      <c r="L2023" s="10">
        <v>0</v>
      </c>
      <c r="M2023" s="10">
        <v>1</v>
      </c>
      <c r="N2023" s="10">
        <v>219</v>
      </c>
      <c r="O2023" s="10">
        <v>219</v>
      </c>
    </row>
    <row r="2024" spans="1:15" x14ac:dyDescent="0.2">
      <c r="A2024" s="10" t="s">
        <v>1137</v>
      </c>
      <c r="B2024" s="10" t="s">
        <v>70</v>
      </c>
      <c r="C2024" s="10" t="s">
        <v>70</v>
      </c>
      <c r="D2024" s="10" t="s">
        <v>45</v>
      </c>
      <c r="E2024" s="10" t="s">
        <v>46</v>
      </c>
      <c r="F2024" s="10" t="s">
        <v>47</v>
      </c>
      <c r="G2024" s="10" t="b">
        <f>FALSE()</f>
        <v>0</v>
      </c>
      <c r="H2024" s="10">
        <v>0</v>
      </c>
      <c r="I2024" s="10">
        <v>1</v>
      </c>
      <c r="J2024" s="10">
        <v>0</v>
      </c>
      <c r="K2024" s="10">
        <v>0</v>
      </c>
      <c r="L2024" s="10">
        <v>0</v>
      </c>
      <c r="M2024" s="10">
        <v>1</v>
      </c>
      <c r="N2024" s="10">
        <v>224</v>
      </c>
      <c r="O2024" s="10">
        <v>218</v>
      </c>
    </row>
    <row r="2025" spans="1:15" x14ac:dyDescent="0.2">
      <c r="A2025" s="10" t="s">
        <v>1059</v>
      </c>
      <c r="B2025" s="10" t="s">
        <v>109</v>
      </c>
      <c r="C2025" s="10" t="s">
        <v>90</v>
      </c>
      <c r="D2025" s="10" t="s">
        <v>51</v>
      </c>
      <c r="E2025" s="10" t="s">
        <v>52</v>
      </c>
      <c r="F2025" s="10" t="s">
        <v>61</v>
      </c>
      <c r="G2025" s="10" t="b">
        <f>FALSE()</f>
        <v>0</v>
      </c>
      <c r="H2025" s="10">
        <v>0</v>
      </c>
      <c r="I2025" s="10">
        <v>1</v>
      </c>
      <c r="J2025" s="10">
        <v>0</v>
      </c>
      <c r="K2025" s="10">
        <v>0</v>
      </c>
      <c r="L2025" s="10">
        <v>0</v>
      </c>
      <c r="M2025" s="10">
        <v>1</v>
      </c>
      <c r="N2025" s="10">
        <v>223</v>
      </c>
      <c r="O2025" s="10">
        <v>217</v>
      </c>
    </row>
    <row r="2026" spans="1:15" x14ac:dyDescent="0.2">
      <c r="A2026" s="10" t="s">
        <v>1120</v>
      </c>
      <c r="B2026" s="10" t="s">
        <v>265</v>
      </c>
      <c r="C2026" s="10" t="s">
        <v>245</v>
      </c>
      <c r="D2026" s="10" t="s">
        <v>51</v>
      </c>
      <c r="E2026" s="10" t="s">
        <v>52</v>
      </c>
      <c r="F2026" s="10" t="s">
        <v>79</v>
      </c>
      <c r="G2026" s="10" t="b">
        <f>FALSE()</f>
        <v>0</v>
      </c>
      <c r="H2026" s="10">
        <v>0</v>
      </c>
      <c r="I2026" s="10">
        <v>1</v>
      </c>
      <c r="J2026" s="10">
        <v>0</v>
      </c>
      <c r="K2026" s="10">
        <v>0</v>
      </c>
      <c r="L2026" s="10">
        <v>0</v>
      </c>
      <c r="M2026" s="10">
        <v>1</v>
      </c>
      <c r="N2026" s="10">
        <v>243</v>
      </c>
      <c r="O2026" s="10">
        <v>217</v>
      </c>
    </row>
    <row r="2027" spans="1:15" x14ac:dyDescent="0.2">
      <c r="A2027" s="10" t="s">
        <v>134</v>
      </c>
      <c r="B2027" s="10" t="s">
        <v>139</v>
      </c>
      <c r="C2027" s="10" t="s">
        <v>64</v>
      </c>
      <c r="D2027" s="10" t="s">
        <v>45</v>
      </c>
      <c r="E2027" s="10" t="s">
        <v>46</v>
      </c>
      <c r="F2027" s="10" t="s">
        <v>58</v>
      </c>
      <c r="G2027" s="10" t="b">
        <f>FALSE()</f>
        <v>0</v>
      </c>
      <c r="H2027" s="10">
        <v>0</v>
      </c>
      <c r="I2027" s="10">
        <v>1</v>
      </c>
      <c r="J2027" s="10">
        <v>0</v>
      </c>
      <c r="K2027" s="10">
        <v>0</v>
      </c>
      <c r="L2027" s="10">
        <v>0</v>
      </c>
      <c r="M2027" s="10">
        <v>1</v>
      </c>
      <c r="N2027" s="10">
        <v>220</v>
      </c>
      <c r="O2027" s="10">
        <v>217</v>
      </c>
    </row>
    <row r="2028" spans="1:15" x14ac:dyDescent="0.2">
      <c r="A2028" s="10" t="s">
        <v>495</v>
      </c>
      <c r="B2028" s="10" t="s">
        <v>119</v>
      </c>
      <c r="C2028" s="10" t="s">
        <v>56</v>
      </c>
      <c r="D2028" s="10" t="s">
        <v>45</v>
      </c>
      <c r="E2028" s="10" t="s">
        <v>46</v>
      </c>
      <c r="F2028" s="10" t="s">
        <v>1197</v>
      </c>
      <c r="G2028" s="10" t="b">
        <f>TRUE()</f>
        <v>1</v>
      </c>
      <c r="H2028" s="10">
        <v>0</v>
      </c>
      <c r="I2028" s="10">
        <v>1</v>
      </c>
      <c r="J2028" s="10">
        <v>0</v>
      </c>
      <c r="K2028" s="10">
        <v>0</v>
      </c>
      <c r="L2028" s="10">
        <v>0</v>
      </c>
      <c r="M2028" s="10">
        <v>1</v>
      </c>
      <c r="N2028" s="10">
        <v>217</v>
      </c>
      <c r="O2028" s="10">
        <v>216</v>
      </c>
    </row>
    <row r="2029" spans="1:15" x14ac:dyDescent="0.2">
      <c r="A2029" s="10" t="s">
        <v>154</v>
      </c>
      <c r="B2029" s="10" t="s">
        <v>104</v>
      </c>
      <c r="C2029" s="10" t="s">
        <v>105</v>
      </c>
      <c r="D2029" s="10" t="s">
        <v>45</v>
      </c>
      <c r="E2029" s="10" t="s">
        <v>46</v>
      </c>
      <c r="F2029" s="10" t="s">
        <v>1198</v>
      </c>
      <c r="G2029" s="10" t="b">
        <f>FALSE()</f>
        <v>0</v>
      </c>
      <c r="H2029" s="10">
        <v>0</v>
      </c>
      <c r="I2029" s="10">
        <v>1</v>
      </c>
      <c r="J2029" s="10">
        <v>0</v>
      </c>
      <c r="K2029" s="10">
        <v>0</v>
      </c>
      <c r="L2029" s="10">
        <v>0</v>
      </c>
      <c r="M2029" s="10">
        <v>1</v>
      </c>
      <c r="N2029" s="10">
        <v>217</v>
      </c>
      <c r="O2029" s="10">
        <v>215</v>
      </c>
    </row>
    <row r="2030" spans="1:15" x14ac:dyDescent="0.2">
      <c r="A2030" s="10" t="s">
        <v>1109</v>
      </c>
      <c r="B2030" s="10" t="s">
        <v>122</v>
      </c>
      <c r="C2030" s="10" t="s">
        <v>112</v>
      </c>
      <c r="D2030" s="10" t="s">
        <v>51</v>
      </c>
      <c r="E2030" s="10" t="s">
        <v>52</v>
      </c>
      <c r="F2030" s="10" t="s">
        <v>92</v>
      </c>
      <c r="G2030" s="10" t="b">
        <f>FALSE()</f>
        <v>0</v>
      </c>
      <c r="H2030" s="10">
        <v>0</v>
      </c>
      <c r="I2030" s="10">
        <v>1</v>
      </c>
      <c r="J2030" s="10">
        <v>0</v>
      </c>
      <c r="K2030" s="10">
        <v>0</v>
      </c>
      <c r="L2030" s="10">
        <v>0</v>
      </c>
      <c r="M2030" s="10">
        <v>1</v>
      </c>
      <c r="N2030" s="10">
        <v>211</v>
      </c>
      <c r="O2030" s="10">
        <v>215</v>
      </c>
    </row>
    <row r="2031" spans="1:15" x14ac:dyDescent="0.2">
      <c r="A2031" s="10" t="s">
        <v>1067</v>
      </c>
      <c r="B2031" s="10" t="s">
        <v>55</v>
      </c>
      <c r="C2031" s="10" t="s">
        <v>56</v>
      </c>
      <c r="D2031" s="10" t="s">
        <v>45</v>
      </c>
      <c r="E2031" s="10" t="s">
        <v>46</v>
      </c>
      <c r="F2031" s="10" t="s">
        <v>153</v>
      </c>
      <c r="G2031" s="10" t="b">
        <f>FALSE()</f>
        <v>0</v>
      </c>
      <c r="H2031" s="10">
        <v>0</v>
      </c>
      <c r="I2031" s="10">
        <v>1</v>
      </c>
      <c r="J2031" s="10">
        <v>0</v>
      </c>
      <c r="K2031" s="10">
        <v>0</v>
      </c>
      <c r="L2031" s="10">
        <v>0</v>
      </c>
      <c r="M2031" s="10">
        <v>1</v>
      </c>
      <c r="N2031" s="10">
        <v>226</v>
      </c>
      <c r="O2031" s="10">
        <v>215</v>
      </c>
    </row>
    <row r="2032" spans="1:15" x14ac:dyDescent="0.2">
      <c r="A2032" s="10" t="s">
        <v>1199</v>
      </c>
      <c r="B2032" s="10" t="s">
        <v>890</v>
      </c>
      <c r="C2032" s="10" t="s">
        <v>112</v>
      </c>
      <c r="D2032" s="10" t="s">
        <v>51</v>
      </c>
      <c r="E2032" s="10" t="s">
        <v>52</v>
      </c>
      <c r="F2032" s="10" t="s">
        <v>47</v>
      </c>
      <c r="G2032" s="10" t="b">
        <f>FALSE()</f>
        <v>0</v>
      </c>
      <c r="H2032" s="10">
        <v>0</v>
      </c>
      <c r="I2032" s="10">
        <v>1</v>
      </c>
      <c r="J2032" s="10">
        <v>0</v>
      </c>
      <c r="K2032" s="10">
        <v>0</v>
      </c>
      <c r="L2032" s="10">
        <v>0</v>
      </c>
      <c r="M2032" s="10">
        <v>1</v>
      </c>
      <c r="N2032" s="10">
        <v>172</v>
      </c>
      <c r="O2032" s="10">
        <v>214</v>
      </c>
    </row>
    <row r="2033" spans="1:15" x14ac:dyDescent="0.2">
      <c r="A2033" s="10" t="s">
        <v>1200</v>
      </c>
      <c r="B2033" s="10" t="s">
        <v>262</v>
      </c>
      <c r="C2033" s="10" t="s">
        <v>105</v>
      </c>
      <c r="D2033" s="10" t="s">
        <v>45</v>
      </c>
      <c r="E2033" s="10" t="s">
        <v>46</v>
      </c>
      <c r="F2033" s="10" t="s">
        <v>126</v>
      </c>
      <c r="G2033" s="10" t="b">
        <f>FALSE()</f>
        <v>0</v>
      </c>
      <c r="H2033" s="10">
        <v>0</v>
      </c>
      <c r="I2033" s="10">
        <v>1</v>
      </c>
      <c r="J2033" s="10">
        <v>0</v>
      </c>
      <c r="K2033" s="10">
        <v>0</v>
      </c>
      <c r="L2033" s="10">
        <v>0</v>
      </c>
      <c r="M2033" s="10">
        <v>1</v>
      </c>
      <c r="N2033" s="10">
        <v>216</v>
      </c>
      <c r="O2033" s="10">
        <v>213</v>
      </c>
    </row>
    <row r="2034" spans="1:15" x14ac:dyDescent="0.2">
      <c r="A2034" s="10" t="s">
        <v>1201</v>
      </c>
      <c r="B2034" s="10" t="s">
        <v>759</v>
      </c>
      <c r="C2034" s="10" t="s">
        <v>112</v>
      </c>
      <c r="D2034" s="10" t="s">
        <v>51</v>
      </c>
      <c r="E2034" s="10" t="s">
        <v>52</v>
      </c>
      <c r="F2034" s="10" t="s">
        <v>190</v>
      </c>
      <c r="G2034" s="10" t="b">
        <f>TRUE()</f>
        <v>1</v>
      </c>
      <c r="H2034" s="10">
        <v>0</v>
      </c>
      <c r="I2034" s="10">
        <v>1</v>
      </c>
      <c r="J2034" s="10">
        <v>0</v>
      </c>
      <c r="K2034" s="10">
        <v>0</v>
      </c>
      <c r="L2034" s="10">
        <v>0</v>
      </c>
      <c r="M2034" s="10">
        <v>1</v>
      </c>
      <c r="N2034" s="10">
        <v>212</v>
      </c>
      <c r="O2034" s="10">
        <v>212</v>
      </c>
    </row>
    <row r="2035" spans="1:15" x14ac:dyDescent="0.2">
      <c r="A2035" s="10" t="s">
        <v>1202</v>
      </c>
      <c r="B2035" s="10" t="s">
        <v>99</v>
      </c>
      <c r="C2035" s="10" t="s">
        <v>50</v>
      </c>
      <c r="D2035" s="10" t="s">
        <v>51</v>
      </c>
      <c r="E2035" s="10" t="s">
        <v>52</v>
      </c>
      <c r="F2035" s="10" t="s">
        <v>100</v>
      </c>
      <c r="G2035" s="10" t="b">
        <f>FALSE()</f>
        <v>0</v>
      </c>
      <c r="H2035" s="10">
        <v>0</v>
      </c>
      <c r="I2035" s="10">
        <v>1</v>
      </c>
      <c r="J2035" s="10">
        <v>0</v>
      </c>
      <c r="K2035" s="10">
        <v>0</v>
      </c>
      <c r="L2035" s="10">
        <v>0</v>
      </c>
      <c r="M2035" s="10">
        <v>1</v>
      </c>
      <c r="N2035" s="10">
        <v>214</v>
      </c>
      <c r="O2035" s="10">
        <v>212</v>
      </c>
    </row>
    <row r="2036" spans="1:15" x14ac:dyDescent="0.2">
      <c r="A2036" s="10" t="s">
        <v>1203</v>
      </c>
      <c r="B2036" s="10" t="s">
        <v>119</v>
      </c>
      <c r="C2036" s="10" t="s">
        <v>56</v>
      </c>
      <c r="D2036" s="10" t="s">
        <v>45</v>
      </c>
      <c r="E2036" s="10" t="s">
        <v>46</v>
      </c>
      <c r="F2036" s="10" t="s">
        <v>126</v>
      </c>
      <c r="G2036" s="10" t="b">
        <f>FALSE()</f>
        <v>0</v>
      </c>
      <c r="H2036" s="10">
        <v>0</v>
      </c>
      <c r="I2036" s="10">
        <v>1</v>
      </c>
      <c r="J2036" s="10">
        <v>0</v>
      </c>
      <c r="K2036" s="10">
        <v>0</v>
      </c>
      <c r="L2036" s="10">
        <v>0</v>
      </c>
      <c r="M2036" s="10">
        <v>1</v>
      </c>
      <c r="N2036" s="10">
        <v>228</v>
      </c>
      <c r="O2036" s="10">
        <v>212</v>
      </c>
    </row>
    <row r="2037" spans="1:15" x14ac:dyDescent="0.2">
      <c r="A2037" s="10" t="s">
        <v>1137</v>
      </c>
      <c r="B2037" s="10" t="s">
        <v>70</v>
      </c>
      <c r="C2037" s="10" t="s">
        <v>70</v>
      </c>
      <c r="D2037" s="10" t="s">
        <v>45</v>
      </c>
      <c r="E2037" s="10" t="s">
        <v>46</v>
      </c>
      <c r="F2037" s="10" t="s">
        <v>251</v>
      </c>
      <c r="G2037" s="10" t="b">
        <f>FALSE()</f>
        <v>0</v>
      </c>
      <c r="H2037" s="10">
        <v>0</v>
      </c>
      <c r="I2037" s="10">
        <v>1</v>
      </c>
      <c r="J2037" s="10">
        <v>0</v>
      </c>
      <c r="K2037" s="10">
        <v>0</v>
      </c>
      <c r="L2037" s="10">
        <v>0</v>
      </c>
      <c r="M2037" s="10">
        <v>1</v>
      </c>
      <c r="N2037" s="10">
        <v>212</v>
      </c>
      <c r="O2037" s="10">
        <v>212</v>
      </c>
    </row>
    <row r="2038" spans="1:15" x14ac:dyDescent="0.2">
      <c r="A2038" s="10" t="s">
        <v>1092</v>
      </c>
      <c r="B2038" s="10" t="s">
        <v>60</v>
      </c>
      <c r="C2038" s="10" t="s">
        <v>50</v>
      </c>
      <c r="D2038" s="10" t="s">
        <v>51</v>
      </c>
      <c r="E2038" s="10" t="s">
        <v>52</v>
      </c>
      <c r="F2038" s="10" t="s">
        <v>153</v>
      </c>
      <c r="G2038" s="10" t="b">
        <f>FALSE()</f>
        <v>0</v>
      </c>
      <c r="H2038" s="10">
        <v>0</v>
      </c>
      <c r="I2038" s="10">
        <v>1</v>
      </c>
      <c r="J2038" s="10">
        <v>0</v>
      </c>
      <c r="K2038" s="10">
        <v>0</v>
      </c>
      <c r="L2038" s="10">
        <v>0</v>
      </c>
      <c r="M2038" s="10">
        <v>1</v>
      </c>
      <c r="N2038" s="10">
        <v>226</v>
      </c>
      <c r="O2038" s="10">
        <v>211</v>
      </c>
    </row>
    <row r="2039" spans="1:15" x14ac:dyDescent="0.2">
      <c r="A2039" s="10" t="s">
        <v>1204</v>
      </c>
      <c r="B2039" s="10" t="s">
        <v>163</v>
      </c>
      <c r="C2039" s="10" t="s">
        <v>90</v>
      </c>
      <c r="D2039" s="10" t="s">
        <v>51</v>
      </c>
      <c r="E2039" s="10" t="s">
        <v>52</v>
      </c>
      <c r="F2039" s="10" t="s">
        <v>79</v>
      </c>
      <c r="G2039" s="10" t="b">
        <f>FALSE()</f>
        <v>0</v>
      </c>
      <c r="H2039" s="10">
        <v>0</v>
      </c>
      <c r="I2039" s="10">
        <v>1</v>
      </c>
      <c r="J2039" s="10">
        <v>0</v>
      </c>
      <c r="K2039" s="10">
        <v>0</v>
      </c>
      <c r="L2039" s="10">
        <v>0</v>
      </c>
      <c r="M2039" s="10">
        <v>1</v>
      </c>
      <c r="N2039" s="10">
        <v>221</v>
      </c>
      <c r="O2039" s="10">
        <v>211</v>
      </c>
    </row>
    <row r="2040" spans="1:15" x14ac:dyDescent="0.2">
      <c r="A2040" s="10" t="s">
        <v>1047</v>
      </c>
      <c r="B2040" s="10" t="s">
        <v>96</v>
      </c>
      <c r="C2040" s="10" t="s">
        <v>50</v>
      </c>
      <c r="D2040" s="10" t="s">
        <v>51</v>
      </c>
      <c r="E2040" s="10" t="s">
        <v>52</v>
      </c>
      <c r="F2040" s="10" t="s">
        <v>91</v>
      </c>
      <c r="G2040" s="10" t="b">
        <f>TRUE()</f>
        <v>1</v>
      </c>
      <c r="H2040" s="10">
        <v>0</v>
      </c>
      <c r="I2040" s="10">
        <v>1</v>
      </c>
      <c r="J2040" s="10">
        <v>0</v>
      </c>
      <c r="K2040" s="10">
        <v>0</v>
      </c>
      <c r="L2040" s="10">
        <v>0</v>
      </c>
      <c r="M2040" s="10">
        <v>1</v>
      </c>
      <c r="N2040" s="10">
        <v>210</v>
      </c>
      <c r="O2040" s="10">
        <v>210</v>
      </c>
    </row>
    <row r="2041" spans="1:15" x14ac:dyDescent="0.2">
      <c r="A2041" s="10" t="s">
        <v>1056</v>
      </c>
      <c r="B2041" s="10" t="s">
        <v>104</v>
      </c>
      <c r="C2041" s="10" t="s">
        <v>105</v>
      </c>
      <c r="D2041" s="10" t="s">
        <v>45</v>
      </c>
      <c r="E2041" s="10" t="s">
        <v>46</v>
      </c>
      <c r="F2041" s="10" t="s">
        <v>92</v>
      </c>
      <c r="G2041" s="10" t="b">
        <f>FALSE()</f>
        <v>0</v>
      </c>
      <c r="H2041" s="10">
        <v>0</v>
      </c>
      <c r="I2041" s="10">
        <v>1</v>
      </c>
      <c r="J2041" s="10">
        <v>0</v>
      </c>
      <c r="K2041" s="10">
        <v>0</v>
      </c>
      <c r="L2041" s="10">
        <v>0</v>
      </c>
      <c r="M2041" s="10">
        <v>1</v>
      </c>
      <c r="N2041" s="10">
        <v>210</v>
      </c>
      <c r="O2041" s="10">
        <v>210</v>
      </c>
    </row>
    <row r="2042" spans="1:15" x14ac:dyDescent="0.2">
      <c r="A2042" s="10" t="s">
        <v>1205</v>
      </c>
      <c r="B2042" s="10" t="s">
        <v>136</v>
      </c>
      <c r="C2042" s="10" t="s">
        <v>73</v>
      </c>
      <c r="D2042" s="10" t="s">
        <v>45</v>
      </c>
      <c r="E2042" s="10" t="s">
        <v>46</v>
      </c>
      <c r="F2042" s="10" t="s">
        <v>61</v>
      </c>
      <c r="G2042" s="10" t="b">
        <f>FALSE()</f>
        <v>0</v>
      </c>
      <c r="H2042" s="10">
        <v>0</v>
      </c>
      <c r="I2042" s="10">
        <v>1</v>
      </c>
      <c r="J2042" s="10">
        <v>0</v>
      </c>
      <c r="K2042" s="10">
        <v>0</v>
      </c>
      <c r="L2042" s="10">
        <v>0</v>
      </c>
      <c r="M2042" s="10">
        <v>1</v>
      </c>
      <c r="N2042" s="10">
        <v>209</v>
      </c>
      <c r="O2042" s="10">
        <v>209</v>
      </c>
    </row>
    <row r="2043" spans="1:15" x14ac:dyDescent="0.2">
      <c r="A2043" s="10" t="s">
        <v>1112</v>
      </c>
      <c r="B2043" s="10" t="s">
        <v>262</v>
      </c>
      <c r="C2043" s="10" t="s">
        <v>105</v>
      </c>
      <c r="D2043" s="10" t="s">
        <v>45</v>
      </c>
      <c r="E2043" s="10" t="s">
        <v>46</v>
      </c>
      <c r="F2043" s="10" t="s">
        <v>61</v>
      </c>
      <c r="G2043" s="10" t="b">
        <f>FALSE()</f>
        <v>0</v>
      </c>
      <c r="H2043" s="10">
        <v>0</v>
      </c>
      <c r="I2043" s="10">
        <v>1</v>
      </c>
      <c r="J2043" s="10">
        <v>0</v>
      </c>
      <c r="K2043" s="10">
        <v>0</v>
      </c>
      <c r="L2043" s="10">
        <v>0</v>
      </c>
      <c r="M2043" s="10">
        <v>1</v>
      </c>
      <c r="N2043" s="10">
        <v>210</v>
      </c>
      <c r="O2043" s="10">
        <v>209</v>
      </c>
    </row>
    <row r="2044" spans="1:15" x14ac:dyDescent="0.2">
      <c r="A2044" s="10" t="s">
        <v>1196</v>
      </c>
      <c r="B2044" s="10" t="s">
        <v>104</v>
      </c>
      <c r="C2044" s="10" t="s">
        <v>105</v>
      </c>
      <c r="D2044" s="10" t="s">
        <v>45</v>
      </c>
      <c r="E2044" s="10" t="s">
        <v>46</v>
      </c>
      <c r="F2044" s="10" t="s">
        <v>113</v>
      </c>
      <c r="G2044" s="10" t="b">
        <f>TRUE()</f>
        <v>1</v>
      </c>
      <c r="H2044" s="10">
        <v>0</v>
      </c>
      <c r="I2044" s="10">
        <v>1</v>
      </c>
      <c r="J2044" s="10">
        <v>0</v>
      </c>
      <c r="K2044" s="10">
        <v>0</v>
      </c>
      <c r="L2044" s="10">
        <v>0</v>
      </c>
      <c r="M2044" s="10">
        <v>1</v>
      </c>
      <c r="N2044" s="10">
        <v>252</v>
      </c>
      <c r="O2044" s="10">
        <v>209</v>
      </c>
    </row>
    <row r="2045" spans="1:15" x14ac:dyDescent="0.2">
      <c r="A2045" s="10" t="s">
        <v>697</v>
      </c>
      <c r="B2045" s="10" t="s">
        <v>157</v>
      </c>
      <c r="C2045" s="10" t="s">
        <v>64</v>
      </c>
      <c r="D2045" s="10" t="s">
        <v>45</v>
      </c>
      <c r="E2045" s="10" t="s">
        <v>46</v>
      </c>
      <c r="F2045" s="10" t="s">
        <v>113</v>
      </c>
      <c r="G2045" s="10" t="b">
        <f>TRUE()</f>
        <v>1</v>
      </c>
      <c r="H2045" s="10">
        <v>0</v>
      </c>
      <c r="I2045" s="10">
        <v>1</v>
      </c>
      <c r="J2045" s="10">
        <v>0</v>
      </c>
      <c r="K2045" s="10">
        <v>0</v>
      </c>
      <c r="L2045" s="10">
        <v>0</v>
      </c>
      <c r="M2045" s="10">
        <v>1</v>
      </c>
      <c r="N2045" s="10">
        <v>210</v>
      </c>
      <c r="O2045" s="10">
        <v>208</v>
      </c>
    </row>
    <row r="2046" spans="1:15" x14ac:dyDescent="0.2">
      <c r="A2046" s="10" t="s">
        <v>1066</v>
      </c>
      <c r="B2046" s="10" t="s">
        <v>477</v>
      </c>
      <c r="C2046" s="10" t="s">
        <v>50</v>
      </c>
      <c r="D2046" s="10" t="s">
        <v>51</v>
      </c>
      <c r="E2046" s="10" t="s">
        <v>52</v>
      </c>
      <c r="F2046" s="10" t="s">
        <v>79</v>
      </c>
      <c r="G2046" s="10" t="b">
        <f>FALSE()</f>
        <v>0</v>
      </c>
      <c r="H2046" s="10">
        <v>0</v>
      </c>
      <c r="I2046" s="10">
        <v>1</v>
      </c>
      <c r="J2046" s="10">
        <v>0</v>
      </c>
      <c r="K2046" s="10">
        <v>0</v>
      </c>
      <c r="L2046" s="10">
        <v>0</v>
      </c>
      <c r="M2046" s="10">
        <v>1</v>
      </c>
      <c r="N2046" s="10">
        <v>222</v>
      </c>
      <c r="O2046" s="10">
        <v>208</v>
      </c>
    </row>
    <row r="2047" spans="1:15" x14ac:dyDescent="0.2">
      <c r="A2047" s="10" t="s">
        <v>1081</v>
      </c>
      <c r="B2047" s="10" t="s">
        <v>157</v>
      </c>
      <c r="C2047" s="10" t="s">
        <v>64</v>
      </c>
      <c r="D2047" s="10" t="s">
        <v>45</v>
      </c>
      <c r="E2047" s="10" t="s">
        <v>46</v>
      </c>
      <c r="F2047" s="10" t="s">
        <v>58</v>
      </c>
      <c r="G2047" s="10" t="b">
        <f>FALSE()</f>
        <v>0</v>
      </c>
      <c r="H2047" s="10">
        <v>0</v>
      </c>
      <c r="I2047" s="10">
        <v>1</v>
      </c>
      <c r="J2047" s="10">
        <v>0</v>
      </c>
      <c r="K2047" s="10">
        <v>0</v>
      </c>
      <c r="L2047" s="10">
        <v>0</v>
      </c>
      <c r="M2047" s="10">
        <v>1</v>
      </c>
      <c r="N2047" s="10">
        <v>208</v>
      </c>
      <c r="O2047" s="10">
        <v>208</v>
      </c>
    </row>
    <row r="2048" spans="1:15" x14ac:dyDescent="0.2">
      <c r="A2048" s="10" t="s">
        <v>1206</v>
      </c>
      <c r="B2048" s="10" t="s">
        <v>285</v>
      </c>
      <c r="C2048" s="10" t="s">
        <v>105</v>
      </c>
      <c r="D2048" s="10" t="s">
        <v>45</v>
      </c>
      <c r="E2048" s="10" t="s">
        <v>46</v>
      </c>
      <c r="F2048" s="10" t="s">
        <v>61</v>
      </c>
      <c r="G2048" s="10" t="b">
        <f>FALSE()</f>
        <v>0</v>
      </c>
      <c r="H2048" s="10">
        <v>0</v>
      </c>
      <c r="I2048" s="10">
        <v>1</v>
      </c>
      <c r="J2048" s="10">
        <v>0</v>
      </c>
      <c r="K2048" s="10">
        <v>0</v>
      </c>
      <c r="L2048" s="10">
        <v>0</v>
      </c>
      <c r="M2048" s="10">
        <v>1</v>
      </c>
      <c r="N2048" s="10">
        <v>210</v>
      </c>
      <c r="O2048" s="10">
        <v>207</v>
      </c>
    </row>
    <row r="2049" spans="1:15" x14ac:dyDescent="0.2">
      <c r="A2049" s="10" t="s">
        <v>1061</v>
      </c>
      <c r="B2049" s="10" t="s">
        <v>262</v>
      </c>
      <c r="C2049" s="10" t="s">
        <v>105</v>
      </c>
      <c r="D2049" s="10" t="s">
        <v>45</v>
      </c>
      <c r="E2049" s="10" t="s">
        <v>46</v>
      </c>
      <c r="F2049" s="10" t="s">
        <v>153</v>
      </c>
      <c r="G2049" s="10" t="b">
        <f>FALSE()</f>
        <v>0</v>
      </c>
      <c r="H2049" s="10">
        <v>0</v>
      </c>
      <c r="I2049" s="10">
        <v>1</v>
      </c>
      <c r="J2049" s="10">
        <v>0</v>
      </c>
      <c r="K2049" s="10">
        <v>0</v>
      </c>
      <c r="L2049" s="10">
        <v>0</v>
      </c>
      <c r="M2049" s="10">
        <v>1</v>
      </c>
      <c r="N2049" s="10">
        <v>207</v>
      </c>
      <c r="O2049" s="10">
        <v>207</v>
      </c>
    </row>
    <row r="2050" spans="1:15" x14ac:dyDescent="0.2">
      <c r="A2050" s="10" t="s">
        <v>1061</v>
      </c>
      <c r="B2050" s="10" t="s">
        <v>262</v>
      </c>
      <c r="C2050" s="10" t="s">
        <v>105</v>
      </c>
      <c r="D2050" s="10" t="s">
        <v>45</v>
      </c>
      <c r="E2050" s="10" t="s">
        <v>46</v>
      </c>
      <c r="F2050" s="10" t="s">
        <v>434</v>
      </c>
      <c r="G2050" s="10" t="b">
        <f>FALSE()</f>
        <v>0</v>
      </c>
      <c r="H2050" s="10">
        <v>0</v>
      </c>
      <c r="I2050" s="10">
        <v>1</v>
      </c>
      <c r="J2050" s="10">
        <v>0</v>
      </c>
      <c r="K2050" s="10">
        <v>0</v>
      </c>
      <c r="L2050" s="10">
        <v>0</v>
      </c>
      <c r="M2050" s="10">
        <v>1</v>
      </c>
      <c r="N2050" s="10">
        <v>207</v>
      </c>
      <c r="O2050" s="10">
        <v>207</v>
      </c>
    </row>
    <row r="2051" spans="1:15" x14ac:dyDescent="0.2">
      <c r="A2051" s="10" t="s">
        <v>495</v>
      </c>
      <c r="B2051" s="10" t="s">
        <v>119</v>
      </c>
      <c r="C2051" s="10" t="s">
        <v>56</v>
      </c>
      <c r="D2051" s="10" t="s">
        <v>45</v>
      </c>
      <c r="E2051" s="10" t="s">
        <v>46</v>
      </c>
      <c r="F2051" s="10" t="s">
        <v>1207</v>
      </c>
      <c r="G2051" s="10" t="b">
        <f>TRUE()</f>
        <v>1</v>
      </c>
      <c r="H2051" s="10">
        <v>0</v>
      </c>
      <c r="I2051" s="10">
        <v>1</v>
      </c>
      <c r="J2051" s="10">
        <v>0</v>
      </c>
      <c r="K2051" s="10">
        <v>0</v>
      </c>
      <c r="L2051" s="10">
        <v>0</v>
      </c>
      <c r="M2051" s="10">
        <v>1</v>
      </c>
      <c r="N2051" s="10">
        <v>211</v>
      </c>
      <c r="O2051" s="10">
        <v>206</v>
      </c>
    </row>
    <row r="2052" spans="1:15" x14ac:dyDescent="0.2">
      <c r="A2052" s="10" t="s">
        <v>1113</v>
      </c>
      <c r="B2052" s="10" t="s">
        <v>136</v>
      </c>
      <c r="C2052" s="10" t="s">
        <v>73</v>
      </c>
      <c r="D2052" s="10" t="s">
        <v>45</v>
      </c>
      <c r="E2052" s="10" t="s">
        <v>46</v>
      </c>
      <c r="F2052" s="10" t="s">
        <v>92</v>
      </c>
      <c r="G2052" s="10" t="b">
        <f>FALSE()</f>
        <v>0</v>
      </c>
      <c r="H2052" s="10">
        <v>0</v>
      </c>
      <c r="I2052" s="10">
        <v>1</v>
      </c>
      <c r="J2052" s="10">
        <v>0</v>
      </c>
      <c r="K2052" s="10">
        <v>0</v>
      </c>
      <c r="L2052" s="10">
        <v>0</v>
      </c>
      <c r="M2052" s="10">
        <v>1</v>
      </c>
      <c r="N2052" s="10">
        <v>216</v>
      </c>
      <c r="O2052" s="10">
        <v>206</v>
      </c>
    </row>
    <row r="2053" spans="1:15" x14ac:dyDescent="0.2">
      <c r="A2053" s="10" t="s">
        <v>1050</v>
      </c>
      <c r="B2053" s="10" t="s">
        <v>63</v>
      </c>
      <c r="C2053" s="10" t="s">
        <v>64</v>
      </c>
      <c r="D2053" s="10" t="s">
        <v>45</v>
      </c>
      <c r="E2053" s="10" t="s">
        <v>46</v>
      </c>
      <c r="F2053" s="10" t="s">
        <v>373</v>
      </c>
      <c r="G2053" s="10" t="b">
        <f>FALSE()</f>
        <v>0</v>
      </c>
      <c r="H2053" s="10">
        <v>0</v>
      </c>
      <c r="I2053" s="10">
        <v>1</v>
      </c>
      <c r="J2053" s="10">
        <v>0</v>
      </c>
      <c r="K2053" s="10">
        <v>0</v>
      </c>
      <c r="L2053" s="10">
        <v>0</v>
      </c>
      <c r="M2053" s="10">
        <v>1</v>
      </c>
      <c r="N2053" s="10">
        <v>209</v>
      </c>
      <c r="O2053" s="10">
        <v>205</v>
      </c>
    </row>
    <row r="2054" spans="1:15" x14ac:dyDescent="0.2">
      <c r="A2054" s="10" t="s">
        <v>1208</v>
      </c>
      <c r="B2054" s="10" t="s">
        <v>119</v>
      </c>
      <c r="C2054" s="10" t="s">
        <v>56</v>
      </c>
      <c r="D2054" s="10" t="s">
        <v>45</v>
      </c>
      <c r="E2054" s="10" t="s">
        <v>46</v>
      </c>
      <c r="F2054" s="10" t="s">
        <v>183</v>
      </c>
      <c r="G2054" s="10" t="b">
        <f>FALSE()</f>
        <v>0</v>
      </c>
      <c r="H2054" s="10">
        <v>0</v>
      </c>
      <c r="I2054" s="10">
        <v>1</v>
      </c>
      <c r="J2054" s="10">
        <v>0</v>
      </c>
      <c r="K2054" s="10">
        <v>0</v>
      </c>
      <c r="L2054" s="10">
        <v>0</v>
      </c>
      <c r="M2054" s="10">
        <v>1</v>
      </c>
      <c r="N2054" s="10">
        <v>239</v>
      </c>
      <c r="O2054" s="10">
        <v>205</v>
      </c>
    </row>
    <row r="2055" spans="1:15" x14ac:dyDescent="0.2">
      <c r="A2055" s="10" t="s">
        <v>1208</v>
      </c>
      <c r="B2055" s="10" t="s">
        <v>119</v>
      </c>
      <c r="C2055" s="10" t="s">
        <v>56</v>
      </c>
      <c r="D2055" s="10" t="s">
        <v>45</v>
      </c>
      <c r="E2055" s="10" t="s">
        <v>46</v>
      </c>
      <c r="F2055" s="10" t="s">
        <v>79</v>
      </c>
      <c r="G2055" s="10" t="b">
        <f>FALSE()</f>
        <v>0</v>
      </c>
      <c r="H2055" s="10">
        <v>0</v>
      </c>
      <c r="I2055" s="10">
        <v>1</v>
      </c>
      <c r="J2055" s="10">
        <v>0</v>
      </c>
      <c r="K2055" s="10">
        <v>0</v>
      </c>
      <c r="L2055" s="10">
        <v>0</v>
      </c>
      <c r="M2055" s="10">
        <v>1</v>
      </c>
      <c r="N2055" s="10">
        <v>209</v>
      </c>
      <c r="O2055" s="10">
        <v>205</v>
      </c>
    </row>
    <row r="2056" spans="1:15" x14ac:dyDescent="0.2">
      <c r="A2056" s="10" t="s">
        <v>529</v>
      </c>
      <c r="B2056" s="10" t="s">
        <v>172</v>
      </c>
      <c r="C2056" s="10" t="s">
        <v>44</v>
      </c>
      <c r="D2056" s="10" t="s">
        <v>45</v>
      </c>
      <c r="E2056" s="10" t="s">
        <v>46</v>
      </c>
      <c r="F2056" s="10" t="s">
        <v>153</v>
      </c>
      <c r="G2056" s="10" t="b">
        <f>FALSE()</f>
        <v>0</v>
      </c>
      <c r="H2056" s="10">
        <v>0</v>
      </c>
      <c r="I2056" s="10">
        <v>1</v>
      </c>
      <c r="J2056" s="10">
        <v>0</v>
      </c>
      <c r="K2056" s="10">
        <v>0</v>
      </c>
      <c r="L2056" s="10">
        <v>0</v>
      </c>
      <c r="M2056" s="10">
        <v>1</v>
      </c>
      <c r="N2056" s="10">
        <v>208</v>
      </c>
      <c r="O2056" s="10">
        <v>204</v>
      </c>
    </row>
    <row r="2057" spans="1:15" x14ac:dyDescent="0.2">
      <c r="A2057" s="10" t="s">
        <v>1209</v>
      </c>
      <c r="B2057" s="10" t="s">
        <v>165</v>
      </c>
      <c r="C2057" s="10" t="s">
        <v>112</v>
      </c>
      <c r="D2057" s="10" t="s">
        <v>51</v>
      </c>
      <c r="E2057" s="10" t="s">
        <v>52</v>
      </c>
      <c r="F2057" s="10" t="s">
        <v>251</v>
      </c>
      <c r="G2057" s="10" t="b">
        <f>FALSE()</f>
        <v>0</v>
      </c>
      <c r="H2057" s="10">
        <v>0</v>
      </c>
      <c r="I2057" s="10">
        <v>1</v>
      </c>
      <c r="J2057" s="10">
        <v>0</v>
      </c>
      <c r="K2057" s="10">
        <v>0</v>
      </c>
      <c r="L2057" s="10">
        <v>0</v>
      </c>
      <c r="M2057" s="10">
        <v>1</v>
      </c>
      <c r="N2057" s="10">
        <v>204</v>
      </c>
      <c r="O2057" s="10">
        <v>204</v>
      </c>
    </row>
    <row r="2058" spans="1:15" x14ac:dyDescent="0.2">
      <c r="A2058" s="10" t="s">
        <v>402</v>
      </c>
      <c r="B2058" s="10" t="s">
        <v>238</v>
      </c>
      <c r="C2058" s="10" t="s">
        <v>90</v>
      </c>
      <c r="D2058" s="10" t="s">
        <v>51</v>
      </c>
      <c r="E2058" s="10" t="s">
        <v>52</v>
      </c>
      <c r="F2058" s="10" t="s">
        <v>97</v>
      </c>
      <c r="G2058" s="10" t="b">
        <f>TRUE()</f>
        <v>1</v>
      </c>
      <c r="H2058" s="10">
        <v>0</v>
      </c>
      <c r="I2058" s="10">
        <v>1</v>
      </c>
      <c r="J2058" s="10">
        <v>0</v>
      </c>
      <c r="K2058" s="10">
        <v>0</v>
      </c>
      <c r="L2058" s="10">
        <v>0</v>
      </c>
      <c r="M2058" s="10">
        <v>1</v>
      </c>
      <c r="N2058" s="10">
        <v>236</v>
      </c>
      <c r="O2058" s="10">
        <v>203</v>
      </c>
    </row>
    <row r="2059" spans="1:15" x14ac:dyDescent="0.2">
      <c r="A2059" s="10" t="s">
        <v>1059</v>
      </c>
      <c r="B2059" s="10" t="s">
        <v>109</v>
      </c>
      <c r="C2059" s="10" t="s">
        <v>90</v>
      </c>
      <c r="D2059" s="10" t="s">
        <v>51</v>
      </c>
      <c r="E2059" s="10" t="s">
        <v>52</v>
      </c>
      <c r="F2059" s="10" t="s">
        <v>113</v>
      </c>
      <c r="G2059" s="10" t="b">
        <f>TRUE()</f>
        <v>1</v>
      </c>
      <c r="H2059" s="10">
        <v>0</v>
      </c>
      <c r="I2059" s="10">
        <v>1</v>
      </c>
      <c r="J2059" s="10">
        <v>0</v>
      </c>
      <c r="K2059" s="10">
        <v>0</v>
      </c>
      <c r="L2059" s="10">
        <v>0</v>
      </c>
      <c r="M2059" s="10">
        <v>1</v>
      </c>
      <c r="N2059" s="10">
        <v>205</v>
      </c>
      <c r="O2059" s="10">
        <v>203</v>
      </c>
    </row>
    <row r="2060" spans="1:15" x14ac:dyDescent="0.2">
      <c r="A2060" s="10" t="s">
        <v>1210</v>
      </c>
      <c r="B2060" s="10" t="s">
        <v>439</v>
      </c>
      <c r="C2060" s="10" t="s">
        <v>112</v>
      </c>
      <c r="D2060" s="10" t="s">
        <v>51</v>
      </c>
      <c r="E2060" s="10" t="s">
        <v>52</v>
      </c>
      <c r="F2060" s="10" t="s">
        <v>113</v>
      </c>
      <c r="G2060" s="10" t="b">
        <f>TRUE()</f>
        <v>1</v>
      </c>
      <c r="H2060" s="10">
        <v>0</v>
      </c>
      <c r="I2060" s="10">
        <v>1</v>
      </c>
      <c r="J2060" s="10">
        <v>0</v>
      </c>
      <c r="K2060" s="10">
        <v>0</v>
      </c>
      <c r="L2060" s="10">
        <v>0</v>
      </c>
      <c r="M2060" s="10">
        <v>1</v>
      </c>
      <c r="N2060" s="10">
        <v>238</v>
      </c>
      <c r="O2060" s="10">
        <v>202</v>
      </c>
    </row>
    <row r="2061" spans="1:15" x14ac:dyDescent="0.2">
      <c r="A2061" s="10" t="s">
        <v>1074</v>
      </c>
      <c r="B2061" s="10" t="s">
        <v>104</v>
      </c>
      <c r="C2061" s="10" t="s">
        <v>105</v>
      </c>
      <c r="D2061" s="10" t="s">
        <v>45</v>
      </c>
      <c r="E2061" s="10" t="s">
        <v>46</v>
      </c>
      <c r="F2061" s="10" t="s">
        <v>1211</v>
      </c>
      <c r="G2061" s="10" t="b">
        <f>TRUE()</f>
        <v>1</v>
      </c>
      <c r="H2061" s="10">
        <v>0</v>
      </c>
      <c r="I2061" s="10">
        <v>1</v>
      </c>
      <c r="J2061" s="10">
        <v>0</v>
      </c>
      <c r="K2061" s="10">
        <v>0</v>
      </c>
      <c r="L2061" s="10">
        <v>0</v>
      </c>
      <c r="M2061" s="10">
        <v>1</v>
      </c>
      <c r="N2061" s="10">
        <v>218</v>
      </c>
      <c r="O2061" s="10">
        <v>202</v>
      </c>
    </row>
    <row r="2062" spans="1:15" x14ac:dyDescent="0.2">
      <c r="A2062" s="10" t="s">
        <v>1079</v>
      </c>
      <c r="B2062" s="10" t="s">
        <v>70</v>
      </c>
      <c r="C2062" s="10" t="s">
        <v>70</v>
      </c>
      <c r="D2062" s="10" t="s">
        <v>45</v>
      </c>
      <c r="E2062" s="10" t="s">
        <v>46</v>
      </c>
      <c r="F2062" s="10" t="s">
        <v>434</v>
      </c>
      <c r="G2062" s="10" t="b">
        <f>FALSE()</f>
        <v>0</v>
      </c>
      <c r="H2062" s="10">
        <v>0</v>
      </c>
      <c r="I2062" s="10">
        <v>1</v>
      </c>
      <c r="J2062" s="10">
        <v>0</v>
      </c>
      <c r="K2062" s="10">
        <v>0</v>
      </c>
      <c r="L2062" s="10">
        <v>0</v>
      </c>
      <c r="M2062" s="10">
        <v>1</v>
      </c>
      <c r="N2062" s="10">
        <v>202</v>
      </c>
      <c r="O2062" s="10">
        <v>202</v>
      </c>
    </row>
    <row r="2063" spans="1:15" x14ac:dyDescent="0.2">
      <c r="A2063" s="10" t="s">
        <v>392</v>
      </c>
      <c r="B2063" s="10" t="s">
        <v>151</v>
      </c>
      <c r="C2063" s="10" t="s">
        <v>64</v>
      </c>
      <c r="D2063" s="10" t="s">
        <v>45</v>
      </c>
      <c r="E2063" s="10" t="s">
        <v>46</v>
      </c>
      <c r="F2063" s="10" t="s">
        <v>393</v>
      </c>
      <c r="G2063" s="10" t="b">
        <f>FALSE()</f>
        <v>0</v>
      </c>
      <c r="H2063" s="10">
        <v>0</v>
      </c>
      <c r="I2063" s="10">
        <v>1</v>
      </c>
      <c r="J2063" s="10">
        <v>0</v>
      </c>
      <c r="K2063" s="10">
        <v>0</v>
      </c>
      <c r="L2063" s="10">
        <v>0</v>
      </c>
      <c r="M2063" s="10">
        <v>1</v>
      </c>
      <c r="N2063" s="10">
        <v>201</v>
      </c>
      <c r="O2063" s="10">
        <v>201</v>
      </c>
    </row>
    <row r="2064" spans="1:15" x14ac:dyDescent="0.2">
      <c r="A2064" s="10" t="s">
        <v>1082</v>
      </c>
      <c r="B2064" s="10" t="s">
        <v>562</v>
      </c>
      <c r="C2064" s="10" t="s">
        <v>245</v>
      </c>
      <c r="D2064" s="10" t="s">
        <v>51</v>
      </c>
      <c r="E2064" s="10" t="s">
        <v>52</v>
      </c>
      <c r="F2064" s="10" t="s">
        <v>212</v>
      </c>
      <c r="G2064" s="10" t="b">
        <f>FALSE()</f>
        <v>0</v>
      </c>
      <c r="H2064" s="10">
        <v>0</v>
      </c>
      <c r="I2064" s="10">
        <v>1</v>
      </c>
      <c r="J2064" s="10">
        <v>0</v>
      </c>
      <c r="K2064" s="10">
        <v>0</v>
      </c>
      <c r="L2064" s="10">
        <v>0</v>
      </c>
      <c r="M2064" s="10">
        <v>1</v>
      </c>
      <c r="N2064" s="10">
        <v>209</v>
      </c>
      <c r="O2064" s="10">
        <v>200</v>
      </c>
    </row>
    <row r="2065" spans="1:15" x14ac:dyDescent="0.2">
      <c r="A2065" s="10" t="s">
        <v>1074</v>
      </c>
      <c r="B2065" s="10" t="s">
        <v>104</v>
      </c>
      <c r="C2065" s="10" t="s">
        <v>105</v>
      </c>
      <c r="D2065" s="10" t="s">
        <v>45</v>
      </c>
      <c r="E2065" s="10" t="s">
        <v>46</v>
      </c>
      <c r="F2065" s="10" t="s">
        <v>1212</v>
      </c>
      <c r="G2065" s="10" t="b">
        <f>TRUE()</f>
        <v>1</v>
      </c>
      <c r="H2065" s="10">
        <v>0</v>
      </c>
      <c r="I2065" s="10">
        <v>1</v>
      </c>
      <c r="J2065" s="10">
        <v>0</v>
      </c>
      <c r="K2065" s="10">
        <v>0</v>
      </c>
      <c r="L2065" s="10">
        <v>0</v>
      </c>
      <c r="M2065" s="10">
        <v>1</v>
      </c>
      <c r="N2065" s="10">
        <v>199</v>
      </c>
      <c r="O2065" s="10">
        <v>199</v>
      </c>
    </row>
    <row r="2066" spans="1:15" x14ac:dyDescent="0.2">
      <c r="A2066" s="10" t="s">
        <v>1138</v>
      </c>
      <c r="B2066" s="10" t="s">
        <v>130</v>
      </c>
      <c r="C2066" s="10" t="s">
        <v>56</v>
      </c>
      <c r="D2066" s="10" t="s">
        <v>45</v>
      </c>
      <c r="E2066" s="10" t="s">
        <v>46</v>
      </c>
      <c r="F2066" s="10" t="s">
        <v>558</v>
      </c>
      <c r="G2066" s="10" t="b">
        <f>TRUE()</f>
        <v>1</v>
      </c>
      <c r="H2066" s="10">
        <v>0</v>
      </c>
      <c r="I2066" s="10">
        <v>1</v>
      </c>
      <c r="J2066" s="10">
        <v>0</v>
      </c>
      <c r="K2066" s="10">
        <v>0</v>
      </c>
      <c r="L2066" s="10">
        <v>0</v>
      </c>
      <c r="M2066" s="10">
        <v>1</v>
      </c>
      <c r="N2066" s="10">
        <v>206</v>
      </c>
      <c r="O2066" s="10">
        <v>199</v>
      </c>
    </row>
    <row r="2067" spans="1:15" x14ac:dyDescent="0.2">
      <c r="A2067" s="10" t="s">
        <v>387</v>
      </c>
      <c r="B2067" s="10" t="s">
        <v>55</v>
      </c>
      <c r="C2067" s="10" t="s">
        <v>56</v>
      </c>
      <c r="D2067" s="10" t="s">
        <v>45</v>
      </c>
      <c r="E2067" s="10" t="s">
        <v>46</v>
      </c>
      <c r="F2067" s="10" t="s">
        <v>204</v>
      </c>
      <c r="G2067" s="10" t="b">
        <f>FALSE()</f>
        <v>0</v>
      </c>
      <c r="H2067" s="10">
        <v>0</v>
      </c>
      <c r="I2067" s="10">
        <v>1</v>
      </c>
      <c r="J2067" s="10">
        <v>0</v>
      </c>
      <c r="K2067" s="10">
        <v>0</v>
      </c>
      <c r="L2067" s="10">
        <v>0</v>
      </c>
      <c r="M2067" s="10">
        <v>1</v>
      </c>
      <c r="N2067" s="10">
        <v>197</v>
      </c>
      <c r="O2067" s="10">
        <v>197</v>
      </c>
    </row>
    <row r="2068" spans="1:15" x14ac:dyDescent="0.2">
      <c r="A2068" s="10" t="s">
        <v>389</v>
      </c>
      <c r="B2068" s="10" t="s">
        <v>116</v>
      </c>
      <c r="C2068" s="10" t="s">
        <v>117</v>
      </c>
      <c r="D2068" s="10" t="s">
        <v>51</v>
      </c>
      <c r="E2068" s="10" t="s">
        <v>52</v>
      </c>
      <c r="F2068" s="10" t="s">
        <v>91</v>
      </c>
      <c r="G2068" s="10" t="b">
        <f>TRUE()</f>
        <v>1</v>
      </c>
      <c r="H2068" s="10">
        <v>0</v>
      </c>
      <c r="I2068" s="10">
        <v>1</v>
      </c>
      <c r="J2068" s="10">
        <v>0</v>
      </c>
      <c r="K2068" s="10">
        <v>0</v>
      </c>
      <c r="L2068" s="10">
        <v>0</v>
      </c>
      <c r="M2068" s="10">
        <v>1</v>
      </c>
      <c r="N2068" s="10">
        <v>199</v>
      </c>
      <c r="O2068" s="10">
        <v>197</v>
      </c>
    </row>
    <row r="2069" spans="1:15" x14ac:dyDescent="0.2">
      <c r="A2069" s="10" t="s">
        <v>307</v>
      </c>
      <c r="B2069" s="10" t="s">
        <v>70</v>
      </c>
      <c r="C2069" s="10" t="s">
        <v>70</v>
      </c>
      <c r="D2069" s="10" t="s">
        <v>45</v>
      </c>
      <c r="E2069" s="10" t="s">
        <v>46</v>
      </c>
      <c r="F2069" s="10" t="s">
        <v>1173</v>
      </c>
      <c r="G2069" s="10" t="b">
        <f>FALSE()</f>
        <v>0</v>
      </c>
      <c r="H2069" s="10">
        <v>0</v>
      </c>
      <c r="I2069" s="10">
        <v>1</v>
      </c>
      <c r="J2069" s="10">
        <v>0</v>
      </c>
      <c r="K2069" s="10">
        <v>0</v>
      </c>
      <c r="L2069" s="10">
        <v>0</v>
      </c>
      <c r="M2069" s="10">
        <v>1</v>
      </c>
      <c r="N2069" s="10">
        <v>292</v>
      </c>
      <c r="O2069" s="10">
        <v>197</v>
      </c>
    </row>
    <row r="2070" spans="1:15" x14ac:dyDescent="0.2">
      <c r="A2070" s="10" t="s">
        <v>1086</v>
      </c>
      <c r="B2070" s="10" t="s">
        <v>172</v>
      </c>
      <c r="C2070" s="10" t="s">
        <v>44</v>
      </c>
      <c r="D2070" s="10" t="s">
        <v>45</v>
      </c>
      <c r="E2070" s="10" t="s">
        <v>46</v>
      </c>
      <c r="F2070" s="10" t="s">
        <v>74</v>
      </c>
      <c r="G2070" s="10" t="b">
        <f>FALSE()</f>
        <v>0</v>
      </c>
      <c r="H2070" s="10">
        <v>0</v>
      </c>
      <c r="I2070" s="10">
        <v>1</v>
      </c>
      <c r="J2070" s="10">
        <v>0</v>
      </c>
      <c r="K2070" s="10">
        <v>0</v>
      </c>
      <c r="L2070" s="10">
        <v>0</v>
      </c>
      <c r="M2070" s="10">
        <v>1</v>
      </c>
      <c r="N2070" s="10">
        <v>197</v>
      </c>
      <c r="O2070" s="10">
        <v>196</v>
      </c>
    </row>
    <row r="2071" spans="1:15" x14ac:dyDescent="0.2">
      <c r="A2071" s="10" t="s">
        <v>1199</v>
      </c>
      <c r="B2071" s="10" t="s">
        <v>890</v>
      </c>
      <c r="C2071" s="10" t="s">
        <v>112</v>
      </c>
      <c r="D2071" s="10" t="s">
        <v>51</v>
      </c>
      <c r="E2071" s="10" t="s">
        <v>52</v>
      </c>
      <c r="F2071" s="10" t="s">
        <v>183</v>
      </c>
      <c r="G2071" s="10" t="b">
        <f>FALSE()</f>
        <v>0</v>
      </c>
      <c r="H2071" s="10">
        <v>0</v>
      </c>
      <c r="I2071" s="10">
        <v>1</v>
      </c>
      <c r="J2071" s="10">
        <v>0</v>
      </c>
      <c r="K2071" s="10">
        <v>0</v>
      </c>
      <c r="L2071" s="10">
        <v>0</v>
      </c>
      <c r="M2071" s="10">
        <v>1</v>
      </c>
      <c r="N2071" s="10">
        <v>371</v>
      </c>
      <c r="O2071" s="10">
        <v>195</v>
      </c>
    </row>
    <row r="2072" spans="1:15" x14ac:dyDescent="0.2">
      <c r="A2072" s="10" t="s">
        <v>1037</v>
      </c>
      <c r="B2072" s="10" t="s">
        <v>238</v>
      </c>
      <c r="C2072" s="10" t="s">
        <v>90</v>
      </c>
      <c r="D2072" s="10" t="s">
        <v>51</v>
      </c>
      <c r="E2072" s="10" t="s">
        <v>52</v>
      </c>
      <c r="F2072" s="10" t="s">
        <v>318</v>
      </c>
      <c r="G2072" s="10" t="b">
        <f>FALSE()</f>
        <v>0</v>
      </c>
      <c r="H2072" s="10">
        <v>0</v>
      </c>
      <c r="I2072" s="10">
        <v>1</v>
      </c>
      <c r="J2072" s="10">
        <v>0</v>
      </c>
      <c r="K2072" s="10">
        <v>0</v>
      </c>
      <c r="L2072" s="10">
        <v>0</v>
      </c>
      <c r="M2072" s="10">
        <v>1</v>
      </c>
      <c r="N2072" s="10">
        <v>207</v>
      </c>
      <c r="O2072" s="10">
        <v>195</v>
      </c>
    </row>
    <row r="2073" spans="1:15" x14ac:dyDescent="0.2">
      <c r="A2073" s="10" t="s">
        <v>1213</v>
      </c>
      <c r="B2073" s="10" t="s">
        <v>513</v>
      </c>
      <c r="C2073" s="10" t="s">
        <v>64</v>
      </c>
      <c r="D2073" s="10" t="s">
        <v>45</v>
      </c>
      <c r="E2073" s="10" t="s">
        <v>46</v>
      </c>
      <c r="F2073" s="10" t="s">
        <v>1173</v>
      </c>
      <c r="G2073" s="10" t="b">
        <f>FALSE()</f>
        <v>0</v>
      </c>
      <c r="H2073" s="10">
        <v>0</v>
      </c>
      <c r="I2073" s="10">
        <v>1</v>
      </c>
      <c r="J2073" s="10">
        <v>0</v>
      </c>
      <c r="K2073" s="10">
        <v>0</v>
      </c>
      <c r="L2073" s="10">
        <v>0</v>
      </c>
      <c r="M2073" s="10">
        <v>1</v>
      </c>
      <c r="N2073" s="10">
        <v>205</v>
      </c>
      <c r="O2073" s="10">
        <v>195</v>
      </c>
    </row>
    <row r="2074" spans="1:15" x14ac:dyDescent="0.2">
      <c r="A2074" s="10" t="s">
        <v>859</v>
      </c>
      <c r="B2074" s="10" t="s">
        <v>70</v>
      </c>
      <c r="C2074" s="10" t="s">
        <v>70</v>
      </c>
      <c r="D2074" s="10" t="s">
        <v>45</v>
      </c>
      <c r="E2074" s="10" t="s">
        <v>46</v>
      </c>
      <c r="F2074" s="10" t="s">
        <v>251</v>
      </c>
      <c r="G2074" s="10" t="b">
        <f>FALSE()</f>
        <v>0</v>
      </c>
      <c r="H2074" s="10">
        <v>0</v>
      </c>
      <c r="I2074" s="10">
        <v>1</v>
      </c>
      <c r="J2074" s="10">
        <v>0</v>
      </c>
      <c r="K2074" s="10">
        <v>0</v>
      </c>
      <c r="L2074" s="10">
        <v>0</v>
      </c>
      <c r="M2074" s="10">
        <v>1</v>
      </c>
      <c r="N2074" s="10">
        <v>194</v>
      </c>
      <c r="O2074" s="10">
        <v>194</v>
      </c>
    </row>
    <row r="2075" spans="1:15" x14ac:dyDescent="0.2">
      <c r="A2075" s="10" t="s">
        <v>667</v>
      </c>
      <c r="B2075" s="10" t="s">
        <v>321</v>
      </c>
      <c r="C2075" s="10" t="s">
        <v>245</v>
      </c>
      <c r="D2075" s="10" t="s">
        <v>51</v>
      </c>
      <c r="E2075" s="10" t="s">
        <v>52</v>
      </c>
      <c r="F2075" s="10" t="s">
        <v>92</v>
      </c>
      <c r="G2075" s="10" t="b">
        <f>FALSE()</f>
        <v>0</v>
      </c>
      <c r="H2075" s="10">
        <v>0</v>
      </c>
      <c r="I2075" s="10">
        <v>1</v>
      </c>
      <c r="J2075" s="10">
        <v>0</v>
      </c>
      <c r="K2075" s="10">
        <v>0</v>
      </c>
      <c r="L2075" s="10">
        <v>0</v>
      </c>
      <c r="M2075" s="10">
        <v>1</v>
      </c>
      <c r="N2075" s="10">
        <v>194</v>
      </c>
      <c r="O2075" s="10">
        <v>194</v>
      </c>
    </row>
    <row r="2076" spans="1:15" x14ac:dyDescent="0.2">
      <c r="A2076" s="10" t="s">
        <v>1214</v>
      </c>
      <c r="B2076" s="10" t="s">
        <v>165</v>
      </c>
      <c r="C2076" s="10" t="s">
        <v>112</v>
      </c>
      <c r="D2076" s="10" t="s">
        <v>51</v>
      </c>
      <c r="E2076" s="10" t="s">
        <v>52</v>
      </c>
      <c r="F2076" s="10" t="s">
        <v>91</v>
      </c>
      <c r="G2076" s="10" t="b">
        <f>TRUE()</f>
        <v>1</v>
      </c>
      <c r="H2076" s="10">
        <v>0</v>
      </c>
      <c r="I2076" s="10">
        <v>1</v>
      </c>
      <c r="J2076" s="10">
        <v>0</v>
      </c>
      <c r="K2076" s="10">
        <v>0</v>
      </c>
      <c r="L2076" s="10">
        <v>0</v>
      </c>
      <c r="M2076" s="10">
        <v>1</v>
      </c>
      <c r="N2076" s="10">
        <v>197</v>
      </c>
      <c r="O2076" s="10">
        <v>194</v>
      </c>
    </row>
    <row r="2077" spans="1:15" x14ac:dyDescent="0.2">
      <c r="A2077" s="10" t="s">
        <v>1215</v>
      </c>
      <c r="B2077" s="10" t="s">
        <v>477</v>
      </c>
      <c r="C2077" s="10" t="s">
        <v>50</v>
      </c>
      <c r="D2077" s="10" t="s">
        <v>51</v>
      </c>
      <c r="E2077" s="10" t="s">
        <v>52</v>
      </c>
      <c r="F2077" s="10" t="s">
        <v>153</v>
      </c>
      <c r="G2077" s="10" t="b">
        <f>FALSE()</f>
        <v>0</v>
      </c>
      <c r="H2077" s="10">
        <v>0</v>
      </c>
      <c r="I2077" s="10">
        <v>1</v>
      </c>
      <c r="J2077" s="10">
        <v>0</v>
      </c>
      <c r="K2077" s="10">
        <v>0</v>
      </c>
      <c r="L2077" s="10">
        <v>0</v>
      </c>
      <c r="M2077" s="10">
        <v>1</v>
      </c>
      <c r="N2077" s="10">
        <v>194</v>
      </c>
      <c r="O2077" s="10">
        <v>194</v>
      </c>
    </row>
    <row r="2078" spans="1:15" x14ac:dyDescent="0.2">
      <c r="A2078" s="10" t="s">
        <v>1074</v>
      </c>
      <c r="B2078" s="10" t="s">
        <v>104</v>
      </c>
      <c r="C2078" s="10" t="s">
        <v>105</v>
      </c>
      <c r="D2078" s="10" t="s">
        <v>45</v>
      </c>
      <c r="E2078" s="10" t="s">
        <v>46</v>
      </c>
      <c r="F2078" s="10" t="s">
        <v>1216</v>
      </c>
      <c r="G2078" s="10" t="b">
        <f>TRUE()</f>
        <v>1</v>
      </c>
      <c r="H2078" s="10">
        <v>0</v>
      </c>
      <c r="I2078" s="10">
        <v>1</v>
      </c>
      <c r="J2078" s="10">
        <v>0</v>
      </c>
      <c r="K2078" s="10">
        <v>0</v>
      </c>
      <c r="L2078" s="10">
        <v>0</v>
      </c>
      <c r="M2078" s="10">
        <v>1</v>
      </c>
      <c r="N2078" s="10">
        <v>199</v>
      </c>
      <c r="O2078" s="10">
        <v>194</v>
      </c>
    </row>
    <row r="2079" spans="1:15" x14ac:dyDescent="0.2">
      <c r="A2079" s="10" t="s">
        <v>1123</v>
      </c>
      <c r="B2079" s="10" t="s">
        <v>70</v>
      </c>
      <c r="C2079" s="10" t="s">
        <v>70</v>
      </c>
      <c r="D2079" s="10" t="s">
        <v>45</v>
      </c>
      <c r="E2079" s="10" t="s">
        <v>46</v>
      </c>
      <c r="F2079" s="10" t="s">
        <v>92</v>
      </c>
      <c r="G2079" s="10" t="b">
        <f>FALSE()</f>
        <v>0</v>
      </c>
      <c r="H2079" s="10">
        <v>0</v>
      </c>
      <c r="I2079" s="10">
        <v>1</v>
      </c>
      <c r="J2079" s="10">
        <v>0</v>
      </c>
      <c r="K2079" s="10">
        <v>0</v>
      </c>
      <c r="L2079" s="10">
        <v>0</v>
      </c>
      <c r="M2079" s="10">
        <v>1</v>
      </c>
      <c r="N2079" s="10">
        <v>192</v>
      </c>
      <c r="O2079" s="10">
        <v>194</v>
      </c>
    </row>
    <row r="2080" spans="1:15" x14ac:dyDescent="0.2">
      <c r="A2080" s="10" t="s">
        <v>1073</v>
      </c>
      <c r="B2080" s="10" t="s">
        <v>193</v>
      </c>
      <c r="C2080" s="10" t="s">
        <v>117</v>
      </c>
      <c r="D2080" s="10" t="s">
        <v>51</v>
      </c>
      <c r="E2080" s="10" t="s">
        <v>52</v>
      </c>
      <c r="F2080" s="10" t="s">
        <v>434</v>
      </c>
      <c r="G2080" s="10" t="b">
        <f>FALSE()</f>
        <v>0</v>
      </c>
      <c r="H2080" s="10">
        <v>0</v>
      </c>
      <c r="I2080" s="10">
        <v>1</v>
      </c>
      <c r="J2080" s="10">
        <v>0</v>
      </c>
      <c r="K2080" s="10">
        <v>0</v>
      </c>
      <c r="L2080" s="10">
        <v>0</v>
      </c>
      <c r="M2080" s="10">
        <v>1</v>
      </c>
      <c r="N2080" s="10">
        <v>205</v>
      </c>
      <c r="O2080" s="10">
        <v>193</v>
      </c>
    </row>
    <row r="2081" spans="1:15" x14ac:dyDescent="0.2">
      <c r="A2081" s="10" t="s">
        <v>1217</v>
      </c>
      <c r="B2081" s="10" t="s">
        <v>128</v>
      </c>
      <c r="C2081" s="10" t="s">
        <v>50</v>
      </c>
      <c r="D2081" s="10" t="s">
        <v>51</v>
      </c>
      <c r="E2081" s="10" t="s">
        <v>52</v>
      </c>
      <c r="F2081" s="10" t="s">
        <v>74</v>
      </c>
      <c r="G2081" s="10" t="b">
        <f>FALSE()</f>
        <v>0</v>
      </c>
      <c r="H2081" s="10">
        <v>0</v>
      </c>
      <c r="I2081" s="10">
        <v>1</v>
      </c>
      <c r="J2081" s="10">
        <v>0</v>
      </c>
      <c r="K2081" s="10">
        <v>0</v>
      </c>
      <c r="L2081" s="10">
        <v>0</v>
      </c>
      <c r="M2081" s="10">
        <v>1</v>
      </c>
      <c r="N2081" s="10">
        <v>206</v>
      </c>
      <c r="O2081" s="10">
        <v>193</v>
      </c>
    </row>
    <row r="2082" spans="1:15" x14ac:dyDescent="0.2">
      <c r="A2082" s="10" t="s">
        <v>1130</v>
      </c>
      <c r="B2082" s="10" t="s">
        <v>193</v>
      </c>
      <c r="C2082" s="10" t="s">
        <v>117</v>
      </c>
      <c r="D2082" s="10" t="s">
        <v>51</v>
      </c>
      <c r="E2082" s="10" t="s">
        <v>52</v>
      </c>
      <c r="F2082" s="10" t="s">
        <v>61</v>
      </c>
      <c r="G2082" s="10" t="b">
        <f>FALSE()</f>
        <v>0</v>
      </c>
      <c r="H2082" s="10">
        <v>0</v>
      </c>
      <c r="I2082" s="10">
        <v>1</v>
      </c>
      <c r="J2082" s="10">
        <v>0</v>
      </c>
      <c r="K2082" s="10">
        <v>0</v>
      </c>
      <c r="L2082" s="10">
        <v>0</v>
      </c>
      <c r="M2082" s="10">
        <v>1</v>
      </c>
      <c r="N2082" s="10">
        <v>169</v>
      </c>
      <c r="O2082" s="10">
        <v>192</v>
      </c>
    </row>
    <row r="2083" spans="1:15" x14ac:dyDescent="0.2">
      <c r="A2083" s="10" t="s">
        <v>1047</v>
      </c>
      <c r="B2083" s="10" t="s">
        <v>96</v>
      </c>
      <c r="C2083" s="10" t="s">
        <v>50</v>
      </c>
      <c r="D2083" s="10" t="s">
        <v>51</v>
      </c>
      <c r="E2083" s="10" t="s">
        <v>52</v>
      </c>
      <c r="F2083" s="10" t="s">
        <v>207</v>
      </c>
      <c r="G2083" s="10" t="b">
        <f>FALSE()</f>
        <v>0</v>
      </c>
      <c r="H2083" s="10">
        <v>0</v>
      </c>
      <c r="I2083" s="10">
        <v>1</v>
      </c>
      <c r="J2083" s="10">
        <v>0</v>
      </c>
      <c r="K2083" s="10">
        <v>0</v>
      </c>
      <c r="L2083" s="10">
        <v>0</v>
      </c>
      <c r="M2083" s="10">
        <v>1</v>
      </c>
      <c r="N2083" s="10">
        <v>167</v>
      </c>
      <c r="O2083" s="10">
        <v>192</v>
      </c>
    </row>
    <row r="2084" spans="1:15" x14ac:dyDescent="0.2">
      <c r="A2084" s="10" t="s">
        <v>1218</v>
      </c>
      <c r="B2084" s="10" t="s">
        <v>72</v>
      </c>
      <c r="C2084" s="10" t="s">
        <v>73</v>
      </c>
      <c r="D2084" s="10" t="s">
        <v>45</v>
      </c>
      <c r="E2084" s="10" t="s">
        <v>46</v>
      </c>
      <c r="F2084" s="10" t="s">
        <v>113</v>
      </c>
      <c r="G2084" s="10" t="b">
        <f>TRUE()</f>
        <v>1</v>
      </c>
      <c r="H2084" s="10">
        <v>0</v>
      </c>
      <c r="I2084" s="10">
        <v>1</v>
      </c>
      <c r="J2084" s="10">
        <v>0</v>
      </c>
      <c r="K2084" s="10">
        <v>0</v>
      </c>
      <c r="L2084" s="10">
        <v>0</v>
      </c>
      <c r="M2084" s="10">
        <v>1</v>
      </c>
      <c r="N2084" s="10">
        <v>192</v>
      </c>
      <c r="O2084" s="10">
        <v>192</v>
      </c>
    </row>
    <row r="2085" spans="1:15" x14ac:dyDescent="0.2">
      <c r="A2085" s="10" t="s">
        <v>1219</v>
      </c>
      <c r="B2085" s="10" t="s">
        <v>265</v>
      </c>
      <c r="C2085" s="10" t="s">
        <v>245</v>
      </c>
      <c r="D2085" s="10" t="s">
        <v>51</v>
      </c>
      <c r="E2085" s="10" t="s">
        <v>52</v>
      </c>
      <c r="F2085" s="10" t="s">
        <v>61</v>
      </c>
      <c r="G2085" s="10" t="b">
        <f>FALSE()</f>
        <v>0</v>
      </c>
      <c r="H2085" s="10">
        <v>0</v>
      </c>
      <c r="I2085" s="10">
        <v>1</v>
      </c>
      <c r="J2085" s="10">
        <v>0</v>
      </c>
      <c r="K2085" s="10">
        <v>0</v>
      </c>
      <c r="L2085" s="10">
        <v>0</v>
      </c>
      <c r="M2085" s="10">
        <v>1</v>
      </c>
      <c r="N2085" s="10">
        <v>191</v>
      </c>
      <c r="O2085" s="10">
        <v>191</v>
      </c>
    </row>
    <row r="2086" spans="1:15" x14ac:dyDescent="0.2">
      <c r="A2086" s="10" t="s">
        <v>1220</v>
      </c>
      <c r="B2086" s="10" t="s">
        <v>72</v>
      </c>
      <c r="C2086" s="10" t="s">
        <v>73</v>
      </c>
      <c r="D2086" s="10" t="s">
        <v>45</v>
      </c>
      <c r="E2086" s="10" t="s">
        <v>46</v>
      </c>
      <c r="F2086" s="10" t="s">
        <v>126</v>
      </c>
      <c r="G2086" s="10" t="b">
        <f>FALSE()</f>
        <v>0</v>
      </c>
      <c r="H2086" s="10">
        <v>0</v>
      </c>
      <c r="I2086" s="10">
        <v>1</v>
      </c>
      <c r="J2086" s="10">
        <v>0</v>
      </c>
      <c r="K2086" s="10">
        <v>0</v>
      </c>
      <c r="L2086" s="10">
        <v>0</v>
      </c>
      <c r="M2086" s="10">
        <v>1</v>
      </c>
      <c r="N2086" s="10">
        <v>192</v>
      </c>
      <c r="O2086" s="10">
        <v>191</v>
      </c>
    </row>
    <row r="2087" spans="1:15" x14ac:dyDescent="0.2">
      <c r="A2087" s="10" t="s">
        <v>1221</v>
      </c>
      <c r="B2087" s="10" t="s">
        <v>146</v>
      </c>
      <c r="C2087" s="10" t="s">
        <v>105</v>
      </c>
      <c r="D2087" s="10" t="s">
        <v>45</v>
      </c>
      <c r="E2087" s="10" t="s">
        <v>46</v>
      </c>
      <c r="F2087" s="10" t="s">
        <v>91</v>
      </c>
      <c r="G2087" s="10" t="b">
        <f>TRUE()</f>
        <v>1</v>
      </c>
      <c r="H2087" s="10">
        <v>0</v>
      </c>
      <c r="I2087" s="10">
        <v>1</v>
      </c>
      <c r="J2087" s="10">
        <v>0</v>
      </c>
      <c r="K2087" s="10">
        <v>0</v>
      </c>
      <c r="L2087" s="10">
        <v>0</v>
      </c>
      <c r="M2087" s="10">
        <v>1</v>
      </c>
      <c r="N2087" s="10">
        <v>192</v>
      </c>
      <c r="O2087" s="10">
        <v>191</v>
      </c>
    </row>
    <row r="2088" spans="1:15" x14ac:dyDescent="0.2">
      <c r="A2088" s="10" t="s">
        <v>1170</v>
      </c>
      <c r="B2088" s="10" t="s">
        <v>146</v>
      </c>
      <c r="C2088" s="10" t="s">
        <v>105</v>
      </c>
      <c r="D2088" s="10" t="s">
        <v>45</v>
      </c>
      <c r="E2088" s="10" t="s">
        <v>46</v>
      </c>
      <c r="F2088" s="10" t="s">
        <v>94</v>
      </c>
      <c r="G2088" s="10" t="b">
        <f>FALSE()</f>
        <v>0</v>
      </c>
      <c r="H2088" s="10">
        <v>0</v>
      </c>
      <c r="I2088" s="10">
        <v>1</v>
      </c>
      <c r="J2088" s="10">
        <v>0</v>
      </c>
      <c r="K2088" s="10">
        <v>0</v>
      </c>
      <c r="L2088" s="10">
        <v>0</v>
      </c>
      <c r="M2088" s="10">
        <v>1</v>
      </c>
      <c r="N2088" s="10">
        <v>200</v>
      </c>
      <c r="O2088" s="10">
        <v>191</v>
      </c>
    </row>
    <row r="2089" spans="1:15" x14ac:dyDescent="0.2">
      <c r="A2089" s="10" t="s">
        <v>1222</v>
      </c>
      <c r="B2089" s="10" t="s">
        <v>273</v>
      </c>
      <c r="C2089" s="10" t="s">
        <v>50</v>
      </c>
      <c r="D2089" s="10" t="s">
        <v>51</v>
      </c>
      <c r="E2089" s="10" t="s">
        <v>52</v>
      </c>
      <c r="F2089" s="10" t="s">
        <v>251</v>
      </c>
      <c r="G2089" s="10" t="b">
        <f>FALSE()</f>
        <v>0</v>
      </c>
      <c r="H2089" s="10">
        <v>0</v>
      </c>
      <c r="I2089" s="10">
        <v>1</v>
      </c>
      <c r="J2089" s="10">
        <v>0</v>
      </c>
      <c r="K2089" s="10">
        <v>0</v>
      </c>
      <c r="L2089" s="10">
        <v>0</v>
      </c>
      <c r="M2089" s="10">
        <v>1</v>
      </c>
      <c r="N2089" s="10">
        <v>192</v>
      </c>
      <c r="O2089" s="10">
        <v>190</v>
      </c>
    </row>
    <row r="2090" spans="1:15" x14ac:dyDescent="0.2">
      <c r="A2090" s="10" t="s">
        <v>1202</v>
      </c>
      <c r="B2090" s="10" t="s">
        <v>99</v>
      </c>
      <c r="C2090" s="10" t="s">
        <v>50</v>
      </c>
      <c r="D2090" s="10" t="s">
        <v>51</v>
      </c>
      <c r="E2090" s="10" t="s">
        <v>52</v>
      </c>
      <c r="F2090" s="10" t="s">
        <v>180</v>
      </c>
      <c r="G2090" s="10" t="b">
        <f>FALSE()</f>
        <v>0</v>
      </c>
      <c r="H2090" s="10">
        <v>0</v>
      </c>
      <c r="I2090" s="10">
        <v>1</v>
      </c>
      <c r="J2090" s="10">
        <v>0</v>
      </c>
      <c r="K2090" s="10">
        <v>0</v>
      </c>
      <c r="L2090" s="10">
        <v>0</v>
      </c>
      <c r="M2090" s="10">
        <v>1</v>
      </c>
      <c r="N2090" s="10">
        <v>190</v>
      </c>
      <c r="O2090" s="10">
        <v>190</v>
      </c>
    </row>
    <row r="2091" spans="1:15" x14ac:dyDescent="0.2">
      <c r="A2091" s="10" t="s">
        <v>1059</v>
      </c>
      <c r="B2091" s="10" t="s">
        <v>109</v>
      </c>
      <c r="C2091" s="10" t="s">
        <v>90</v>
      </c>
      <c r="D2091" s="10" t="s">
        <v>51</v>
      </c>
      <c r="E2091" s="10" t="s">
        <v>52</v>
      </c>
      <c r="F2091" s="10" t="s">
        <v>47</v>
      </c>
      <c r="G2091" s="10" t="b">
        <f>FALSE()</f>
        <v>0</v>
      </c>
      <c r="H2091" s="10">
        <v>0</v>
      </c>
      <c r="I2091" s="10">
        <v>1</v>
      </c>
      <c r="J2091" s="10">
        <v>0</v>
      </c>
      <c r="K2091" s="10">
        <v>0</v>
      </c>
      <c r="L2091" s="10">
        <v>0</v>
      </c>
      <c r="M2091" s="10">
        <v>1</v>
      </c>
      <c r="N2091" s="10">
        <v>146</v>
      </c>
      <c r="O2091" s="10">
        <v>190</v>
      </c>
    </row>
    <row r="2092" spans="1:15" x14ac:dyDescent="0.2">
      <c r="A2092" s="10" t="s">
        <v>1223</v>
      </c>
      <c r="B2092" s="10" t="s">
        <v>146</v>
      </c>
      <c r="C2092" s="10" t="s">
        <v>105</v>
      </c>
      <c r="D2092" s="10" t="s">
        <v>45</v>
      </c>
      <c r="E2092" s="10" t="s">
        <v>46</v>
      </c>
      <c r="F2092" s="10" t="s">
        <v>251</v>
      </c>
      <c r="G2092" s="10" t="b">
        <f>FALSE()</f>
        <v>0</v>
      </c>
      <c r="H2092" s="10">
        <v>0</v>
      </c>
      <c r="I2092" s="10">
        <v>1</v>
      </c>
      <c r="J2092" s="10">
        <v>0</v>
      </c>
      <c r="K2092" s="10">
        <v>0</v>
      </c>
      <c r="L2092" s="10">
        <v>0</v>
      </c>
      <c r="M2092" s="10">
        <v>1</v>
      </c>
      <c r="N2092" s="10">
        <v>191</v>
      </c>
      <c r="O2092" s="10">
        <v>190</v>
      </c>
    </row>
    <row r="2093" spans="1:15" x14ac:dyDescent="0.2">
      <c r="A2093" s="10" t="s">
        <v>1176</v>
      </c>
      <c r="B2093" s="10" t="s">
        <v>70</v>
      </c>
      <c r="C2093" s="10" t="s">
        <v>70</v>
      </c>
      <c r="D2093" s="10" t="s">
        <v>45</v>
      </c>
      <c r="E2093" s="10" t="s">
        <v>46</v>
      </c>
      <c r="F2093" s="10" t="s">
        <v>79</v>
      </c>
      <c r="G2093" s="10" t="b">
        <f>FALSE()</f>
        <v>0</v>
      </c>
      <c r="H2093" s="10">
        <v>0</v>
      </c>
      <c r="I2093" s="10">
        <v>1</v>
      </c>
      <c r="J2093" s="10">
        <v>0</v>
      </c>
      <c r="K2093" s="10">
        <v>0</v>
      </c>
      <c r="L2093" s="10">
        <v>0</v>
      </c>
      <c r="M2093" s="10">
        <v>1</v>
      </c>
      <c r="N2093" s="10">
        <v>190</v>
      </c>
      <c r="O2093" s="10">
        <v>190</v>
      </c>
    </row>
    <row r="2094" spans="1:15" x14ac:dyDescent="0.2">
      <c r="A2094" s="10" t="s">
        <v>1110</v>
      </c>
      <c r="B2094" s="10" t="s">
        <v>70</v>
      </c>
      <c r="C2094" s="10" t="s">
        <v>70</v>
      </c>
      <c r="D2094" s="10" t="s">
        <v>45</v>
      </c>
      <c r="E2094" s="10" t="s">
        <v>46</v>
      </c>
      <c r="F2094" s="10" t="s">
        <v>1224</v>
      </c>
      <c r="G2094" s="10" t="b">
        <f>FALSE()</f>
        <v>0</v>
      </c>
      <c r="H2094" s="10">
        <v>0</v>
      </c>
      <c r="I2094" s="10">
        <v>1</v>
      </c>
      <c r="J2094" s="10">
        <v>0</v>
      </c>
      <c r="K2094" s="10">
        <v>0</v>
      </c>
      <c r="L2094" s="10">
        <v>0</v>
      </c>
      <c r="M2094" s="10">
        <v>1</v>
      </c>
      <c r="N2094" s="10">
        <v>190</v>
      </c>
      <c r="O2094" s="10">
        <v>190</v>
      </c>
    </row>
    <row r="2095" spans="1:15" x14ac:dyDescent="0.2">
      <c r="A2095" s="10" t="s">
        <v>156</v>
      </c>
      <c r="B2095" s="10" t="s">
        <v>157</v>
      </c>
      <c r="C2095" s="10" t="s">
        <v>64</v>
      </c>
      <c r="D2095" s="10" t="s">
        <v>45</v>
      </c>
      <c r="E2095" s="10" t="s">
        <v>46</v>
      </c>
      <c r="F2095" s="10" t="s">
        <v>91</v>
      </c>
      <c r="G2095" s="10" t="b">
        <f>TRUE()</f>
        <v>1</v>
      </c>
      <c r="H2095" s="10">
        <v>0</v>
      </c>
      <c r="I2095" s="10">
        <v>1</v>
      </c>
      <c r="J2095" s="10">
        <v>0</v>
      </c>
      <c r="K2095" s="10">
        <v>0</v>
      </c>
      <c r="L2095" s="10">
        <v>0</v>
      </c>
      <c r="M2095" s="10">
        <v>1</v>
      </c>
      <c r="N2095" s="10">
        <v>193</v>
      </c>
      <c r="O2095" s="10">
        <v>189</v>
      </c>
    </row>
    <row r="2096" spans="1:15" x14ac:dyDescent="0.2">
      <c r="A2096" s="10" t="s">
        <v>217</v>
      </c>
      <c r="B2096" s="10" t="s">
        <v>218</v>
      </c>
      <c r="C2096" s="10" t="s">
        <v>73</v>
      </c>
      <c r="D2096" s="10" t="s">
        <v>45</v>
      </c>
      <c r="E2096" s="10" t="s">
        <v>46</v>
      </c>
      <c r="F2096" s="10" t="s">
        <v>1198</v>
      </c>
      <c r="G2096" s="10" t="b">
        <f>FALSE()</f>
        <v>0</v>
      </c>
      <c r="H2096" s="10">
        <v>0</v>
      </c>
      <c r="I2096" s="10">
        <v>1</v>
      </c>
      <c r="J2096" s="10">
        <v>0</v>
      </c>
      <c r="K2096" s="10">
        <v>0</v>
      </c>
      <c r="L2096" s="10">
        <v>0</v>
      </c>
      <c r="M2096" s="10">
        <v>1</v>
      </c>
      <c r="N2096" s="10">
        <v>190</v>
      </c>
      <c r="O2096" s="10">
        <v>188</v>
      </c>
    </row>
    <row r="2097" spans="1:15" x14ac:dyDescent="0.2">
      <c r="A2097" s="10" t="s">
        <v>1199</v>
      </c>
      <c r="B2097" s="10" t="s">
        <v>890</v>
      </c>
      <c r="C2097" s="10" t="s">
        <v>112</v>
      </c>
      <c r="D2097" s="10" t="s">
        <v>51</v>
      </c>
      <c r="E2097" s="10" t="s">
        <v>52</v>
      </c>
      <c r="F2097" s="10" t="s">
        <v>92</v>
      </c>
      <c r="G2097" s="10" t="b">
        <f>FALSE()</f>
        <v>0</v>
      </c>
      <c r="H2097" s="10">
        <v>0</v>
      </c>
      <c r="I2097" s="10">
        <v>1</v>
      </c>
      <c r="J2097" s="10">
        <v>0</v>
      </c>
      <c r="K2097" s="10">
        <v>0</v>
      </c>
      <c r="L2097" s="10">
        <v>0</v>
      </c>
      <c r="M2097" s="10">
        <v>1</v>
      </c>
      <c r="N2097" s="10">
        <v>188</v>
      </c>
      <c r="O2097" s="10">
        <v>188</v>
      </c>
    </row>
    <row r="2098" spans="1:15" x14ac:dyDescent="0.2">
      <c r="A2098" s="10" t="s">
        <v>1085</v>
      </c>
      <c r="B2098" s="10" t="s">
        <v>139</v>
      </c>
      <c r="C2098" s="10" t="s">
        <v>64</v>
      </c>
      <c r="D2098" s="10" t="s">
        <v>45</v>
      </c>
      <c r="E2098" s="10" t="s">
        <v>46</v>
      </c>
      <c r="F2098" s="10" t="s">
        <v>363</v>
      </c>
      <c r="G2098" s="10" t="b">
        <f>FALSE()</f>
        <v>0</v>
      </c>
      <c r="H2098" s="10">
        <v>0</v>
      </c>
      <c r="I2098" s="10">
        <v>1</v>
      </c>
      <c r="J2098" s="10">
        <v>0</v>
      </c>
      <c r="K2098" s="10">
        <v>0</v>
      </c>
      <c r="L2098" s="10">
        <v>0</v>
      </c>
      <c r="M2098" s="10">
        <v>1</v>
      </c>
      <c r="N2098" s="10">
        <v>186</v>
      </c>
      <c r="O2098" s="10">
        <v>186</v>
      </c>
    </row>
    <row r="2099" spans="1:15" x14ac:dyDescent="0.2">
      <c r="A2099" s="10" t="s">
        <v>402</v>
      </c>
      <c r="B2099" s="10" t="s">
        <v>238</v>
      </c>
      <c r="C2099" s="10" t="s">
        <v>90</v>
      </c>
      <c r="D2099" s="10" t="s">
        <v>51</v>
      </c>
      <c r="E2099" s="10" t="s">
        <v>52</v>
      </c>
      <c r="F2099" s="10" t="s">
        <v>102</v>
      </c>
      <c r="G2099" s="10" t="b">
        <f>TRUE()</f>
        <v>1</v>
      </c>
      <c r="H2099" s="10">
        <v>0</v>
      </c>
      <c r="I2099" s="10">
        <v>1</v>
      </c>
      <c r="J2099" s="10">
        <v>0</v>
      </c>
      <c r="K2099" s="10">
        <v>0</v>
      </c>
      <c r="L2099" s="10">
        <v>0</v>
      </c>
      <c r="M2099" s="10">
        <v>1</v>
      </c>
      <c r="N2099" s="10">
        <v>186</v>
      </c>
      <c r="O2099" s="10">
        <v>185</v>
      </c>
    </row>
    <row r="2100" spans="1:15" x14ac:dyDescent="0.2">
      <c r="A2100" s="10" t="s">
        <v>1222</v>
      </c>
      <c r="B2100" s="10" t="s">
        <v>273</v>
      </c>
      <c r="C2100" s="10" t="s">
        <v>50</v>
      </c>
      <c r="D2100" s="10" t="s">
        <v>51</v>
      </c>
      <c r="E2100" s="10" t="s">
        <v>52</v>
      </c>
      <c r="F2100" s="10" t="s">
        <v>47</v>
      </c>
      <c r="G2100" s="10" t="b">
        <f>FALSE()</f>
        <v>0</v>
      </c>
      <c r="H2100" s="10">
        <v>0</v>
      </c>
      <c r="I2100" s="10">
        <v>1</v>
      </c>
      <c r="J2100" s="10">
        <v>0</v>
      </c>
      <c r="K2100" s="10">
        <v>0</v>
      </c>
      <c r="L2100" s="10">
        <v>0</v>
      </c>
      <c r="M2100" s="10">
        <v>1</v>
      </c>
      <c r="N2100" s="10">
        <v>109</v>
      </c>
      <c r="O2100" s="10">
        <v>185</v>
      </c>
    </row>
    <row r="2101" spans="1:15" x14ac:dyDescent="0.2">
      <c r="A2101" s="10" t="s">
        <v>1225</v>
      </c>
      <c r="B2101" s="10" t="s">
        <v>793</v>
      </c>
      <c r="C2101" s="10" t="s">
        <v>90</v>
      </c>
      <c r="D2101" s="10" t="s">
        <v>51</v>
      </c>
      <c r="E2101" s="10" t="s">
        <v>52</v>
      </c>
      <c r="F2101" s="10" t="s">
        <v>153</v>
      </c>
      <c r="G2101" s="10" t="b">
        <f>FALSE()</f>
        <v>0</v>
      </c>
      <c r="H2101" s="10">
        <v>0</v>
      </c>
      <c r="I2101" s="10">
        <v>1</v>
      </c>
      <c r="J2101" s="10">
        <v>0</v>
      </c>
      <c r="K2101" s="10">
        <v>0</v>
      </c>
      <c r="L2101" s="10">
        <v>0</v>
      </c>
      <c r="M2101" s="10">
        <v>1</v>
      </c>
      <c r="N2101" s="10">
        <v>193</v>
      </c>
      <c r="O2101" s="10">
        <v>185</v>
      </c>
    </row>
    <row r="2102" spans="1:15" x14ac:dyDescent="0.2">
      <c r="A2102" s="10" t="s">
        <v>120</v>
      </c>
      <c r="B2102" s="10" t="s">
        <v>72</v>
      </c>
      <c r="C2102" s="10" t="s">
        <v>73</v>
      </c>
      <c r="D2102" s="10" t="s">
        <v>45</v>
      </c>
      <c r="E2102" s="10" t="s">
        <v>46</v>
      </c>
      <c r="F2102" s="10" t="s">
        <v>92</v>
      </c>
      <c r="G2102" s="10" t="b">
        <f>FALSE()</f>
        <v>0</v>
      </c>
      <c r="H2102" s="10">
        <v>0</v>
      </c>
      <c r="I2102" s="10">
        <v>1</v>
      </c>
      <c r="J2102" s="10">
        <v>0</v>
      </c>
      <c r="K2102" s="10">
        <v>0</v>
      </c>
      <c r="L2102" s="10">
        <v>0</v>
      </c>
      <c r="M2102" s="10">
        <v>1</v>
      </c>
      <c r="N2102" s="10">
        <v>186</v>
      </c>
      <c r="O2102" s="10">
        <v>184</v>
      </c>
    </row>
    <row r="2103" spans="1:15" x14ac:dyDescent="0.2">
      <c r="A2103" s="10" t="s">
        <v>724</v>
      </c>
      <c r="B2103" s="10" t="s">
        <v>119</v>
      </c>
      <c r="C2103" s="10" t="s">
        <v>56</v>
      </c>
      <c r="D2103" s="10" t="s">
        <v>45</v>
      </c>
      <c r="E2103" s="10" t="s">
        <v>46</v>
      </c>
      <c r="F2103" s="10" t="s">
        <v>207</v>
      </c>
      <c r="G2103" s="10" t="b">
        <f>FALSE()</f>
        <v>0</v>
      </c>
      <c r="H2103" s="10">
        <v>0</v>
      </c>
      <c r="I2103" s="10">
        <v>1</v>
      </c>
      <c r="J2103" s="10">
        <v>0</v>
      </c>
      <c r="K2103" s="10">
        <v>0</v>
      </c>
      <c r="L2103" s="10">
        <v>0</v>
      </c>
      <c r="M2103" s="10">
        <v>1</v>
      </c>
      <c r="N2103" s="10">
        <v>185</v>
      </c>
      <c r="O2103" s="10">
        <v>184</v>
      </c>
    </row>
    <row r="2104" spans="1:15" x14ac:dyDescent="0.2">
      <c r="A2104" s="10" t="s">
        <v>1226</v>
      </c>
      <c r="B2104" s="10" t="s">
        <v>407</v>
      </c>
      <c r="C2104" s="10" t="s">
        <v>112</v>
      </c>
      <c r="D2104" s="10" t="s">
        <v>51</v>
      </c>
      <c r="E2104" s="10" t="s">
        <v>52</v>
      </c>
      <c r="F2104" s="10" t="s">
        <v>190</v>
      </c>
      <c r="G2104" s="10" t="b">
        <f>TRUE()</f>
        <v>1</v>
      </c>
      <c r="H2104" s="10">
        <v>0</v>
      </c>
      <c r="I2104" s="10">
        <v>1</v>
      </c>
      <c r="J2104" s="10">
        <v>0</v>
      </c>
      <c r="K2104" s="10">
        <v>0</v>
      </c>
      <c r="L2104" s="10">
        <v>0</v>
      </c>
      <c r="M2104" s="10">
        <v>1</v>
      </c>
      <c r="N2104" s="10">
        <v>184</v>
      </c>
      <c r="O2104" s="10">
        <v>184</v>
      </c>
    </row>
    <row r="2105" spans="1:15" x14ac:dyDescent="0.2">
      <c r="A2105" s="10" t="s">
        <v>1056</v>
      </c>
      <c r="B2105" s="10" t="s">
        <v>104</v>
      </c>
      <c r="C2105" s="10" t="s">
        <v>105</v>
      </c>
      <c r="D2105" s="10" t="s">
        <v>45</v>
      </c>
      <c r="E2105" s="10" t="s">
        <v>46</v>
      </c>
      <c r="F2105" s="10" t="s">
        <v>61</v>
      </c>
      <c r="G2105" s="10" t="b">
        <f>FALSE()</f>
        <v>0</v>
      </c>
      <c r="H2105" s="10">
        <v>0</v>
      </c>
      <c r="I2105" s="10">
        <v>1</v>
      </c>
      <c r="J2105" s="10">
        <v>0</v>
      </c>
      <c r="K2105" s="10">
        <v>0</v>
      </c>
      <c r="L2105" s="10">
        <v>0</v>
      </c>
      <c r="M2105" s="10">
        <v>1</v>
      </c>
      <c r="N2105" s="10">
        <v>184</v>
      </c>
      <c r="O2105" s="10">
        <v>184</v>
      </c>
    </row>
    <row r="2106" spans="1:15" x14ac:dyDescent="0.2">
      <c r="A2106" s="10" t="s">
        <v>1037</v>
      </c>
      <c r="B2106" s="10" t="s">
        <v>238</v>
      </c>
      <c r="C2106" s="10" t="s">
        <v>90</v>
      </c>
      <c r="D2106" s="10" t="s">
        <v>51</v>
      </c>
      <c r="E2106" s="10" t="s">
        <v>52</v>
      </c>
      <c r="F2106" s="10" t="s">
        <v>345</v>
      </c>
      <c r="G2106" s="10" t="b">
        <f>FALSE()</f>
        <v>0</v>
      </c>
      <c r="H2106" s="10">
        <v>0</v>
      </c>
      <c r="I2106" s="10">
        <v>1</v>
      </c>
      <c r="J2106" s="10">
        <v>0</v>
      </c>
      <c r="K2106" s="10">
        <v>0</v>
      </c>
      <c r="L2106" s="10">
        <v>0</v>
      </c>
      <c r="M2106" s="10">
        <v>1</v>
      </c>
      <c r="N2106" s="10">
        <v>186</v>
      </c>
      <c r="O2106" s="10">
        <v>183</v>
      </c>
    </row>
    <row r="2107" spans="1:15" x14ac:dyDescent="0.2">
      <c r="A2107" s="10" t="s">
        <v>1227</v>
      </c>
      <c r="B2107" s="10" t="s">
        <v>104</v>
      </c>
      <c r="C2107" s="10" t="s">
        <v>105</v>
      </c>
      <c r="D2107" s="10" t="s">
        <v>45</v>
      </c>
      <c r="E2107" s="10" t="s">
        <v>46</v>
      </c>
      <c r="F2107" s="10" t="s">
        <v>61</v>
      </c>
      <c r="G2107" s="10" t="b">
        <f>FALSE()</f>
        <v>0</v>
      </c>
      <c r="H2107" s="10">
        <v>0</v>
      </c>
      <c r="I2107" s="10">
        <v>1</v>
      </c>
      <c r="J2107" s="10">
        <v>0</v>
      </c>
      <c r="K2107" s="10">
        <v>0</v>
      </c>
      <c r="L2107" s="10">
        <v>0</v>
      </c>
      <c r="M2107" s="10">
        <v>1</v>
      </c>
      <c r="N2107" s="10">
        <v>183</v>
      </c>
      <c r="O2107" s="10">
        <v>183</v>
      </c>
    </row>
    <row r="2108" spans="1:15" x14ac:dyDescent="0.2">
      <c r="A2108" s="10" t="s">
        <v>1055</v>
      </c>
      <c r="B2108" s="10" t="s">
        <v>178</v>
      </c>
      <c r="C2108" s="10" t="s">
        <v>73</v>
      </c>
      <c r="D2108" s="10" t="s">
        <v>45</v>
      </c>
      <c r="E2108" s="10" t="s">
        <v>46</v>
      </c>
      <c r="F2108" s="10" t="s">
        <v>58</v>
      </c>
      <c r="G2108" s="10" t="b">
        <f>FALSE()</f>
        <v>0</v>
      </c>
      <c r="H2108" s="10">
        <v>0</v>
      </c>
      <c r="I2108" s="10">
        <v>1</v>
      </c>
      <c r="J2108" s="10">
        <v>0</v>
      </c>
      <c r="K2108" s="10">
        <v>0</v>
      </c>
      <c r="L2108" s="10">
        <v>0</v>
      </c>
      <c r="M2108" s="10">
        <v>1</v>
      </c>
      <c r="N2108" s="10">
        <v>182</v>
      </c>
      <c r="O2108" s="10">
        <v>182</v>
      </c>
    </row>
    <row r="2109" spans="1:15" x14ac:dyDescent="0.2">
      <c r="A2109" s="10" t="s">
        <v>1076</v>
      </c>
      <c r="B2109" s="10" t="s">
        <v>285</v>
      </c>
      <c r="C2109" s="10" t="s">
        <v>105</v>
      </c>
      <c r="D2109" s="10" t="s">
        <v>45</v>
      </c>
      <c r="E2109" s="10" t="s">
        <v>46</v>
      </c>
      <c r="F2109" s="10" t="s">
        <v>434</v>
      </c>
      <c r="G2109" s="10" t="b">
        <f>FALSE()</f>
        <v>0</v>
      </c>
      <c r="H2109" s="10">
        <v>0</v>
      </c>
      <c r="I2109" s="10">
        <v>1</v>
      </c>
      <c r="J2109" s="10">
        <v>0</v>
      </c>
      <c r="K2109" s="10">
        <v>0</v>
      </c>
      <c r="L2109" s="10">
        <v>0</v>
      </c>
      <c r="M2109" s="10">
        <v>1</v>
      </c>
      <c r="N2109" s="10">
        <v>182</v>
      </c>
      <c r="O2109" s="10">
        <v>182</v>
      </c>
    </row>
    <row r="2110" spans="1:15" x14ac:dyDescent="0.2">
      <c r="A2110" s="10" t="s">
        <v>1130</v>
      </c>
      <c r="B2110" s="10" t="s">
        <v>193</v>
      </c>
      <c r="C2110" s="10" t="s">
        <v>117</v>
      </c>
      <c r="D2110" s="10" t="s">
        <v>51</v>
      </c>
      <c r="E2110" s="10" t="s">
        <v>52</v>
      </c>
      <c r="F2110" s="10" t="s">
        <v>190</v>
      </c>
      <c r="G2110" s="10" t="b">
        <f>TRUE()</f>
        <v>1</v>
      </c>
      <c r="H2110" s="10">
        <v>0</v>
      </c>
      <c r="I2110" s="10">
        <v>1</v>
      </c>
      <c r="J2110" s="10">
        <v>0</v>
      </c>
      <c r="K2110" s="10">
        <v>0</v>
      </c>
      <c r="L2110" s="10">
        <v>0</v>
      </c>
      <c r="M2110" s="10">
        <v>1</v>
      </c>
      <c r="N2110" s="10">
        <v>199</v>
      </c>
      <c r="O2110" s="10">
        <v>181</v>
      </c>
    </row>
    <row r="2111" spans="1:15" x14ac:dyDescent="0.2">
      <c r="A2111" s="10" t="s">
        <v>1008</v>
      </c>
      <c r="B2111" s="10" t="s">
        <v>172</v>
      </c>
      <c r="C2111" s="10" t="s">
        <v>44</v>
      </c>
      <c r="D2111" s="10" t="s">
        <v>45</v>
      </c>
      <c r="E2111" s="10" t="s">
        <v>46</v>
      </c>
      <c r="F2111" s="10" t="s">
        <v>251</v>
      </c>
      <c r="G2111" s="10" t="b">
        <f>FALSE()</f>
        <v>0</v>
      </c>
      <c r="H2111" s="10">
        <v>0</v>
      </c>
      <c r="I2111" s="10">
        <v>1</v>
      </c>
      <c r="J2111" s="10">
        <v>0</v>
      </c>
      <c r="K2111" s="10">
        <v>0</v>
      </c>
      <c r="L2111" s="10">
        <v>0</v>
      </c>
      <c r="M2111" s="10">
        <v>1</v>
      </c>
      <c r="N2111" s="10">
        <v>181</v>
      </c>
      <c r="O2111" s="10">
        <v>181</v>
      </c>
    </row>
    <row r="2112" spans="1:15" x14ac:dyDescent="0.2">
      <c r="A2112" s="10" t="s">
        <v>1047</v>
      </c>
      <c r="B2112" s="10" t="s">
        <v>96</v>
      </c>
      <c r="C2112" s="10" t="s">
        <v>50</v>
      </c>
      <c r="D2112" s="10" t="s">
        <v>51</v>
      </c>
      <c r="E2112" s="10" t="s">
        <v>52</v>
      </c>
      <c r="F2112" s="10" t="s">
        <v>132</v>
      </c>
      <c r="G2112" s="10" t="b">
        <f>FALSE()</f>
        <v>0</v>
      </c>
      <c r="H2112" s="10">
        <v>0</v>
      </c>
      <c r="I2112" s="10">
        <v>1</v>
      </c>
      <c r="J2112" s="10">
        <v>0</v>
      </c>
      <c r="K2112" s="10">
        <v>0</v>
      </c>
      <c r="L2112" s="10">
        <v>0</v>
      </c>
      <c r="M2112" s="10">
        <v>1</v>
      </c>
      <c r="N2112" s="10">
        <v>181</v>
      </c>
      <c r="O2112" s="10">
        <v>179</v>
      </c>
    </row>
    <row r="2113" spans="1:15" x14ac:dyDescent="0.2">
      <c r="A2113" s="10" t="s">
        <v>1059</v>
      </c>
      <c r="B2113" s="10" t="s">
        <v>109</v>
      </c>
      <c r="C2113" s="10" t="s">
        <v>90</v>
      </c>
      <c r="D2113" s="10" t="s">
        <v>51</v>
      </c>
      <c r="E2113" s="10" t="s">
        <v>52</v>
      </c>
      <c r="F2113" s="10" t="s">
        <v>153</v>
      </c>
      <c r="G2113" s="10" t="b">
        <f>FALSE()</f>
        <v>0</v>
      </c>
      <c r="H2113" s="10">
        <v>0</v>
      </c>
      <c r="I2113" s="10">
        <v>1</v>
      </c>
      <c r="J2113" s="10">
        <v>0</v>
      </c>
      <c r="K2113" s="10">
        <v>0</v>
      </c>
      <c r="L2113" s="10">
        <v>0</v>
      </c>
      <c r="M2113" s="10">
        <v>1</v>
      </c>
      <c r="N2113" s="10">
        <v>190</v>
      </c>
      <c r="O2113" s="10">
        <v>179</v>
      </c>
    </row>
    <row r="2114" spans="1:15" x14ac:dyDescent="0.2">
      <c r="A2114" s="10" t="s">
        <v>1228</v>
      </c>
      <c r="B2114" s="10" t="s">
        <v>339</v>
      </c>
      <c r="C2114" s="10" t="s">
        <v>117</v>
      </c>
      <c r="D2114" s="10" t="s">
        <v>51</v>
      </c>
      <c r="E2114" s="10" t="s">
        <v>52</v>
      </c>
      <c r="F2114" s="10" t="s">
        <v>91</v>
      </c>
      <c r="G2114" s="10" t="b">
        <f>TRUE()</f>
        <v>1</v>
      </c>
      <c r="H2114" s="10">
        <v>0</v>
      </c>
      <c r="I2114" s="10">
        <v>1</v>
      </c>
      <c r="J2114" s="10">
        <v>0</v>
      </c>
      <c r="K2114" s="10">
        <v>0</v>
      </c>
      <c r="L2114" s="10">
        <v>0</v>
      </c>
      <c r="M2114" s="10">
        <v>1</v>
      </c>
      <c r="N2114" s="10">
        <v>178</v>
      </c>
      <c r="O2114" s="10">
        <v>178</v>
      </c>
    </row>
    <row r="2115" spans="1:15" x14ac:dyDescent="0.2">
      <c r="A2115" s="10" t="s">
        <v>1229</v>
      </c>
      <c r="B2115" s="10" t="s">
        <v>669</v>
      </c>
      <c r="C2115" s="10" t="s">
        <v>90</v>
      </c>
      <c r="D2115" s="10" t="s">
        <v>51</v>
      </c>
      <c r="E2115" s="10" t="s">
        <v>52</v>
      </c>
      <c r="F2115" s="10" t="s">
        <v>207</v>
      </c>
      <c r="G2115" s="10" t="b">
        <f>FALSE()</f>
        <v>0</v>
      </c>
      <c r="H2115" s="10">
        <v>0</v>
      </c>
      <c r="I2115" s="10">
        <v>1</v>
      </c>
      <c r="J2115" s="10">
        <v>0</v>
      </c>
      <c r="K2115" s="10">
        <v>0</v>
      </c>
      <c r="L2115" s="10">
        <v>0</v>
      </c>
      <c r="M2115" s="10">
        <v>1</v>
      </c>
      <c r="N2115" s="10">
        <v>190</v>
      </c>
      <c r="O2115" s="10">
        <v>178</v>
      </c>
    </row>
    <row r="2116" spans="1:15" x14ac:dyDescent="0.2">
      <c r="A2116" s="10" t="s">
        <v>1182</v>
      </c>
      <c r="B2116" s="10" t="s">
        <v>116</v>
      </c>
      <c r="C2116" s="10" t="s">
        <v>117</v>
      </c>
      <c r="D2116" s="10" t="s">
        <v>51</v>
      </c>
      <c r="E2116" s="10" t="s">
        <v>52</v>
      </c>
      <c r="F2116" s="10" t="s">
        <v>212</v>
      </c>
      <c r="G2116" s="10" t="b">
        <f>FALSE()</f>
        <v>0</v>
      </c>
      <c r="H2116" s="10">
        <v>0</v>
      </c>
      <c r="I2116" s="10">
        <v>1</v>
      </c>
      <c r="J2116" s="10">
        <v>0</v>
      </c>
      <c r="K2116" s="10">
        <v>0</v>
      </c>
      <c r="L2116" s="10">
        <v>0</v>
      </c>
      <c r="M2116" s="10">
        <v>1</v>
      </c>
      <c r="N2116" s="10">
        <v>198</v>
      </c>
      <c r="O2116" s="10">
        <v>177</v>
      </c>
    </row>
    <row r="2117" spans="1:15" x14ac:dyDescent="0.2">
      <c r="A2117" s="10" t="s">
        <v>1230</v>
      </c>
      <c r="B2117" s="10" t="s">
        <v>78</v>
      </c>
      <c r="C2117" s="10" t="s">
        <v>50</v>
      </c>
      <c r="D2117" s="10" t="s">
        <v>51</v>
      </c>
      <c r="E2117" s="10" t="s">
        <v>52</v>
      </c>
      <c r="F2117" s="10" t="s">
        <v>190</v>
      </c>
      <c r="G2117" s="10" t="b">
        <f>TRUE()</f>
        <v>1</v>
      </c>
      <c r="H2117" s="10">
        <v>0</v>
      </c>
      <c r="I2117" s="10">
        <v>1</v>
      </c>
      <c r="J2117" s="10">
        <v>0</v>
      </c>
      <c r="K2117" s="10">
        <v>0</v>
      </c>
      <c r="L2117" s="10">
        <v>0</v>
      </c>
      <c r="M2117" s="10">
        <v>1</v>
      </c>
      <c r="N2117" s="10">
        <v>188</v>
      </c>
      <c r="O2117" s="10">
        <v>177</v>
      </c>
    </row>
    <row r="2118" spans="1:15" x14ac:dyDescent="0.2">
      <c r="A2118" s="10" t="s">
        <v>1108</v>
      </c>
      <c r="B2118" s="10" t="s">
        <v>232</v>
      </c>
      <c r="C2118" s="10" t="s">
        <v>90</v>
      </c>
      <c r="D2118" s="10" t="s">
        <v>51</v>
      </c>
      <c r="E2118" s="10" t="s">
        <v>52</v>
      </c>
      <c r="F2118" s="10" t="s">
        <v>207</v>
      </c>
      <c r="G2118" s="10" t="b">
        <f>FALSE()</f>
        <v>0</v>
      </c>
      <c r="H2118" s="10">
        <v>0</v>
      </c>
      <c r="I2118" s="10">
        <v>1</v>
      </c>
      <c r="J2118" s="10">
        <v>0</v>
      </c>
      <c r="K2118" s="10">
        <v>0</v>
      </c>
      <c r="L2118" s="10">
        <v>0</v>
      </c>
      <c r="M2118" s="10">
        <v>1</v>
      </c>
      <c r="N2118" s="10">
        <v>198</v>
      </c>
      <c r="O2118" s="10">
        <v>177</v>
      </c>
    </row>
    <row r="2119" spans="1:15" x14ac:dyDescent="0.2">
      <c r="A2119" s="10" t="s">
        <v>1196</v>
      </c>
      <c r="B2119" s="10" t="s">
        <v>104</v>
      </c>
      <c r="C2119" s="10" t="s">
        <v>105</v>
      </c>
      <c r="D2119" s="10" t="s">
        <v>45</v>
      </c>
      <c r="E2119" s="10" t="s">
        <v>46</v>
      </c>
      <c r="F2119" s="10" t="s">
        <v>91</v>
      </c>
      <c r="G2119" s="10" t="b">
        <f>TRUE()</f>
        <v>1</v>
      </c>
      <c r="H2119" s="10">
        <v>0</v>
      </c>
      <c r="I2119" s="10">
        <v>1</v>
      </c>
      <c r="J2119" s="10">
        <v>0</v>
      </c>
      <c r="K2119" s="10">
        <v>0</v>
      </c>
      <c r="L2119" s="10">
        <v>0</v>
      </c>
      <c r="M2119" s="10">
        <v>1</v>
      </c>
      <c r="N2119" s="10">
        <v>179</v>
      </c>
      <c r="O2119" s="10">
        <v>177</v>
      </c>
    </row>
    <row r="2120" spans="1:15" x14ac:dyDescent="0.2">
      <c r="A2120" s="10" t="s">
        <v>1105</v>
      </c>
      <c r="B2120" s="10" t="s">
        <v>43</v>
      </c>
      <c r="C2120" s="10" t="s">
        <v>44</v>
      </c>
      <c r="D2120" s="10" t="s">
        <v>45</v>
      </c>
      <c r="E2120" s="10" t="s">
        <v>46</v>
      </c>
      <c r="F2120" s="10" t="s">
        <v>223</v>
      </c>
      <c r="G2120" s="10" t="b">
        <f>FALSE()</f>
        <v>0</v>
      </c>
      <c r="H2120" s="10">
        <v>0</v>
      </c>
      <c r="I2120" s="10">
        <v>1</v>
      </c>
      <c r="J2120" s="10">
        <v>0</v>
      </c>
      <c r="K2120" s="10">
        <v>0</v>
      </c>
      <c r="L2120" s="10">
        <v>0</v>
      </c>
      <c r="M2120" s="10">
        <v>1</v>
      </c>
      <c r="N2120" s="10">
        <v>177</v>
      </c>
      <c r="O2120" s="10">
        <v>177</v>
      </c>
    </row>
    <row r="2121" spans="1:15" x14ac:dyDescent="0.2">
      <c r="A2121" s="10" t="s">
        <v>134</v>
      </c>
      <c r="B2121" s="10" t="s">
        <v>139</v>
      </c>
      <c r="C2121" s="10" t="s">
        <v>64</v>
      </c>
      <c r="D2121" s="10" t="s">
        <v>45</v>
      </c>
      <c r="E2121" s="10" t="s">
        <v>46</v>
      </c>
      <c r="F2121" s="10" t="s">
        <v>251</v>
      </c>
      <c r="G2121" s="10" t="b">
        <f>FALSE()</f>
        <v>0</v>
      </c>
      <c r="H2121" s="10">
        <v>0</v>
      </c>
      <c r="I2121" s="10">
        <v>1</v>
      </c>
      <c r="J2121" s="10">
        <v>0</v>
      </c>
      <c r="K2121" s="10">
        <v>0</v>
      </c>
      <c r="L2121" s="10">
        <v>0</v>
      </c>
      <c r="M2121" s="10">
        <v>1</v>
      </c>
      <c r="N2121" s="10">
        <v>176</v>
      </c>
      <c r="O2121" s="10">
        <v>176</v>
      </c>
    </row>
    <row r="2122" spans="1:15" x14ac:dyDescent="0.2">
      <c r="A2122" s="10" t="s">
        <v>307</v>
      </c>
      <c r="B2122" s="10" t="s">
        <v>70</v>
      </c>
      <c r="C2122" s="10" t="s">
        <v>70</v>
      </c>
      <c r="D2122" s="10" t="s">
        <v>45</v>
      </c>
      <c r="E2122" s="10" t="s">
        <v>46</v>
      </c>
      <c r="F2122" s="10" t="s">
        <v>92</v>
      </c>
      <c r="G2122" s="10" t="b">
        <f>FALSE()</f>
        <v>0</v>
      </c>
      <c r="H2122" s="10">
        <v>0</v>
      </c>
      <c r="I2122" s="10">
        <v>1</v>
      </c>
      <c r="J2122" s="10">
        <v>0</v>
      </c>
      <c r="K2122" s="10">
        <v>0</v>
      </c>
      <c r="L2122" s="10">
        <v>0</v>
      </c>
      <c r="M2122" s="10">
        <v>1</v>
      </c>
      <c r="N2122" s="10">
        <v>180</v>
      </c>
      <c r="O2122" s="10">
        <v>176</v>
      </c>
    </row>
    <row r="2123" spans="1:15" x14ac:dyDescent="0.2">
      <c r="A2123" s="10" t="s">
        <v>529</v>
      </c>
      <c r="B2123" s="10" t="s">
        <v>172</v>
      </c>
      <c r="C2123" s="10" t="s">
        <v>44</v>
      </c>
      <c r="D2123" s="10" t="s">
        <v>45</v>
      </c>
      <c r="E2123" s="10" t="s">
        <v>46</v>
      </c>
      <c r="F2123" s="10" t="s">
        <v>363</v>
      </c>
      <c r="G2123" s="10" t="b">
        <f>FALSE()</f>
        <v>0</v>
      </c>
      <c r="H2123" s="10">
        <v>1</v>
      </c>
      <c r="I2123" s="10">
        <v>1</v>
      </c>
      <c r="J2123" s="10">
        <v>1</v>
      </c>
      <c r="K2123" s="10">
        <v>5</v>
      </c>
      <c r="L2123" s="10">
        <v>0</v>
      </c>
      <c r="M2123" s="10">
        <v>1</v>
      </c>
      <c r="N2123" s="10">
        <v>176</v>
      </c>
      <c r="O2123" s="10">
        <v>174</v>
      </c>
    </row>
    <row r="2124" spans="1:15" x14ac:dyDescent="0.2">
      <c r="A2124" s="10" t="s">
        <v>1120</v>
      </c>
      <c r="B2124" s="10" t="s">
        <v>265</v>
      </c>
      <c r="C2124" s="10" t="s">
        <v>245</v>
      </c>
      <c r="D2124" s="10" t="s">
        <v>51</v>
      </c>
      <c r="E2124" s="10" t="s">
        <v>52</v>
      </c>
      <c r="F2124" s="10" t="s">
        <v>251</v>
      </c>
      <c r="G2124" s="10" t="b">
        <f>FALSE()</f>
        <v>0</v>
      </c>
      <c r="H2124" s="10">
        <v>0</v>
      </c>
      <c r="I2124" s="10">
        <v>1</v>
      </c>
      <c r="J2124" s="10">
        <v>0</v>
      </c>
      <c r="K2124" s="10">
        <v>0</v>
      </c>
      <c r="L2124" s="10">
        <v>0</v>
      </c>
      <c r="M2124" s="10">
        <v>1</v>
      </c>
      <c r="N2124" s="10">
        <v>175</v>
      </c>
      <c r="O2124" s="10">
        <v>174</v>
      </c>
    </row>
    <row r="2125" spans="1:15" x14ac:dyDescent="0.2">
      <c r="A2125" s="10" t="s">
        <v>1231</v>
      </c>
      <c r="B2125" s="10" t="s">
        <v>104</v>
      </c>
      <c r="C2125" s="10" t="s">
        <v>105</v>
      </c>
      <c r="D2125" s="10" t="s">
        <v>45</v>
      </c>
      <c r="E2125" s="10" t="s">
        <v>46</v>
      </c>
      <c r="F2125" s="10" t="s">
        <v>47</v>
      </c>
      <c r="G2125" s="10" t="b">
        <f>FALSE()</f>
        <v>0</v>
      </c>
      <c r="H2125" s="10">
        <v>0</v>
      </c>
      <c r="I2125" s="10">
        <v>1</v>
      </c>
      <c r="J2125" s="10">
        <v>0</v>
      </c>
      <c r="K2125" s="10">
        <v>0</v>
      </c>
      <c r="L2125" s="10">
        <v>0</v>
      </c>
      <c r="M2125" s="10">
        <v>1</v>
      </c>
      <c r="N2125" s="10">
        <v>174</v>
      </c>
      <c r="O2125" s="10">
        <v>174</v>
      </c>
    </row>
    <row r="2126" spans="1:15" x14ac:dyDescent="0.2">
      <c r="A2126" s="10" t="s">
        <v>1232</v>
      </c>
      <c r="B2126" s="10" t="s">
        <v>671</v>
      </c>
      <c r="C2126" s="10" t="s">
        <v>117</v>
      </c>
      <c r="D2126" s="10" t="s">
        <v>51</v>
      </c>
      <c r="E2126" s="10" t="s">
        <v>52</v>
      </c>
      <c r="F2126" s="10" t="s">
        <v>79</v>
      </c>
      <c r="G2126" s="10" t="b">
        <f>FALSE()</f>
        <v>0</v>
      </c>
      <c r="H2126" s="10">
        <v>0</v>
      </c>
      <c r="I2126" s="10">
        <v>1</v>
      </c>
      <c r="J2126" s="10">
        <v>0</v>
      </c>
      <c r="K2126" s="10">
        <v>0</v>
      </c>
      <c r="L2126" s="10">
        <v>0</v>
      </c>
      <c r="M2126" s="10">
        <v>1</v>
      </c>
      <c r="N2126" s="10">
        <v>173</v>
      </c>
      <c r="O2126" s="10">
        <v>173</v>
      </c>
    </row>
    <row r="2127" spans="1:15" x14ac:dyDescent="0.2">
      <c r="A2127" s="10" t="s">
        <v>1130</v>
      </c>
      <c r="B2127" s="10" t="s">
        <v>193</v>
      </c>
      <c r="C2127" s="10" t="s">
        <v>117</v>
      </c>
      <c r="D2127" s="10" t="s">
        <v>51</v>
      </c>
      <c r="E2127" s="10" t="s">
        <v>52</v>
      </c>
      <c r="F2127" s="10" t="s">
        <v>223</v>
      </c>
      <c r="G2127" s="10" t="b">
        <f>FALSE()</f>
        <v>0</v>
      </c>
      <c r="H2127" s="10">
        <v>0</v>
      </c>
      <c r="I2127" s="10">
        <v>1</v>
      </c>
      <c r="J2127" s="10">
        <v>0</v>
      </c>
      <c r="K2127" s="10">
        <v>0</v>
      </c>
      <c r="L2127" s="10">
        <v>0</v>
      </c>
      <c r="M2127" s="10">
        <v>1</v>
      </c>
      <c r="N2127" s="10">
        <v>186</v>
      </c>
      <c r="O2127" s="10">
        <v>172</v>
      </c>
    </row>
    <row r="2128" spans="1:15" x14ac:dyDescent="0.2">
      <c r="A2128" s="10" t="s">
        <v>1223</v>
      </c>
      <c r="B2128" s="10" t="s">
        <v>146</v>
      </c>
      <c r="C2128" s="10" t="s">
        <v>105</v>
      </c>
      <c r="D2128" s="10" t="s">
        <v>45</v>
      </c>
      <c r="E2128" s="10" t="s">
        <v>46</v>
      </c>
      <c r="F2128" s="10" t="s">
        <v>47</v>
      </c>
      <c r="G2128" s="10" t="b">
        <f>FALSE()</f>
        <v>0</v>
      </c>
      <c r="H2128" s="10">
        <v>0</v>
      </c>
      <c r="I2128" s="10">
        <v>1</v>
      </c>
      <c r="J2128" s="10">
        <v>0</v>
      </c>
      <c r="K2128" s="10">
        <v>0</v>
      </c>
      <c r="L2128" s="10">
        <v>0</v>
      </c>
      <c r="M2128" s="10">
        <v>1</v>
      </c>
      <c r="N2128" s="10">
        <v>171</v>
      </c>
      <c r="O2128" s="10">
        <v>172</v>
      </c>
    </row>
    <row r="2129" spans="1:15" x14ac:dyDescent="0.2">
      <c r="A2129" s="10" t="s">
        <v>1154</v>
      </c>
      <c r="B2129" s="10" t="s">
        <v>119</v>
      </c>
      <c r="C2129" s="10" t="s">
        <v>56</v>
      </c>
      <c r="D2129" s="10" t="s">
        <v>45</v>
      </c>
      <c r="E2129" s="10" t="s">
        <v>46</v>
      </c>
      <c r="F2129" s="10" t="s">
        <v>153</v>
      </c>
      <c r="G2129" s="10" t="b">
        <f>FALSE()</f>
        <v>0</v>
      </c>
      <c r="H2129" s="10">
        <v>0</v>
      </c>
      <c r="I2129" s="10">
        <v>1</v>
      </c>
      <c r="J2129" s="10">
        <v>0</v>
      </c>
      <c r="K2129" s="10">
        <v>0</v>
      </c>
      <c r="L2129" s="10">
        <v>0</v>
      </c>
      <c r="M2129" s="10">
        <v>1</v>
      </c>
      <c r="N2129" s="10">
        <v>173</v>
      </c>
      <c r="O2129" s="10">
        <v>172</v>
      </c>
    </row>
    <row r="2130" spans="1:15" x14ac:dyDescent="0.2">
      <c r="A2130" s="10" t="s">
        <v>1018</v>
      </c>
      <c r="B2130" s="10" t="s">
        <v>172</v>
      </c>
      <c r="C2130" s="10" t="s">
        <v>44</v>
      </c>
      <c r="D2130" s="10" t="s">
        <v>45</v>
      </c>
      <c r="E2130" s="10" t="s">
        <v>46</v>
      </c>
      <c r="F2130" s="10" t="s">
        <v>251</v>
      </c>
      <c r="G2130" s="10" t="b">
        <f>FALSE()</f>
        <v>0</v>
      </c>
      <c r="H2130" s="10">
        <v>0</v>
      </c>
      <c r="I2130" s="10">
        <v>1</v>
      </c>
      <c r="J2130" s="10">
        <v>0</v>
      </c>
      <c r="K2130" s="10">
        <v>0</v>
      </c>
      <c r="L2130" s="10">
        <v>0</v>
      </c>
      <c r="M2130" s="10">
        <v>1</v>
      </c>
      <c r="N2130" s="10">
        <v>172</v>
      </c>
      <c r="O2130" s="10">
        <v>172</v>
      </c>
    </row>
    <row r="2131" spans="1:15" x14ac:dyDescent="0.2">
      <c r="A2131" s="10" t="s">
        <v>1204</v>
      </c>
      <c r="B2131" s="10" t="s">
        <v>163</v>
      </c>
      <c r="C2131" s="10" t="s">
        <v>90</v>
      </c>
      <c r="D2131" s="10" t="s">
        <v>51</v>
      </c>
      <c r="E2131" s="10" t="s">
        <v>52</v>
      </c>
      <c r="F2131" s="10" t="s">
        <v>251</v>
      </c>
      <c r="G2131" s="10" t="b">
        <f>FALSE()</f>
        <v>0</v>
      </c>
      <c r="H2131" s="10">
        <v>0</v>
      </c>
      <c r="I2131" s="10">
        <v>1</v>
      </c>
      <c r="J2131" s="10">
        <v>0</v>
      </c>
      <c r="K2131" s="10">
        <v>0</v>
      </c>
      <c r="L2131" s="10">
        <v>0</v>
      </c>
      <c r="M2131" s="10">
        <v>1</v>
      </c>
      <c r="N2131" s="10">
        <v>172</v>
      </c>
      <c r="O2131" s="10">
        <v>171</v>
      </c>
    </row>
    <row r="2132" spans="1:15" x14ac:dyDescent="0.2">
      <c r="A2132" s="10" t="s">
        <v>1075</v>
      </c>
      <c r="B2132" s="10" t="s">
        <v>172</v>
      </c>
      <c r="C2132" s="10" t="s">
        <v>44</v>
      </c>
      <c r="D2132" s="10" t="s">
        <v>45</v>
      </c>
      <c r="E2132" s="10" t="s">
        <v>46</v>
      </c>
      <c r="F2132" s="10" t="s">
        <v>251</v>
      </c>
      <c r="G2132" s="10" t="b">
        <f>FALSE()</f>
        <v>0</v>
      </c>
      <c r="H2132" s="10">
        <v>0</v>
      </c>
      <c r="I2132" s="10">
        <v>1</v>
      </c>
      <c r="J2132" s="10">
        <v>0</v>
      </c>
      <c r="K2132" s="10">
        <v>0</v>
      </c>
      <c r="L2132" s="10">
        <v>0</v>
      </c>
      <c r="M2132" s="10">
        <v>1</v>
      </c>
      <c r="N2132" s="10">
        <v>174</v>
      </c>
      <c r="O2132" s="10">
        <v>171</v>
      </c>
    </row>
    <row r="2133" spans="1:15" x14ac:dyDescent="0.2">
      <c r="A2133" s="10" t="s">
        <v>1076</v>
      </c>
      <c r="B2133" s="10" t="s">
        <v>285</v>
      </c>
      <c r="C2133" s="10" t="s">
        <v>105</v>
      </c>
      <c r="D2133" s="10" t="s">
        <v>45</v>
      </c>
      <c r="E2133" s="10" t="s">
        <v>46</v>
      </c>
      <c r="F2133" s="10" t="s">
        <v>219</v>
      </c>
      <c r="G2133" s="10" t="b">
        <f>FALSE()</f>
        <v>0</v>
      </c>
      <c r="H2133" s="10">
        <v>0</v>
      </c>
      <c r="I2133" s="10">
        <v>1</v>
      </c>
      <c r="J2133" s="10">
        <v>0</v>
      </c>
      <c r="K2133" s="10">
        <v>0</v>
      </c>
      <c r="L2133" s="10">
        <v>0</v>
      </c>
      <c r="M2133" s="10">
        <v>1</v>
      </c>
      <c r="N2133" s="10">
        <v>179</v>
      </c>
      <c r="O2133" s="10">
        <v>170</v>
      </c>
    </row>
    <row r="2134" spans="1:15" x14ac:dyDescent="0.2">
      <c r="A2134" s="10" t="s">
        <v>667</v>
      </c>
      <c r="B2134" s="10" t="s">
        <v>321</v>
      </c>
      <c r="C2134" s="10" t="s">
        <v>245</v>
      </c>
      <c r="D2134" s="10" t="s">
        <v>51</v>
      </c>
      <c r="E2134" s="10" t="s">
        <v>52</v>
      </c>
      <c r="F2134" s="10" t="s">
        <v>79</v>
      </c>
      <c r="G2134" s="10" t="b">
        <f>FALSE()</f>
        <v>0</v>
      </c>
      <c r="H2134" s="10">
        <v>0</v>
      </c>
      <c r="I2134" s="10">
        <v>1</v>
      </c>
      <c r="J2134" s="10">
        <v>0</v>
      </c>
      <c r="K2134" s="10">
        <v>0</v>
      </c>
      <c r="L2134" s="10">
        <v>0</v>
      </c>
      <c r="M2134" s="10">
        <v>1</v>
      </c>
      <c r="N2134" s="10">
        <v>193</v>
      </c>
      <c r="O2134" s="10">
        <v>169</v>
      </c>
    </row>
    <row r="2135" spans="1:15" x14ac:dyDescent="0.2">
      <c r="A2135" s="10" t="s">
        <v>1132</v>
      </c>
      <c r="B2135" s="10" t="s">
        <v>262</v>
      </c>
      <c r="C2135" s="10" t="s">
        <v>105</v>
      </c>
      <c r="D2135" s="10" t="s">
        <v>45</v>
      </c>
      <c r="E2135" s="10" t="s">
        <v>46</v>
      </c>
      <c r="F2135" s="10" t="s">
        <v>92</v>
      </c>
      <c r="G2135" s="10" t="b">
        <f>FALSE()</f>
        <v>0</v>
      </c>
      <c r="H2135" s="10">
        <v>0</v>
      </c>
      <c r="I2135" s="10">
        <v>1</v>
      </c>
      <c r="J2135" s="10">
        <v>0</v>
      </c>
      <c r="K2135" s="10">
        <v>0</v>
      </c>
      <c r="L2135" s="10">
        <v>0</v>
      </c>
      <c r="M2135" s="10">
        <v>1</v>
      </c>
      <c r="N2135" s="10">
        <v>168</v>
      </c>
      <c r="O2135" s="10">
        <v>168</v>
      </c>
    </row>
    <row r="2136" spans="1:15" x14ac:dyDescent="0.2">
      <c r="A2136" s="10" t="s">
        <v>1105</v>
      </c>
      <c r="B2136" s="10" t="s">
        <v>43</v>
      </c>
      <c r="C2136" s="10" t="s">
        <v>44</v>
      </c>
      <c r="D2136" s="10" t="s">
        <v>45</v>
      </c>
      <c r="E2136" s="10" t="s">
        <v>46</v>
      </c>
      <c r="F2136" s="10" t="s">
        <v>1233</v>
      </c>
      <c r="G2136" s="10" t="b">
        <f>FALSE()</f>
        <v>0</v>
      </c>
      <c r="H2136" s="10">
        <v>0</v>
      </c>
      <c r="I2136" s="10">
        <v>1</v>
      </c>
      <c r="J2136" s="10">
        <v>0</v>
      </c>
      <c r="K2136" s="10">
        <v>0</v>
      </c>
      <c r="L2136" s="10">
        <v>0</v>
      </c>
      <c r="M2136" s="10">
        <v>1</v>
      </c>
      <c r="N2136" s="10">
        <v>169</v>
      </c>
      <c r="O2136" s="10">
        <v>168</v>
      </c>
    </row>
    <row r="2137" spans="1:15" x14ac:dyDescent="0.2">
      <c r="A2137" s="10" t="s">
        <v>1047</v>
      </c>
      <c r="B2137" s="10" t="s">
        <v>96</v>
      </c>
      <c r="C2137" s="10" t="s">
        <v>50</v>
      </c>
      <c r="D2137" s="10" t="s">
        <v>51</v>
      </c>
      <c r="E2137" s="10" t="s">
        <v>52</v>
      </c>
      <c r="F2137" s="10" t="s">
        <v>251</v>
      </c>
      <c r="G2137" s="10" t="b">
        <f>FALSE()</f>
        <v>0</v>
      </c>
      <c r="H2137" s="10">
        <v>0</v>
      </c>
      <c r="I2137" s="10">
        <v>1</v>
      </c>
      <c r="J2137" s="10">
        <v>0</v>
      </c>
      <c r="K2137" s="10">
        <v>0</v>
      </c>
      <c r="L2137" s="10">
        <v>0</v>
      </c>
      <c r="M2137" s="10">
        <v>1</v>
      </c>
      <c r="N2137" s="10">
        <v>162</v>
      </c>
      <c r="O2137" s="10">
        <v>167</v>
      </c>
    </row>
    <row r="2138" spans="1:15" x14ac:dyDescent="0.2">
      <c r="A2138" s="10" t="s">
        <v>1047</v>
      </c>
      <c r="B2138" s="10" t="s">
        <v>96</v>
      </c>
      <c r="C2138" s="10" t="s">
        <v>50</v>
      </c>
      <c r="D2138" s="10" t="s">
        <v>51</v>
      </c>
      <c r="E2138" s="10" t="s">
        <v>52</v>
      </c>
      <c r="F2138" s="10" t="s">
        <v>223</v>
      </c>
      <c r="G2138" s="10" t="b">
        <f>FALSE()</f>
        <v>0</v>
      </c>
      <c r="H2138" s="10">
        <v>0</v>
      </c>
      <c r="I2138" s="10">
        <v>1</v>
      </c>
      <c r="J2138" s="10">
        <v>0</v>
      </c>
      <c r="K2138" s="10">
        <v>0</v>
      </c>
      <c r="L2138" s="10">
        <v>0</v>
      </c>
      <c r="M2138" s="10">
        <v>1</v>
      </c>
      <c r="N2138" s="10">
        <v>166</v>
      </c>
      <c r="O2138" s="10">
        <v>166</v>
      </c>
    </row>
    <row r="2139" spans="1:15" x14ac:dyDescent="0.2">
      <c r="A2139" s="10" t="s">
        <v>414</v>
      </c>
      <c r="B2139" s="10" t="s">
        <v>96</v>
      </c>
      <c r="C2139" s="10" t="s">
        <v>50</v>
      </c>
      <c r="D2139" s="10" t="s">
        <v>51</v>
      </c>
      <c r="E2139" s="10" t="s">
        <v>52</v>
      </c>
      <c r="F2139" s="10" t="s">
        <v>481</v>
      </c>
      <c r="G2139" s="10" t="b">
        <f>FALSE()</f>
        <v>0</v>
      </c>
      <c r="H2139" s="10">
        <v>0</v>
      </c>
      <c r="I2139" s="10">
        <v>1</v>
      </c>
      <c r="J2139" s="10">
        <v>0</v>
      </c>
      <c r="K2139" s="10">
        <v>0</v>
      </c>
      <c r="L2139" s="10">
        <v>0</v>
      </c>
      <c r="M2139" s="10">
        <v>1</v>
      </c>
      <c r="N2139" s="10">
        <v>165</v>
      </c>
      <c r="O2139" s="10">
        <v>165</v>
      </c>
    </row>
    <row r="2140" spans="1:15" x14ac:dyDescent="0.2">
      <c r="A2140" s="10" t="s">
        <v>1234</v>
      </c>
      <c r="B2140" s="10" t="s">
        <v>249</v>
      </c>
      <c r="C2140" s="10" t="s">
        <v>90</v>
      </c>
      <c r="D2140" s="10" t="s">
        <v>51</v>
      </c>
      <c r="E2140" s="10" t="s">
        <v>52</v>
      </c>
      <c r="F2140" s="10" t="s">
        <v>47</v>
      </c>
      <c r="G2140" s="10" t="b">
        <f>FALSE()</f>
        <v>0</v>
      </c>
      <c r="H2140" s="10">
        <v>0</v>
      </c>
      <c r="I2140" s="10">
        <v>1</v>
      </c>
      <c r="J2140" s="10">
        <v>0</v>
      </c>
      <c r="K2140" s="10">
        <v>0</v>
      </c>
      <c r="L2140" s="10">
        <v>0</v>
      </c>
      <c r="M2140" s="10">
        <v>1</v>
      </c>
      <c r="N2140" s="10">
        <v>164</v>
      </c>
      <c r="O2140" s="10">
        <v>165</v>
      </c>
    </row>
    <row r="2141" spans="1:15" x14ac:dyDescent="0.2">
      <c r="A2141" s="10" t="s">
        <v>1069</v>
      </c>
      <c r="B2141" s="10" t="s">
        <v>89</v>
      </c>
      <c r="C2141" s="10" t="s">
        <v>90</v>
      </c>
      <c r="D2141" s="10" t="s">
        <v>51</v>
      </c>
      <c r="E2141" s="10" t="s">
        <v>52</v>
      </c>
      <c r="F2141" s="10" t="s">
        <v>94</v>
      </c>
      <c r="G2141" s="10" t="b">
        <f>FALSE()</f>
        <v>0</v>
      </c>
      <c r="H2141" s="10">
        <v>0</v>
      </c>
      <c r="I2141" s="10">
        <v>1</v>
      </c>
      <c r="J2141" s="10">
        <v>0</v>
      </c>
      <c r="K2141" s="10">
        <v>0</v>
      </c>
      <c r="L2141" s="10">
        <v>0</v>
      </c>
      <c r="M2141" s="10">
        <v>1</v>
      </c>
      <c r="N2141" s="10">
        <v>168</v>
      </c>
      <c r="O2141" s="10">
        <v>165</v>
      </c>
    </row>
    <row r="2142" spans="1:15" x14ac:dyDescent="0.2">
      <c r="A2142" s="10" t="s">
        <v>1165</v>
      </c>
      <c r="B2142" s="10" t="s">
        <v>136</v>
      </c>
      <c r="C2142" s="10" t="s">
        <v>73</v>
      </c>
      <c r="D2142" s="10" t="s">
        <v>45</v>
      </c>
      <c r="E2142" s="10" t="s">
        <v>46</v>
      </c>
      <c r="F2142" s="10" t="s">
        <v>1173</v>
      </c>
      <c r="G2142" s="10" t="b">
        <f>FALSE()</f>
        <v>0</v>
      </c>
      <c r="H2142" s="10">
        <v>0</v>
      </c>
      <c r="I2142" s="10">
        <v>1</v>
      </c>
      <c r="J2142" s="10">
        <v>0</v>
      </c>
      <c r="K2142" s="10">
        <v>0</v>
      </c>
      <c r="L2142" s="10">
        <v>0</v>
      </c>
      <c r="M2142" s="10">
        <v>1</v>
      </c>
      <c r="N2142" s="10">
        <v>165</v>
      </c>
      <c r="O2142" s="10">
        <v>165</v>
      </c>
    </row>
    <row r="2143" spans="1:15" x14ac:dyDescent="0.2">
      <c r="A2143" s="10" t="s">
        <v>1055</v>
      </c>
      <c r="B2143" s="10" t="s">
        <v>178</v>
      </c>
      <c r="C2143" s="10" t="s">
        <v>73</v>
      </c>
      <c r="D2143" s="10" t="s">
        <v>45</v>
      </c>
      <c r="E2143" s="10" t="s">
        <v>46</v>
      </c>
      <c r="F2143" s="10" t="s">
        <v>153</v>
      </c>
      <c r="G2143" s="10" t="b">
        <f>FALSE()</f>
        <v>0</v>
      </c>
      <c r="H2143" s="10">
        <v>0</v>
      </c>
      <c r="I2143" s="10">
        <v>1</v>
      </c>
      <c r="J2143" s="10">
        <v>0</v>
      </c>
      <c r="K2143" s="10">
        <v>0</v>
      </c>
      <c r="L2143" s="10">
        <v>0</v>
      </c>
      <c r="M2143" s="10">
        <v>1</v>
      </c>
      <c r="N2143" s="10">
        <v>167</v>
      </c>
      <c r="O2143" s="10">
        <v>164</v>
      </c>
    </row>
    <row r="2144" spans="1:15" x14ac:dyDescent="0.2">
      <c r="A2144" s="10" t="s">
        <v>1095</v>
      </c>
      <c r="B2144" s="10" t="s">
        <v>122</v>
      </c>
      <c r="C2144" s="10" t="s">
        <v>112</v>
      </c>
      <c r="D2144" s="10" t="s">
        <v>51</v>
      </c>
      <c r="E2144" s="10" t="s">
        <v>52</v>
      </c>
      <c r="F2144" s="10" t="s">
        <v>61</v>
      </c>
      <c r="G2144" s="10" t="b">
        <f>FALSE()</f>
        <v>0</v>
      </c>
      <c r="H2144" s="10">
        <v>0</v>
      </c>
      <c r="I2144" s="10">
        <v>1</v>
      </c>
      <c r="J2144" s="10">
        <v>0</v>
      </c>
      <c r="K2144" s="10">
        <v>0</v>
      </c>
      <c r="L2144" s="10">
        <v>0</v>
      </c>
      <c r="M2144" s="10">
        <v>1</v>
      </c>
      <c r="N2144" s="10">
        <v>153</v>
      </c>
      <c r="O2144" s="10">
        <v>163</v>
      </c>
    </row>
    <row r="2145" spans="1:15" x14ac:dyDescent="0.2">
      <c r="A2145" s="10" t="s">
        <v>1109</v>
      </c>
      <c r="B2145" s="10" t="s">
        <v>122</v>
      </c>
      <c r="C2145" s="10" t="s">
        <v>112</v>
      </c>
      <c r="D2145" s="10" t="s">
        <v>51</v>
      </c>
      <c r="E2145" s="10" t="s">
        <v>52</v>
      </c>
      <c r="F2145" s="10" t="s">
        <v>251</v>
      </c>
      <c r="G2145" s="10" t="b">
        <f>FALSE()</f>
        <v>0</v>
      </c>
      <c r="H2145" s="10">
        <v>0</v>
      </c>
      <c r="I2145" s="10">
        <v>1</v>
      </c>
      <c r="J2145" s="10">
        <v>0</v>
      </c>
      <c r="K2145" s="10">
        <v>0</v>
      </c>
      <c r="L2145" s="10">
        <v>0</v>
      </c>
      <c r="M2145" s="10">
        <v>1</v>
      </c>
      <c r="N2145" s="10">
        <v>163</v>
      </c>
      <c r="O2145" s="10">
        <v>163</v>
      </c>
    </row>
    <row r="2146" spans="1:15" x14ac:dyDescent="0.2">
      <c r="A2146" s="10" t="s">
        <v>1214</v>
      </c>
      <c r="B2146" s="10" t="s">
        <v>165</v>
      </c>
      <c r="C2146" s="10" t="s">
        <v>112</v>
      </c>
      <c r="D2146" s="10" t="s">
        <v>51</v>
      </c>
      <c r="E2146" s="10" t="s">
        <v>52</v>
      </c>
      <c r="F2146" s="10" t="s">
        <v>190</v>
      </c>
      <c r="G2146" s="10" t="b">
        <f>TRUE()</f>
        <v>1</v>
      </c>
      <c r="H2146" s="10">
        <v>0</v>
      </c>
      <c r="I2146" s="10">
        <v>1</v>
      </c>
      <c r="J2146" s="10">
        <v>0</v>
      </c>
      <c r="K2146" s="10">
        <v>0</v>
      </c>
      <c r="L2146" s="10">
        <v>0</v>
      </c>
      <c r="M2146" s="10">
        <v>1</v>
      </c>
      <c r="N2146" s="10">
        <v>163</v>
      </c>
      <c r="O2146" s="10">
        <v>163</v>
      </c>
    </row>
    <row r="2147" spans="1:15" x14ac:dyDescent="0.2">
      <c r="A2147" s="10" t="s">
        <v>1235</v>
      </c>
      <c r="B2147" s="10" t="s">
        <v>72</v>
      </c>
      <c r="C2147" s="10" t="s">
        <v>73</v>
      </c>
      <c r="D2147" s="10" t="s">
        <v>45</v>
      </c>
      <c r="E2147" s="10" t="s">
        <v>46</v>
      </c>
      <c r="F2147" s="10" t="s">
        <v>79</v>
      </c>
      <c r="G2147" s="10" t="b">
        <f>FALSE()</f>
        <v>0</v>
      </c>
      <c r="H2147" s="10">
        <v>0</v>
      </c>
      <c r="I2147" s="10">
        <v>1</v>
      </c>
      <c r="J2147" s="10">
        <v>0</v>
      </c>
      <c r="K2147" s="10">
        <v>0</v>
      </c>
      <c r="L2147" s="10">
        <v>0</v>
      </c>
      <c r="M2147" s="10">
        <v>1</v>
      </c>
      <c r="N2147" s="10">
        <v>164</v>
      </c>
      <c r="O2147" s="10">
        <v>163</v>
      </c>
    </row>
    <row r="2148" spans="1:15" x14ac:dyDescent="0.2">
      <c r="A2148" s="10" t="s">
        <v>1227</v>
      </c>
      <c r="B2148" s="10" t="s">
        <v>104</v>
      </c>
      <c r="C2148" s="10" t="s">
        <v>105</v>
      </c>
      <c r="D2148" s="10" t="s">
        <v>45</v>
      </c>
      <c r="E2148" s="10" t="s">
        <v>46</v>
      </c>
      <c r="F2148" s="10" t="s">
        <v>92</v>
      </c>
      <c r="G2148" s="10" t="b">
        <f>FALSE()</f>
        <v>0</v>
      </c>
      <c r="H2148" s="10">
        <v>0</v>
      </c>
      <c r="I2148" s="10">
        <v>1</v>
      </c>
      <c r="J2148" s="10">
        <v>0</v>
      </c>
      <c r="K2148" s="10">
        <v>0</v>
      </c>
      <c r="L2148" s="10">
        <v>0</v>
      </c>
      <c r="M2148" s="10">
        <v>1</v>
      </c>
      <c r="N2148" s="10">
        <v>163</v>
      </c>
      <c r="O2148" s="10">
        <v>163</v>
      </c>
    </row>
    <row r="2149" spans="1:15" x14ac:dyDescent="0.2">
      <c r="A2149" s="10" t="s">
        <v>362</v>
      </c>
      <c r="B2149" s="10" t="s">
        <v>146</v>
      </c>
      <c r="C2149" s="10" t="s">
        <v>105</v>
      </c>
      <c r="D2149" s="10" t="s">
        <v>45</v>
      </c>
      <c r="E2149" s="10" t="s">
        <v>46</v>
      </c>
      <c r="F2149" s="10" t="s">
        <v>91</v>
      </c>
      <c r="G2149" s="10" t="b">
        <f>TRUE()</f>
        <v>1</v>
      </c>
      <c r="H2149" s="10">
        <v>1</v>
      </c>
      <c r="I2149" s="10">
        <v>1</v>
      </c>
      <c r="J2149" s="10">
        <v>1</v>
      </c>
      <c r="K2149" s="10">
        <v>25</v>
      </c>
      <c r="L2149" s="10">
        <v>0</v>
      </c>
      <c r="M2149" s="10">
        <v>1</v>
      </c>
      <c r="N2149" s="10">
        <v>162</v>
      </c>
      <c r="O2149" s="10">
        <v>162</v>
      </c>
    </row>
    <row r="2150" spans="1:15" x14ac:dyDescent="0.2">
      <c r="A2150" s="10" t="s">
        <v>1108</v>
      </c>
      <c r="B2150" s="10" t="s">
        <v>232</v>
      </c>
      <c r="C2150" s="10" t="s">
        <v>90</v>
      </c>
      <c r="D2150" s="10" t="s">
        <v>51</v>
      </c>
      <c r="E2150" s="10" t="s">
        <v>52</v>
      </c>
      <c r="F2150" s="10" t="s">
        <v>91</v>
      </c>
      <c r="G2150" s="10" t="b">
        <f>TRUE()</f>
        <v>1</v>
      </c>
      <c r="H2150" s="10">
        <v>0</v>
      </c>
      <c r="I2150" s="10">
        <v>1</v>
      </c>
      <c r="J2150" s="10">
        <v>0</v>
      </c>
      <c r="K2150" s="10">
        <v>0</v>
      </c>
      <c r="L2150" s="10">
        <v>0</v>
      </c>
      <c r="M2150" s="10">
        <v>1</v>
      </c>
      <c r="N2150" s="10">
        <v>172</v>
      </c>
      <c r="O2150" s="10">
        <v>162</v>
      </c>
    </row>
    <row r="2151" spans="1:15" x14ac:dyDescent="0.2">
      <c r="A2151" s="10" t="s">
        <v>1135</v>
      </c>
      <c r="B2151" s="10" t="s">
        <v>517</v>
      </c>
      <c r="C2151" s="10" t="s">
        <v>90</v>
      </c>
      <c r="D2151" s="10" t="s">
        <v>51</v>
      </c>
      <c r="E2151" s="10" t="s">
        <v>52</v>
      </c>
      <c r="F2151" s="10" t="s">
        <v>190</v>
      </c>
      <c r="G2151" s="10" t="b">
        <f>TRUE()</f>
        <v>1</v>
      </c>
      <c r="H2151" s="10">
        <v>0</v>
      </c>
      <c r="I2151" s="10">
        <v>1</v>
      </c>
      <c r="J2151" s="10">
        <v>0</v>
      </c>
      <c r="K2151" s="10">
        <v>0</v>
      </c>
      <c r="L2151" s="10">
        <v>0</v>
      </c>
      <c r="M2151" s="10">
        <v>1</v>
      </c>
      <c r="N2151" s="10">
        <v>168</v>
      </c>
      <c r="O2151" s="10">
        <v>162</v>
      </c>
    </row>
    <row r="2152" spans="1:15" x14ac:dyDescent="0.2">
      <c r="A2152" s="10" t="s">
        <v>1190</v>
      </c>
      <c r="B2152" s="10" t="s">
        <v>321</v>
      </c>
      <c r="C2152" s="10" t="s">
        <v>245</v>
      </c>
      <c r="D2152" s="10" t="s">
        <v>51</v>
      </c>
      <c r="E2152" s="10" t="s">
        <v>52</v>
      </c>
      <c r="F2152" s="10" t="s">
        <v>190</v>
      </c>
      <c r="G2152" s="10" t="b">
        <f>TRUE()</f>
        <v>1</v>
      </c>
      <c r="H2152" s="10">
        <v>0</v>
      </c>
      <c r="I2152" s="10">
        <v>1</v>
      </c>
      <c r="J2152" s="10">
        <v>0</v>
      </c>
      <c r="K2152" s="10">
        <v>0</v>
      </c>
      <c r="L2152" s="10">
        <v>0</v>
      </c>
      <c r="M2152" s="10">
        <v>1</v>
      </c>
      <c r="N2152" s="10">
        <v>164</v>
      </c>
      <c r="O2152" s="10">
        <v>162</v>
      </c>
    </row>
    <row r="2153" spans="1:15" x14ac:dyDescent="0.2">
      <c r="A2153" s="10" t="s">
        <v>307</v>
      </c>
      <c r="B2153" s="10" t="s">
        <v>70</v>
      </c>
      <c r="C2153" s="10" t="s">
        <v>70</v>
      </c>
      <c r="D2153" s="10" t="s">
        <v>45</v>
      </c>
      <c r="E2153" s="10" t="s">
        <v>46</v>
      </c>
      <c r="F2153" s="10" t="s">
        <v>47</v>
      </c>
      <c r="G2153" s="10" t="b">
        <f>FALSE()</f>
        <v>0</v>
      </c>
      <c r="H2153" s="10">
        <v>0</v>
      </c>
      <c r="I2153" s="10">
        <v>1</v>
      </c>
      <c r="J2153" s="10">
        <v>0</v>
      </c>
      <c r="K2153" s="10">
        <v>0</v>
      </c>
      <c r="L2153" s="10">
        <v>0</v>
      </c>
      <c r="M2153" s="10">
        <v>1</v>
      </c>
      <c r="N2153" s="10">
        <v>162</v>
      </c>
      <c r="O2153" s="10">
        <v>162</v>
      </c>
    </row>
    <row r="2154" spans="1:15" x14ac:dyDescent="0.2">
      <c r="A2154" s="10" t="s">
        <v>691</v>
      </c>
      <c r="B2154" s="10" t="s">
        <v>136</v>
      </c>
      <c r="C2154" s="10" t="s">
        <v>73</v>
      </c>
      <c r="D2154" s="10" t="s">
        <v>45</v>
      </c>
      <c r="E2154" s="10" t="s">
        <v>46</v>
      </c>
      <c r="F2154" s="10" t="s">
        <v>74</v>
      </c>
      <c r="G2154" s="10" t="b">
        <f>FALSE()</f>
        <v>0</v>
      </c>
      <c r="H2154" s="10">
        <v>0</v>
      </c>
      <c r="I2154" s="10">
        <v>1</v>
      </c>
      <c r="J2154" s="10">
        <v>0</v>
      </c>
      <c r="K2154" s="10">
        <v>0</v>
      </c>
      <c r="L2154" s="10">
        <v>0</v>
      </c>
      <c r="M2154" s="10">
        <v>1</v>
      </c>
      <c r="N2154" s="10">
        <v>161</v>
      </c>
      <c r="O2154" s="10">
        <v>161</v>
      </c>
    </row>
    <row r="2155" spans="1:15" x14ac:dyDescent="0.2">
      <c r="A2155" s="10" t="s">
        <v>1217</v>
      </c>
      <c r="B2155" s="10" t="s">
        <v>128</v>
      </c>
      <c r="C2155" s="10" t="s">
        <v>50</v>
      </c>
      <c r="D2155" s="10" t="s">
        <v>51</v>
      </c>
      <c r="E2155" s="10" t="s">
        <v>52</v>
      </c>
      <c r="F2155" s="10" t="s">
        <v>113</v>
      </c>
      <c r="G2155" s="10" t="b">
        <f>TRUE()</f>
        <v>1</v>
      </c>
      <c r="H2155" s="10">
        <v>0</v>
      </c>
      <c r="I2155" s="10">
        <v>1</v>
      </c>
      <c r="J2155" s="10">
        <v>0</v>
      </c>
      <c r="K2155" s="10">
        <v>0</v>
      </c>
      <c r="L2155" s="10">
        <v>0</v>
      </c>
      <c r="M2155" s="10">
        <v>1</v>
      </c>
      <c r="N2155" s="10">
        <v>166</v>
      </c>
      <c r="O2155" s="10">
        <v>161</v>
      </c>
    </row>
    <row r="2156" spans="1:15" x14ac:dyDescent="0.2">
      <c r="A2156" s="10" t="s">
        <v>1108</v>
      </c>
      <c r="B2156" s="10" t="s">
        <v>232</v>
      </c>
      <c r="C2156" s="10" t="s">
        <v>90</v>
      </c>
      <c r="D2156" s="10" t="s">
        <v>51</v>
      </c>
      <c r="E2156" s="10" t="s">
        <v>52</v>
      </c>
      <c r="F2156" s="10" t="s">
        <v>74</v>
      </c>
      <c r="G2156" s="10" t="b">
        <f>FALSE()</f>
        <v>0</v>
      </c>
      <c r="H2156" s="10">
        <v>0</v>
      </c>
      <c r="I2156" s="10">
        <v>1</v>
      </c>
      <c r="J2156" s="10">
        <v>0</v>
      </c>
      <c r="K2156" s="10">
        <v>0</v>
      </c>
      <c r="L2156" s="10">
        <v>0</v>
      </c>
      <c r="M2156" s="10">
        <v>1</v>
      </c>
      <c r="N2156" s="10">
        <v>165</v>
      </c>
      <c r="O2156" s="10">
        <v>161</v>
      </c>
    </row>
    <row r="2157" spans="1:15" x14ac:dyDescent="0.2">
      <c r="A2157" s="10" t="s">
        <v>1175</v>
      </c>
      <c r="B2157" s="10" t="s">
        <v>260</v>
      </c>
      <c r="C2157" s="10" t="s">
        <v>64</v>
      </c>
      <c r="D2157" s="10" t="s">
        <v>45</v>
      </c>
      <c r="E2157" s="10" t="s">
        <v>46</v>
      </c>
      <c r="F2157" s="10" t="s">
        <v>91</v>
      </c>
      <c r="G2157" s="10" t="b">
        <f>TRUE()</f>
        <v>1</v>
      </c>
      <c r="H2157" s="10">
        <v>0</v>
      </c>
      <c r="I2157" s="10">
        <v>1</v>
      </c>
      <c r="J2157" s="10">
        <v>0</v>
      </c>
      <c r="K2157" s="10">
        <v>0</v>
      </c>
      <c r="L2157" s="10">
        <v>0</v>
      </c>
      <c r="M2157" s="10">
        <v>1</v>
      </c>
      <c r="N2157" s="10">
        <v>163</v>
      </c>
      <c r="O2157" s="10">
        <v>161</v>
      </c>
    </row>
    <row r="2158" spans="1:15" x14ac:dyDescent="0.2">
      <c r="A2158" s="10" t="s">
        <v>1236</v>
      </c>
      <c r="B2158" s="10" t="s">
        <v>104</v>
      </c>
      <c r="C2158" s="10" t="s">
        <v>105</v>
      </c>
      <c r="D2158" s="10" t="s">
        <v>45</v>
      </c>
      <c r="E2158" s="10" t="s">
        <v>46</v>
      </c>
      <c r="F2158" s="10" t="s">
        <v>186</v>
      </c>
      <c r="G2158" s="10" t="b">
        <f>TRUE()</f>
        <v>1</v>
      </c>
      <c r="H2158" s="10">
        <v>0</v>
      </c>
      <c r="I2158" s="10">
        <v>1</v>
      </c>
      <c r="J2158" s="10">
        <v>0</v>
      </c>
      <c r="K2158" s="10">
        <v>0</v>
      </c>
      <c r="L2158" s="10">
        <v>0</v>
      </c>
      <c r="M2158" s="10">
        <v>1</v>
      </c>
      <c r="N2158" s="10">
        <v>161</v>
      </c>
      <c r="O2158" s="10">
        <v>161</v>
      </c>
    </row>
    <row r="2159" spans="1:15" x14ac:dyDescent="0.2">
      <c r="A2159" s="10" t="s">
        <v>1024</v>
      </c>
      <c r="B2159" s="10" t="s">
        <v>172</v>
      </c>
      <c r="C2159" s="10" t="s">
        <v>44</v>
      </c>
      <c r="D2159" s="10" t="s">
        <v>45</v>
      </c>
      <c r="E2159" s="10" t="s">
        <v>46</v>
      </c>
      <c r="F2159" s="10" t="s">
        <v>363</v>
      </c>
      <c r="G2159" s="10" t="b">
        <f>FALSE()</f>
        <v>0</v>
      </c>
      <c r="H2159" s="10">
        <v>0</v>
      </c>
      <c r="I2159" s="10">
        <v>1</v>
      </c>
      <c r="J2159" s="10">
        <v>0</v>
      </c>
      <c r="K2159" s="10">
        <v>0</v>
      </c>
      <c r="L2159" s="10">
        <v>0</v>
      </c>
      <c r="M2159" s="10">
        <v>1</v>
      </c>
      <c r="N2159" s="10">
        <v>162</v>
      </c>
      <c r="O2159" s="10">
        <v>161</v>
      </c>
    </row>
    <row r="2160" spans="1:15" x14ac:dyDescent="0.2">
      <c r="A2160" s="10" t="s">
        <v>1237</v>
      </c>
      <c r="B2160" s="10" t="s">
        <v>70</v>
      </c>
      <c r="C2160" s="10" t="s">
        <v>70</v>
      </c>
      <c r="D2160" s="10" t="s">
        <v>45</v>
      </c>
      <c r="E2160" s="10" t="s">
        <v>46</v>
      </c>
      <c r="F2160" s="10" t="s">
        <v>47</v>
      </c>
      <c r="G2160" s="10" t="b">
        <f>FALSE()</f>
        <v>0</v>
      </c>
      <c r="H2160" s="10">
        <v>0</v>
      </c>
      <c r="I2160" s="10">
        <v>1</v>
      </c>
      <c r="J2160" s="10">
        <v>0</v>
      </c>
      <c r="K2160" s="10">
        <v>0</v>
      </c>
      <c r="L2160" s="10">
        <v>0</v>
      </c>
      <c r="M2160" s="10">
        <v>1</v>
      </c>
      <c r="N2160" s="10">
        <v>161</v>
      </c>
      <c r="O2160" s="10">
        <v>161</v>
      </c>
    </row>
    <row r="2161" spans="1:15" x14ac:dyDescent="0.2">
      <c r="A2161" s="10" t="s">
        <v>1238</v>
      </c>
      <c r="B2161" s="10" t="s">
        <v>368</v>
      </c>
      <c r="C2161" s="10" t="s">
        <v>50</v>
      </c>
      <c r="D2161" s="10" t="s">
        <v>51</v>
      </c>
      <c r="E2161" s="10" t="s">
        <v>52</v>
      </c>
      <c r="F2161" s="10" t="s">
        <v>47</v>
      </c>
      <c r="G2161" s="10" t="b">
        <f>FALSE()</f>
        <v>0</v>
      </c>
      <c r="H2161" s="10">
        <v>0</v>
      </c>
      <c r="I2161" s="10">
        <v>1</v>
      </c>
      <c r="J2161" s="10">
        <v>0</v>
      </c>
      <c r="K2161" s="10">
        <v>0</v>
      </c>
      <c r="L2161" s="10">
        <v>0</v>
      </c>
      <c r="M2161" s="10">
        <v>1</v>
      </c>
      <c r="N2161" s="10">
        <v>107</v>
      </c>
      <c r="O2161" s="10">
        <v>160</v>
      </c>
    </row>
    <row r="2162" spans="1:15" x14ac:dyDescent="0.2">
      <c r="A2162" s="10" t="s">
        <v>1222</v>
      </c>
      <c r="B2162" s="10" t="s">
        <v>273</v>
      </c>
      <c r="C2162" s="10" t="s">
        <v>50</v>
      </c>
      <c r="D2162" s="10" t="s">
        <v>51</v>
      </c>
      <c r="E2162" s="10" t="s">
        <v>52</v>
      </c>
      <c r="F2162" s="10" t="s">
        <v>92</v>
      </c>
      <c r="G2162" s="10" t="b">
        <f>FALSE()</f>
        <v>0</v>
      </c>
      <c r="H2162" s="10">
        <v>0</v>
      </c>
      <c r="I2162" s="10">
        <v>1</v>
      </c>
      <c r="J2162" s="10">
        <v>0</v>
      </c>
      <c r="K2162" s="10">
        <v>0</v>
      </c>
      <c r="L2162" s="10">
        <v>0</v>
      </c>
      <c r="M2162" s="10">
        <v>1</v>
      </c>
      <c r="N2162" s="10">
        <v>160</v>
      </c>
      <c r="O2162" s="10">
        <v>160</v>
      </c>
    </row>
    <row r="2163" spans="1:15" x14ac:dyDescent="0.2">
      <c r="A2163" s="10" t="s">
        <v>208</v>
      </c>
      <c r="B2163" s="10" t="s">
        <v>172</v>
      </c>
      <c r="C2163" s="10" t="s">
        <v>44</v>
      </c>
      <c r="D2163" s="10" t="s">
        <v>45</v>
      </c>
      <c r="E2163" s="10" t="s">
        <v>46</v>
      </c>
      <c r="F2163" s="10" t="s">
        <v>153</v>
      </c>
      <c r="G2163" s="10" t="b">
        <f>FALSE()</f>
        <v>0</v>
      </c>
      <c r="H2163" s="10">
        <v>0</v>
      </c>
      <c r="I2163" s="10">
        <v>1</v>
      </c>
      <c r="J2163" s="10">
        <v>0</v>
      </c>
      <c r="K2163" s="10">
        <v>0</v>
      </c>
      <c r="L2163" s="10">
        <v>0</v>
      </c>
      <c r="M2163" s="10">
        <v>1</v>
      </c>
      <c r="N2163" s="10">
        <v>162</v>
      </c>
      <c r="O2163" s="10">
        <v>159</v>
      </c>
    </row>
    <row r="2164" spans="1:15" x14ac:dyDescent="0.2">
      <c r="A2164" s="10" t="s">
        <v>1101</v>
      </c>
      <c r="B2164" s="10" t="s">
        <v>193</v>
      </c>
      <c r="C2164" s="10" t="s">
        <v>117</v>
      </c>
      <c r="D2164" s="10" t="s">
        <v>51</v>
      </c>
      <c r="E2164" s="10" t="s">
        <v>52</v>
      </c>
      <c r="F2164" s="10" t="s">
        <v>308</v>
      </c>
      <c r="G2164" s="10" t="b">
        <f>TRUE()</f>
        <v>1</v>
      </c>
      <c r="H2164" s="10">
        <v>0</v>
      </c>
      <c r="I2164" s="10">
        <v>1</v>
      </c>
      <c r="J2164" s="10">
        <v>0</v>
      </c>
      <c r="K2164" s="10">
        <v>0</v>
      </c>
      <c r="L2164" s="10">
        <v>0</v>
      </c>
      <c r="M2164" s="10">
        <v>1</v>
      </c>
      <c r="N2164" s="10">
        <v>158</v>
      </c>
      <c r="O2164" s="10">
        <v>158</v>
      </c>
    </row>
    <row r="2165" spans="1:15" x14ac:dyDescent="0.2">
      <c r="A2165" s="10" t="s">
        <v>1082</v>
      </c>
      <c r="B2165" s="10" t="s">
        <v>562</v>
      </c>
      <c r="C2165" s="10" t="s">
        <v>245</v>
      </c>
      <c r="D2165" s="10" t="s">
        <v>51</v>
      </c>
      <c r="E2165" s="10" t="s">
        <v>52</v>
      </c>
      <c r="F2165" s="10" t="s">
        <v>91</v>
      </c>
      <c r="G2165" s="10" t="b">
        <f>TRUE()</f>
        <v>1</v>
      </c>
      <c r="H2165" s="10">
        <v>0</v>
      </c>
      <c r="I2165" s="10">
        <v>1</v>
      </c>
      <c r="J2165" s="10">
        <v>0</v>
      </c>
      <c r="K2165" s="10">
        <v>0</v>
      </c>
      <c r="L2165" s="10">
        <v>0</v>
      </c>
      <c r="M2165" s="10">
        <v>1</v>
      </c>
      <c r="N2165" s="10">
        <v>167</v>
      </c>
      <c r="O2165" s="10">
        <v>158</v>
      </c>
    </row>
    <row r="2166" spans="1:15" x14ac:dyDescent="0.2">
      <c r="A2166" s="10" t="s">
        <v>1239</v>
      </c>
      <c r="B2166" s="10" t="s">
        <v>67</v>
      </c>
      <c r="C2166" s="10" t="s">
        <v>64</v>
      </c>
      <c r="D2166" s="10" t="s">
        <v>45</v>
      </c>
      <c r="E2166" s="10" t="s">
        <v>46</v>
      </c>
      <c r="F2166" s="10" t="s">
        <v>61</v>
      </c>
      <c r="G2166" s="10" t="b">
        <f>FALSE()</f>
        <v>0</v>
      </c>
      <c r="H2166" s="10">
        <v>0</v>
      </c>
      <c r="I2166" s="10">
        <v>1</v>
      </c>
      <c r="J2166" s="10">
        <v>0</v>
      </c>
      <c r="K2166" s="10">
        <v>0</v>
      </c>
      <c r="L2166" s="10">
        <v>0</v>
      </c>
      <c r="M2166" s="10">
        <v>1</v>
      </c>
      <c r="N2166" s="10">
        <v>158</v>
      </c>
      <c r="O2166" s="10">
        <v>158</v>
      </c>
    </row>
    <row r="2167" spans="1:15" x14ac:dyDescent="0.2">
      <c r="A2167" s="10" t="s">
        <v>134</v>
      </c>
      <c r="B2167" s="10" t="s">
        <v>139</v>
      </c>
      <c r="C2167" s="10" t="s">
        <v>64</v>
      </c>
      <c r="D2167" s="10" t="s">
        <v>45</v>
      </c>
      <c r="E2167" s="10" t="s">
        <v>46</v>
      </c>
      <c r="F2167" s="10" t="s">
        <v>373</v>
      </c>
      <c r="G2167" s="10" t="b">
        <f>FALSE()</f>
        <v>0</v>
      </c>
      <c r="H2167" s="10">
        <v>0</v>
      </c>
      <c r="I2167" s="10">
        <v>1</v>
      </c>
      <c r="J2167" s="10">
        <v>0</v>
      </c>
      <c r="K2167" s="10">
        <v>0</v>
      </c>
      <c r="L2167" s="10">
        <v>0</v>
      </c>
      <c r="M2167" s="10">
        <v>1</v>
      </c>
      <c r="N2167" s="10">
        <v>162</v>
      </c>
      <c r="O2167" s="10">
        <v>158</v>
      </c>
    </row>
    <row r="2168" spans="1:15" x14ac:dyDescent="0.2">
      <c r="A2168" s="10" t="s">
        <v>1240</v>
      </c>
      <c r="B2168" s="10" t="s">
        <v>104</v>
      </c>
      <c r="C2168" s="10" t="s">
        <v>105</v>
      </c>
      <c r="D2168" s="10" t="s">
        <v>45</v>
      </c>
      <c r="E2168" s="10" t="s">
        <v>46</v>
      </c>
      <c r="F2168" s="10" t="s">
        <v>113</v>
      </c>
      <c r="G2168" s="10" t="b">
        <f>TRUE()</f>
        <v>1</v>
      </c>
      <c r="H2168" s="10">
        <v>0</v>
      </c>
      <c r="I2168" s="10">
        <v>1</v>
      </c>
      <c r="J2168" s="10">
        <v>0</v>
      </c>
      <c r="K2168" s="10">
        <v>0</v>
      </c>
      <c r="L2168" s="10">
        <v>0</v>
      </c>
      <c r="M2168" s="10">
        <v>1</v>
      </c>
      <c r="N2168" s="10">
        <v>158</v>
      </c>
      <c r="O2168" s="10">
        <v>158</v>
      </c>
    </row>
    <row r="2169" spans="1:15" x14ac:dyDescent="0.2">
      <c r="A2169" s="10" t="s">
        <v>1189</v>
      </c>
      <c r="B2169" s="10" t="s">
        <v>70</v>
      </c>
      <c r="C2169" s="10" t="s">
        <v>70</v>
      </c>
      <c r="D2169" s="10" t="s">
        <v>45</v>
      </c>
      <c r="E2169" s="10" t="s">
        <v>46</v>
      </c>
      <c r="F2169" s="10" t="s">
        <v>79</v>
      </c>
      <c r="G2169" s="10" t="b">
        <f>FALSE()</f>
        <v>0</v>
      </c>
      <c r="H2169" s="10">
        <v>0</v>
      </c>
      <c r="I2169" s="10">
        <v>1</v>
      </c>
      <c r="J2169" s="10">
        <v>0</v>
      </c>
      <c r="K2169" s="10">
        <v>0</v>
      </c>
      <c r="L2169" s="10">
        <v>0</v>
      </c>
      <c r="M2169" s="10">
        <v>1</v>
      </c>
      <c r="N2169" s="10">
        <v>158</v>
      </c>
      <c r="O2169" s="10">
        <v>158</v>
      </c>
    </row>
    <row r="2170" spans="1:15" x14ac:dyDescent="0.2">
      <c r="A2170" s="10" t="s">
        <v>448</v>
      </c>
      <c r="B2170" s="10" t="s">
        <v>289</v>
      </c>
      <c r="C2170" s="10" t="s">
        <v>50</v>
      </c>
      <c r="D2170" s="10" t="s">
        <v>51</v>
      </c>
      <c r="E2170" s="10" t="s">
        <v>52</v>
      </c>
      <c r="F2170" s="10" t="s">
        <v>223</v>
      </c>
      <c r="G2170" s="10" t="b">
        <f>FALSE()</f>
        <v>0</v>
      </c>
      <c r="H2170" s="10">
        <v>0</v>
      </c>
      <c r="I2170" s="10">
        <v>1</v>
      </c>
      <c r="J2170" s="10">
        <v>0</v>
      </c>
      <c r="K2170" s="10">
        <v>0</v>
      </c>
      <c r="L2170" s="10">
        <v>0</v>
      </c>
      <c r="M2170" s="10">
        <v>1</v>
      </c>
      <c r="N2170" s="10">
        <v>157</v>
      </c>
      <c r="O2170" s="10">
        <v>157</v>
      </c>
    </row>
    <row r="2171" spans="1:15" x14ac:dyDescent="0.2">
      <c r="A2171" s="10" t="s">
        <v>1080</v>
      </c>
      <c r="B2171" s="10" t="s">
        <v>67</v>
      </c>
      <c r="C2171" s="10" t="s">
        <v>64</v>
      </c>
      <c r="D2171" s="10" t="s">
        <v>45</v>
      </c>
      <c r="E2171" s="10" t="s">
        <v>46</v>
      </c>
      <c r="F2171" s="10" t="s">
        <v>365</v>
      </c>
      <c r="G2171" s="10" t="b">
        <f>TRUE()</f>
        <v>1</v>
      </c>
      <c r="H2171" s="10">
        <v>0</v>
      </c>
      <c r="I2171" s="10">
        <v>1</v>
      </c>
      <c r="J2171" s="10">
        <v>0</v>
      </c>
      <c r="K2171" s="10">
        <v>0</v>
      </c>
      <c r="L2171" s="10">
        <v>0</v>
      </c>
      <c r="M2171" s="10">
        <v>1</v>
      </c>
      <c r="N2171" s="10">
        <v>156</v>
      </c>
      <c r="O2171" s="10">
        <v>156</v>
      </c>
    </row>
    <row r="2172" spans="1:15" x14ac:dyDescent="0.2">
      <c r="A2172" s="10" t="s">
        <v>1241</v>
      </c>
      <c r="B2172" s="10" t="s">
        <v>262</v>
      </c>
      <c r="C2172" s="10" t="s">
        <v>105</v>
      </c>
      <c r="D2172" s="10" t="s">
        <v>45</v>
      </c>
      <c r="E2172" s="10" t="s">
        <v>46</v>
      </c>
      <c r="F2172" s="10" t="s">
        <v>92</v>
      </c>
      <c r="G2172" s="10" t="b">
        <f>FALSE()</f>
        <v>0</v>
      </c>
      <c r="H2172" s="10">
        <v>0</v>
      </c>
      <c r="I2172" s="10">
        <v>1</v>
      </c>
      <c r="J2172" s="10">
        <v>0</v>
      </c>
      <c r="K2172" s="10">
        <v>0</v>
      </c>
      <c r="L2172" s="10">
        <v>0</v>
      </c>
      <c r="M2172" s="10">
        <v>1</v>
      </c>
      <c r="N2172" s="10">
        <v>156</v>
      </c>
      <c r="O2172" s="10">
        <v>156</v>
      </c>
    </row>
    <row r="2173" spans="1:15" x14ac:dyDescent="0.2">
      <c r="A2173" s="10" t="s">
        <v>1145</v>
      </c>
      <c r="B2173" s="10" t="s">
        <v>70</v>
      </c>
      <c r="C2173" s="10" t="s">
        <v>70</v>
      </c>
      <c r="D2173" s="10" t="s">
        <v>45</v>
      </c>
      <c r="E2173" s="10" t="s">
        <v>46</v>
      </c>
      <c r="F2173" s="10" t="s">
        <v>365</v>
      </c>
      <c r="G2173" s="10" t="b">
        <f>TRUE()</f>
        <v>1</v>
      </c>
      <c r="H2173" s="10">
        <v>0</v>
      </c>
      <c r="I2173" s="10">
        <v>1</v>
      </c>
      <c r="J2173" s="10">
        <v>0</v>
      </c>
      <c r="K2173" s="10">
        <v>0</v>
      </c>
      <c r="L2173" s="10">
        <v>0</v>
      </c>
      <c r="M2173" s="10">
        <v>1</v>
      </c>
      <c r="N2173" s="10">
        <v>165</v>
      </c>
      <c r="O2173" s="10">
        <v>156</v>
      </c>
    </row>
    <row r="2174" spans="1:15" x14ac:dyDescent="0.2">
      <c r="A2174" s="10" t="s">
        <v>1175</v>
      </c>
      <c r="B2174" s="10" t="s">
        <v>260</v>
      </c>
      <c r="C2174" s="10" t="s">
        <v>64</v>
      </c>
      <c r="D2174" s="10" t="s">
        <v>45</v>
      </c>
      <c r="E2174" s="10" t="s">
        <v>46</v>
      </c>
      <c r="F2174" s="10" t="s">
        <v>190</v>
      </c>
      <c r="G2174" s="10" t="b">
        <f>TRUE()</f>
        <v>1</v>
      </c>
      <c r="H2174" s="10">
        <v>0</v>
      </c>
      <c r="I2174" s="10">
        <v>1</v>
      </c>
      <c r="J2174" s="10">
        <v>0</v>
      </c>
      <c r="K2174" s="10">
        <v>0</v>
      </c>
      <c r="L2174" s="10">
        <v>0</v>
      </c>
      <c r="M2174" s="10">
        <v>1</v>
      </c>
      <c r="N2174" s="10">
        <v>155</v>
      </c>
      <c r="O2174" s="10">
        <v>155</v>
      </c>
    </row>
    <row r="2175" spans="1:15" x14ac:dyDescent="0.2">
      <c r="A2175" s="10" t="s">
        <v>1242</v>
      </c>
      <c r="B2175" s="10" t="s">
        <v>172</v>
      </c>
      <c r="C2175" s="10" t="s">
        <v>44</v>
      </c>
      <c r="D2175" s="10" t="s">
        <v>45</v>
      </c>
      <c r="E2175" s="10" t="s">
        <v>46</v>
      </c>
      <c r="F2175" s="10" t="s">
        <v>173</v>
      </c>
      <c r="G2175" s="10" t="b">
        <f>FALSE()</f>
        <v>0</v>
      </c>
      <c r="H2175" s="10">
        <v>0</v>
      </c>
      <c r="I2175" s="10">
        <v>1</v>
      </c>
      <c r="J2175" s="10">
        <v>0</v>
      </c>
      <c r="K2175" s="10">
        <v>0</v>
      </c>
      <c r="L2175" s="10">
        <v>0</v>
      </c>
      <c r="M2175" s="10">
        <v>1</v>
      </c>
      <c r="N2175" s="10">
        <v>155</v>
      </c>
      <c r="O2175" s="10">
        <v>155</v>
      </c>
    </row>
    <row r="2176" spans="1:15" x14ac:dyDescent="0.2">
      <c r="A2176" s="10" t="s">
        <v>859</v>
      </c>
      <c r="B2176" s="10" t="s">
        <v>70</v>
      </c>
      <c r="C2176" s="10" t="s">
        <v>70</v>
      </c>
      <c r="D2176" s="10" t="s">
        <v>45</v>
      </c>
      <c r="E2176" s="10" t="s">
        <v>46</v>
      </c>
      <c r="F2176" s="10" t="s">
        <v>173</v>
      </c>
      <c r="G2176" s="10" t="b">
        <f>FALSE()</f>
        <v>0</v>
      </c>
      <c r="H2176" s="10">
        <v>0</v>
      </c>
      <c r="I2176" s="10">
        <v>1</v>
      </c>
      <c r="J2176" s="10">
        <v>0</v>
      </c>
      <c r="K2176" s="10">
        <v>0</v>
      </c>
      <c r="L2176" s="10">
        <v>0</v>
      </c>
      <c r="M2176" s="10">
        <v>1</v>
      </c>
      <c r="N2176" s="10">
        <v>154</v>
      </c>
      <c r="O2176" s="10">
        <v>154</v>
      </c>
    </row>
    <row r="2177" spans="1:15" x14ac:dyDescent="0.2">
      <c r="A2177" s="10" t="s">
        <v>734</v>
      </c>
      <c r="B2177" s="10" t="s">
        <v>89</v>
      </c>
      <c r="C2177" s="10" t="s">
        <v>90</v>
      </c>
      <c r="D2177" s="10" t="s">
        <v>51</v>
      </c>
      <c r="E2177" s="10" t="s">
        <v>52</v>
      </c>
      <c r="F2177" s="10" t="s">
        <v>153</v>
      </c>
      <c r="G2177" s="10" t="b">
        <f>FALSE()</f>
        <v>0</v>
      </c>
      <c r="H2177" s="10">
        <v>0</v>
      </c>
      <c r="I2177" s="10">
        <v>1</v>
      </c>
      <c r="J2177" s="10">
        <v>0</v>
      </c>
      <c r="K2177" s="10">
        <v>0</v>
      </c>
      <c r="L2177" s="10">
        <v>0</v>
      </c>
      <c r="M2177" s="10">
        <v>1</v>
      </c>
      <c r="N2177" s="10">
        <v>166</v>
      </c>
      <c r="O2177" s="10">
        <v>154</v>
      </c>
    </row>
    <row r="2178" spans="1:15" x14ac:dyDescent="0.2">
      <c r="A2178" s="10" t="s">
        <v>1238</v>
      </c>
      <c r="B2178" s="10" t="s">
        <v>368</v>
      </c>
      <c r="C2178" s="10" t="s">
        <v>50</v>
      </c>
      <c r="D2178" s="10" t="s">
        <v>51</v>
      </c>
      <c r="E2178" s="10" t="s">
        <v>52</v>
      </c>
      <c r="F2178" s="10" t="s">
        <v>153</v>
      </c>
      <c r="G2178" s="10" t="b">
        <f>FALSE()</f>
        <v>0</v>
      </c>
      <c r="H2178" s="10">
        <v>0</v>
      </c>
      <c r="I2178" s="10">
        <v>1</v>
      </c>
      <c r="J2178" s="10">
        <v>0</v>
      </c>
      <c r="K2178" s="10">
        <v>0</v>
      </c>
      <c r="L2178" s="10">
        <v>0</v>
      </c>
      <c r="M2178" s="10">
        <v>1</v>
      </c>
      <c r="N2178" s="10">
        <v>154</v>
      </c>
      <c r="O2178" s="10">
        <v>154</v>
      </c>
    </row>
    <row r="2179" spans="1:15" x14ac:dyDescent="0.2">
      <c r="A2179" s="10" t="s">
        <v>1243</v>
      </c>
      <c r="B2179" s="10" t="s">
        <v>234</v>
      </c>
      <c r="C2179" s="10" t="s">
        <v>90</v>
      </c>
      <c r="D2179" s="10" t="s">
        <v>51</v>
      </c>
      <c r="E2179" s="10" t="s">
        <v>52</v>
      </c>
      <c r="F2179" s="10" t="s">
        <v>97</v>
      </c>
      <c r="G2179" s="10" t="b">
        <f>TRUE()</f>
        <v>1</v>
      </c>
      <c r="H2179" s="10">
        <v>0</v>
      </c>
      <c r="I2179" s="10">
        <v>1</v>
      </c>
      <c r="J2179" s="10">
        <v>0</v>
      </c>
      <c r="K2179" s="10">
        <v>0</v>
      </c>
      <c r="L2179" s="10">
        <v>0</v>
      </c>
      <c r="M2179" s="10">
        <v>1</v>
      </c>
      <c r="N2179" s="10">
        <v>157</v>
      </c>
      <c r="O2179" s="10">
        <v>154</v>
      </c>
    </row>
    <row r="2180" spans="1:15" x14ac:dyDescent="0.2">
      <c r="A2180" s="10" t="s">
        <v>693</v>
      </c>
      <c r="B2180" s="10" t="s">
        <v>130</v>
      </c>
      <c r="C2180" s="10" t="s">
        <v>56</v>
      </c>
      <c r="D2180" s="10" t="s">
        <v>45</v>
      </c>
      <c r="E2180" s="10" t="s">
        <v>46</v>
      </c>
      <c r="F2180" s="10" t="s">
        <v>403</v>
      </c>
      <c r="G2180" s="10" t="b">
        <f>TRUE()</f>
        <v>1</v>
      </c>
      <c r="H2180" s="10">
        <v>0</v>
      </c>
      <c r="I2180" s="10">
        <v>1</v>
      </c>
      <c r="J2180" s="10">
        <v>0</v>
      </c>
      <c r="K2180" s="10">
        <v>0</v>
      </c>
      <c r="L2180" s="10">
        <v>0</v>
      </c>
      <c r="M2180" s="10">
        <v>1</v>
      </c>
      <c r="N2180" s="10">
        <v>153</v>
      </c>
      <c r="O2180" s="10">
        <v>153</v>
      </c>
    </row>
    <row r="2181" spans="1:15" x14ac:dyDescent="0.2">
      <c r="A2181" s="10" t="s">
        <v>1130</v>
      </c>
      <c r="B2181" s="10" t="s">
        <v>193</v>
      </c>
      <c r="C2181" s="10" t="s">
        <v>117</v>
      </c>
      <c r="D2181" s="10" t="s">
        <v>51</v>
      </c>
      <c r="E2181" s="10" t="s">
        <v>52</v>
      </c>
      <c r="F2181" s="10" t="s">
        <v>74</v>
      </c>
      <c r="G2181" s="10" t="b">
        <f>FALSE()</f>
        <v>0</v>
      </c>
      <c r="H2181" s="10">
        <v>0</v>
      </c>
      <c r="I2181" s="10">
        <v>1</v>
      </c>
      <c r="J2181" s="10">
        <v>0</v>
      </c>
      <c r="K2181" s="10">
        <v>0</v>
      </c>
      <c r="L2181" s="10">
        <v>0</v>
      </c>
      <c r="M2181" s="10">
        <v>1</v>
      </c>
      <c r="N2181" s="10">
        <v>156</v>
      </c>
      <c r="O2181" s="10">
        <v>153</v>
      </c>
    </row>
    <row r="2182" spans="1:15" x14ac:dyDescent="0.2">
      <c r="A2182" s="10" t="s">
        <v>1188</v>
      </c>
      <c r="B2182" s="10" t="s">
        <v>111</v>
      </c>
      <c r="C2182" s="10" t="s">
        <v>112</v>
      </c>
      <c r="D2182" s="10" t="s">
        <v>51</v>
      </c>
      <c r="E2182" s="10" t="s">
        <v>52</v>
      </c>
      <c r="F2182" s="10" t="s">
        <v>61</v>
      </c>
      <c r="G2182" s="10" t="b">
        <f>FALSE()</f>
        <v>0</v>
      </c>
      <c r="H2182" s="10">
        <v>0</v>
      </c>
      <c r="I2182" s="10">
        <v>1</v>
      </c>
      <c r="J2182" s="10">
        <v>0</v>
      </c>
      <c r="K2182" s="10">
        <v>0</v>
      </c>
      <c r="L2182" s="10">
        <v>0</v>
      </c>
      <c r="M2182" s="10">
        <v>1</v>
      </c>
      <c r="N2182" s="10">
        <v>145</v>
      </c>
      <c r="O2182" s="10">
        <v>152</v>
      </c>
    </row>
    <row r="2183" spans="1:15" x14ac:dyDescent="0.2">
      <c r="A2183" s="10" t="s">
        <v>1196</v>
      </c>
      <c r="B2183" s="10" t="s">
        <v>104</v>
      </c>
      <c r="C2183" s="10" t="s">
        <v>105</v>
      </c>
      <c r="D2183" s="10" t="s">
        <v>45</v>
      </c>
      <c r="E2183" s="10" t="s">
        <v>46</v>
      </c>
      <c r="F2183" s="10" t="s">
        <v>183</v>
      </c>
      <c r="G2183" s="10" t="b">
        <f>FALSE()</f>
        <v>0</v>
      </c>
      <c r="H2183" s="10">
        <v>0</v>
      </c>
      <c r="I2183" s="10">
        <v>1</v>
      </c>
      <c r="J2183" s="10">
        <v>0</v>
      </c>
      <c r="K2183" s="10">
        <v>0</v>
      </c>
      <c r="L2183" s="10">
        <v>0</v>
      </c>
      <c r="M2183" s="10">
        <v>1</v>
      </c>
      <c r="N2183" s="10">
        <v>165</v>
      </c>
      <c r="O2183" s="10">
        <v>152</v>
      </c>
    </row>
    <row r="2184" spans="1:15" x14ac:dyDescent="0.2">
      <c r="A2184" s="10" t="s">
        <v>1079</v>
      </c>
      <c r="B2184" s="10" t="s">
        <v>70</v>
      </c>
      <c r="C2184" s="10" t="s">
        <v>70</v>
      </c>
      <c r="D2184" s="10" t="s">
        <v>45</v>
      </c>
      <c r="E2184" s="10" t="s">
        <v>46</v>
      </c>
      <c r="F2184" s="10" t="s">
        <v>61</v>
      </c>
      <c r="G2184" s="10" t="b">
        <f>FALSE()</f>
        <v>0</v>
      </c>
      <c r="H2184" s="10">
        <v>0</v>
      </c>
      <c r="I2184" s="10">
        <v>1</v>
      </c>
      <c r="J2184" s="10">
        <v>0</v>
      </c>
      <c r="K2184" s="10">
        <v>0</v>
      </c>
      <c r="L2184" s="10">
        <v>0</v>
      </c>
      <c r="M2184" s="10">
        <v>1</v>
      </c>
      <c r="N2184" s="10">
        <v>152</v>
      </c>
      <c r="O2184" s="10">
        <v>152</v>
      </c>
    </row>
    <row r="2185" spans="1:15" x14ac:dyDescent="0.2">
      <c r="A2185" s="10" t="s">
        <v>209</v>
      </c>
      <c r="B2185" s="10" t="s">
        <v>178</v>
      </c>
      <c r="C2185" s="10" t="s">
        <v>73</v>
      </c>
      <c r="D2185" s="10" t="s">
        <v>45</v>
      </c>
      <c r="E2185" s="10" t="s">
        <v>46</v>
      </c>
      <c r="F2185" s="10" t="s">
        <v>251</v>
      </c>
      <c r="G2185" s="10" t="b">
        <f>FALSE()</f>
        <v>0</v>
      </c>
      <c r="H2185" s="10">
        <v>0</v>
      </c>
      <c r="I2185" s="10">
        <v>1</v>
      </c>
      <c r="J2185" s="10">
        <v>0</v>
      </c>
      <c r="K2185" s="10">
        <v>0</v>
      </c>
      <c r="L2185" s="10">
        <v>0</v>
      </c>
      <c r="M2185" s="10">
        <v>1</v>
      </c>
      <c r="N2185" s="10">
        <v>152</v>
      </c>
      <c r="O2185" s="10">
        <v>151</v>
      </c>
    </row>
    <row r="2186" spans="1:15" x14ac:dyDescent="0.2">
      <c r="A2186" s="10" t="s">
        <v>177</v>
      </c>
      <c r="B2186" s="10" t="s">
        <v>178</v>
      </c>
      <c r="C2186" s="10" t="s">
        <v>73</v>
      </c>
      <c r="D2186" s="10" t="s">
        <v>45</v>
      </c>
      <c r="E2186" s="10" t="s">
        <v>46</v>
      </c>
      <c r="F2186" s="10" t="s">
        <v>92</v>
      </c>
      <c r="G2186" s="10" t="b">
        <f>FALSE()</f>
        <v>0</v>
      </c>
      <c r="H2186" s="10">
        <v>0</v>
      </c>
      <c r="I2186" s="10">
        <v>1</v>
      </c>
      <c r="J2186" s="10">
        <v>0</v>
      </c>
      <c r="K2186" s="10">
        <v>0</v>
      </c>
      <c r="L2186" s="10">
        <v>0</v>
      </c>
      <c r="M2186" s="10">
        <v>1</v>
      </c>
      <c r="N2186" s="10">
        <v>155</v>
      </c>
      <c r="O2186" s="10">
        <v>151</v>
      </c>
    </row>
    <row r="2187" spans="1:15" x14ac:dyDescent="0.2">
      <c r="A2187" s="10" t="s">
        <v>1073</v>
      </c>
      <c r="B2187" s="10" t="s">
        <v>193</v>
      </c>
      <c r="C2187" s="10" t="s">
        <v>117</v>
      </c>
      <c r="D2187" s="10" t="s">
        <v>51</v>
      </c>
      <c r="E2187" s="10" t="s">
        <v>52</v>
      </c>
      <c r="F2187" s="10" t="s">
        <v>61</v>
      </c>
      <c r="G2187" s="10" t="b">
        <f>FALSE()</f>
        <v>0</v>
      </c>
      <c r="H2187" s="10">
        <v>0</v>
      </c>
      <c r="I2187" s="10">
        <v>1</v>
      </c>
      <c r="J2187" s="10">
        <v>0</v>
      </c>
      <c r="K2187" s="10">
        <v>0</v>
      </c>
      <c r="L2187" s="10">
        <v>0</v>
      </c>
      <c r="M2187" s="10">
        <v>1</v>
      </c>
      <c r="N2187" s="10">
        <v>149</v>
      </c>
      <c r="O2187" s="10">
        <v>151</v>
      </c>
    </row>
    <row r="2188" spans="1:15" x14ac:dyDescent="0.2">
      <c r="A2188" s="10" t="s">
        <v>1199</v>
      </c>
      <c r="B2188" s="10" t="s">
        <v>890</v>
      </c>
      <c r="C2188" s="10" t="s">
        <v>112</v>
      </c>
      <c r="D2188" s="10" t="s">
        <v>51</v>
      </c>
      <c r="E2188" s="10" t="s">
        <v>52</v>
      </c>
      <c r="F2188" s="10" t="s">
        <v>153</v>
      </c>
      <c r="G2188" s="10" t="b">
        <f>FALSE()</f>
        <v>0</v>
      </c>
      <c r="H2188" s="10">
        <v>0</v>
      </c>
      <c r="I2188" s="10">
        <v>1</v>
      </c>
      <c r="J2188" s="10">
        <v>0</v>
      </c>
      <c r="K2188" s="10">
        <v>0</v>
      </c>
      <c r="L2188" s="10">
        <v>0</v>
      </c>
      <c r="M2188" s="10">
        <v>1</v>
      </c>
      <c r="N2188" s="10">
        <v>152</v>
      </c>
      <c r="O2188" s="10">
        <v>151</v>
      </c>
    </row>
    <row r="2189" spans="1:15" x14ac:dyDescent="0.2">
      <c r="A2189" s="10" t="s">
        <v>1230</v>
      </c>
      <c r="B2189" s="10" t="s">
        <v>78</v>
      </c>
      <c r="C2189" s="10" t="s">
        <v>50</v>
      </c>
      <c r="D2189" s="10" t="s">
        <v>51</v>
      </c>
      <c r="E2189" s="10" t="s">
        <v>52</v>
      </c>
      <c r="F2189" s="10" t="s">
        <v>47</v>
      </c>
      <c r="G2189" s="10" t="b">
        <f>FALSE()</f>
        <v>0</v>
      </c>
      <c r="H2189" s="10">
        <v>0</v>
      </c>
      <c r="I2189" s="10">
        <v>1</v>
      </c>
      <c r="J2189" s="10">
        <v>0</v>
      </c>
      <c r="K2189" s="10">
        <v>0</v>
      </c>
      <c r="L2189" s="10">
        <v>0</v>
      </c>
      <c r="M2189" s="10">
        <v>1</v>
      </c>
      <c r="N2189" s="10">
        <v>139</v>
      </c>
      <c r="O2189" s="10">
        <v>151</v>
      </c>
    </row>
    <row r="2190" spans="1:15" x14ac:dyDescent="0.2">
      <c r="A2190" s="10" t="s">
        <v>1244</v>
      </c>
      <c r="B2190" s="10" t="s">
        <v>104</v>
      </c>
      <c r="C2190" s="10" t="s">
        <v>105</v>
      </c>
      <c r="D2190" s="10" t="s">
        <v>45</v>
      </c>
      <c r="E2190" s="10" t="s">
        <v>46</v>
      </c>
      <c r="F2190" s="10" t="s">
        <v>83</v>
      </c>
      <c r="G2190" s="10" t="b">
        <f>TRUE()</f>
        <v>1</v>
      </c>
      <c r="H2190" s="10">
        <v>0</v>
      </c>
      <c r="I2190" s="10">
        <v>1</v>
      </c>
      <c r="J2190" s="10">
        <v>0</v>
      </c>
      <c r="K2190" s="10">
        <v>0</v>
      </c>
      <c r="L2190" s="10">
        <v>0</v>
      </c>
      <c r="M2190" s="10">
        <v>1</v>
      </c>
      <c r="N2190" s="10">
        <v>152</v>
      </c>
      <c r="O2190" s="10">
        <v>151</v>
      </c>
    </row>
    <row r="2191" spans="1:15" x14ac:dyDescent="0.2">
      <c r="A2191" s="10" t="s">
        <v>1025</v>
      </c>
      <c r="B2191" s="10" t="s">
        <v>285</v>
      </c>
      <c r="C2191" s="10" t="s">
        <v>105</v>
      </c>
      <c r="D2191" s="10" t="s">
        <v>45</v>
      </c>
      <c r="E2191" s="10" t="s">
        <v>46</v>
      </c>
      <c r="F2191" s="10" t="s">
        <v>92</v>
      </c>
      <c r="G2191" s="10" t="b">
        <f>FALSE()</f>
        <v>0</v>
      </c>
      <c r="H2191" s="10">
        <v>0</v>
      </c>
      <c r="I2191" s="10">
        <v>1</v>
      </c>
      <c r="J2191" s="10">
        <v>0</v>
      </c>
      <c r="K2191" s="10">
        <v>0</v>
      </c>
      <c r="L2191" s="10">
        <v>0</v>
      </c>
      <c r="M2191" s="10">
        <v>1</v>
      </c>
      <c r="N2191" s="10">
        <v>151</v>
      </c>
      <c r="O2191" s="10">
        <v>151</v>
      </c>
    </row>
    <row r="2192" spans="1:15" x14ac:dyDescent="0.2">
      <c r="A2192" s="10" t="s">
        <v>1245</v>
      </c>
      <c r="B2192" s="10" t="s">
        <v>70</v>
      </c>
      <c r="C2192" s="10" t="s">
        <v>70</v>
      </c>
      <c r="D2192" s="10" t="s">
        <v>45</v>
      </c>
      <c r="E2192" s="10" t="s">
        <v>46</v>
      </c>
      <c r="F2192" s="10" t="s">
        <v>47</v>
      </c>
      <c r="G2192" s="10" t="b">
        <f>FALSE()</f>
        <v>0</v>
      </c>
      <c r="H2192" s="10">
        <v>0</v>
      </c>
      <c r="I2192" s="10">
        <v>1</v>
      </c>
      <c r="J2192" s="10">
        <v>0</v>
      </c>
      <c r="K2192" s="10">
        <v>0</v>
      </c>
      <c r="L2192" s="10">
        <v>0</v>
      </c>
      <c r="M2192" s="10">
        <v>1</v>
      </c>
      <c r="N2192" s="10">
        <v>167</v>
      </c>
      <c r="O2192" s="10">
        <v>151</v>
      </c>
    </row>
    <row r="2193" spans="1:15" x14ac:dyDescent="0.2">
      <c r="A2193" s="10" t="s">
        <v>1246</v>
      </c>
      <c r="B2193" s="10" t="s">
        <v>333</v>
      </c>
      <c r="C2193" s="10" t="s">
        <v>50</v>
      </c>
      <c r="D2193" s="10" t="s">
        <v>51</v>
      </c>
      <c r="E2193" s="10" t="s">
        <v>52</v>
      </c>
      <c r="F2193" s="10" t="s">
        <v>100</v>
      </c>
      <c r="G2193" s="10" t="b">
        <f>FALSE()</f>
        <v>0</v>
      </c>
      <c r="H2193" s="10">
        <v>0</v>
      </c>
      <c r="I2193" s="10">
        <v>1</v>
      </c>
      <c r="J2193" s="10">
        <v>0</v>
      </c>
      <c r="K2193" s="10">
        <v>0</v>
      </c>
      <c r="L2193" s="10">
        <v>0</v>
      </c>
      <c r="M2193" s="10">
        <v>1</v>
      </c>
      <c r="N2193" s="10">
        <v>150</v>
      </c>
      <c r="O2193" s="10">
        <v>150</v>
      </c>
    </row>
    <row r="2194" spans="1:15" x14ac:dyDescent="0.2">
      <c r="A2194" s="10" t="s">
        <v>1217</v>
      </c>
      <c r="B2194" s="10" t="s">
        <v>128</v>
      </c>
      <c r="C2194" s="10" t="s">
        <v>50</v>
      </c>
      <c r="D2194" s="10" t="s">
        <v>51</v>
      </c>
      <c r="E2194" s="10" t="s">
        <v>52</v>
      </c>
      <c r="F2194" s="10" t="s">
        <v>214</v>
      </c>
      <c r="G2194" s="10" t="b">
        <f>FALSE()</f>
        <v>0</v>
      </c>
      <c r="H2194" s="10">
        <v>0</v>
      </c>
      <c r="I2194" s="10">
        <v>1</v>
      </c>
      <c r="J2194" s="10">
        <v>0</v>
      </c>
      <c r="K2194" s="10">
        <v>0</v>
      </c>
      <c r="L2194" s="10">
        <v>0</v>
      </c>
      <c r="M2194" s="10">
        <v>1</v>
      </c>
      <c r="N2194" s="10">
        <v>156</v>
      </c>
      <c r="O2194" s="10">
        <v>150</v>
      </c>
    </row>
    <row r="2195" spans="1:15" x14ac:dyDescent="0.2">
      <c r="A2195" s="10" t="s">
        <v>1101</v>
      </c>
      <c r="B2195" s="10" t="s">
        <v>193</v>
      </c>
      <c r="C2195" s="10" t="s">
        <v>117</v>
      </c>
      <c r="D2195" s="10" t="s">
        <v>51</v>
      </c>
      <c r="E2195" s="10" t="s">
        <v>52</v>
      </c>
      <c r="F2195" s="10" t="s">
        <v>444</v>
      </c>
      <c r="G2195" s="10" t="b">
        <f>TRUE()</f>
        <v>1</v>
      </c>
      <c r="H2195" s="10">
        <v>0</v>
      </c>
      <c r="I2195" s="10">
        <v>1</v>
      </c>
      <c r="J2195" s="10">
        <v>0</v>
      </c>
      <c r="K2195" s="10">
        <v>0</v>
      </c>
      <c r="L2195" s="10">
        <v>0</v>
      </c>
      <c r="M2195" s="10">
        <v>1</v>
      </c>
      <c r="N2195" s="10">
        <v>149</v>
      </c>
      <c r="O2195" s="10">
        <v>149</v>
      </c>
    </row>
    <row r="2196" spans="1:15" x14ac:dyDescent="0.2">
      <c r="A2196" s="10" t="s">
        <v>1141</v>
      </c>
      <c r="B2196" s="10" t="s">
        <v>405</v>
      </c>
      <c r="C2196" s="10" t="s">
        <v>112</v>
      </c>
      <c r="D2196" s="10" t="s">
        <v>51</v>
      </c>
      <c r="E2196" s="10" t="s">
        <v>52</v>
      </c>
      <c r="F2196" s="10" t="s">
        <v>132</v>
      </c>
      <c r="G2196" s="10" t="b">
        <f>FALSE()</f>
        <v>0</v>
      </c>
      <c r="H2196" s="10">
        <v>0</v>
      </c>
      <c r="I2196" s="10">
        <v>1</v>
      </c>
      <c r="J2196" s="10">
        <v>0</v>
      </c>
      <c r="K2196" s="10">
        <v>0</v>
      </c>
      <c r="L2196" s="10">
        <v>0</v>
      </c>
      <c r="M2196" s="10">
        <v>1</v>
      </c>
      <c r="N2196" s="10">
        <v>152</v>
      </c>
      <c r="O2196" s="10">
        <v>149</v>
      </c>
    </row>
    <row r="2197" spans="1:15" x14ac:dyDescent="0.2">
      <c r="A2197" s="10" t="s">
        <v>1091</v>
      </c>
      <c r="B2197" s="10" t="s">
        <v>89</v>
      </c>
      <c r="C2197" s="10" t="s">
        <v>90</v>
      </c>
      <c r="D2197" s="10" t="s">
        <v>51</v>
      </c>
      <c r="E2197" s="10" t="s">
        <v>52</v>
      </c>
      <c r="F2197" s="10" t="s">
        <v>61</v>
      </c>
      <c r="G2197" s="10" t="b">
        <f>FALSE()</f>
        <v>0</v>
      </c>
      <c r="H2197" s="10">
        <v>0</v>
      </c>
      <c r="I2197" s="10">
        <v>1</v>
      </c>
      <c r="J2197" s="10">
        <v>0</v>
      </c>
      <c r="K2197" s="10">
        <v>0</v>
      </c>
      <c r="L2197" s="10">
        <v>0</v>
      </c>
      <c r="M2197" s="10">
        <v>1</v>
      </c>
      <c r="N2197" s="10">
        <v>199</v>
      </c>
      <c r="O2197" s="10">
        <v>149</v>
      </c>
    </row>
    <row r="2198" spans="1:15" x14ac:dyDescent="0.2">
      <c r="A2198" s="10" t="s">
        <v>1171</v>
      </c>
      <c r="B2198" s="10" t="s">
        <v>633</v>
      </c>
      <c r="C2198" s="10" t="s">
        <v>90</v>
      </c>
      <c r="D2198" s="10" t="s">
        <v>51</v>
      </c>
      <c r="E2198" s="10" t="s">
        <v>52</v>
      </c>
      <c r="F2198" s="10" t="s">
        <v>61</v>
      </c>
      <c r="G2198" s="10" t="b">
        <f>FALSE()</f>
        <v>0</v>
      </c>
      <c r="H2198" s="10">
        <v>0</v>
      </c>
      <c r="I2198" s="10">
        <v>1</v>
      </c>
      <c r="J2198" s="10">
        <v>0</v>
      </c>
      <c r="K2198" s="10">
        <v>0</v>
      </c>
      <c r="L2198" s="10">
        <v>0</v>
      </c>
      <c r="M2198" s="10">
        <v>1</v>
      </c>
      <c r="N2198" s="10">
        <v>150</v>
      </c>
      <c r="O2198" s="10">
        <v>149</v>
      </c>
    </row>
    <row r="2199" spans="1:15" x14ac:dyDescent="0.2">
      <c r="A2199" s="10" t="s">
        <v>1061</v>
      </c>
      <c r="B2199" s="10" t="s">
        <v>262</v>
      </c>
      <c r="C2199" s="10" t="s">
        <v>105</v>
      </c>
      <c r="D2199" s="10" t="s">
        <v>45</v>
      </c>
      <c r="E2199" s="10" t="s">
        <v>46</v>
      </c>
      <c r="F2199" s="10" t="s">
        <v>183</v>
      </c>
      <c r="G2199" s="10" t="b">
        <f>FALSE()</f>
        <v>0</v>
      </c>
      <c r="H2199" s="10">
        <v>0</v>
      </c>
      <c r="I2199" s="10">
        <v>1</v>
      </c>
      <c r="J2199" s="10">
        <v>0</v>
      </c>
      <c r="K2199" s="10">
        <v>0</v>
      </c>
      <c r="L2199" s="10">
        <v>0</v>
      </c>
      <c r="M2199" s="10">
        <v>1</v>
      </c>
      <c r="N2199" s="10">
        <v>156</v>
      </c>
      <c r="O2199" s="10">
        <v>149</v>
      </c>
    </row>
    <row r="2200" spans="1:15" x14ac:dyDescent="0.2">
      <c r="A2200" s="10" t="s">
        <v>1075</v>
      </c>
      <c r="B2200" s="10" t="s">
        <v>172</v>
      </c>
      <c r="C2200" s="10" t="s">
        <v>44</v>
      </c>
      <c r="D2200" s="10" t="s">
        <v>45</v>
      </c>
      <c r="E2200" s="10" t="s">
        <v>46</v>
      </c>
      <c r="F2200" s="10" t="s">
        <v>183</v>
      </c>
      <c r="G2200" s="10" t="b">
        <f>FALSE()</f>
        <v>0</v>
      </c>
      <c r="H2200" s="10">
        <v>0</v>
      </c>
      <c r="I2200" s="10">
        <v>1</v>
      </c>
      <c r="J2200" s="10">
        <v>0</v>
      </c>
      <c r="K2200" s="10">
        <v>0</v>
      </c>
      <c r="L2200" s="10">
        <v>0</v>
      </c>
      <c r="M2200" s="10">
        <v>1</v>
      </c>
      <c r="N2200" s="10">
        <v>178</v>
      </c>
      <c r="O2200" s="10">
        <v>149</v>
      </c>
    </row>
    <row r="2201" spans="1:15" x14ac:dyDescent="0.2">
      <c r="A2201" s="10" t="s">
        <v>1061</v>
      </c>
      <c r="B2201" s="10" t="s">
        <v>262</v>
      </c>
      <c r="C2201" s="10" t="s">
        <v>105</v>
      </c>
      <c r="D2201" s="10" t="s">
        <v>45</v>
      </c>
      <c r="E2201" s="10" t="s">
        <v>46</v>
      </c>
      <c r="F2201" s="10" t="s">
        <v>61</v>
      </c>
      <c r="G2201" s="10" t="b">
        <f>FALSE()</f>
        <v>0</v>
      </c>
      <c r="H2201" s="10">
        <v>0</v>
      </c>
      <c r="I2201" s="10">
        <v>1</v>
      </c>
      <c r="J2201" s="10">
        <v>0</v>
      </c>
      <c r="K2201" s="10">
        <v>0</v>
      </c>
      <c r="L2201" s="10">
        <v>0</v>
      </c>
      <c r="M2201" s="10">
        <v>1</v>
      </c>
      <c r="N2201" s="10">
        <v>148</v>
      </c>
      <c r="O2201" s="10">
        <v>148</v>
      </c>
    </row>
    <row r="2202" spans="1:15" x14ac:dyDescent="0.2">
      <c r="A2202" s="10" t="s">
        <v>1109</v>
      </c>
      <c r="B2202" s="10" t="s">
        <v>122</v>
      </c>
      <c r="C2202" s="10" t="s">
        <v>112</v>
      </c>
      <c r="D2202" s="10" t="s">
        <v>51</v>
      </c>
      <c r="E2202" s="10" t="s">
        <v>52</v>
      </c>
      <c r="F2202" s="10" t="s">
        <v>363</v>
      </c>
      <c r="G2202" s="10" t="b">
        <f>FALSE()</f>
        <v>0</v>
      </c>
      <c r="H2202" s="10">
        <v>0</v>
      </c>
      <c r="I2202" s="10">
        <v>1</v>
      </c>
      <c r="J2202" s="10">
        <v>0</v>
      </c>
      <c r="K2202" s="10">
        <v>0</v>
      </c>
      <c r="L2202" s="10">
        <v>0</v>
      </c>
      <c r="M2202" s="10">
        <v>1</v>
      </c>
      <c r="N2202" s="10">
        <v>154</v>
      </c>
      <c r="O2202" s="10">
        <v>147</v>
      </c>
    </row>
    <row r="2203" spans="1:15" x14ac:dyDescent="0.2">
      <c r="A2203" s="10" t="s">
        <v>1068</v>
      </c>
      <c r="B2203" s="10" t="s">
        <v>238</v>
      </c>
      <c r="C2203" s="10" t="s">
        <v>90</v>
      </c>
      <c r="D2203" s="10" t="s">
        <v>51</v>
      </c>
      <c r="E2203" s="10" t="s">
        <v>52</v>
      </c>
      <c r="F2203" s="10" t="s">
        <v>190</v>
      </c>
      <c r="G2203" s="10" t="b">
        <f>TRUE()</f>
        <v>1</v>
      </c>
      <c r="H2203" s="10">
        <v>0</v>
      </c>
      <c r="I2203" s="10">
        <v>1</v>
      </c>
      <c r="J2203" s="10">
        <v>0</v>
      </c>
      <c r="K2203" s="10">
        <v>0</v>
      </c>
      <c r="L2203" s="10">
        <v>0</v>
      </c>
      <c r="M2203" s="10">
        <v>1</v>
      </c>
      <c r="N2203" s="10">
        <v>157</v>
      </c>
      <c r="O2203" s="10">
        <v>147</v>
      </c>
    </row>
    <row r="2204" spans="1:15" x14ac:dyDescent="0.2">
      <c r="A2204" s="10" t="s">
        <v>1210</v>
      </c>
      <c r="B2204" s="10" t="s">
        <v>439</v>
      </c>
      <c r="C2204" s="10" t="s">
        <v>112</v>
      </c>
      <c r="D2204" s="10" t="s">
        <v>51</v>
      </c>
      <c r="E2204" s="10" t="s">
        <v>52</v>
      </c>
      <c r="F2204" s="10" t="s">
        <v>91</v>
      </c>
      <c r="G2204" s="10" t="b">
        <f>TRUE()</f>
        <v>1</v>
      </c>
      <c r="H2204" s="10">
        <v>0</v>
      </c>
      <c r="I2204" s="10">
        <v>1</v>
      </c>
      <c r="J2204" s="10">
        <v>0</v>
      </c>
      <c r="K2204" s="10">
        <v>0</v>
      </c>
      <c r="L2204" s="10">
        <v>0</v>
      </c>
      <c r="M2204" s="10">
        <v>1</v>
      </c>
      <c r="N2204" s="10">
        <v>151</v>
      </c>
      <c r="O2204" s="10">
        <v>146</v>
      </c>
    </row>
    <row r="2205" spans="1:15" x14ac:dyDescent="0.2">
      <c r="A2205" s="10" t="s">
        <v>1093</v>
      </c>
      <c r="B2205" s="10" t="s">
        <v>262</v>
      </c>
      <c r="C2205" s="10" t="s">
        <v>105</v>
      </c>
      <c r="D2205" s="10" t="s">
        <v>45</v>
      </c>
      <c r="E2205" s="10" t="s">
        <v>46</v>
      </c>
      <c r="F2205" s="10" t="s">
        <v>481</v>
      </c>
      <c r="G2205" s="10" t="b">
        <f>FALSE()</f>
        <v>0</v>
      </c>
      <c r="H2205" s="10">
        <v>0</v>
      </c>
      <c r="I2205" s="10">
        <v>1</v>
      </c>
      <c r="J2205" s="10">
        <v>0</v>
      </c>
      <c r="K2205" s="10">
        <v>0</v>
      </c>
      <c r="L2205" s="10">
        <v>0</v>
      </c>
      <c r="M2205" s="10">
        <v>1</v>
      </c>
      <c r="N2205" s="10">
        <v>174</v>
      </c>
      <c r="O2205" s="10">
        <v>146</v>
      </c>
    </row>
    <row r="2206" spans="1:15" x14ac:dyDescent="0.2">
      <c r="A2206" s="10" t="s">
        <v>1195</v>
      </c>
      <c r="B2206" s="10" t="s">
        <v>163</v>
      </c>
      <c r="C2206" s="10" t="s">
        <v>90</v>
      </c>
      <c r="D2206" s="10" t="s">
        <v>51</v>
      </c>
      <c r="E2206" s="10" t="s">
        <v>52</v>
      </c>
      <c r="F2206" s="10" t="s">
        <v>180</v>
      </c>
      <c r="G2206" s="10" t="b">
        <f>FALSE()</f>
        <v>0</v>
      </c>
      <c r="H2206" s="10">
        <v>0</v>
      </c>
      <c r="I2206" s="10">
        <v>1</v>
      </c>
      <c r="J2206" s="10">
        <v>0</v>
      </c>
      <c r="K2206" s="10">
        <v>0</v>
      </c>
      <c r="L2206" s="10">
        <v>0</v>
      </c>
      <c r="M2206" s="10">
        <v>1</v>
      </c>
      <c r="N2206" s="10">
        <v>150</v>
      </c>
      <c r="O2206" s="10">
        <v>145</v>
      </c>
    </row>
    <row r="2207" spans="1:15" x14ac:dyDescent="0.2">
      <c r="A2207" s="10" t="s">
        <v>1043</v>
      </c>
      <c r="B2207" s="10" t="s">
        <v>218</v>
      </c>
      <c r="C2207" s="10" t="s">
        <v>73</v>
      </c>
      <c r="D2207" s="10" t="s">
        <v>45</v>
      </c>
      <c r="E2207" s="10" t="s">
        <v>46</v>
      </c>
      <c r="F2207" s="10" t="s">
        <v>444</v>
      </c>
      <c r="G2207" s="10" t="b">
        <f>TRUE()</f>
        <v>1</v>
      </c>
      <c r="H2207" s="10">
        <v>0</v>
      </c>
      <c r="I2207" s="10">
        <v>1</v>
      </c>
      <c r="J2207" s="10">
        <v>0</v>
      </c>
      <c r="K2207" s="10">
        <v>0</v>
      </c>
      <c r="L2207" s="10">
        <v>0</v>
      </c>
      <c r="M2207" s="10">
        <v>1</v>
      </c>
      <c r="N2207" s="10">
        <v>145</v>
      </c>
      <c r="O2207" s="10">
        <v>145</v>
      </c>
    </row>
    <row r="2208" spans="1:15" x14ac:dyDescent="0.2">
      <c r="A2208" s="10" t="s">
        <v>1087</v>
      </c>
      <c r="B2208" s="10" t="s">
        <v>63</v>
      </c>
      <c r="C2208" s="10" t="s">
        <v>64</v>
      </c>
      <c r="D2208" s="10" t="s">
        <v>45</v>
      </c>
      <c r="E2208" s="10" t="s">
        <v>46</v>
      </c>
      <c r="F2208" s="10" t="s">
        <v>251</v>
      </c>
      <c r="G2208" s="10" t="b">
        <f>FALSE()</f>
        <v>0</v>
      </c>
      <c r="H2208" s="10">
        <v>0</v>
      </c>
      <c r="I2208" s="10">
        <v>1</v>
      </c>
      <c r="J2208" s="10">
        <v>0</v>
      </c>
      <c r="K2208" s="10">
        <v>0</v>
      </c>
      <c r="L2208" s="10">
        <v>0</v>
      </c>
      <c r="M2208" s="10">
        <v>1</v>
      </c>
      <c r="N2208" s="10">
        <v>145</v>
      </c>
      <c r="O2208" s="10">
        <v>145</v>
      </c>
    </row>
    <row r="2209" spans="1:15" x14ac:dyDescent="0.2">
      <c r="A2209" s="10" t="s">
        <v>1058</v>
      </c>
      <c r="B2209" s="10" t="s">
        <v>43</v>
      </c>
      <c r="C2209" s="10" t="s">
        <v>44</v>
      </c>
      <c r="D2209" s="10" t="s">
        <v>45</v>
      </c>
      <c r="E2209" s="10" t="s">
        <v>46</v>
      </c>
      <c r="F2209" s="10" t="s">
        <v>153</v>
      </c>
      <c r="G2209" s="10" t="b">
        <f>FALSE()</f>
        <v>0</v>
      </c>
      <c r="H2209" s="10">
        <v>0</v>
      </c>
      <c r="I2209" s="10">
        <v>1</v>
      </c>
      <c r="J2209" s="10">
        <v>0</v>
      </c>
      <c r="K2209" s="10">
        <v>0</v>
      </c>
      <c r="L2209" s="10">
        <v>0</v>
      </c>
      <c r="M2209" s="10">
        <v>1</v>
      </c>
      <c r="N2209" s="10">
        <v>145</v>
      </c>
      <c r="O2209" s="10">
        <v>145</v>
      </c>
    </row>
    <row r="2210" spans="1:15" x14ac:dyDescent="0.2">
      <c r="A2210" s="10" t="s">
        <v>1237</v>
      </c>
      <c r="B2210" s="10" t="s">
        <v>70</v>
      </c>
      <c r="C2210" s="10" t="s">
        <v>70</v>
      </c>
      <c r="D2210" s="10" t="s">
        <v>45</v>
      </c>
      <c r="E2210" s="10" t="s">
        <v>46</v>
      </c>
      <c r="F2210" s="10" t="s">
        <v>153</v>
      </c>
      <c r="G2210" s="10" t="b">
        <f>FALSE()</f>
        <v>0</v>
      </c>
      <c r="H2210" s="10">
        <v>0</v>
      </c>
      <c r="I2210" s="10">
        <v>1</v>
      </c>
      <c r="J2210" s="10">
        <v>0</v>
      </c>
      <c r="K2210" s="10">
        <v>0</v>
      </c>
      <c r="L2210" s="10">
        <v>0</v>
      </c>
      <c r="M2210" s="10">
        <v>1</v>
      </c>
      <c r="N2210" s="10">
        <v>145</v>
      </c>
      <c r="O2210" s="10">
        <v>145</v>
      </c>
    </row>
    <row r="2211" spans="1:15" x14ac:dyDescent="0.2">
      <c r="A2211" s="10" t="s">
        <v>1141</v>
      </c>
      <c r="B2211" s="10" t="s">
        <v>405</v>
      </c>
      <c r="C2211" s="10" t="s">
        <v>112</v>
      </c>
      <c r="D2211" s="10" t="s">
        <v>51</v>
      </c>
      <c r="E2211" s="10" t="s">
        <v>52</v>
      </c>
      <c r="F2211" s="10" t="s">
        <v>190</v>
      </c>
      <c r="G2211" s="10" t="b">
        <f>TRUE()</f>
        <v>1</v>
      </c>
      <c r="H2211" s="10">
        <v>0</v>
      </c>
      <c r="I2211" s="10">
        <v>1</v>
      </c>
      <c r="J2211" s="10">
        <v>0</v>
      </c>
      <c r="K2211" s="10">
        <v>0</v>
      </c>
      <c r="L2211" s="10">
        <v>0</v>
      </c>
      <c r="M2211" s="10">
        <v>1</v>
      </c>
      <c r="N2211" s="10">
        <v>145</v>
      </c>
      <c r="O2211" s="10">
        <v>144</v>
      </c>
    </row>
    <row r="2212" spans="1:15" x14ac:dyDescent="0.2">
      <c r="A2212" s="10" t="s">
        <v>1222</v>
      </c>
      <c r="B2212" s="10" t="s">
        <v>273</v>
      </c>
      <c r="C2212" s="10" t="s">
        <v>50</v>
      </c>
      <c r="D2212" s="10" t="s">
        <v>51</v>
      </c>
      <c r="E2212" s="10" t="s">
        <v>52</v>
      </c>
      <c r="F2212" s="10" t="s">
        <v>61</v>
      </c>
      <c r="G2212" s="10" t="b">
        <f>FALSE()</f>
        <v>0</v>
      </c>
      <c r="H2212" s="10">
        <v>0</v>
      </c>
      <c r="I2212" s="10">
        <v>1</v>
      </c>
      <c r="J2212" s="10">
        <v>0</v>
      </c>
      <c r="K2212" s="10">
        <v>0</v>
      </c>
      <c r="L2212" s="10">
        <v>0</v>
      </c>
      <c r="M2212" s="10">
        <v>1</v>
      </c>
      <c r="N2212" s="10">
        <v>144</v>
      </c>
      <c r="O2212" s="10">
        <v>144</v>
      </c>
    </row>
    <row r="2213" spans="1:15" x14ac:dyDescent="0.2">
      <c r="A2213" s="10" t="s">
        <v>1247</v>
      </c>
      <c r="B2213" s="10" t="s">
        <v>72</v>
      </c>
      <c r="C2213" s="10" t="s">
        <v>73</v>
      </c>
      <c r="D2213" s="10" t="s">
        <v>45</v>
      </c>
      <c r="E2213" s="10" t="s">
        <v>46</v>
      </c>
      <c r="F2213" s="10" t="s">
        <v>123</v>
      </c>
      <c r="G2213" s="10" t="b">
        <f>FALSE()</f>
        <v>0</v>
      </c>
      <c r="H2213" s="10">
        <v>0</v>
      </c>
      <c r="I2213" s="10">
        <v>1</v>
      </c>
      <c r="J2213" s="10">
        <v>0</v>
      </c>
      <c r="K2213" s="10">
        <v>0</v>
      </c>
      <c r="L2213" s="10">
        <v>0</v>
      </c>
      <c r="M2213" s="10">
        <v>1</v>
      </c>
      <c r="N2213" s="10">
        <v>147</v>
      </c>
      <c r="O2213" s="10">
        <v>144</v>
      </c>
    </row>
    <row r="2214" spans="1:15" x14ac:dyDescent="0.2">
      <c r="A2214" s="10" t="s">
        <v>1234</v>
      </c>
      <c r="B2214" s="10" t="s">
        <v>249</v>
      </c>
      <c r="C2214" s="10" t="s">
        <v>90</v>
      </c>
      <c r="D2214" s="10" t="s">
        <v>51</v>
      </c>
      <c r="E2214" s="10" t="s">
        <v>52</v>
      </c>
      <c r="F2214" s="10" t="s">
        <v>61</v>
      </c>
      <c r="G2214" s="10" t="b">
        <f>FALSE()</f>
        <v>0</v>
      </c>
      <c r="H2214" s="10">
        <v>0</v>
      </c>
      <c r="I2214" s="10">
        <v>1</v>
      </c>
      <c r="J2214" s="10">
        <v>0</v>
      </c>
      <c r="K2214" s="10">
        <v>0</v>
      </c>
      <c r="L2214" s="10">
        <v>0</v>
      </c>
      <c r="M2214" s="10">
        <v>1</v>
      </c>
      <c r="N2214" s="10">
        <v>143</v>
      </c>
      <c r="O2214" s="10">
        <v>143</v>
      </c>
    </row>
    <row r="2215" spans="1:15" x14ac:dyDescent="0.2">
      <c r="A2215" s="10" t="s">
        <v>1206</v>
      </c>
      <c r="B2215" s="10" t="s">
        <v>285</v>
      </c>
      <c r="C2215" s="10" t="s">
        <v>105</v>
      </c>
      <c r="D2215" s="10" t="s">
        <v>45</v>
      </c>
      <c r="E2215" s="10" t="s">
        <v>46</v>
      </c>
      <c r="F2215" s="10" t="s">
        <v>153</v>
      </c>
      <c r="G2215" s="10" t="b">
        <f>FALSE()</f>
        <v>0</v>
      </c>
      <c r="H2215" s="10">
        <v>0</v>
      </c>
      <c r="I2215" s="10">
        <v>1</v>
      </c>
      <c r="J2215" s="10">
        <v>0</v>
      </c>
      <c r="K2215" s="10">
        <v>0</v>
      </c>
      <c r="L2215" s="10">
        <v>0</v>
      </c>
      <c r="M2215" s="10">
        <v>1</v>
      </c>
      <c r="N2215" s="10">
        <v>143</v>
      </c>
      <c r="O2215" s="10">
        <v>143</v>
      </c>
    </row>
    <row r="2216" spans="1:15" x14ac:dyDescent="0.2">
      <c r="A2216" s="10" t="s">
        <v>84</v>
      </c>
      <c r="B2216" s="10" t="s">
        <v>43</v>
      </c>
      <c r="C2216" s="10" t="s">
        <v>44</v>
      </c>
      <c r="D2216" s="10" t="s">
        <v>45</v>
      </c>
      <c r="E2216" s="10" t="s">
        <v>46</v>
      </c>
      <c r="F2216" s="10" t="s">
        <v>660</v>
      </c>
      <c r="G2216" s="10" t="b">
        <f>FALSE()</f>
        <v>0</v>
      </c>
      <c r="H2216" s="10">
        <v>0</v>
      </c>
      <c r="I2216" s="10">
        <v>1</v>
      </c>
      <c r="J2216" s="10">
        <v>0</v>
      </c>
      <c r="K2216" s="10">
        <v>0</v>
      </c>
      <c r="L2216" s="10">
        <v>0</v>
      </c>
      <c r="M2216" s="10">
        <v>1</v>
      </c>
      <c r="N2216" s="10">
        <v>142</v>
      </c>
      <c r="O2216" s="10">
        <v>142</v>
      </c>
    </row>
    <row r="2217" spans="1:15" x14ac:dyDescent="0.2">
      <c r="A2217" s="10" t="s">
        <v>150</v>
      </c>
      <c r="B2217" s="10" t="s">
        <v>151</v>
      </c>
      <c r="C2217" s="10" t="s">
        <v>64</v>
      </c>
      <c r="D2217" s="10" t="s">
        <v>45</v>
      </c>
      <c r="E2217" s="10" t="s">
        <v>46</v>
      </c>
      <c r="F2217" s="10" t="s">
        <v>107</v>
      </c>
      <c r="G2217" s="10" t="b">
        <f>FALSE()</f>
        <v>0</v>
      </c>
      <c r="H2217" s="10">
        <v>0</v>
      </c>
      <c r="I2217" s="10">
        <v>1</v>
      </c>
      <c r="J2217" s="10">
        <v>0</v>
      </c>
      <c r="K2217" s="10">
        <v>0</v>
      </c>
      <c r="L2217" s="10">
        <v>0</v>
      </c>
      <c r="M2217" s="10">
        <v>1</v>
      </c>
      <c r="N2217" s="10">
        <v>145</v>
      </c>
      <c r="O2217" s="10">
        <v>142</v>
      </c>
    </row>
    <row r="2218" spans="1:15" x14ac:dyDescent="0.2">
      <c r="A2218" s="10" t="s">
        <v>1199</v>
      </c>
      <c r="B2218" s="10" t="s">
        <v>890</v>
      </c>
      <c r="C2218" s="10" t="s">
        <v>112</v>
      </c>
      <c r="D2218" s="10" t="s">
        <v>51</v>
      </c>
      <c r="E2218" s="10" t="s">
        <v>52</v>
      </c>
      <c r="F2218" s="10" t="s">
        <v>660</v>
      </c>
      <c r="G2218" s="10" t="b">
        <f>FALSE()</f>
        <v>0</v>
      </c>
      <c r="H2218" s="10">
        <v>0</v>
      </c>
      <c r="I2218" s="10">
        <v>1</v>
      </c>
      <c r="J2218" s="10">
        <v>0</v>
      </c>
      <c r="K2218" s="10">
        <v>0</v>
      </c>
      <c r="L2218" s="10">
        <v>0</v>
      </c>
      <c r="M2218" s="10">
        <v>1</v>
      </c>
      <c r="N2218" s="10">
        <v>142</v>
      </c>
      <c r="O2218" s="10">
        <v>142</v>
      </c>
    </row>
    <row r="2219" spans="1:15" x14ac:dyDescent="0.2">
      <c r="A2219" s="10" t="s">
        <v>1047</v>
      </c>
      <c r="B2219" s="10" t="s">
        <v>96</v>
      </c>
      <c r="C2219" s="10" t="s">
        <v>50</v>
      </c>
      <c r="D2219" s="10" t="s">
        <v>51</v>
      </c>
      <c r="E2219" s="10" t="s">
        <v>52</v>
      </c>
      <c r="F2219" s="10" t="s">
        <v>791</v>
      </c>
      <c r="G2219" s="10" t="b">
        <f>FALSE()</f>
        <v>0</v>
      </c>
      <c r="H2219" s="10">
        <v>0</v>
      </c>
      <c r="I2219" s="10">
        <v>1</v>
      </c>
      <c r="J2219" s="10">
        <v>0</v>
      </c>
      <c r="K2219" s="10">
        <v>0</v>
      </c>
      <c r="L2219" s="10">
        <v>0</v>
      </c>
      <c r="M2219" s="10">
        <v>1</v>
      </c>
      <c r="N2219" s="10">
        <v>142</v>
      </c>
      <c r="O2219" s="10">
        <v>142</v>
      </c>
    </row>
    <row r="2220" spans="1:15" x14ac:dyDescent="0.2">
      <c r="A2220" s="10" t="s">
        <v>1190</v>
      </c>
      <c r="B2220" s="10" t="s">
        <v>321</v>
      </c>
      <c r="C2220" s="10" t="s">
        <v>245</v>
      </c>
      <c r="D2220" s="10" t="s">
        <v>51</v>
      </c>
      <c r="E2220" s="10" t="s">
        <v>52</v>
      </c>
      <c r="F2220" s="10" t="s">
        <v>403</v>
      </c>
      <c r="G2220" s="10" t="b">
        <f>TRUE()</f>
        <v>1</v>
      </c>
      <c r="H2220" s="10">
        <v>0</v>
      </c>
      <c r="I2220" s="10">
        <v>1</v>
      </c>
      <c r="J2220" s="10">
        <v>0</v>
      </c>
      <c r="K2220" s="10">
        <v>0</v>
      </c>
      <c r="L2220" s="10">
        <v>0</v>
      </c>
      <c r="M2220" s="10">
        <v>1</v>
      </c>
      <c r="N2220" s="10">
        <v>167</v>
      </c>
      <c r="O2220" s="10">
        <v>142</v>
      </c>
    </row>
    <row r="2221" spans="1:15" x14ac:dyDescent="0.2">
      <c r="A2221" s="10" t="s">
        <v>1248</v>
      </c>
      <c r="B2221" s="10" t="s">
        <v>55</v>
      </c>
      <c r="C2221" s="10" t="s">
        <v>56</v>
      </c>
      <c r="D2221" s="10" t="s">
        <v>45</v>
      </c>
      <c r="E2221" s="10" t="s">
        <v>46</v>
      </c>
      <c r="F2221" s="10" t="s">
        <v>61</v>
      </c>
      <c r="G2221" s="10" t="b">
        <f>FALSE()</f>
        <v>0</v>
      </c>
      <c r="H2221" s="10">
        <v>0</v>
      </c>
      <c r="I2221" s="10">
        <v>1</v>
      </c>
      <c r="J2221" s="10">
        <v>0</v>
      </c>
      <c r="K2221" s="10">
        <v>0</v>
      </c>
      <c r="L2221" s="10">
        <v>0</v>
      </c>
      <c r="M2221" s="10">
        <v>1</v>
      </c>
      <c r="N2221" s="10">
        <v>142</v>
      </c>
      <c r="O2221" s="10">
        <v>142</v>
      </c>
    </row>
    <row r="2222" spans="1:15" x14ac:dyDescent="0.2">
      <c r="A2222" s="10" t="s">
        <v>865</v>
      </c>
      <c r="B2222" s="10" t="s">
        <v>493</v>
      </c>
      <c r="C2222" s="10" t="s">
        <v>117</v>
      </c>
      <c r="D2222" s="10" t="s">
        <v>51</v>
      </c>
      <c r="E2222" s="10" t="s">
        <v>52</v>
      </c>
      <c r="F2222" s="10" t="s">
        <v>1249</v>
      </c>
      <c r="G2222" s="10" t="b">
        <f>TRUE()</f>
        <v>1</v>
      </c>
      <c r="H2222" s="10">
        <v>0</v>
      </c>
      <c r="I2222" s="10">
        <v>1</v>
      </c>
      <c r="J2222" s="10">
        <v>0</v>
      </c>
      <c r="K2222" s="10">
        <v>0</v>
      </c>
      <c r="L2222" s="10">
        <v>0</v>
      </c>
      <c r="M2222" s="10">
        <v>1</v>
      </c>
      <c r="N2222" s="10">
        <v>149</v>
      </c>
      <c r="O2222" s="10">
        <v>141</v>
      </c>
    </row>
    <row r="2223" spans="1:15" x14ac:dyDescent="0.2">
      <c r="A2223" s="10" t="s">
        <v>1214</v>
      </c>
      <c r="B2223" s="10" t="s">
        <v>165</v>
      </c>
      <c r="C2223" s="10" t="s">
        <v>112</v>
      </c>
      <c r="D2223" s="10" t="s">
        <v>51</v>
      </c>
      <c r="E2223" s="10" t="s">
        <v>52</v>
      </c>
      <c r="F2223" s="10" t="s">
        <v>212</v>
      </c>
      <c r="G2223" s="10" t="b">
        <f>FALSE()</f>
        <v>0</v>
      </c>
      <c r="H2223" s="10">
        <v>0</v>
      </c>
      <c r="I2223" s="10">
        <v>1</v>
      </c>
      <c r="J2223" s="10">
        <v>0</v>
      </c>
      <c r="K2223" s="10">
        <v>0</v>
      </c>
      <c r="L2223" s="10">
        <v>0</v>
      </c>
      <c r="M2223" s="10">
        <v>1</v>
      </c>
      <c r="N2223" s="10">
        <v>143</v>
      </c>
      <c r="O2223" s="10">
        <v>141</v>
      </c>
    </row>
    <row r="2224" spans="1:15" x14ac:dyDescent="0.2">
      <c r="A2224" s="10" t="s">
        <v>1250</v>
      </c>
      <c r="B2224" s="10" t="s">
        <v>456</v>
      </c>
      <c r="C2224" s="10" t="s">
        <v>245</v>
      </c>
      <c r="D2224" s="10" t="s">
        <v>51</v>
      </c>
      <c r="E2224" s="10" t="s">
        <v>52</v>
      </c>
      <c r="F2224" s="10" t="s">
        <v>47</v>
      </c>
      <c r="G2224" s="10" t="b">
        <f>FALSE()</f>
        <v>0</v>
      </c>
      <c r="H2224" s="10">
        <v>0</v>
      </c>
      <c r="I2224" s="10">
        <v>1</v>
      </c>
      <c r="J2224" s="10">
        <v>0</v>
      </c>
      <c r="K2224" s="10">
        <v>0</v>
      </c>
      <c r="L2224" s="10">
        <v>0</v>
      </c>
      <c r="M2224" s="10">
        <v>1</v>
      </c>
      <c r="N2224" s="10">
        <v>144</v>
      </c>
      <c r="O2224" s="10">
        <v>141</v>
      </c>
    </row>
    <row r="2225" spans="1:15" x14ac:dyDescent="0.2">
      <c r="A2225" s="10" t="s">
        <v>1120</v>
      </c>
      <c r="B2225" s="10" t="s">
        <v>265</v>
      </c>
      <c r="C2225" s="10" t="s">
        <v>245</v>
      </c>
      <c r="D2225" s="10" t="s">
        <v>51</v>
      </c>
      <c r="E2225" s="10" t="s">
        <v>52</v>
      </c>
      <c r="F2225" s="10" t="s">
        <v>190</v>
      </c>
      <c r="G2225" s="10" t="b">
        <f>TRUE()</f>
        <v>1</v>
      </c>
      <c r="H2225" s="10">
        <v>0</v>
      </c>
      <c r="I2225" s="10">
        <v>1</v>
      </c>
      <c r="J2225" s="10">
        <v>0</v>
      </c>
      <c r="K2225" s="10">
        <v>0</v>
      </c>
      <c r="L2225" s="10">
        <v>0</v>
      </c>
      <c r="M2225" s="10">
        <v>1</v>
      </c>
      <c r="N2225" s="10">
        <v>146</v>
      </c>
      <c r="O2225" s="10">
        <v>141</v>
      </c>
    </row>
    <row r="2226" spans="1:15" x14ac:dyDescent="0.2">
      <c r="A2226" s="10" t="s">
        <v>1082</v>
      </c>
      <c r="B2226" s="10" t="s">
        <v>562</v>
      </c>
      <c r="C2226" s="10" t="s">
        <v>245</v>
      </c>
      <c r="D2226" s="10" t="s">
        <v>51</v>
      </c>
      <c r="E2226" s="10" t="s">
        <v>52</v>
      </c>
      <c r="F2226" s="10" t="s">
        <v>190</v>
      </c>
      <c r="G2226" s="10" t="b">
        <f>TRUE()</f>
        <v>1</v>
      </c>
      <c r="H2226" s="10">
        <v>0</v>
      </c>
      <c r="I2226" s="10">
        <v>1</v>
      </c>
      <c r="J2226" s="10">
        <v>0</v>
      </c>
      <c r="K2226" s="10">
        <v>0</v>
      </c>
      <c r="L2226" s="10">
        <v>0</v>
      </c>
      <c r="M2226" s="10">
        <v>1</v>
      </c>
      <c r="N2226" s="10">
        <v>142</v>
      </c>
      <c r="O2226" s="10">
        <v>141</v>
      </c>
    </row>
    <row r="2227" spans="1:15" x14ac:dyDescent="0.2">
      <c r="A2227" s="10" t="s">
        <v>1222</v>
      </c>
      <c r="B2227" s="10" t="s">
        <v>273</v>
      </c>
      <c r="C2227" s="10" t="s">
        <v>50</v>
      </c>
      <c r="D2227" s="10" t="s">
        <v>51</v>
      </c>
      <c r="E2227" s="10" t="s">
        <v>52</v>
      </c>
      <c r="F2227" s="10" t="s">
        <v>153</v>
      </c>
      <c r="G2227" s="10" t="b">
        <f>FALSE()</f>
        <v>0</v>
      </c>
      <c r="H2227" s="10">
        <v>0</v>
      </c>
      <c r="I2227" s="10">
        <v>1</v>
      </c>
      <c r="J2227" s="10">
        <v>0</v>
      </c>
      <c r="K2227" s="10">
        <v>0</v>
      </c>
      <c r="L2227" s="10">
        <v>0</v>
      </c>
      <c r="M2227" s="10">
        <v>1</v>
      </c>
      <c r="N2227" s="10">
        <v>140</v>
      </c>
      <c r="O2227" s="10">
        <v>140</v>
      </c>
    </row>
    <row r="2228" spans="1:15" x14ac:dyDescent="0.2">
      <c r="A2228" s="10" t="s">
        <v>1082</v>
      </c>
      <c r="B2228" s="10" t="s">
        <v>562</v>
      </c>
      <c r="C2228" s="10" t="s">
        <v>245</v>
      </c>
      <c r="D2228" s="10" t="s">
        <v>51</v>
      </c>
      <c r="E2228" s="10" t="s">
        <v>52</v>
      </c>
      <c r="F2228" s="10" t="s">
        <v>331</v>
      </c>
      <c r="G2228" s="10" t="b">
        <f>FALSE()</f>
        <v>0</v>
      </c>
      <c r="H2228" s="10">
        <v>0</v>
      </c>
      <c r="I2228" s="10">
        <v>1</v>
      </c>
      <c r="J2228" s="10">
        <v>0</v>
      </c>
      <c r="K2228" s="10">
        <v>0</v>
      </c>
      <c r="L2228" s="10">
        <v>0</v>
      </c>
      <c r="M2228" s="10">
        <v>1</v>
      </c>
      <c r="N2228" s="10">
        <v>143</v>
      </c>
      <c r="O2228" s="10">
        <v>140</v>
      </c>
    </row>
    <row r="2229" spans="1:15" x14ac:dyDescent="0.2">
      <c r="A2229" s="10" t="s">
        <v>1113</v>
      </c>
      <c r="B2229" s="10" t="s">
        <v>136</v>
      </c>
      <c r="C2229" s="10" t="s">
        <v>73</v>
      </c>
      <c r="D2229" s="10" t="s">
        <v>45</v>
      </c>
      <c r="E2229" s="10" t="s">
        <v>46</v>
      </c>
      <c r="F2229" s="10" t="s">
        <v>132</v>
      </c>
      <c r="G2229" s="10" t="b">
        <f>FALSE()</f>
        <v>0</v>
      </c>
      <c r="H2229" s="10">
        <v>0</v>
      </c>
      <c r="I2229" s="10">
        <v>1</v>
      </c>
      <c r="J2229" s="10">
        <v>0</v>
      </c>
      <c r="K2229" s="10">
        <v>0</v>
      </c>
      <c r="L2229" s="10">
        <v>0</v>
      </c>
      <c r="M2229" s="10">
        <v>1</v>
      </c>
      <c r="N2229" s="10">
        <v>140</v>
      </c>
      <c r="O2229" s="10">
        <v>140</v>
      </c>
    </row>
    <row r="2230" spans="1:15" x14ac:dyDescent="0.2">
      <c r="A2230" s="10" t="s">
        <v>1074</v>
      </c>
      <c r="B2230" s="10" t="s">
        <v>104</v>
      </c>
      <c r="C2230" s="10" t="s">
        <v>105</v>
      </c>
      <c r="D2230" s="10" t="s">
        <v>45</v>
      </c>
      <c r="E2230" s="10" t="s">
        <v>46</v>
      </c>
      <c r="F2230" s="10" t="s">
        <v>1251</v>
      </c>
      <c r="G2230" s="10" t="b">
        <f>TRUE()</f>
        <v>1</v>
      </c>
      <c r="H2230" s="10">
        <v>0</v>
      </c>
      <c r="I2230" s="10">
        <v>1</v>
      </c>
      <c r="J2230" s="10">
        <v>0</v>
      </c>
      <c r="K2230" s="10">
        <v>0</v>
      </c>
      <c r="L2230" s="10">
        <v>0</v>
      </c>
      <c r="M2230" s="10">
        <v>1</v>
      </c>
      <c r="N2230" s="10">
        <v>140</v>
      </c>
      <c r="O2230" s="10">
        <v>140</v>
      </c>
    </row>
    <row r="2231" spans="1:15" x14ac:dyDescent="0.2">
      <c r="A2231" s="10" t="s">
        <v>1170</v>
      </c>
      <c r="B2231" s="10" t="s">
        <v>146</v>
      </c>
      <c r="C2231" s="10" t="s">
        <v>105</v>
      </c>
      <c r="D2231" s="10" t="s">
        <v>45</v>
      </c>
      <c r="E2231" s="10" t="s">
        <v>46</v>
      </c>
      <c r="F2231" s="10" t="s">
        <v>61</v>
      </c>
      <c r="G2231" s="10" t="b">
        <f>FALSE()</f>
        <v>0</v>
      </c>
      <c r="H2231" s="10">
        <v>0</v>
      </c>
      <c r="I2231" s="10">
        <v>1</v>
      </c>
      <c r="J2231" s="10">
        <v>0</v>
      </c>
      <c r="K2231" s="10">
        <v>0</v>
      </c>
      <c r="L2231" s="10">
        <v>0</v>
      </c>
      <c r="M2231" s="10">
        <v>1</v>
      </c>
      <c r="N2231" s="10">
        <v>140</v>
      </c>
      <c r="O2231" s="10">
        <v>140</v>
      </c>
    </row>
    <row r="2232" spans="1:15" x14ac:dyDescent="0.2">
      <c r="A2232" s="10" t="s">
        <v>177</v>
      </c>
      <c r="B2232" s="10" t="s">
        <v>178</v>
      </c>
      <c r="C2232" s="10" t="s">
        <v>73</v>
      </c>
      <c r="D2232" s="10" t="s">
        <v>45</v>
      </c>
      <c r="E2232" s="10" t="s">
        <v>46</v>
      </c>
      <c r="F2232" s="10" t="s">
        <v>251</v>
      </c>
      <c r="G2232" s="10" t="b">
        <f>FALSE()</f>
        <v>0</v>
      </c>
      <c r="H2232" s="10">
        <v>0</v>
      </c>
      <c r="I2232" s="10">
        <v>1</v>
      </c>
      <c r="J2232" s="10">
        <v>0</v>
      </c>
      <c r="K2232" s="10">
        <v>0</v>
      </c>
      <c r="L2232" s="10">
        <v>0</v>
      </c>
      <c r="M2232" s="10">
        <v>1</v>
      </c>
      <c r="N2232" s="10">
        <v>139</v>
      </c>
      <c r="O2232" s="10">
        <v>139</v>
      </c>
    </row>
    <row r="2233" spans="1:15" x14ac:dyDescent="0.2">
      <c r="A2233" s="10" t="s">
        <v>1235</v>
      </c>
      <c r="B2233" s="10" t="s">
        <v>72</v>
      </c>
      <c r="C2233" s="10" t="s">
        <v>73</v>
      </c>
      <c r="D2233" s="10" t="s">
        <v>45</v>
      </c>
      <c r="E2233" s="10" t="s">
        <v>46</v>
      </c>
      <c r="F2233" s="10" t="s">
        <v>61</v>
      </c>
      <c r="G2233" s="10" t="b">
        <f>FALSE()</f>
        <v>0</v>
      </c>
      <c r="H2233" s="10">
        <v>0</v>
      </c>
      <c r="I2233" s="10">
        <v>1</v>
      </c>
      <c r="J2233" s="10">
        <v>0</v>
      </c>
      <c r="K2233" s="10">
        <v>0</v>
      </c>
      <c r="L2233" s="10">
        <v>0</v>
      </c>
      <c r="M2233" s="10">
        <v>1</v>
      </c>
      <c r="N2233" s="10">
        <v>139</v>
      </c>
      <c r="O2233" s="10">
        <v>139</v>
      </c>
    </row>
    <row r="2234" spans="1:15" x14ac:dyDescent="0.2">
      <c r="A2234" s="10" t="s">
        <v>1074</v>
      </c>
      <c r="B2234" s="10" t="s">
        <v>104</v>
      </c>
      <c r="C2234" s="10" t="s">
        <v>105</v>
      </c>
      <c r="D2234" s="10" t="s">
        <v>45</v>
      </c>
      <c r="E2234" s="10" t="s">
        <v>46</v>
      </c>
      <c r="F2234" s="10" t="s">
        <v>558</v>
      </c>
      <c r="G2234" s="10" t="b">
        <f>TRUE()</f>
        <v>1</v>
      </c>
      <c r="H2234" s="10">
        <v>0</v>
      </c>
      <c r="I2234" s="10">
        <v>1</v>
      </c>
      <c r="J2234" s="10">
        <v>0</v>
      </c>
      <c r="K2234" s="10">
        <v>0</v>
      </c>
      <c r="L2234" s="10">
        <v>0</v>
      </c>
      <c r="M2234" s="10">
        <v>1</v>
      </c>
      <c r="N2234" s="10">
        <v>139</v>
      </c>
      <c r="O2234" s="10">
        <v>139</v>
      </c>
    </row>
    <row r="2235" spans="1:15" x14ac:dyDescent="0.2">
      <c r="A2235" s="10" t="s">
        <v>1236</v>
      </c>
      <c r="B2235" s="10" t="s">
        <v>104</v>
      </c>
      <c r="C2235" s="10" t="s">
        <v>105</v>
      </c>
      <c r="D2235" s="10" t="s">
        <v>45</v>
      </c>
      <c r="E2235" s="10" t="s">
        <v>46</v>
      </c>
      <c r="F2235" s="10" t="s">
        <v>291</v>
      </c>
      <c r="G2235" s="10" t="b">
        <f>FALSE()</f>
        <v>0</v>
      </c>
      <c r="H2235" s="10">
        <v>0</v>
      </c>
      <c r="I2235" s="10">
        <v>1</v>
      </c>
      <c r="J2235" s="10">
        <v>0</v>
      </c>
      <c r="K2235" s="10">
        <v>0</v>
      </c>
      <c r="L2235" s="10">
        <v>0</v>
      </c>
      <c r="M2235" s="10">
        <v>1</v>
      </c>
      <c r="N2235" s="10">
        <v>139</v>
      </c>
      <c r="O2235" s="10">
        <v>139</v>
      </c>
    </row>
    <row r="2236" spans="1:15" x14ac:dyDescent="0.2">
      <c r="A2236" s="10" t="s">
        <v>1025</v>
      </c>
      <c r="B2236" s="10" t="s">
        <v>285</v>
      </c>
      <c r="C2236" s="10" t="s">
        <v>105</v>
      </c>
      <c r="D2236" s="10" t="s">
        <v>45</v>
      </c>
      <c r="E2236" s="10" t="s">
        <v>46</v>
      </c>
      <c r="F2236" s="10" t="s">
        <v>153</v>
      </c>
      <c r="G2236" s="10" t="b">
        <f>FALSE()</f>
        <v>0</v>
      </c>
      <c r="H2236" s="10">
        <v>0</v>
      </c>
      <c r="I2236" s="10">
        <v>1</v>
      </c>
      <c r="J2236" s="10">
        <v>0</v>
      </c>
      <c r="K2236" s="10">
        <v>0</v>
      </c>
      <c r="L2236" s="10">
        <v>0</v>
      </c>
      <c r="M2236" s="10">
        <v>1</v>
      </c>
      <c r="N2236" s="10">
        <v>139</v>
      </c>
      <c r="O2236" s="10">
        <v>139</v>
      </c>
    </row>
    <row r="2237" spans="1:15" x14ac:dyDescent="0.2">
      <c r="A2237" s="10" t="s">
        <v>1241</v>
      </c>
      <c r="B2237" s="10" t="s">
        <v>262</v>
      </c>
      <c r="C2237" s="10" t="s">
        <v>105</v>
      </c>
      <c r="D2237" s="10" t="s">
        <v>45</v>
      </c>
      <c r="E2237" s="10" t="s">
        <v>46</v>
      </c>
      <c r="F2237" s="10" t="s">
        <v>251</v>
      </c>
      <c r="G2237" s="10" t="b">
        <f>FALSE()</f>
        <v>0</v>
      </c>
      <c r="H2237" s="10">
        <v>0</v>
      </c>
      <c r="I2237" s="10">
        <v>1</v>
      </c>
      <c r="J2237" s="10">
        <v>0</v>
      </c>
      <c r="K2237" s="10">
        <v>0</v>
      </c>
      <c r="L2237" s="10">
        <v>0</v>
      </c>
      <c r="M2237" s="10">
        <v>1</v>
      </c>
      <c r="N2237" s="10">
        <v>139</v>
      </c>
      <c r="O2237" s="10">
        <v>139</v>
      </c>
    </row>
    <row r="2238" spans="1:15" x14ac:dyDescent="0.2">
      <c r="A2238" s="10" t="s">
        <v>1145</v>
      </c>
      <c r="B2238" s="10" t="s">
        <v>70</v>
      </c>
      <c r="C2238" s="10" t="s">
        <v>70</v>
      </c>
      <c r="D2238" s="10" t="s">
        <v>45</v>
      </c>
      <c r="E2238" s="10" t="s">
        <v>46</v>
      </c>
      <c r="F2238" s="10" t="s">
        <v>190</v>
      </c>
      <c r="G2238" s="10" t="b">
        <f>TRUE()</f>
        <v>1</v>
      </c>
      <c r="H2238" s="10">
        <v>0</v>
      </c>
      <c r="I2238" s="10">
        <v>1</v>
      </c>
      <c r="J2238" s="10">
        <v>0</v>
      </c>
      <c r="K2238" s="10">
        <v>0</v>
      </c>
      <c r="L2238" s="10">
        <v>0</v>
      </c>
      <c r="M2238" s="10">
        <v>1</v>
      </c>
      <c r="N2238" s="10">
        <v>139</v>
      </c>
      <c r="O2238" s="10">
        <v>139</v>
      </c>
    </row>
    <row r="2239" spans="1:15" x14ac:dyDescent="0.2">
      <c r="A2239" s="10" t="s">
        <v>1252</v>
      </c>
      <c r="B2239" s="10" t="s">
        <v>405</v>
      </c>
      <c r="C2239" s="10" t="s">
        <v>117</v>
      </c>
      <c r="D2239" s="10" t="s">
        <v>51</v>
      </c>
      <c r="E2239" s="10" t="s">
        <v>52</v>
      </c>
      <c r="F2239" s="10" t="s">
        <v>123</v>
      </c>
      <c r="G2239" s="10" t="b">
        <f>FALSE()</f>
        <v>0</v>
      </c>
      <c r="H2239" s="10">
        <v>0</v>
      </c>
      <c r="I2239" s="10">
        <v>1</v>
      </c>
      <c r="J2239" s="10">
        <v>0</v>
      </c>
      <c r="K2239" s="10">
        <v>0</v>
      </c>
      <c r="L2239" s="10">
        <v>0</v>
      </c>
      <c r="M2239" s="10">
        <v>1</v>
      </c>
      <c r="N2239" s="10">
        <v>143</v>
      </c>
      <c r="O2239" s="10">
        <v>138</v>
      </c>
    </row>
    <row r="2240" spans="1:15" x14ac:dyDescent="0.2">
      <c r="A2240" s="10" t="s">
        <v>1047</v>
      </c>
      <c r="B2240" s="10" t="s">
        <v>96</v>
      </c>
      <c r="C2240" s="10" t="s">
        <v>50</v>
      </c>
      <c r="D2240" s="10" t="s">
        <v>51</v>
      </c>
      <c r="E2240" s="10" t="s">
        <v>52</v>
      </c>
      <c r="F2240" s="10" t="s">
        <v>47</v>
      </c>
      <c r="G2240" s="10" t="b">
        <f>FALSE()</f>
        <v>0</v>
      </c>
      <c r="H2240" s="10">
        <v>0</v>
      </c>
      <c r="I2240" s="10">
        <v>1</v>
      </c>
      <c r="J2240" s="10">
        <v>0</v>
      </c>
      <c r="K2240" s="10">
        <v>0</v>
      </c>
      <c r="L2240" s="10">
        <v>0</v>
      </c>
      <c r="M2240" s="10">
        <v>1</v>
      </c>
      <c r="N2240" s="10">
        <v>92</v>
      </c>
      <c r="O2240" s="10">
        <v>138</v>
      </c>
    </row>
    <row r="2241" spans="1:15" x14ac:dyDescent="0.2">
      <c r="A2241" s="10" t="s">
        <v>1253</v>
      </c>
      <c r="B2241" s="10" t="s">
        <v>167</v>
      </c>
      <c r="C2241" s="10" t="s">
        <v>64</v>
      </c>
      <c r="D2241" s="10" t="s">
        <v>45</v>
      </c>
      <c r="E2241" s="10" t="s">
        <v>46</v>
      </c>
      <c r="F2241" s="10" t="s">
        <v>212</v>
      </c>
      <c r="G2241" s="10" t="b">
        <f>FALSE()</f>
        <v>0</v>
      </c>
      <c r="H2241" s="10">
        <v>0</v>
      </c>
      <c r="I2241" s="10">
        <v>1</v>
      </c>
      <c r="J2241" s="10">
        <v>0</v>
      </c>
      <c r="K2241" s="10">
        <v>0</v>
      </c>
      <c r="L2241" s="10">
        <v>0</v>
      </c>
      <c r="M2241" s="10">
        <v>1</v>
      </c>
      <c r="N2241" s="10">
        <v>180</v>
      </c>
      <c r="O2241" s="10">
        <v>138</v>
      </c>
    </row>
    <row r="2242" spans="1:15" x14ac:dyDescent="0.2">
      <c r="A2242" s="10" t="s">
        <v>662</v>
      </c>
      <c r="B2242" s="10" t="s">
        <v>70</v>
      </c>
      <c r="C2242" s="10" t="s">
        <v>70</v>
      </c>
      <c r="D2242" s="10" t="s">
        <v>45</v>
      </c>
      <c r="E2242" s="10" t="s">
        <v>46</v>
      </c>
      <c r="F2242" s="10" t="s">
        <v>219</v>
      </c>
      <c r="G2242" s="10" t="b">
        <f>FALSE()</f>
        <v>0</v>
      </c>
      <c r="H2242" s="10">
        <v>1</v>
      </c>
      <c r="I2242" s="10">
        <v>1</v>
      </c>
      <c r="J2242" s="10">
        <v>0</v>
      </c>
      <c r="K2242" s="10">
        <v>0</v>
      </c>
      <c r="L2242" s="10">
        <v>0</v>
      </c>
      <c r="M2242" s="10">
        <v>1</v>
      </c>
      <c r="N2242" s="10">
        <v>137</v>
      </c>
      <c r="O2242" s="10">
        <v>137</v>
      </c>
    </row>
    <row r="2243" spans="1:15" x14ac:dyDescent="0.2">
      <c r="A2243" s="10" t="s">
        <v>1073</v>
      </c>
      <c r="B2243" s="10" t="s">
        <v>193</v>
      </c>
      <c r="C2243" s="10" t="s">
        <v>117</v>
      </c>
      <c r="D2243" s="10" t="s">
        <v>51</v>
      </c>
      <c r="E2243" s="10" t="s">
        <v>52</v>
      </c>
      <c r="F2243" s="10" t="s">
        <v>704</v>
      </c>
      <c r="G2243" s="10" t="b">
        <f>FALSE()</f>
        <v>0</v>
      </c>
      <c r="H2243" s="10">
        <v>0</v>
      </c>
      <c r="I2243" s="10">
        <v>1</v>
      </c>
      <c r="J2243" s="10">
        <v>0</v>
      </c>
      <c r="K2243" s="10">
        <v>0</v>
      </c>
      <c r="L2243" s="10">
        <v>0</v>
      </c>
      <c r="M2243" s="10">
        <v>1</v>
      </c>
      <c r="N2243" s="10">
        <v>137</v>
      </c>
      <c r="O2243" s="10">
        <v>137</v>
      </c>
    </row>
    <row r="2244" spans="1:15" x14ac:dyDescent="0.2">
      <c r="A2244" s="10" t="s">
        <v>1144</v>
      </c>
      <c r="B2244" s="10" t="s">
        <v>128</v>
      </c>
      <c r="C2244" s="10" t="s">
        <v>50</v>
      </c>
      <c r="D2244" s="10" t="s">
        <v>51</v>
      </c>
      <c r="E2244" s="10" t="s">
        <v>52</v>
      </c>
      <c r="F2244" s="10" t="s">
        <v>47</v>
      </c>
      <c r="G2244" s="10" t="b">
        <f>FALSE()</f>
        <v>0</v>
      </c>
      <c r="H2244" s="10">
        <v>0</v>
      </c>
      <c r="I2244" s="10">
        <v>1</v>
      </c>
      <c r="J2244" s="10">
        <v>0</v>
      </c>
      <c r="K2244" s="10">
        <v>0</v>
      </c>
      <c r="L2244" s="10">
        <v>0</v>
      </c>
      <c r="M2244" s="10">
        <v>1</v>
      </c>
      <c r="N2244" s="10">
        <v>153</v>
      </c>
      <c r="O2244" s="10">
        <v>137</v>
      </c>
    </row>
    <row r="2245" spans="1:15" x14ac:dyDescent="0.2">
      <c r="A2245" s="10" t="s">
        <v>734</v>
      </c>
      <c r="B2245" s="10" t="s">
        <v>89</v>
      </c>
      <c r="C2245" s="10" t="s">
        <v>90</v>
      </c>
      <c r="D2245" s="10" t="s">
        <v>51</v>
      </c>
      <c r="E2245" s="10" t="s">
        <v>52</v>
      </c>
      <c r="F2245" s="10" t="s">
        <v>183</v>
      </c>
      <c r="G2245" s="10" t="b">
        <f>FALSE()</f>
        <v>0</v>
      </c>
      <c r="H2245" s="10">
        <v>0</v>
      </c>
      <c r="I2245" s="10">
        <v>1</v>
      </c>
      <c r="J2245" s="10">
        <v>0</v>
      </c>
      <c r="K2245" s="10">
        <v>0</v>
      </c>
      <c r="L2245" s="10">
        <v>0</v>
      </c>
      <c r="M2245" s="10">
        <v>1</v>
      </c>
      <c r="N2245" s="10">
        <v>204</v>
      </c>
      <c r="O2245" s="10">
        <v>136</v>
      </c>
    </row>
    <row r="2246" spans="1:15" x14ac:dyDescent="0.2">
      <c r="A2246" s="10" t="s">
        <v>1073</v>
      </c>
      <c r="B2246" s="10" t="s">
        <v>193</v>
      </c>
      <c r="C2246" s="10" t="s">
        <v>117</v>
      </c>
      <c r="D2246" s="10" t="s">
        <v>51</v>
      </c>
      <c r="E2246" s="10" t="s">
        <v>52</v>
      </c>
      <c r="F2246" s="10" t="s">
        <v>468</v>
      </c>
      <c r="G2246" s="10" t="b">
        <f>FALSE()</f>
        <v>0</v>
      </c>
      <c r="H2246" s="10">
        <v>0</v>
      </c>
      <c r="I2246" s="10">
        <v>1</v>
      </c>
      <c r="J2246" s="10">
        <v>0</v>
      </c>
      <c r="K2246" s="10">
        <v>0</v>
      </c>
      <c r="L2246" s="10">
        <v>0</v>
      </c>
      <c r="M2246" s="10">
        <v>1</v>
      </c>
      <c r="N2246" s="10">
        <v>151</v>
      </c>
      <c r="O2246" s="10">
        <v>136</v>
      </c>
    </row>
    <row r="2247" spans="1:15" x14ac:dyDescent="0.2">
      <c r="A2247" s="10" t="s">
        <v>1109</v>
      </c>
      <c r="B2247" s="10" t="s">
        <v>122</v>
      </c>
      <c r="C2247" s="10" t="s">
        <v>112</v>
      </c>
      <c r="D2247" s="10" t="s">
        <v>51</v>
      </c>
      <c r="E2247" s="10" t="s">
        <v>52</v>
      </c>
      <c r="F2247" s="10" t="s">
        <v>61</v>
      </c>
      <c r="G2247" s="10" t="b">
        <f>FALSE()</f>
        <v>0</v>
      </c>
      <c r="H2247" s="10">
        <v>0</v>
      </c>
      <c r="I2247" s="10">
        <v>1</v>
      </c>
      <c r="J2247" s="10">
        <v>0</v>
      </c>
      <c r="K2247" s="10">
        <v>0</v>
      </c>
      <c r="L2247" s="10">
        <v>0</v>
      </c>
      <c r="M2247" s="10">
        <v>1</v>
      </c>
      <c r="N2247" s="10">
        <v>136</v>
      </c>
      <c r="O2247" s="10">
        <v>136</v>
      </c>
    </row>
    <row r="2248" spans="1:15" x14ac:dyDescent="0.2">
      <c r="A2248" s="10" t="s">
        <v>1047</v>
      </c>
      <c r="B2248" s="10" t="s">
        <v>96</v>
      </c>
      <c r="C2248" s="10" t="s">
        <v>50</v>
      </c>
      <c r="D2248" s="10" t="s">
        <v>51</v>
      </c>
      <c r="E2248" s="10" t="s">
        <v>52</v>
      </c>
      <c r="F2248" s="10" t="s">
        <v>74</v>
      </c>
      <c r="G2248" s="10" t="b">
        <f>FALSE()</f>
        <v>0</v>
      </c>
      <c r="H2248" s="10">
        <v>0</v>
      </c>
      <c r="I2248" s="10">
        <v>1</v>
      </c>
      <c r="J2248" s="10">
        <v>0</v>
      </c>
      <c r="K2248" s="10">
        <v>0</v>
      </c>
      <c r="L2248" s="10">
        <v>0</v>
      </c>
      <c r="M2248" s="10">
        <v>1</v>
      </c>
      <c r="N2248" s="10">
        <v>137</v>
      </c>
      <c r="O2248" s="10">
        <v>136</v>
      </c>
    </row>
    <row r="2249" spans="1:15" x14ac:dyDescent="0.2">
      <c r="A2249" s="10" t="s">
        <v>1047</v>
      </c>
      <c r="B2249" s="10" t="s">
        <v>96</v>
      </c>
      <c r="C2249" s="10" t="s">
        <v>50</v>
      </c>
      <c r="D2249" s="10" t="s">
        <v>51</v>
      </c>
      <c r="E2249" s="10" t="s">
        <v>52</v>
      </c>
      <c r="F2249" s="10" t="s">
        <v>219</v>
      </c>
      <c r="G2249" s="10" t="b">
        <f>FALSE()</f>
        <v>0</v>
      </c>
      <c r="H2249" s="10">
        <v>0</v>
      </c>
      <c r="I2249" s="10">
        <v>1</v>
      </c>
      <c r="J2249" s="10">
        <v>0</v>
      </c>
      <c r="K2249" s="10">
        <v>0</v>
      </c>
      <c r="L2249" s="10">
        <v>0</v>
      </c>
      <c r="M2249" s="10">
        <v>1</v>
      </c>
      <c r="N2249" s="10">
        <v>243</v>
      </c>
      <c r="O2249" s="10">
        <v>136</v>
      </c>
    </row>
    <row r="2250" spans="1:15" x14ac:dyDescent="0.2">
      <c r="A2250" s="10" t="s">
        <v>1254</v>
      </c>
      <c r="B2250" s="10" t="s">
        <v>70</v>
      </c>
      <c r="C2250" s="10" t="s">
        <v>70</v>
      </c>
      <c r="D2250" s="10" t="s">
        <v>45</v>
      </c>
      <c r="E2250" s="10" t="s">
        <v>46</v>
      </c>
      <c r="F2250" s="10" t="s">
        <v>92</v>
      </c>
      <c r="G2250" s="10" t="b">
        <f>FALSE()</f>
        <v>0</v>
      </c>
      <c r="H2250" s="10">
        <v>0</v>
      </c>
      <c r="I2250" s="10">
        <v>1</v>
      </c>
      <c r="J2250" s="10">
        <v>0</v>
      </c>
      <c r="K2250" s="10">
        <v>0</v>
      </c>
      <c r="L2250" s="10">
        <v>0</v>
      </c>
      <c r="M2250" s="10">
        <v>1</v>
      </c>
      <c r="N2250" s="10">
        <v>136</v>
      </c>
      <c r="O2250" s="10">
        <v>136</v>
      </c>
    </row>
    <row r="2251" spans="1:15" x14ac:dyDescent="0.2">
      <c r="A2251" s="10" t="s">
        <v>803</v>
      </c>
      <c r="B2251" s="10" t="s">
        <v>756</v>
      </c>
      <c r="C2251" s="10" t="s">
        <v>245</v>
      </c>
      <c r="D2251" s="10" t="s">
        <v>51</v>
      </c>
      <c r="E2251" s="10" t="s">
        <v>52</v>
      </c>
      <c r="F2251" s="10" t="s">
        <v>113</v>
      </c>
      <c r="G2251" s="10" t="b">
        <f>TRUE()</f>
        <v>1</v>
      </c>
      <c r="H2251" s="10">
        <v>0</v>
      </c>
      <c r="I2251" s="10">
        <v>1</v>
      </c>
      <c r="J2251" s="10">
        <v>0</v>
      </c>
      <c r="K2251" s="10">
        <v>0</v>
      </c>
      <c r="L2251" s="10">
        <v>0</v>
      </c>
      <c r="M2251" s="10">
        <v>1</v>
      </c>
      <c r="N2251" s="10">
        <v>135</v>
      </c>
      <c r="O2251" s="10">
        <v>135</v>
      </c>
    </row>
    <row r="2252" spans="1:15" x14ac:dyDescent="0.2">
      <c r="A2252" s="10" t="s">
        <v>288</v>
      </c>
      <c r="B2252" s="10" t="s">
        <v>289</v>
      </c>
      <c r="C2252" s="10" t="s">
        <v>50</v>
      </c>
      <c r="D2252" s="10" t="s">
        <v>51</v>
      </c>
      <c r="E2252" s="10" t="s">
        <v>52</v>
      </c>
      <c r="F2252" s="10" t="s">
        <v>434</v>
      </c>
      <c r="G2252" s="10" t="b">
        <f>FALSE()</f>
        <v>0</v>
      </c>
      <c r="H2252" s="10">
        <v>0</v>
      </c>
      <c r="I2252" s="10">
        <v>1</v>
      </c>
      <c r="J2252" s="10">
        <v>0</v>
      </c>
      <c r="K2252" s="10">
        <v>0</v>
      </c>
      <c r="L2252" s="10">
        <v>0</v>
      </c>
      <c r="M2252" s="10">
        <v>1</v>
      </c>
      <c r="N2252" s="10">
        <v>135</v>
      </c>
      <c r="O2252" s="10">
        <v>135</v>
      </c>
    </row>
    <row r="2253" spans="1:15" x14ac:dyDescent="0.2">
      <c r="A2253" s="10" t="s">
        <v>1255</v>
      </c>
      <c r="B2253" s="10" t="s">
        <v>477</v>
      </c>
      <c r="C2253" s="10" t="s">
        <v>50</v>
      </c>
      <c r="D2253" s="10" t="s">
        <v>51</v>
      </c>
      <c r="E2253" s="10" t="s">
        <v>52</v>
      </c>
      <c r="F2253" s="10" t="s">
        <v>47</v>
      </c>
      <c r="G2253" s="10" t="b">
        <f>FALSE()</f>
        <v>0</v>
      </c>
      <c r="H2253" s="10">
        <v>0</v>
      </c>
      <c r="I2253" s="10">
        <v>1</v>
      </c>
      <c r="J2253" s="10">
        <v>0</v>
      </c>
      <c r="K2253" s="10">
        <v>0</v>
      </c>
      <c r="L2253" s="10">
        <v>0</v>
      </c>
      <c r="M2253" s="10">
        <v>1</v>
      </c>
      <c r="N2253" s="10">
        <v>93</v>
      </c>
      <c r="O2253" s="10">
        <v>134</v>
      </c>
    </row>
    <row r="2254" spans="1:15" x14ac:dyDescent="0.2">
      <c r="A2254" s="10" t="s">
        <v>1256</v>
      </c>
      <c r="B2254" s="10" t="s">
        <v>335</v>
      </c>
      <c r="C2254" s="10" t="s">
        <v>50</v>
      </c>
      <c r="D2254" s="10" t="s">
        <v>51</v>
      </c>
      <c r="E2254" s="10" t="s">
        <v>52</v>
      </c>
      <c r="F2254" s="10" t="s">
        <v>180</v>
      </c>
      <c r="G2254" s="10" t="b">
        <f>FALSE()</f>
        <v>0</v>
      </c>
      <c r="H2254" s="10">
        <v>0</v>
      </c>
      <c r="I2254" s="10">
        <v>1</v>
      </c>
      <c r="J2254" s="10">
        <v>0</v>
      </c>
      <c r="K2254" s="10">
        <v>0</v>
      </c>
      <c r="L2254" s="10">
        <v>0</v>
      </c>
      <c r="M2254" s="10">
        <v>1</v>
      </c>
      <c r="N2254" s="10">
        <v>101</v>
      </c>
      <c r="O2254" s="10">
        <v>134</v>
      </c>
    </row>
    <row r="2255" spans="1:15" x14ac:dyDescent="0.2">
      <c r="A2255" s="10" t="s">
        <v>233</v>
      </c>
      <c r="B2255" s="10" t="s">
        <v>238</v>
      </c>
      <c r="C2255" s="10" t="s">
        <v>90</v>
      </c>
      <c r="D2255" s="10" t="s">
        <v>51</v>
      </c>
      <c r="E2255" s="10" t="s">
        <v>52</v>
      </c>
      <c r="F2255" s="10" t="s">
        <v>74</v>
      </c>
      <c r="G2255" s="10" t="b">
        <f>FALSE()</f>
        <v>0</v>
      </c>
      <c r="H2255" s="10">
        <v>0</v>
      </c>
      <c r="I2255" s="10">
        <v>1</v>
      </c>
      <c r="J2255" s="10">
        <v>0</v>
      </c>
      <c r="K2255" s="10">
        <v>0</v>
      </c>
      <c r="L2255" s="10">
        <v>0</v>
      </c>
      <c r="M2255" s="10">
        <v>1</v>
      </c>
      <c r="N2255" s="10">
        <v>135</v>
      </c>
      <c r="O2255" s="10">
        <v>134</v>
      </c>
    </row>
    <row r="2256" spans="1:15" x14ac:dyDescent="0.2">
      <c r="A2256" s="10" t="s">
        <v>1067</v>
      </c>
      <c r="B2256" s="10" t="s">
        <v>55</v>
      </c>
      <c r="C2256" s="10" t="s">
        <v>56</v>
      </c>
      <c r="D2256" s="10" t="s">
        <v>45</v>
      </c>
      <c r="E2256" s="10" t="s">
        <v>46</v>
      </c>
      <c r="F2256" s="10" t="s">
        <v>363</v>
      </c>
      <c r="G2256" s="10" t="b">
        <f>FALSE()</f>
        <v>0</v>
      </c>
      <c r="H2256" s="10">
        <v>0</v>
      </c>
      <c r="I2256" s="10">
        <v>1</v>
      </c>
      <c r="J2256" s="10">
        <v>0</v>
      </c>
      <c r="K2256" s="10">
        <v>0</v>
      </c>
      <c r="L2256" s="10">
        <v>0</v>
      </c>
      <c r="M2256" s="10">
        <v>1</v>
      </c>
      <c r="N2256" s="10">
        <v>143</v>
      </c>
      <c r="O2256" s="10">
        <v>134</v>
      </c>
    </row>
    <row r="2257" spans="1:15" x14ac:dyDescent="0.2">
      <c r="A2257" s="10" t="s">
        <v>1105</v>
      </c>
      <c r="B2257" s="10" t="s">
        <v>43</v>
      </c>
      <c r="C2257" s="10" t="s">
        <v>44</v>
      </c>
      <c r="D2257" s="10" t="s">
        <v>45</v>
      </c>
      <c r="E2257" s="10" t="s">
        <v>46</v>
      </c>
      <c r="F2257" s="10" t="s">
        <v>481</v>
      </c>
      <c r="G2257" s="10" t="b">
        <f>FALSE()</f>
        <v>0</v>
      </c>
      <c r="H2257" s="10">
        <v>0</v>
      </c>
      <c r="I2257" s="10">
        <v>1</v>
      </c>
      <c r="J2257" s="10">
        <v>0</v>
      </c>
      <c r="K2257" s="10">
        <v>0</v>
      </c>
      <c r="L2257" s="10">
        <v>0</v>
      </c>
      <c r="M2257" s="10">
        <v>1</v>
      </c>
      <c r="N2257" s="10">
        <v>134</v>
      </c>
      <c r="O2257" s="10">
        <v>134</v>
      </c>
    </row>
    <row r="2258" spans="1:15" x14ac:dyDescent="0.2">
      <c r="A2258" s="10" t="s">
        <v>278</v>
      </c>
      <c r="B2258" s="10" t="s">
        <v>43</v>
      </c>
      <c r="C2258" s="10" t="s">
        <v>44</v>
      </c>
      <c r="D2258" s="10" t="s">
        <v>45</v>
      </c>
      <c r="E2258" s="10" t="s">
        <v>46</v>
      </c>
      <c r="F2258" s="10" t="s">
        <v>834</v>
      </c>
      <c r="G2258" s="10" t="b">
        <f>FALSE()</f>
        <v>0</v>
      </c>
      <c r="H2258" s="10">
        <v>0</v>
      </c>
      <c r="I2258" s="10">
        <v>1</v>
      </c>
      <c r="J2258" s="10">
        <v>0</v>
      </c>
      <c r="K2258" s="10">
        <v>0</v>
      </c>
      <c r="L2258" s="10">
        <v>0</v>
      </c>
      <c r="M2258" s="10">
        <v>1</v>
      </c>
      <c r="N2258" s="10">
        <v>133</v>
      </c>
      <c r="O2258" s="10">
        <v>133</v>
      </c>
    </row>
    <row r="2259" spans="1:15" x14ac:dyDescent="0.2">
      <c r="A2259" s="10" t="s">
        <v>1226</v>
      </c>
      <c r="B2259" s="10" t="s">
        <v>407</v>
      </c>
      <c r="C2259" s="10" t="s">
        <v>112</v>
      </c>
      <c r="D2259" s="10" t="s">
        <v>51</v>
      </c>
      <c r="E2259" s="10" t="s">
        <v>52</v>
      </c>
      <c r="F2259" s="10" t="s">
        <v>91</v>
      </c>
      <c r="G2259" s="10" t="b">
        <f>TRUE()</f>
        <v>1</v>
      </c>
      <c r="H2259" s="10">
        <v>0</v>
      </c>
      <c r="I2259" s="10">
        <v>1</v>
      </c>
      <c r="J2259" s="10">
        <v>0</v>
      </c>
      <c r="K2259" s="10">
        <v>0</v>
      </c>
      <c r="L2259" s="10">
        <v>0</v>
      </c>
      <c r="M2259" s="10">
        <v>1</v>
      </c>
      <c r="N2259" s="10">
        <v>135</v>
      </c>
      <c r="O2259" s="10">
        <v>133</v>
      </c>
    </row>
    <row r="2260" spans="1:15" x14ac:dyDescent="0.2">
      <c r="A2260" s="10" t="s">
        <v>1059</v>
      </c>
      <c r="B2260" s="10" t="s">
        <v>109</v>
      </c>
      <c r="C2260" s="10" t="s">
        <v>90</v>
      </c>
      <c r="D2260" s="10" t="s">
        <v>51</v>
      </c>
      <c r="E2260" s="10" t="s">
        <v>52</v>
      </c>
      <c r="F2260" s="10" t="s">
        <v>223</v>
      </c>
      <c r="G2260" s="10" t="b">
        <f>FALSE()</f>
        <v>0</v>
      </c>
      <c r="H2260" s="10">
        <v>0</v>
      </c>
      <c r="I2260" s="10">
        <v>1</v>
      </c>
      <c r="J2260" s="10">
        <v>0</v>
      </c>
      <c r="K2260" s="10">
        <v>0</v>
      </c>
      <c r="L2260" s="10">
        <v>0</v>
      </c>
      <c r="M2260" s="10">
        <v>1</v>
      </c>
      <c r="N2260" s="10">
        <v>133</v>
      </c>
      <c r="O2260" s="10">
        <v>133</v>
      </c>
    </row>
    <row r="2261" spans="1:15" x14ac:dyDescent="0.2">
      <c r="A2261" s="10" t="s">
        <v>1113</v>
      </c>
      <c r="B2261" s="10" t="s">
        <v>136</v>
      </c>
      <c r="C2261" s="10" t="s">
        <v>73</v>
      </c>
      <c r="D2261" s="10" t="s">
        <v>45</v>
      </c>
      <c r="E2261" s="10" t="s">
        <v>46</v>
      </c>
      <c r="F2261" s="10" t="s">
        <v>79</v>
      </c>
      <c r="G2261" s="10" t="b">
        <f>FALSE()</f>
        <v>0</v>
      </c>
      <c r="H2261" s="10">
        <v>0</v>
      </c>
      <c r="I2261" s="10">
        <v>1</v>
      </c>
      <c r="J2261" s="10">
        <v>0</v>
      </c>
      <c r="K2261" s="10">
        <v>0</v>
      </c>
      <c r="L2261" s="10">
        <v>0</v>
      </c>
      <c r="M2261" s="10">
        <v>1</v>
      </c>
      <c r="N2261" s="10">
        <v>133</v>
      </c>
      <c r="O2261" s="10">
        <v>133</v>
      </c>
    </row>
    <row r="2262" spans="1:15" x14ac:dyDescent="0.2">
      <c r="A2262" s="10" t="s">
        <v>1024</v>
      </c>
      <c r="B2262" s="10" t="s">
        <v>172</v>
      </c>
      <c r="C2262" s="10" t="s">
        <v>44</v>
      </c>
      <c r="D2262" s="10" t="s">
        <v>45</v>
      </c>
      <c r="E2262" s="10" t="s">
        <v>46</v>
      </c>
      <c r="F2262" s="10" t="s">
        <v>61</v>
      </c>
      <c r="G2262" s="10" t="b">
        <f>FALSE()</f>
        <v>0</v>
      </c>
      <c r="H2262" s="10">
        <v>0</v>
      </c>
      <c r="I2262" s="10">
        <v>1</v>
      </c>
      <c r="J2262" s="10">
        <v>0</v>
      </c>
      <c r="K2262" s="10">
        <v>0</v>
      </c>
      <c r="L2262" s="10">
        <v>0</v>
      </c>
      <c r="M2262" s="10">
        <v>1</v>
      </c>
      <c r="N2262" s="10">
        <v>134</v>
      </c>
      <c r="O2262" s="10">
        <v>133</v>
      </c>
    </row>
    <row r="2263" spans="1:15" x14ac:dyDescent="0.2">
      <c r="A2263" s="10" t="s">
        <v>1074</v>
      </c>
      <c r="B2263" s="10" t="s">
        <v>104</v>
      </c>
      <c r="C2263" s="10" t="s">
        <v>105</v>
      </c>
      <c r="D2263" s="10" t="s">
        <v>45</v>
      </c>
      <c r="E2263" s="10" t="s">
        <v>46</v>
      </c>
      <c r="F2263" s="10" t="s">
        <v>1257</v>
      </c>
      <c r="G2263" s="10" t="b">
        <f>TRUE()</f>
        <v>1</v>
      </c>
      <c r="H2263" s="10">
        <v>0</v>
      </c>
      <c r="I2263" s="10">
        <v>1</v>
      </c>
      <c r="J2263" s="10">
        <v>0</v>
      </c>
      <c r="K2263" s="10">
        <v>0</v>
      </c>
      <c r="L2263" s="10">
        <v>0</v>
      </c>
      <c r="M2263" s="10">
        <v>1</v>
      </c>
      <c r="N2263" s="10">
        <v>139</v>
      </c>
      <c r="O2263" s="10">
        <v>132</v>
      </c>
    </row>
    <row r="2264" spans="1:15" x14ac:dyDescent="0.2">
      <c r="A2264" s="10" t="s">
        <v>1031</v>
      </c>
      <c r="B2264" s="10" t="s">
        <v>119</v>
      </c>
      <c r="C2264" s="10" t="s">
        <v>56</v>
      </c>
      <c r="D2264" s="10" t="s">
        <v>45</v>
      </c>
      <c r="E2264" s="10" t="s">
        <v>46</v>
      </c>
      <c r="F2264" s="10" t="s">
        <v>61</v>
      </c>
      <c r="G2264" s="10" t="b">
        <f>FALSE()</f>
        <v>0</v>
      </c>
      <c r="H2264" s="10">
        <v>0</v>
      </c>
      <c r="I2264" s="10">
        <v>1</v>
      </c>
      <c r="J2264" s="10">
        <v>0</v>
      </c>
      <c r="K2264" s="10">
        <v>0</v>
      </c>
      <c r="L2264" s="10">
        <v>0</v>
      </c>
      <c r="M2264" s="10">
        <v>1</v>
      </c>
      <c r="N2264" s="10">
        <v>132</v>
      </c>
      <c r="O2264" s="10">
        <v>132</v>
      </c>
    </row>
    <row r="2265" spans="1:15" x14ac:dyDescent="0.2">
      <c r="A2265" s="10" t="s">
        <v>120</v>
      </c>
      <c r="B2265" s="10" t="s">
        <v>72</v>
      </c>
      <c r="C2265" s="10" t="s">
        <v>73</v>
      </c>
      <c r="D2265" s="10" t="s">
        <v>45</v>
      </c>
      <c r="E2265" s="10" t="s">
        <v>46</v>
      </c>
      <c r="F2265" s="10" t="s">
        <v>153</v>
      </c>
      <c r="G2265" s="10" t="b">
        <f>FALSE()</f>
        <v>0</v>
      </c>
      <c r="H2265" s="10">
        <v>0</v>
      </c>
      <c r="I2265" s="10">
        <v>1</v>
      </c>
      <c r="J2265" s="10">
        <v>0</v>
      </c>
      <c r="K2265" s="10">
        <v>0</v>
      </c>
      <c r="L2265" s="10">
        <v>0</v>
      </c>
      <c r="M2265" s="10">
        <v>1</v>
      </c>
      <c r="N2265" s="10">
        <v>131</v>
      </c>
      <c r="O2265" s="10">
        <v>131</v>
      </c>
    </row>
    <row r="2266" spans="1:15" x14ac:dyDescent="0.2">
      <c r="A2266" s="10" t="s">
        <v>1258</v>
      </c>
      <c r="B2266" s="10" t="s">
        <v>43</v>
      </c>
      <c r="C2266" s="10" t="s">
        <v>44</v>
      </c>
      <c r="D2266" s="10" t="s">
        <v>45</v>
      </c>
      <c r="E2266" s="10" t="s">
        <v>46</v>
      </c>
      <c r="F2266" s="10" t="s">
        <v>957</v>
      </c>
      <c r="G2266" s="10" t="b">
        <f>FALSE()</f>
        <v>0</v>
      </c>
      <c r="H2266" s="10">
        <v>0</v>
      </c>
      <c r="I2266" s="10">
        <v>1</v>
      </c>
      <c r="J2266" s="10">
        <v>0</v>
      </c>
      <c r="K2266" s="10">
        <v>0</v>
      </c>
      <c r="L2266" s="10">
        <v>0</v>
      </c>
      <c r="M2266" s="10">
        <v>1</v>
      </c>
      <c r="N2266" s="10">
        <v>114</v>
      </c>
      <c r="O2266" s="10">
        <v>131</v>
      </c>
    </row>
    <row r="2267" spans="1:15" x14ac:dyDescent="0.2">
      <c r="A2267" s="10" t="s">
        <v>542</v>
      </c>
      <c r="B2267" s="10" t="s">
        <v>543</v>
      </c>
      <c r="C2267" s="10" t="s">
        <v>90</v>
      </c>
      <c r="D2267" s="10" t="s">
        <v>51</v>
      </c>
      <c r="E2267" s="10" t="s">
        <v>52</v>
      </c>
      <c r="F2267" s="10" t="s">
        <v>180</v>
      </c>
      <c r="G2267" s="10" t="b">
        <f>FALSE()</f>
        <v>0</v>
      </c>
      <c r="H2267" s="10">
        <v>0</v>
      </c>
      <c r="I2267" s="10">
        <v>1</v>
      </c>
      <c r="J2267" s="10">
        <v>0</v>
      </c>
      <c r="K2267" s="10">
        <v>0</v>
      </c>
      <c r="L2267" s="10">
        <v>0</v>
      </c>
      <c r="M2267" s="10">
        <v>1</v>
      </c>
      <c r="N2267" s="10">
        <v>108</v>
      </c>
      <c r="O2267" s="10">
        <v>130</v>
      </c>
    </row>
    <row r="2268" spans="1:15" x14ac:dyDescent="0.2">
      <c r="A2268" s="10" t="s">
        <v>1259</v>
      </c>
      <c r="B2268" s="10" t="s">
        <v>831</v>
      </c>
      <c r="C2268" s="10" t="s">
        <v>117</v>
      </c>
      <c r="D2268" s="10" t="s">
        <v>51</v>
      </c>
      <c r="E2268" s="10" t="s">
        <v>52</v>
      </c>
      <c r="F2268" s="10" t="s">
        <v>74</v>
      </c>
      <c r="G2268" s="10" t="b">
        <f>FALSE()</f>
        <v>0</v>
      </c>
      <c r="H2268" s="10">
        <v>0</v>
      </c>
      <c r="I2268" s="10">
        <v>1</v>
      </c>
      <c r="J2268" s="10">
        <v>0</v>
      </c>
      <c r="K2268" s="10">
        <v>0</v>
      </c>
      <c r="L2268" s="10">
        <v>0</v>
      </c>
      <c r="M2268" s="10">
        <v>1</v>
      </c>
      <c r="N2268" s="10">
        <v>133</v>
      </c>
      <c r="O2268" s="10">
        <v>130</v>
      </c>
    </row>
    <row r="2269" spans="1:15" x14ac:dyDescent="0.2">
      <c r="A2269" s="10" t="s">
        <v>1047</v>
      </c>
      <c r="B2269" s="10" t="s">
        <v>96</v>
      </c>
      <c r="C2269" s="10" t="s">
        <v>50</v>
      </c>
      <c r="D2269" s="10" t="s">
        <v>51</v>
      </c>
      <c r="E2269" s="10" t="s">
        <v>52</v>
      </c>
      <c r="F2269" s="10" t="s">
        <v>186</v>
      </c>
      <c r="G2269" s="10" t="b">
        <f>TRUE()</f>
        <v>1</v>
      </c>
      <c r="H2269" s="10">
        <v>0</v>
      </c>
      <c r="I2269" s="10">
        <v>1</v>
      </c>
      <c r="J2269" s="10">
        <v>0</v>
      </c>
      <c r="K2269" s="10">
        <v>0</v>
      </c>
      <c r="L2269" s="10">
        <v>0</v>
      </c>
      <c r="M2269" s="10">
        <v>1</v>
      </c>
      <c r="N2269" s="10">
        <v>142</v>
      </c>
      <c r="O2269" s="10">
        <v>130</v>
      </c>
    </row>
    <row r="2270" spans="1:15" x14ac:dyDescent="0.2">
      <c r="A2270" s="10" t="s">
        <v>1131</v>
      </c>
      <c r="B2270" s="10" t="s">
        <v>139</v>
      </c>
      <c r="C2270" s="10" t="s">
        <v>64</v>
      </c>
      <c r="D2270" s="10" t="s">
        <v>45</v>
      </c>
      <c r="E2270" s="10" t="s">
        <v>46</v>
      </c>
      <c r="F2270" s="10" t="s">
        <v>1173</v>
      </c>
      <c r="G2270" s="10" t="b">
        <f>FALSE()</f>
        <v>0</v>
      </c>
      <c r="H2270" s="10">
        <v>0</v>
      </c>
      <c r="I2270" s="10">
        <v>1</v>
      </c>
      <c r="J2270" s="10">
        <v>0</v>
      </c>
      <c r="K2270" s="10">
        <v>0</v>
      </c>
      <c r="L2270" s="10">
        <v>0</v>
      </c>
      <c r="M2270" s="10">
        <v>1</v>
      </c>
      <c r="N2270" s="10">
        <v>178</v>
      </c>
      <c r="O2270" s="10">
        <v>130</v>
      </c>
    </row>
    <row r="2271" spans="1:15" x14ac:dyDescent="0.2">
      <c r="A2271" s="10" t="s">
        <v>1240</v>
      </c>
      <c r="B2271" s="10" t="s">
        <v>104</v>
      </c>
      <c r="C2271" s="10" t="s">
        <v>105</v>
      </c>
      <c r="D2271" s="10" t="s">
        <v>45</v>
      </c>
      <c r="E2271" s="10" t="s">
        <v>46</v>
      </c>
      <c r="F2271" s="10" t="s">
        <v>207</v>
      </c>
      <c r="G2271" s="10" t="b">
        <f>FALSE()</f>
        <v>0</v>
      </c>
      <c r="H2271" s="10">
        <v>0</v>
      </c>
      <c r="I2271" s="10">
        <v>1</v>
      </c>
      <c r="J2271" s="10">
        <v>0</v>
      </c>
      <c r="K2271" s="10">
        <v>0</v>
      </c>
      <c r="L2271" s="10">
        <v>0</v>
      </c>
      <c r="M2271" s="10">
        <v>1</v>
      </c>
      <c r="N2271" s="10">
        <v>126</v>
      </c>
      <c r="O2271" s="10">
        <v>130</v>
      </c>
    </row>
    <row r="2272" spans="1:15" x14ac:dyDescent="0.2">
      <c r="A2272" s="10" t="s">
        <v>1179</v>
      </c>
      <c r="B2272" s="10" t="s">
        <v>70</v>
      </c>
      <c r="C2272" s="10" t="s">
        <v>70</v>
      </c>
      <c r="D2272" s="10" t="s">
        <v>45</v>
      </c>
      <c r="E2272" s="10" t="s">
        <v>46</v>
      </c>
      <c r="F2272" s="10" t="s">
        <v>190</v>
      </c>
      <c r="G2272" s="10" t="b">
        <f>TRUE()</f>
        <v>1</v>
      </c>
      <c r="H2272" s="10">
        <v>0</v>
      </c>
      <c r="I2272" s="10">
        <v>1</v>
      </c>
      <c r="J2272" s="10">
        <v>0</v>
      </c>
      <c r="K2272" s="10">
        <v>0</v>
      </c>
      <c r="L2272" s="10">
        <v>0</v>
      </c>
      <c r="M2272" s="10">
        <v>1</v>
      </c>
      <c r="N2272" s="10">
        <v>131</v>
      </c>
      <c r="O2272" s="10">
        <v>130</v>
      </c>
    </row>
    <row r="2273" spans="1:15" x14ac:dyDescent="0.2">
      <c r="A2273" s="10" t="s">
        <v>853</v>
      </c>
      <c r="B2273" s="10" t="s">
        <v>456</v>
      </c>
      <c r="C2273" s="10" t="s">
        <v>245</v>
      </c>
      <c r="D2273" s="10" t="s">
        <v>51</v>
      </c>
      <c r="E2273" s="10" t="s">
        <v>52</v>
      </c>
      <c r="F2273" s="10" t="s">
        <v>251</v>
      </c>
      <c r="G2273" s="10" t="b">
        <f>FALSE()</f>
        <v>0</v>
      </c>
      <c r="H2273" s="10">
        <v>0</v>
      </c>
      <c r="I2273" s="10">
        <v>1</v>
      </c>
      <c r="J2273" s="10">
        <v>0</v>
      </c>
      <c r="K2273" s="10">
        <v>0</v>
      </c>
      <c r="L2273" s="10">
        <v>0</v>
      </c>
      <c r="M2273" s="10">
        <v>1</v>
      </c>
      <c r="N2273" s="10">
        <v>129</v>
      </c>
      <c r="O2273" s="10">
        <v>129</v>
      </c>
    </row>
    <row r="2274" spans="1:15" x14ac:dyDescent="0.2">
      <c r="A2274" s="10" t="s">
        <v>694</v>
      </c>
      <c r="B2274" s="10" t="s">
        <v>78</v>
      </c>
      <c r="C2274" s="10" t="s">
        <v>50</v>
      </c>
      <c r="D2274" s="10" t="s">
        <v>51</v>
      </c>
      <c r="E2274" s="10" t="s">
        <v>52</v>
      </c>
      <c r="F2274" s="10" t="s">
        <v>153</v>
      </c>
      <c r="G2274" s="10" t="b">
        <f>FALSE()</f>
        <v>0</v>
      </c>
      <c r="H2274" s="10">
        <v>0</v>
      </c>
      <c r="I2274" s="10">
        <v>1</v>
      </c>
      <c r="J2274" s="10">
        <v>0</v>
      </c>
      <c r="K2274" s="10">
        <v>0</v>
      </c>
      <c r="L2274" s="10">
        <v>0</v>
      </c>
      <c r="M2274" s="10">
        <v>1</v>
      </c>
      <c r="N2274" s="10">
        <v>147</v>
      </c>
      <c r="O2274" s="10">
        <v>129</v>
      </c>
    </row>
    <row r="2275" spans="1:15" x14ac:dyDescent="0.2">
      <c r="A2275" s="10" t="s">
        <v>859</v>
      </c>
      <c r="B2275" s="10" t="s">
        <v>70</v>
      </c>
      <c r="C2275" s="10" t="s">
        <v>70</v>
      </c>
      <c r="D2275" s="10" t="s">
        <v>45</v>
      </c>
      <c r="E2275" s="10" t="s">
        <v>46</v>
      </c>
      <c r="F2275" s="10" t="s">
        <v>92</v>
      </c>
      <c r="G2275" s="10" t="b">
        <f>FALSE()</f>
        <v>0</v>
      </c>
      <c r="H2275" s="10">
        <v>0</v>
      </c>
      <c r="I2275" s="10">
        <v>1</v>
      </c>
      <c r="J2275" s="10">
        <v>0</v>
      </c>
      <c r="K2275" s="10">
        <v>0</v>
      </c>
      <c r="L2275" s="10">
        <v>0</v>
      </c>
      <c r="M2275" s="10">
        <v>1</v>
      </c>
      <c r="N2275" s="10">
        <v>129</v>
      </c>
      <c r="O2275" s="10">
        <v>128</v>
      </c>
    </row>
    <row r="2276" spans="1:15" x14ac:dyDescent="0.2">
      <c r="A2276" s="10" t="s">
        <v>1199</v>
      </c>
      <c r="B2276" s="10" t="s">
        <v>890</v>
      </c>
      <c r="C2276" s="10" t="s">
        <v>112</v>
      </c>
      <c r="D2276" s="10" t="s">
        <v>51</v>
      </c>
      <c r="E2276" s="10" t="s">
        <v>52</v>
      </c>
      <c r="F2276" s="10" t="s">
        <v>61</v>
      </c>
      <c r="G2276" s="10" t="b">
        <f>FALSE()</f>
        <v>0</v>
      </c>
      <c r="H2276" s="10">
        <v>0</v>
      </c>
      <c r="I2276" s="10">
        <v>1</v>
      </c>
      <c r="J2276" s="10">
        <v>0</v>
      </c>
      <c r="K2276" s="10">
        <v>0</v>
      </c>
      <c r="L2276" s="10">
        <v>0</v>
      </c>
      <c r="M2276" s="10">
        <v>1</v>
      </c>
      <c r="N2276" s="10">
        <v>115</v>
      </c>
      <c r="O2276" s="10">
        <v>128</v>
      </c>
    </row>
    <row r="2277" spans="1:15" x14ac:dyDescent="0.2">
      <c r="A2277" s="10" t="s">
        <v>1260</v>
      </c>
      <c r="B2277" s="10" t="s">
        <v>385</v>
      </c>
      <c r="C2277" s="10" t="s">
        <v>90</v>
      </c>
      <c r="D2277" s="10" t="s">
        <v>51</v>
      </c>
      <c r="E2277" s="10" t="s">
        <v>52</v>
      </c>
      <c r="F2277" s="10" t="s">
        <v>113</v>
      </c>
      <c r="G2277" s="10" t="b">
        <f>TRUE()</f>
        <v>1</v>
      </c>
      <c r="H2277" s="10">
        <v>0</v>
      </c>
      <c r="I2277" s="10">
        <v>1</v>
      </c>
      <c r="J2277" s="10">
        <v>0</v>
      </c>
      <c r="K2277" s="10">
        <v>0</v>
      </c>
      <c r="L2277" s="10">
        <v>0</v>
      </c>
      <c r="M2277" s="10">
        <v>1</v>
      </c>
      <c r="N2277" s="10">
        <v>128</v>
      </c>
      <c r="O2277" s="10">
        <v>128</v>
      </c>
    </row>
    <row r="2278" spans="1:15" x14ac:dyDescent="0.2">
      <c r="A2278" s="10" t="s">
        <v>1186</v>
      </c>
      <c r="B2278" s="10" t="s">
        <v>498</v>
      </c>
      <c r="C2278" s="10" t="s">
        <v>245</v>
      </c>
      <c r="D2278" s="10" t="s">
        <v>51</v>
      </c>
      <c r="E2278" s="10" t="s">
        <v>52</v>
      </c>
      <c r="F2278" s="10" t="s">
        <v>47</v>
      </c>
      <c r="G2278" s="10" t="b">
        <f>FALSE()</f>
        <v>0</v>
      </c>
      <c r="H2278" s="10">
        <v>0</v>
      </c>
      <c r="I2278" s="10">
        <v>1</v>
      </c>
      <c r="J2278" s="10">
        <v>0</v>
      </c>
      <c r="K2278" s="10">
        <v>0</v>
      </c>
      <c r="L2278" s="10">
        <v>0</v>
      </c>
      <c r="M2278" s="10">
        <v>1</v>
      </c>
      <c r="N2278" s="10">
        <v>156</v>
      </c>
      <c r="O2278" s="10">
        <v>128</v>
      </c>
    </row>
    <row r="2279" spans="1:15" x14ac:dyDescent="0.2">
      <c r="A2279" s="10" t="s">
        <v>1123</v>
      </c>
      <c r="B2279" s="10" t="s">
        <v>70</v>
      </c>
      <c r="C2279" s="10" t="s">
        <v>70</v>
      </c>
      <c r="D2279" s="10" t="s">
        <v>45</v>
      </c>
      <c r="E2279" s="10" t="s">
        <v>46</v>
      </c>
      <c r="F2279" s="10" t="s">
        <v>153</v>
      </c>
      <c r="G2279" s="10" t="b">
        <f>FALSE()</f>
        <v>0</v>
      </c>
      <c r="H2279" s="10">
        <v>0</v>
      </c>
      <c r="I2279" s="10">
        <v>1</v>
      </c>
      <c r="J2279" s="10">
        <v>0</v>
      </c>
      <c r="K2279" s="10">
        <v>0</v>
      </c>
      <c r="L2279" s="10">
        <v>0</v>
      </c>
      <c r="M2279" s="10">
        <v>1</v>
      </c>
      <c r="N2279" s="10">
        <v>128</v>
      </c>
      <c r="O2279" s="10">
        <v>128</v>
      </c>
    </row>
    <row r="2280" spans="1:15" x14ac:dyDescent="0.2">
      <c r="A2280" s="10" t="s">
        <v>1210</v>
      </c>
      <c r="B2280" s="10" t="s">
        <v>439</v>
      </c>
      <c r="C2280" s="10" t="s">
        <v>112</v>
      </c>
      <c r="D2280" s="10" t="s">
        <v>51</v>
      </c>
      <c r="E2280" s="10" t="s">
        <v>52</v>
      </c>
      <c r="F2280" s="10" t="s">
        <v>190</v>
      </c>
      <c r="G2280" s="10" t="b">
        <f>TRUE()</f>
        <v>1</v>
      </c>
      <c r="H2280" s="10">
        <v>0</v>
      </c>
      <c r="I2280" s="10">
        <v>1</v>
      </c>
      <c r="J2280" s="10">
        <v>0</v>
      </c>
      <c r="K2280" s="10">
        <v>0</v>
      </c>
      <c r="L2280" s="10">
        <v>0</v>
      </c>
      <c r="M2280" s="10">
        <v>1</v>
      </c>
      <c r="N2280" s="10">
        <v>130</v>
      </c>
      <c r="O2280" s="10">
        <v>127</v>
      </c>
    </row>
    <row r="2281" spans="1:15" x14ac:dyDescent="0.2">
      <c r="A2281" s="10" t="s">
        <v>1206</v>
      </c>
      <c r="B2281" s="10" t="s">
        <v>285</v>
      </c>
      <c r="C2281" s="10" t="s">
        <v>105</v>
      </c>
      <c r="D2281" s="10" t="s">
        <v>45</v>
      </c>
      <c r="E2281" s="10" t="s">
        <v>46</v>
      </c>
      <c r="F2281" s="10" t="s">
        <v>79</v>
      </c>
      <c r="G2281" s="10" t="b">
        <f>FALSE()</f>
        <v>0</v>
      </c>
      <c r="H2281" s="10">
        <v>0</v>
      </c>
      <c r="I2281" s="10">
        <v>1</v>
      </c>
      <c r="J2281" s="10">
        <v>0</v>
      </c>
      <c r="K2281" s="10">
        <v>0</v>
      </c>
      <c r="L2281" s="10">
        <v>0</v>
      </c>
      <c r="M2281" s="10">
        <v>1</v>
      </c>
      <c r="N2281" s="10">
        <v>136</v>
      </c>
      <c r="O2281" s="10">
        <v>127</v>
      </c>
    </row>
    <row r="2282" spans="1:15" x14ac:dyDescent="0.2">
      <c r="A2282" s="10" t="s">
        <v>1112</v>
      </c>
      <c r="B2282" s="10" t="s">
        <v>262</v>
      </c>
      <c r="C2282" s="10" t="s">
        <v>105</v>
      </c>
      <c r="D2282" s="10" t="s">
        <v>45</v>
      </c>
      <c r="E2282" s="10" t="s">
        <v>46</v>
      </c>
      <c r="F2282" s="10" t="s">
        <v>251</v>
      </c>
      <c r="G2282" s="10" t="b">
        <f>FALSE()</f>
        <v>0</v>
      </c>
      <c r="H2282" s="10">
        <v>0</v>
      </c>
      <c r="I2282" s="10">
        <v>1</v>
      </c>
      <c r="J2282" s="10">
        <v>0</v>
      </c>
      <c r="K2282" s="10">
        <v>0</v>
      </c>
      <c r="L2282" s="10">
        <v>0</v>
      </c>
      <c r="M2282" s="10">
        <v>1</v>
      </c>
      <c r="N2282" s="10">
        <v>127</v>
      </c>
      <c r="O2282" s="10">
        <v>127</v>
      </c>
    </row>
    <row r="2283" spans="1:15" x14ac:dyDescent="0.2">
      <c r="A2283" s="10" t="s">
        <v>1189</v>
      </c>
      <c r="B2283" s="10" t="s">
        <v>70</v>
      </c>
      <c r="C2283" s="10" t="s">
        <v>70</v>
      </c>
      <c r="D2283" s="10" t="s">
        <v>45</v>
      </c>
      <c r="E2283" s="10" t="s">
        <v>46</v>
      </c>
      <c r="F2283" s="10" t="s">
        <v>251</v>
      </c>
      <c r="G2283" s="10" t="b">
        <f>FALSE()</f>
        <v>0</v>
      </c>
      <c r="H2283" s="10">
        <v>0</v>
      </c>
      <c r="I2283" s="10">
        <v>1</v>
      </c>
      <c r="J2283" s="10">
        <v>0</v>
      </c>
      <c r="K2283" s="10">
        <v>0</v>
      </c>
      <c r="L2283" s="10">
        <v>0</v>
      </c>
      <c r="M2283" s="10">
        <v>1</v>
      </c>
      <c r="N2283" s="10">
        <v>127</v>
      </c>
      <c r="O2283" s="10">
        <v>127</v>
      </c>
    </row>
    <row r="2284" spans="1:15" x14ac:dyDescent="0.2">
      <c r="A2284" s="10" t="s">
        <v>1097</v>
      </c>
      <c r="B2284" s="10" t="s">
        <v>109</v>
      </c>
      <c r="C2284" s="10" t="s">
        <v>90</v>
      </c>
      <c r="D2284" s="10" t="s">
        <v>51</v>
      </c>
      <c r="E2284" s="10" t="s">
        <v>52</v>
      </c>
      <c r="F2284" s="10" t="s">
        <v>190</v>
      </c>
      <c r="G2284" s="10" t="b">
        <f>TRUE()</f>
        <v>1</v>
      </c>
      <c r="H2284" s="10">
        <v>0</v>
      </c>
      <c r="I2284" s="10">
        <v>1</v>
      </c>
      <c r="J2284" s="10">
        <v>0</v>
      </c>
      <c r="K2284" s="10">
        <v>0</v>
      </c>
      <c r="L2284" s="10">
        <v>0</v>
      </c>
      <c r="M2284" s="10">
        <v>1</v>
      </c>
      <c r="N2284" s="10">
        <v>140</v>
      </c>
      <c r="O2284" s="10">
        <v>126</v>
      </c>
    </row>
    <row r="2285" spans="1:15" x14ac:dyDescent="0.2">
      <c r="A2285" s="10" t="s">
        <v>1163</v>
      </c>
      <c r="B2285" s="10" t="s">
        <v>247</v>
      </c>
      <c r="C2285" s="10" t="s">
        <v>245</v>
      </c>
      <c r="D2285" s="10" t="s">
        <v>51</v>
      </c>
      <c r="E2285" s="10" t="s">
        <v>52</v>
      </c>
      <c r="F2285" s="10" t="s">
        <v>331</v>
      </c>
      <c r="G2285" s="10" t="b">
        <f>FALSE()</f>
        <v>0</v>
      </c>
      <c r="H2285" s="10">
        <v>0</v>
      </c>
      <c r="I2285" s="10">
        <v>1</v>
      </c>
      <c r="J2285" s="10">
        <v>0</v>
      </c>
      <c r="K2285" s="10">
        <v>0</v>
      </c>
      <c r="L2285" s="10">
        <v>0</v>
      </c>
      <c r="M2285" s="10">
        <v>1</v>
      </c>
      <c r="N2285" s="10">
        <v>127</v>
      </c>
      <c r="O2285" s="10">
        <v>126</v>
      </c>
    </row>
    <row r="2286" spans="1:15" x14ac:dyDescent="0.2">
      <c r="A2286" s="10" t="s">
        <v>1196</v>
      </c>
      <c r="B2286" s="10" t="s">
        <v>104</v>
      </c>
      <c r="C2286" s="10" t="s">
        <v>105</v>
      </c>
      <c r="D2286" s="10" t="s">
        <v>45</v>
      </c>
      <c r="E2286" s="10" t="s">
        <v>46</v>
      </c>
      <c r="F2286" s="10" t="s">
        <v>58</v>
      </c>
      <c r="G2286" s="10" t="b">
        <f>FALSE()</f>
        <v>0</v>
      </c>
      <c r="H2286" s="10">
        <v>0</v>
      </c>
      <c r="I2286" s="10">
        <v>1</v>
      </c>
      <c r="J2286" s="10">
        <v>0</v>
      </c>
      <c r="K2286" s="10">
        <v>0</v>
      </c>
      <c r="L2286" s="10">
        <v>0</v>
      </c>
      <c r="M2286" s="10">
        <v>1</v>
      </c>
      <c r="N2286" s="10">
        <v>126</v>
      </c>
      <c r="O2286" s="10">
        <v>126</v>
      </c>
    </row>
    <row r="2287" spans="1:15" x14ac:dyDescent="0.2">
      <c r="A2287" s="10" t="s">
        <v>1079</v>
      </c>
      <c r="B2287" s="10" t="s">
        <v>70</v>
      </c>
      <c r="C2287" s="10" t="s">
        <v>70</v>
      </c>
      <c r="D2287" s="10" t="s">
        <v>45</v>
      </c>
      <c r="E2287" s="10" t="s">
        <v>46</v>
      </c>
      <c r="F2287" s="10" t="s">
        <v>704</v>
      </c>
      <c r="G2287" s="10" t="b">
        <f>FALSE()</f>
        <v>0</v>
      </c>
      <c r="H2287" s="10">
        <v>0</v>
      </c>
      <c r="I2287" s="10">
        <v>1</v>
      </c>
      <c r="J2287" s="10">
        <v>0</v>
      </c>
      <c r="K2287" s="10">
        <v>0</v>
      </c>
      <c r="L2287" s="10">
        <v>0</v>
      </c>
      <c r="M2287" s="10">
        <v>1</v>
      </c>
      <c r="N2287" s="10">
        <v>126</v>
      </c>
      <c r="O2287" s="10">
        <v>126</v>
      </c>
    </row>
    <row r="2288" spans="1:15" x14ac:dyDescent="0.2">
      <c r="A2288" s="10" t="s">
        <v>324</v>
      </c>
      <c r="B2288" s="10" t="s">
        <v>70</v>
      </c>
      <c r="C2288" s="10" t="s">
        <v>70</v>
      </c>
      <c r="D2288" s="10" t="s">
        <v>45</v>
      </c>
      <c r="E2288" s="10" t="s">
        <v>46</v>
      </c>
      <c r="F2288" s="10" t="s">
        <v>153</v>
      </c>
      <c r="G2288" s="10" t="b">
        <f>FALSE()</f>
        <v>0</v>
      </c>
      <c r="H2288" s="10">
        <v>0</v>
      </c>
      <c r="I2288" s="10">
        <v>1</v>
      </c>
      <c r="J2288" s="10">
        <v>0</v>
      </c>
      <c r="K2288" s="10">
        <v>0</v>
      </c>
      <c r="L2288" s="10">
        <v>0</v>
      </c>
      <c r="M2288" s="10">
        <v>1</v>
      </c>
      <c r="N2288" s="10">
        <v>125</v>
      </c>
      <c r="O2288" s="10">
        <v>125</v>
      </c>
    </row>
    <row r="2289" spans="1:15" x14ac:dyDescent="0.2">
      <c r="A2289" s="10" t="s">
        <v>1086</v>
      </c>
      <c r="B2289" s="10" t="s">
        <v>172</v>
      </c>
      <c r="C2289" s="10" t="s">
        <v>44</v>
      </c>
      <c r="D2289" s="10" t="s">
        <v>45</v>
      </c>
      <c r="E2289" s="10" t="s">
        <v>46</v>
      </c>
      <c r="F2289" s="10" t="s">
        <v>219</v>
      </c>
      <c r="G2289" s="10" t="b">
        <f>FALSE()</f>
        <v>0</v>
      </c>
      <c r="H2289" s="10">
        <v>0</v>
      </c>
      <c r="I2289" s="10">
        <v>1</v>
      </c>
      <c r="J2289" s="10">
        <v>0</v>
      </c>
      <c r="K2289" s="10">
        <v>0</v>
      </c>
      <c r="L2289" s="10">
        <v>0</v>
      </c>
      <c r="M2289" s="10">
        <v>1</v>
      </c>
      <c r="N2289" s="10">
        <v>125</v>
      </c>
      <c r="O2289" s="10">
        <v>125</v>
      </c>
    </row>
    <row r="2290" spans="1:15" x14ac:dyDescent="0.2">
      <c r="A2290" s="10" t="s">
        <v>324</v>
      </c>
      <c r="B2290" s="10" t="s">
        <v>72</v>
      </c>
      <c r="C2290" s="10" t="s">
        <v>73</v>
      </c>
      <c r="D2290" s="10" t="s">
        <v>45</v>
      </c>
      <c r="E2290" s="10" t="s">
        <v>46</v>
      </c>
      <c r="F2290" s="10" t="s">
        <v>190</v>
      </c>
      <c r="G2290" s="10" t="b">
        <f>TRUE()</f>
        <v>1</v>
      </c>
      <c r="H2290" s="10">
        <v>0</v>
      </c>
      <c r="I2290" s="10">
        <v>1</v>
      </c>
      <c r="J2290" s="10">
        <v>0</v>
      </c>
      <c r="K2290" s="10">
        <v>0</v>
      </c>
      <c r="L2290" s="10">
        <v>0</v>
      </c>
      <c r="M2290" s="10">
        <v>1</v>
      </c>
      <c r="N2290" s="10">
        <v>124</v>
      </c>
      <c r="O2290" s="10">
        <v>124</v>
      </c>
    </row>
    <row r="2291" spans="1:15" x14ac:dyDescent="0.2">
      <c r="A2291" s="10" t="s">
        <v>1047</v>
      </c>
      <c r="B2291" s="10" t="s">
        <v>96</v>
      </c>
      <c r="C2291" s="10" t="s">
        <v>50</v>
      </c>
      <c r="D2291" s="10" t="s">
        <v>51</v>
      </c>
      <c r="E2291" s="10" t="s">
        <v>52</v>
      </c>
      <c r="F2291" s="10" t="s">
        <v>204</v>
      </c>
      <c r="G2291" s="10" t="b">
        <f>FALSE()</f>
        <v>0</v>
      </c>
      <c r="H2291" s="10">
        <v>0</v>
      </c>
      <c r="I2291" s="10">
        <v>1</v>
      </c>
      <c r="J2291" s="10">
        <v>0</v>
      </c>
      <c r="K2291" s="10">
        <v>0</v>
      </c>
      <c r="L2291" s="10">
        <v>0</v>
      </c>
      <c r="M2291" s="10">
        <v>1</v>
      </c>
      <c r="N2291" s="10">
        <v>132</v>
      </c>
      <c r="O2291" s="10">
        <v>123</v>
      </c>
    </row>
    <row r="2292" spans="1:15" x14ac:dyDescent="0.2">
      <c r="A2292" s="10" t="s">
        <v>1032</v>
      </c>
      <c r="B2292" s="10" t="s">
        <v>96</v>
      </c>
      <c r="C2292" s="10" t="s">
        <v>50</v>
      </c>
      <c r="D2292" s="10" t="s">
        <v>51</v>
      </c>
      <c r="E2292" s="10" t="s">
        <v>52</v>
      </c>
      <c r="F2292" s="10" t="s">
        <v>153</v>
      </c>
      <c r="G2292" s="10" t="b">
        <f>FALSE()</f>
        <v>0</v>
      </c>
      <c r="H2292" s="10">
        <v>0</v>
      </c>
      <c r="I2292" s="10">
        <v>1</v>
      </c>
      <c r="J2292" s="10">
        <v>0</v>
      </c>
      <c r="K2292" s="10">
        <v>0</v>
      </c>
      <c r="L2292" s="10">
        <v>0</v>
      </c>
      <c r="M2292" s="10">
        <v>1</v>
      </c>
      <c r="N2292" s="10">
        <v>122</v>
      </c>
      <c r="O2292" s="10">
        <v>122</v>
      </c>
    </row>
    <row r="2293" spans="1:15" x14ac:dyDescent="0.2">
      <c r="A2293" s="10" t="s">
        <v>1238</v>
      </c>
      <c r="B2293" s="10" t="s">
        <v>368</v>
      </c>
      <c r="C2293" s="10" t="s">
        <v>50</v>
      </c>
      <c r="D2293" s="10" t="s">
        <v>51</v>
      </c>
      <c r="E2293" s="10" t="s">
        <v>52</v>
      </c>
      <c r="F2293" s="10" t="s">
        <v>92</v>
      </c>
      <c r="G2293" s="10" t="b">
        <f>FALSE()</f>
        <v>0</v>
      </c>
      <c r="H2293" s="10">
        <v>0</v>
      </c>
      <c r="I2293" s="10">
        <v>1</v>
      </c>
      <c r="J2293" s="10">
        <v>0</v>
      </c>
      <c r="K2293" s="10">
        <v>0</v>
      </c>
      <c r="L2293" s="10">
        <v>0</v>
      </c>
      <c r="M2293" s="10">
        <v>1</v>
      </c>
      <c r="N2293" s="10">
        <v>122</v>
      </c>
      <c r="O2293" s="10">
        <v>122</v>
      </c>
    </row>
    <row r="2294" spans="1:15" x14ac:dyDescent="0.2">
      <c r="A2294" s="10" t="s">
        <v>1204</v>
      </c>
      <c r="B2294" s="10" t="s">
        <v>163</v>
      </c>
      <c r="C2294" s="10" t="s">
        <v>90</v>
      </c>
      <c r="D2294" s="10" t="s">
        <v>51</v>
      </c>
      <c r="E2294" s="10" t="s">
        <v>52</v>
      </c>
      <c r="F2294" s="10" t="s">
        <v>434</v>
      </c>
      <c r="G2294" s="10" t="b">
        <f>FALSE()</f>
        <v>0</v>
      </c>
      <c r="H2294" s="10">
        <v>0</v>
      </c>
      <c r="I2294" s="10">
        <v>1</v>
      </c>
      <c r="J2294" s="10">
        <v>0</v>
      </c>
      <c r="K2294" s="10">
        <v>0</v>
      </c>
      <c r="L2294" s="10">
        <v>0</v>
      </c>
      <c r="M2294" s="10">
        <v>1</v>
      </c>
      <c r="N2294" s="10">
        <v>142</v>
      </c>
      <c r="O2294" s="10">
        <v>122</v>
      </c>
    </row>
    <row r="2295" spans="1:15" x14ac:dyDescent="0.2">
      <c r="A2295" s="10" t="s">
        <v>1076</v>
      </c>
      <c r="B2295" s="10" t="s">
        <v>285</v>
      </c>
      <c r="C2295" s="10" t="s">
        <v>105</v>
      </c>
      <c r="D2295" s="10" t="s">
        <v>45</v>
      </c>
      <c r="E2295" s="10" t="s">
        <v>46</v>
      </c>
      <c r="F2295" s="10" t="s">
        <v>363</v>
      </c>
      <c r="G2295" s="10" t="b">
        <f>FALSE()</f>
        <v>0</v>
      </c>
      <c r="H2295" s="10">
        <v>0</v>
      </c>
      <c r="I2295" s="10">
        <v>1</v>
      </c>
      <c r="J2295" s="10">
        <v>0</v>
      </c>
      <c r="K2295" s="10">
        <v>0</v>
      </c>
      <c r="L2295" s="10">
        <v>0</v>
      </c>
      <c r="M2295" s="10">
        <v>1</v>
      </c>
      <c r="N2295" s="10">
        <v>138</v>
      </c>
      <c r="O2295" s="10">
        <v>122</v>
      </c>
    </row>
    <row r="2296" spans="1:15" x14ac:dyDescent="0.2">
      <c r="A2296" s="10" t="s">
        <v>1142</v>
      </c>
      <c r="B2296" s="10" t="s">
        <v>70</v>
      </c>
      <c r="C2296" s="10" t="s">
        <v>70</v>
      </c>
      <c r="D2296" s="10" t="s">
        <v>45</v>
      </c>
      <c r="E2296" s="10" t="s">
        <v>46</v>
      </c>
      <c r="F2296" s="10" t="s">
        <v>190</v>
      </c>
      <c r="G2296" s="10" t="b">
        <f>TRUE()</f>
        <v>1</v>
      </c>
      <c r="H2296" s="10">
        <v>0</v>
      </c>
      <c r="I2296" s="10">
        <v>1</v>
      </c>
      <c r="J2296" s="10">
        <v>0</v>
      </c>
      <c r="K2296" s="10">
        <v>0</v>
      </c>
      <c r="L2296" s="10">
        <v>0</v>
      </c>
      <c r="M2296" s="10">
        <v>1</v>
      </c>
      <c r="N2296" s="10">
        <v>122</v>
      </c>
      <c r="O2296" s="10">
        <v>122</v>
      </c>
    </row>
    <row r="2297" spans="1:15" x14ac:dyDescent="0.2">
      <c r="A2297" s="10" t="s">
        <v>1146</v>
      </c>
      <c r="B2297" s="10" t="s">
        <v>70</v>
      </c>
      <c r="C2297" s="10" t="s">
        <v>70</v>
      </c>
      <c r="D2297" s="10" t="s">
        <v>45</v>
      </c>
      <c r="E2297" s="10" t="s">
        <v>46</v>
      </c>
      <c r="F2297" s="10" t="s">
        <v>113</v>
      </c>
      <c r="G2297" s="10" t="b">
        <f>TRUE()</f>
        <v>1</v>
      </c>
      <c r="H2297" s="10">
        <v>0</v>
      </c>
      <c r="I2297" s="10">
        <v>1</v>
      </c>
      <c r="J2297" s="10">
        <v>0</v>
      </c>
      <c r="K2297" s="10">
        <v>0</v>
      </c>
      <c r="L2297" s="10">
        <v>0</v>
      </c>
      <c r="M2297" s="10">
        <v>1</v>
      </c>
      <c r="N2297" s="10">
        <v>121</v>
      </c>
      <c r="O2297" s="10">
        <v>121</v>
      </c>
    </row>
    <row r="2298" spans="1:15" x14ac:dyDescent="0.2">
      <c r="A2298" s="10" t="s">
        <v>1217</v>
      </c>
      <c r="B2298" s="10" t="s">
        <v>128</v>
      </c>
      <c r="C2298" s="10" t="s">
        <v>50</v>
      </c>
      <c r="D2298" s="10" t="s">
        <v>51</v>
      </c>
      <c r="E2298" s="10" t="s">
        <v>52</v>
      </c>
      <c r="F2298" s="10" t="s">
        <v>190</v>
      </c>
      <c r="G2298" s="10" t="b">
        <f>TRUE()</f>
        <v>1</v>
      </c>
      <c r="H2298" s="10">
        <v>0</v>
      </c>
      <c r="I2298" s="10">
        <v>1</v>
      </c>
      <c r="J2298" s="10">
        <v>0</v>
      </c>
      <c r="K2298" s="10">
        <v>0</v>
      </c>
      <c r="L2298" s="10">
        <v>0</v>
      </c>
      <c r="M2298" s="10">
        <v>1</v>
      </c>
      <c r="N2298" s="10">
        <v>123</v>
      </c>
      <c r="O2298" s="10">
        <v>120</v>
      </c>
    </row>
    <row r="2299" spans="1:15" x14ac:dyDescent="0.2">
      <c r="A2299" s="10" t="s">
        <v>1190</v>
      </c>
      <c r="B2299" s="10" t="s">
        <v>321</v>
      </c>
      <c r="C2299" s="10" t="s">
        <v>245</v>
      </c>
      <c r="D2299" s="10" t="s">
        <v>51</v>
      </c>
      <c r="E2299" s="10" t="s">
        <v>52</v>
      </c>
      <c r="F2299" s="10" t="s">
        <v>331</v>
      </c>
      <c r="G2299" s="10" t="b">
        <f>FALSE()</f>
        <v>0</v>
      </c>
      <c r="H2299" s="10">
        <v>0</v>
      </c>
      <c r="I2299" s="10">
        <v>1</v>
      </c>
      <c r="J2299" s="10">
        <v>0</v>
      </c>
      <c r="K2299" s="10">
        <v>0</v>
      </c>
      <c r="L2299" s="10">
        <v>0</v>
      </c>
      <c r="M2299" s="10">
        <v>1</v>
      </c>
      <c r="N2299" s="10">
        <v>121</v>
      </c>
      <c r="O2299" s="10">
        <v>120</v>
      </c>
    </row>
    <row r="2300" spans="1:15" x14ac:dyDescent="0.2">
      <c r="A2300" s="10" t="s">
        <v>707</v>
      </c>
      <c r="B2300" s="10" t="s">
        <v>136</v>
      </c>
      <c r="C2300" s="10" t="s">
        <v>73</v>
      </c>
      <c r="D2300" s="10" t="s">
        <v>45</v>
      </c>
      <c r="E2300" s="10" t="s">
        <v>46</v>
      </c>
      <c r="F2300" s="10" t="s">
        <v>47</v>
      </c>
      <c r="G2300" s="10" t="b">
        <f>FALSE()</f>
        <v>0</v>
      </c>
      <c r="H2300" s="10">
        <v>0</v>
      </c>
      <c r="I2300" s="10">
        <v>1</v>
      </c>
      <c r="J2300" s="10">
        <v>0</v>
      </c>
      <c r="K2300" s="10">
        <v>0</v>
      </c>
      <c r="L2300" s="10">
        <v>0</v>
      </c>
      <c r="M2300" s="10">
        <v>1</v>
      </c>
      <c r="N2300" s="10">
        <v>133</v>
      </c>
      <c r="O2300" s="10">
        <v>119</v>
      </c>
    </row>
    <row r="2301" spans="1:15" x14ac:dyDescent="0.2">
      <c r="A2301" s="10" t="s">
        <v>1261</v>
      </c>
      <c r="B2301" s="10" t="s">
        <v>89</v>
      </c>
      <c r="C2301" s="10" t="s">
        <v>90</v>
      </c>
      <c r="D2301" s="10" t="s">
        <v>51</v>
      </c>
      <c r="E2301" s="10" t="s">
        <v>52</v>
      </c>
      <c r="F2301" s="10" t="s">
        <v>183</v>
      </c>
      <c r="G2301" s="10" t="b">
        <f>FALSE()</f>
        <v>0</v>
      </c>
      <c r="H2301" s="10">
        <v>0</v>
      </c>
      <c r="I2301" s="10">
        <v>1</v>
      </c>
      <c r="J2301" s="10">
        <v>0</v>
      </c>
      <c r="K2301" s="10">
        <v>0</v>
      </c>
      <c r="L2301" s="10">
        <v>0</v>
      </c>
      <c r="M2301" s="10">
        <v>1</v>
      </c>
      <c r="N2301" s="10">
        <v>130</v>
      </c>
      <c r="O2301" s="10">
        <v>119</v>
      </c>
    </row>
    <row r="2302" spans="1:15" x14ac:dyDescent="0.2">
      <c r="A2302" s="10" t="s">
        <v>1139</v>
      </c>
      <c r="B2302" s="10" t="s">
        <v>136</v>
      </c>
      <c r="C2302" s="10" t="s">
        <v>73</v>
      </c>
      <c r="D2302" s="10" t="s">
        <v>45</v>
      </c>
      <c r="E2302" s="10" t="s">
        <v>46</v>
      </c>
      <c r="F2302" s="10" t="s">
        <v>94</v>
      </c>
      <c r="G2302" s="10" t="b">
        <f>FALSE()</f>
        <v>0</v>
      </c>
      <c r="H2302" s="10">
        <v>0</v>
      </c>
      <c r="I2302" s="10">
        <v>1</v>
      </c>
      <c r="J2302" s="10">
        <v>0</v>
      </c>
      <c r="K2302" s="10">
        <v>0</v>
      </c>
      <c r="L2302" s="10">
        <v>0</v>
      </c>
      <c r="M2302" s="10">
        <v>1</v>
      </c>
      <c r="N2302" s="10">
        <v>119</v>
      </c>
      <c r="O2302" s="10">
        <v>119</v>
      </c>
    </row>
    <row r="2303" spans="1:15" x14ac:dyDescent="0.2">
      <c r="A2303" s="10" t="s">
        <v>1073</v>
      </c>
      <c r="B2303" s="10" t="s">
        <v>193</v>
      </c>
      <c r="C2303" s="10" t="s">
        <v>117</v>
      </c>
      <c r="D2303" s="10" t="s">
        <v>51</v>
      </c>
      <c r="E2303" s="10" t="s">
        <v>52</v>
      </c>
      <c r="F2303" s="10" t="s">
        <v>65</v>
      </c>
      <c r="G2303" s="10" t="b">
        <f>FALSE()</f>
        <v>0</v>
      </c>
      <c r="H2303" s="10">
        <v>0</v>
      </c>
      <c r="I2303" s="10">
        <v>1</v>
      </c>
      <c r="J2303" s="10">
        <v>0</v>
      </c>
      <c r="K2303" s="10">
        <v>0</v>
      </c>
      <c r="L2303" s="10">
        <v>0</v>
      </c>
      <c r="M2303" s="10">
        <v>1</v>
      </c>
      <c r="N2303" s="10">
        <v>119</v>
      </c>
      <c r="O2303" s="10">
        <v>118</v>
      </c>
    </row>
    <row r="2304" spans="1:15" x14ac:dyDescent="0.2">
      <c r="A2304" s="10" t="s">
        <v>1262</v>
      </c>
      <c r="B2304" s="10" t="s">
        <v>193</v>
      </c>
      <c r="C2304" s="10" t="s">
        <v>117</v>
      </c>
      <c r="D2304" s="10" t="s">
        <v>51</v>
      </c>
      <c r="E2304" s="10" t="s">
        <v>52</v>
      </c>
      <c r="F2304" s="10" t="s">
        <v>223</v>
      </c>
      <c r="G2304" s="10" t="b">
        <f>FALSE()</f>
        <v>0</v>
      </c>
      <c r="H2304" s="10">
        <v>0</v>
      </c>
      <c r="I2304" s="10">
        <v>1</v>
      </c>
      <c r="J2304" s="10">
        <v>0</v>
      </c>
      <c r="K2304" s="10">
        <v>0</v>
      </c>
      <c r="L2304" s="10">
        <v>0</v>
      </c>
      <c r="M2304" s="10">
        <v>1</v>
      </c>
      <c r="N2304" s="10">
        <v>122</v>
      </c>
      <c r="O2304" s="10">
        <v>118</v>
      </c>
    </row>
    <row r="2305" spans="1:15" x14ac:dyDescent="0.2">
      <c r="A2305" s="10" t="s">
        <v>1091</v>
      </c>
      <c r="B2305" s="10" t="s">
        <v>89</v>
      </c>
      <c r="C2305" s="10" t="s">
        <v>90</v>
      </c>
      <c r="D2305" s="10" t="s">
        <v>51</v>
      </c>
      <c r="E2305" s="10" t="s">
        <v>52</v>
      </c>
      <c r="F2305" s="10" t="s">
        <v>434</v>
      </c>
      <c r="G2305" s="10" t="b">
        <f>FALSE()</f>
        <v>0</v>
      </c>
      <c r="H2305" s="10">
        <v>0</v>
      </c>
      <c r="I2305" s="10">
        <v>1</v>
      </c>
      <c r="J2305" s="10">
        <v>0</v>
      </c>
      <c r="K2305" s="10">
        <v>0</v>
      </c>
      <c r="L2305" s="10">
        <v>0</v>
      </c>
      <c r="M2305" s="10">
        <v>1</v>
      </c>
      <c r="N2305" s="10">
        <v>138</v>
      </c>
      <c r="O2305" s="10">
        <v>118</v>
      </c>
    </row>
    <row r="2306" spans="1:15" x14ac:dyDescent="0.2">
      <c r="A2306" s="10" t="s">
        <v>1263</v>
      </c>
      <c r="B2306" s="10" t="s">
        <v>72</v>
      </c>
      <c r="C2306" s="10" t="s">
        <v>73</v>
      </c>
      <c r="D2306" s="10" t="s">
        <v>45</v>
      </c>
      <c r="E2306" s="10" t="s">
        <v>46</v>
      </c>
      <c r="F2306" s="10" t="s">
        <v>74</v>
      </c>
      <c r="G2306" s="10" t="b">
        <f>FALSE()</f>
        <v>0</v>
      </c>
      <c r="H2306" s="10">
        <v>0</v>
      </c>
      <c r="I2306" s="10">
        <v>1</v>
      </c>
      <c r="J2306" s="10">
        <v>0</v>
      </c>
      <c r="K2306" s="10">
        <v>0</v>
      </c>
      <c r="L2306" s="10">
        <v>0</v>
      </c>
      <c r="M2306" s="10">
        <v>1</v>
      </c>
      <c r="N2306" s="10">
        <v>118</v>
      </c>
      <c r="O2306" s="10">
        <v>118</v>
      </c>
    </row>
    <row r="2307" spans="1:15" x14ac:dyDescent="0.2">
      <c r="A2307" s="10" t="s">
        <v>1175</v>
      </c>
      <c r="B2307" s="10" t="s">
        <v>260</v>
      </c>
      <c r="C2307" s="10" t="s">
        <v>64</v>
      </c>
      <c r="D2307" s="10" t="s">
        <v>45</v>
      </c>
      <c r="E2307" s="10" t="s">
        <v>46</v>
      </c>
      <c r="F2307" s="10" t="s">
        <v>113</v>
      </c>
      <c r="G2307" s="10" t="b">
        <f>TRUE()</f>
        <v>1</v>
      </c>
      <c r="H2307" s="10">
        <v>0</v>
      </c>
      <c r="I2307" s="10">
        <v>1</v>
      </c>
      <c r="J2307" s="10">
        <v>0</v>
      </c>
      <c r="K2307" s="10">
        <v>0</v>
      </c>
      <c r="L2307" s="10">
        <v>0</v>
      </c>
      <c r="M2307" s="10">
        <v>1</v>
      </c>
      <c r="N2307" s="10">
        <v>118</v>
      </c>
      <c r="O2307" s="10">
        <v>118</v>
      </c>
    </row>
    <row r="2308" spans="1:15" x14ac:dyDescent="0.2">
      <c r="A2308" s="10" t="s">
        <v>1061</v>
      </c>
      <c r="B2308" s="10" t="s">
        <v>262</v>
      </c>
      <c r="C2308" s="10" t="s">
        <v>105</v>
      </c>
      <c r="D2308" s="10" t="s">
        <v>45</v>
      </c>
      <c r="E2308" s="10" t="s">
        <v>46</v>
      </c>
      <c r="F2308" s="10" t="s">
        <v>223</v>
      </c>
      <c r="G2308" s="10" t="b">
        <f>FALSE()</f>
        <v>0</v>
      </c>
      <c r="H2308" s="10">
        <v>0</v>
      </c>
      <c r="I2308" s="10">
        <v>1</v>
      </c>
      <c r="J2308" s="10">
        <v>0</v>
      </c>
      <c r="K2308" s="10">
        <v>0</v>
      </c>
      <c r="L2308" s="10">
        <v>0</v>
      </c>
      <c r="M2308" s="10">
        <v>1</v>
      </c>
      <c r="N2308" s="10">
        <v>118</v>
      </c>
      <c r="O2308" s="10">
        <v>118</v>
      </c>
    </row>
    <row r="2309" spans="1:15" x14ac:dyDescent="0.2">
      <c r="A2309" s="10" t="s">
        <v>1061</v>
      </c>
      <c r="B2309" s="10" t="s">
        <v>262</v>
      </c>
      <c r="C2309" s="10" t="s">
        <v>105</v>
      </c>
      <c r="D2309" s="10" t="s">
        <v>45</v>
      </c>
      <c r="E2309" s="10" t="s">
        <v>46</v>
      </c>
      <c r="F2309" s="10" t="s">
        <v>403</v>
      </c>
      <c r="G2309" s="10" t="b">
        <f>TRUE()</f>
        <v>1</v>
      </c>
      <c r="H2309" s="10">
        <v>0</v>
      </c>
      <c r="I2309" s="10">
        <v>1</v>
      </c>
      <c r="J2309" s="10">
        <v>0</v>
      </c>
      <c r="K2309" s="10">
        <v>0</v>
      </c>
      <c r="L2309" s="10">
        <v>0</v>
      </c>
      <c r="M2309" s="10">
        <v>1</v>
      </c>
      <c r="N2309" s="10">
        <v>125</v>
      </c>
      <c r="O2309" s="10">
        <v>118</v>
      </c>
    </row>
    <row r="2310" spans="1:15" x14ac:dyDescent="0.2">
      <c r="A2310" s="10" t="s">
        <v>853</v>
      </c>
      <c r="B2310" s="10" t="s">
        <v>456</v>
      </c>
      <c r="C2310" s="10" t="s">
        <v>245</v>
      </c>
      <c r="D2310" s="10" t="s">
        <v>51</v>
      </c>
      <c r="E2310" s="10" t="s">
        <v>52</v>
      </c>
      <c r="F2310" s="10" t="s">
        <v>92</v>
      </c>
      <c r="G2310" s="10" t="b">
        <f>FALSE()</f>
        <v>0</v>
      </c>
      <c r="H2310" s="10">
        <v>0</v>
      </c>
      <c r="I2310" s="10">
        <v>1</v>
      </c>
      <c r="J2310" s="10">
        <v>0</v>
      </c>
      <c r="K2310" s="10">
        <v>0</v>
      </c>
      <c r="L2310" s="10">
        <v>0</v>
      </c>
      <c r="M2310" s="10">
        <v>1</v>
      </c>
      <c r="N2310" s="10">
        <v>115</v>
      </c>
      <c r="O2310" s="10">
        <v>117</v>
      </c>
    </row>
    <row r="2311" spans="1:15" x14ac:dyDescent="0.2">
      <c r="A2311" s="10" t="s">
        <v>1261</v>
      </c>
      <c r="B2311" s="10" t="s">
        <v>89</v>
      </c>
      <c r="C2311" s="10" t="s">
        <v>90</v>
      </c>
      <c r="D2311" s="10" t="s">
        <v>51</v>
      </c>
      <c r="E2311" s="10" t="s">
        <v>52</v>
      </c>
      <c r="F2311" s="10" t="s">
        <v>79</v>
      </c>
      <c r="G2311" s="10" t="b">
        <f>FALSE()</f>
        <v>0</v>
      </c>
      <c r="H2311" s="10">
        <v>0</v>
      </c>
      <c r="I2311" s="10">
        <v>1</v>
      </c>
      <c r="J2311" s="10">
        <v>0</v>
      </c>
      <c r="K2311" s="10">
        <v>0</v>
      </c>
      <c r="L2311" s="10">
        <v>0</v>
      </c>
      <c r="M2311" s="10">
        <v>1</v>
      </c>
      <c r="N2311" s="10">
        <v>122</v>
      </c>
      <c r="O2311" s="10">
        <v>117</v>
      </c>
    </row>
    <row r="2312" spans="1:15" x14ac:dyDescent="0.2">
      <c r="A2312" s="10" t="s">
        <v>1264</v>
      </c>
      <c r="B2312" s="10" t="s">
        <v>43</v>
      </c>
      <c r="C2312" s="10" t="s">
        <v>44</v>
      </c>
      <c r="D2312" s="10" t="s">
        <v>45</v>
      </c>
      <c r="E2312" s="10" t="s">
        <v>46</v>
      </c>
      <c r="F2312" s="10" t="s">
        <v>91</v>
      </c>
      <c r="G2312" s="10" t="b">
        <f>TRUE()</f>
        <v>1</v>
      </c>
      <c r="H2312" s="10">
        <v>1</v>
      </c>
      <c r="I2312" s="10">
        <v>1</v>
      </c>
      <c r="J2312" s="10">
        <v>1</v>
      </c>
      <c r="K2312" s="10">
        <v>27</v>
      </c>
      <c r="L2312" s="10">
        <v>0</v>
      </c>
      <c r="M2312" s="10">
        <v>1</v>
      </c>
      <c r="N2312" s="10">
        <v>116</v>
      </c>
      <c r="O2312" s="10">
        <v>116</v>
      </c>
    </row>
    <row r="2313" spans="1:15" x14ac:dyDescent="0.2">
      <c r="A2313" s="10" t="s">
        <v>1108</v>
      </c>
      <c r="B2313" s="10" t="s">
        <v>232</v>
      </c>
      <c r="C2313" s="10" t="s">
        <v>90</v>
      </c>
      <c r="D2313" s="10" t="s">
        <v>51</v>
      </c>
      <c r="E2313" s="10" t="s">
        <v>52</v>
      </c>
      <c r="F2313" s="10" t="s">
        <v>403</v>
      </c>
      <c r="G2313" s="10" t="b">
        <f>TRUE()</f>
        <v>1</v>
      </c>
      <c r="H2313" s="10">
        <v>0</v>
      </c>
      <c r="I2313" s="10">
        <v>1</v>
      </c>
      <c r="J2313" s="10">
        <v>0</v>
      </c>
      <c r="K2313" s="10">
        <v>0</v>
      </c>
      <c r="L2313" s="10">
        <v>0</v>
      </c>
      <c r="M2313" s="10">
        <v>1</v>
      </c>
      <c r="N2313" s="10">
        <v>116</v>
      </c>
      <c r="O2313" s="10">
        <v>116</v>
      </c>
    </row>
    <row r="2314" spans="1:15" x14ac:dyDescent="0.2">
      <c r="A2314" s="10" t="s">
        <v>1175</v>
      </c>
      <c r="B2314" s="10" t="s">
        <v>260</v>
      </c>
      <c r="C2314" s="10" t="s">
        <v>64</v>
      </c>
      <c r="D2314" s="10" t="s">
        <v>45</v>
      </c>
      <c r="E2314" s="10" t="s">
        <v>46</v>
      </c>
      <c r="F2314" s="10" t="s">
        <v>183</v>
      </c>
      <c r="G2314" s="10" t="b">
        <f>FALSE()</f>
        <v>0</v>
      </c>
      <c r="H2314" s="10">
        <v>0</v>
      </c>
      <c r="I2314" s="10">
        <v>1</v>
      </c>
      <c r="J2314" s="10">
        <v>0</v>
      </c>
      <c r="K2314" s="10">
        <v>0</v>
      </c>
      <c r="L2314" s="10">
        <v>0</v>
      </c>
      <c r="M2314" s="10">
        <v>1</v>
      </c>
      <c r="N2314" s="10">
        <v>167</v>
      </c>
      <c r="O2314" s="10">
        <v>116</v>
      </c>
    </row>
    <row r="2315" spans="1:15" x14ac:dyDescent="0.2">
      <c r="A2315" s="10" t="s">
        <v>1265</v>
      </c>
      <c r="B2315" s="10" t="s">
        <v>146</v>
      </c>
      <c r="C2315" s="10" t="s">
        <v>105</v>
      </c>
      <c r="D2315" s="10" t="s">
        <v>45</v>
      </c>
      <c r="E2315" s="10" t="s">
        <v>46</v>
      </c>
      <c r="F2315" s="10" t="s">
        <v>85</v>
      </c>
      <c r="G2315" s="10" t="b">
        <f>FALSE()</f>
        <v>0</v>
      </c>
      <c r="H2315" s="10">
        <v>0</v>
      </c>
      <c r="I2315" s="10">
        <v>1</v>
      </c>
      <c r="J2315" s="10">
        <v>0</v>
      </c>
      <c r="K2315" s="10">
        <v>0</v>
      </c>
      <c r="L2315" s="10">
        <v>0</v>
      </c>
      <c r="M2315" s="10">
        <v>1</v>
      </c>
      <c r="N2315" s="10">
        <v>117</v>
      </c>
      <c r="O2315" s="10">
        <v>116</v>
      </c>
    </row>
    <row r="2316" spans="1:15" x14ac:dyDescent="0.2">
      <c r="A2316" s="10" t="s">
        <v>1266</v>
      </c>
      <c r="B2316" s="10" t="s">
        <v>70</v>
      </c>
      <c r="C2316" s="10" t="s">
        <v>70</v>
      </c>
      <c r="D2316" s="10" t="s">
        <v>45</v>
      </c>
      <c r="E2316" s="10" t="s">
        <v>46</v>
      </c>
      <c r="F2316" s="10" t="s">
        <v>204</v>
      </c>
      <c r="G2316" s="10" t="b">
        <f>FALSE()</f>
        <v>0</v>
      </c>
      <c r="H2316" s="10">
        <v>0</v>
      </c>
      <c r="I2316" s="10">
        <v>1</v>
      </c>
      <c r="J2316" s="10">
        <v>0</v>
      </c>
      <c r="K2316" s="10">
        <v>0</v>
      </c>
      <c r="L2316" s="10">
        <v>0</v>
      </c>
      <c r="M2316" s="10">
        <v>1</v>
      </c>
      <c r="N2316" s="10">
        <v>116</v>
      </c>
      <c r="O2316" s="10">
        <v>116</v>
      </c>
    </row>
    <row r="2317" spans="1:15" x14ac:dyDescent="0.2">
      <c r="A2317" s="10" t="s">
        <v>1237</v>
      </c>
      <c r="B2317" s="10" t="s">
        <v>70</v>
      </c>
      <c r="C2317" s="10" t="s">
        <v>70</v>
      </c>
      <c r="D2317" s="10" t="s">
        <v>45</v>
      </c>
      <c r="E2317" s="10" t="s">
        <v>46</v>
      </c>
      <c r="F2317" s="10" t="s">
        <v>251</v>
      </c>
      <c r="G2317" s="10" t="b">
        <f>FALSE()</f>
        <v>0</v>
      </c>
      <c r="H2317" s="10">
        <v>0</v>
      </c>
      <c r="I2317" s="10">
        <v>1</v>
      </c>
      <c r="J2317" s="10">
        <v>0</v>
      </c>
      <c r="K2317" s="10">
        <v>0</v>
      </c>
      <c r="L2317" s="10">
        <v>0</v>
      </c>
      <c r="M2317" s="10">
        <v>1</v>
      </c>
      <c r="N2317" s="10">
        <v>116</v>
      </c>
      <c r="O2317" s="10">
        <v>116</v>
      </c>
    </row>
    <row r="2318" spans="1:15" x14ac:dyDescent="0.2">
      <c r="A2318" s="10" t="s">
        <v>1137</v>
      </c>
      <c r="B2318" s="10" t="s">
        <v>70</v>
      </c>
      <c r="C2318" s="10" t="s">
        <v>70</v>
      </c>
      <c r="D2318" s="10" t="s">
        <v>45</v>
      </c>
      <c r="E2318" s="10" t="s">
        <v>46</v>
      </c>
      <c r="F2318" s="10" t="s">
        <v>153</v>
      </c>
      <c r="G2318" s="10" t="b">
        <f>FALSE()</f>
        <v>0</v>
      </c>
      <c r="H2318" s="10">
        <v>0</v>
      </c>
      <c r="I2318" s="10">
        <v>1</v>
      </c>
      <c r="J2318" s="10">
        <v>0</v>
      </c>
      <c r="K2318" s="10">
        <v>0</v>
      </c>
      <c r="L2318" s="10">
        <v>0</v>
      </c>
      <c r="M2318" s="10">
        <v>1</v>
      </c>
      <c r="N2318" s="10">
        <v>116</v>
      </c>
      <c r="O2318" s="10">
        <v>116</v>
      </c>
    </row>
    <row r="2319" spans="1:15" x14ac:dyDescent="0.2">
      <c r="A2319" s="10" t="s">
        <v>1073</v>
      </c>
      <c r="B2319" s="10" t="s">
        <v>193</v>
      </c>
      <c r="C2319" s="10" t="s">
        <v>117</v>
      </c>
      <c r="D2319" s="10" t="s">
        <v>51</v>
      </c>
      <c r="E2319" s="10" t="s">
        <v>52</v>
      </c>
      <c r="F2319" s="10" t="s">
        <v>640</v>
      </c>
      <c r="G2319" s="10" t="b">
        <f>FALSE()</f>
        <v>0</v>
      </c>
      <c r="H2319" s="10">
        <v>0</v>
      </c>
      <c r="I2319" s="10">
        <v>1</v>
      </c>
      <c r="J2319" s="10">
        <v>0</v>
      </c>
      <c r="K2319" s="10">
        <v>0</v>
      </c>
      <c r="L2319" s="10">
        <v>0</v>
      </c>
      <c r="M2319" s="10">
        <v>1</v>
      </c>
      <c r="N2319" s="10">
        <v>108</v>
      </c>
      <c r="O2319" s="10">
        <v>115</v>
      </c>
    </row>
    <row r="2320" spans="1:15" x14ac:dyDescent="0.2">
      <c r="A2320" s="10" t="s">
        <v>1267</v>
      </c>
      <c r="B2320" s="10" t="s">
        <v>407</v>
      </c>
      <c r="C2320" s="10" t="s">
        <v>112</v>
      </c>
      <c r="D2320" s="10" t="s">
        <v>51</v>
      </c>
      <c r="E2320" s="10" t="s">
        <v>52</v>
      </c>
      <c r="F2320" s="10" t="s">
        <v>190</v>
      </c>
      <c r="G2320" s="10" t="b">
        <f>TRUE()</f>
        <v>1</v>
      </c>
      <c r="H2320" s="10">
        <v>0</v>
      </c>
      <c r="I2320" s="10">
        <v>1</v>
      </c>
      <c r="J2320" s="10">
        <v>0</v>
      </c>
      <c r="K2320" s="10">
        <v>0</v>
      </c>
      <c r="L2320" s="10">
        <v>0</v>
      </c>
      <c r="M2320" s="10">
        <v>1</v>
      </c>
      <c r="N2320" s="10">
        <v>115</v>
      </c>
      <c r="O2320" s="10">
        <v>115</v>
      </c>
    </row>
    <row r="2321" spans="1:15" x14ac:dyDescent="0.2">
      <c r="A2321" s="10" t="s">
        <v>1268</v>
      </c>
      <c r="B2321" s="10" t="s">
        <v>498</v>
      </c>
      <c r="C2321" s="10" t="s">
        <v>245</v>
      </c>
      <c r="D2321" s="10" t="s">
        <v>51</v>
      </c>
      <c r="E2321" s="10" t="s">
        <v>52</v>
      </c>
      <c r="F2321" s="10" t="s">
        <v>91</v>
      </c>
      <c r="G2321" s="10" t="b">
        <f>TRUE()</f>
        <v>1</v>
      </c>
      <c r="H2321" s="10">
        <v>0</v>
      </c>
      <c r="I2321" s="10">
        <v>1</v>
      </c>
      <c r="J2321" s="10">
        <v>0</v>
      </c>
      <c r="K2321" s="10">
        <v>0</v>
      </c>
      <c r="L2321" s="10">
        <v>0</v>
      </c>
      <c r="M2321" s="10">
        <v>1</v>
      </c>
      <c r="N2321" s="10">
        <v>116</v>
      </c>
      <c r="O2321" s="10">
        <v>115</v>
      </c>
    </row>
    <row r="2322" spans="1:15" x14ac:dyDescent="0.2">
      <c r="A2322" s="10" t="s">
        <v>1269</v>
      </c>
      <c r="B2322" s="10" t="s">
        <v>146</v>
      </c>
      <c r="C2322" s="10" t="s">
        <v>105</v>
      </c>
      <c r="D2322" s="10" t="s">
        <v>45</v>
      </c>
      <c r="E2322" s="10" t="s">
        <v>46</v>
      </c>
      <c r="F2322" s="10" t="s">
        <v>403</v>
      </c>
      <c r="G2322" s="10" t="b">
        <f>TRUE()</f>
        <v>1</v>
      </c>
      <c r="H2322" s="10">
        <v>0</v>
      </c>
      <c r="I2322" s="10">
        <v>1</v>
      </c>
      <c r="J2322" s="10">
        <v>0</v>
      </c>
      <c r="K2322" s="10">
        <v>0</v>
      </c>
      <c r="L2322" s="10">
        <v>0</v>
      </c>
      <c r="M2322" s="10">
        <v>1</v>
      </c>
      <c r="N2322" s="10">
        <v>116</v>
      </c>
      <c r="O2322" s="10">
        <v>114</v>
      </c>
    </row>
    <row r="2323" spans="1:15" x14ac:dyDescent="0.2">
      <c r="A2323" s="10" t="s">
        <v>1196</v>
      </c>
      <c r="B2323" s="10" t="s">
        <v>104</v>
      </c>
      <c r="C2323" s="10" t="s">
        <v>105</v>
      </c>
      <c r="D2323" s="10" t="s">
        <v>45</v>
      </c>
      <c r="E2323" s="10" t="s">
        <v>46</v>
      </c>
      <c r="F2323" s="10" t="s">
        <v>61</v>
      </c>
      <c r="G2323" s="10" t="b">
        <f>FALSE()</f>
        <v>0</v>
      </c>
      <c r="H2323" s="10">
        <v>0</v>
      </c>
      <c r="I2323" s="10">
        <v>1</v>
      </c>
      <c r="J2323" s="10">
        <v>0</v>
      </c>
      <c r="K2323" s="10">
        <v>0</v>
      </c>
      <c r="L2323" s="10">
        <v>0</v>
      </c>
      <c r="M2323" s="10">
        <v>1</v>
      </c>
      <c r="N2323" s="10">
        <v>114</v>
      </c>
      <c r="O2323" s="10">
        <v>114</v>
      </c>
    </row>
    <row r="2324" spans="1:15" x14ac:dyDescent="0.2">
      <c r="A2324" s="10" t="s">
        <v>691</v>
      </c>
      <c r="B2324" s="10" t="s">
        <v>136</v>
      </c>
      <c r="C2324" s="10" t="s">
        <v>73</v>
      </c>
      <c r="D2324" s="10" t="s">
        <v>45</v>
      </c>
      <c r="E2324" s="10" t="s">
        <v>46</v>
      </c>
      <c r="F2324" s="10" t="s">
        <v>61</v>
      </c>
      <c r="G2324" s="10" t="b">
        <f>FALSE()</f>
        <v>0</v>
      </c>
      <c r="H2324" s="10">
        <v>0</v>
      </c>
      <c r="I2324" s="10">
        <v>1</v>
      </c>
      <c r="J2324" s="10">
        <v>0</v>
      </c>
      <c r="K2324" s="10">
        <v>0</v>
      </c>
      <c r="L2324" s="10">
        <v>0</v>
      </c>
      <c r="M2324" s="10">
        <v>1</v>
      </c>
      <c r="N2324" s="10">
        <v>113</v>
      </c>
      <c r="O2324" s="10">
        <v>113</v>
      </c>
    </row>
    <row r="2325" spans="1:15" x14ac:dyDescent="0.2">
      <c r="A2325" s="10" t="s">
        <v>691</v>
      </c>
      <c r="B2325" s="10" t="s">
        <v>136</v>
      </c>
      <c r="C2325" s="10" t="s">
        <v>73</v>
      </c>
      <c r="D2325" s="10" t="s">
        <v>45</v>
      </c>
      <c r="E2325" s="10" t="s">
        <v>46</v>
      </c>
      <c r="F2325" s="10" t="s">
        <v>207</v>
      </c>
      <c r="G2325" s="10" t="b">
        <f>FALSE()</f>
        <v>0</v>
      </c>
      <c r="H2325" s="10">
        <v>0</v>
      </c>
      <c r="I2325" s="10">
        <v>1</v>
      </c>
      <c r="J2325" s="10">
        <v>0</v>
      </c>
      <c r="K2325" s="10">
        <v>0</v>
      </c>
      <c r="L2325" s="10">
        <v>0</v>
      </c>
      <c r="M2325" s="10">
        <v>1</v>
      </c>
      <c r="N2325" s="10">
        <v>113</v>
      </c>
      <c r="O2325" s="10">
        <v>113</v>
      </c>
    </row>
    <row r="2326" spans="1:15" x14ac:dyDescent="0.2">
      <c r="A2326" s="10" t="s">
        <v>1091</v>
      </c>
      <c r="B2326" s="10" t="s">
        <v>89</v>
      </c>
      <c r="C2326" s="10" t="s">
        <v>90</v>
      </c>
      <c r="D2326" s="10" t="s">
        <v>51</v>
      </c>
      <c r="E2326" s="10" t="s">
        <v>52</v>
      </c>
      <c r="F2326" s="10" t="s">
        <v>79</v>
      </c>
      <c r="G2326" s="10" t="b">
        <f>FALSE()</f>
        <v>0</v>
      </c>
      <c r="H2326" s="10">
        <v>0</v>
      </c>
      <c r="I2326" s="10">
        <v>1</v>
      </c>
      <c r="J2326" s="10">
        <v>0</v>
      </c>
      <c r="K2326" s="10">
        <v>0</v>
      </c>
      <c r="L2326" s="10">
        <v>0</v>
      </c>
      <c r="M2326" s="10">
        <v>1</v>
      </c>
      <c r="N2326" s="10">
        <v>119</v>
      </c>
      <c r="O2326" s="10">
        <v>113</v>
      </c>
    </row>
    <row r="2327" spans="1:15" x14ac:dyDescent="0.2">
      <c r="A2327" s="10" t="s">
        <v>1091</v>
      </c>
      <c r="B2327" s="10" t="s">
        <v>89</v>
      </c>
      <c r="C2327" s="10" t="s">
        <v>90</v>
      </c>
      <c r="D2327" s="10" t="s">
        <v>51</v>
      </c>
      <c r="E2327" s="10" t="s">
        <v>52</v>
      </c>
      <c r="F2327" s="10" t="s">
        <v>153</v>
      </c>
      <c r="G2327" s="10" t="b">
        <f>FALSE()</f>
        <v>0</v>
      </c>
      <c r="H2327" s="10">
        <v>0</v>
      </c>
      <c r="I2327" s="10">
        <v>1</v>
      </c>
      <c r="J2327" s="10">
        <v>0</v>
      </c>
      <c r="K2327" s="10">
        <v>0</v>
      </c>
      <c r="L2327" s="10">
        <v>0</v>
      </c>
      <c r="M2327" s="10">
        <v>1</v>
      </c>
      <c r="N2327" s="10">
        <v>129</v>
      </c>
      <c r="O2327" s="10">
        <v>113</v>
      </c>
    </row>
    <row r="2328" spans="1:15" x14ac:dyDescent="0.2">
      <c r="A2328" s="10" t="s">
        <v>1270</v>
      </c>
      <c r="B2328" s="10" t="s">
        <v>72</v>
      </c>
      <c r="C2328" s="10" t="s">
        <v>73</v>
      </c>
      <c r="D2328" s="10" t="s">
        <v>45</v>
      </c>
      <c r="E2328" s="10" t="s">
        <v>46</v>
      </c>
      <c r="F2328" s="10" t="s">
        <v>153</v>
      </c>
      <c r="G2328" s="10" t="b">
        <f>FALSE()</f>
        <v>0</v>
      </c>
      <c r="H2328" s="10">
        <v>0</v>
      </c>
      <c r="I2328" s="10">
        <v>1</v>
      </c>
      <c r="J2328" s="10">
        <v>0</v>
      </c>
      <c r="K2328" s="10">
        <v>0</v>
      </c>
      <c r="L2328" s="10">
        <v>0</v>
      </c>
      <c r="M2328" s="10">
        <v>1</v>
      </c>
      <c r="N2328" s="10">
        <v>117</v>
      </c>
      <c r="O2328" s="10">
        <v>113</v>
      </c>
    </row>
    <row r="2329" spans="1:15" x14ac:dyDescent="0.2">
      <c r="A2329" s="10" t="s">
        <v>1117</v>
      </c>
      <c r="B2329" s="10" t="s">
        <v>157</v>
      </c>
      <c r="C2329" s="10" t="s">
        <v>64</v>
      </c>
      <c r="D2329" s="10" t="s">
        <v>45</v>
      </c>
      <c r="E2329" s="10" t="s">
        <v>46</v>
      </c>
      <c r="F2329" s="10" t="s">
        <v>207</v>
      </c>
      <c r="G2329" s="10" t="b">
        <f>FALSE()</f>
        <v>0</v>
      </c>
      <c r="H2329" s="10">
        <v>0</v>
      </c>
      <c r="I2329" s="10">
        <v>1</v>
      </c>
      <c r="J2329" s="10">
        <v>0</v>
      </c>
      <c r="K2329" s="10">
        <v>0</v>
      </c>
      <c r="L2329" s="10">
        <v>0</v>
      </c>
      <c r="M2329" s="10">
        <v>1</v>
      </c>
      <c r="N2329" s="10">
        <v>113</v>
      </c>
      <c r="O2329" s="10">
        <v>113</v>
      </c>
    </row>
    <row r="2330" spans="1:15" x14ac:dyDescent="0.2">
      <c r="A2330" s="10" t="s">
        <v>1053</v>
      </c>
      <c r="B2330" s="10" t="s">
        <v>262</v>
      </c>
      <c r="C2330" s="10" t="s">
        <v>105</v>
      </c>
      <c r="D2330" s="10" t="s">
        <v>45</v>
      </c>
      <c r="E2330" s="10" t="s">
        <v>46</v>
      </c>
      <c r="F2330" s="10" t="s">
        <v>558</v>
      </c>
      <c r="G2330" s="10" t="b">
        <f>TRUE()</f>
        <v>1</v>
      </c>
      <c r="H2330" s="10">
        <v>0</v>
      </c>
      <c r="I2330" s="10">
        <v>1</v>
      </c>
      <c r="J2330" s="10">
        <v>0</v>
      </c>
      <c r="K2330" s="10">
        <v>0</v>
      </c>
      <c r="L2330" s="10">
        <v>0</v>
      </c>
      <c r="M2330" s="10">
        <v>1</v>
      </c>
      <c r="N2330" s="10">
        <v>113</v>
      </c>
      <c r="O2330" s="10">
        <v>113</v>
      </c>
    </row>
    <row r="2331" spans="1:15" x14ac:dyDescent="0.2">
      <c r="A2331" s="10" t="s">
        <v>1182</v>
      </c>
      <c r="B2331" s="10" t="s">
        <v>116</v>
      </c>
      <c r="C2331" s="10" t="s">
        <v>117</v>
      </c>
      <c r="D2331" s="10" t="s">
        <v>51</v>
      </c>
      <c r="E2331" s="10" t="s">
        <v>52</v>
      </c>
      <c r="F2331" s="10" t="s">
        <v>183</v>
      </c>
      <c r="G2331" s="10" t="b">
        <f>FALSE()</f>
        <v>0</v>
      </c>
      <c r="H2331" s="10">
        <v>0</v>
      </c>
      <c r="I2331" s="10">
        <v>1</v>
      </c>
      <c r="J2331" s="10">
        <v>0</v>
      </c>
      <c r="K2331" s="10">
        <v>0</v>
      </c>
      <c r="L2331" s="10">
        <v>0</v>
      </c>
      <c r="M2331" s="10">
        <v>1</v>
      </c>
      <c r="N2331" s="10">
        <v>211</v>
      </c>
      <c r="O2331" s="10">
        <v>112</v>
      </c>
    </row>
    <row r="2332" spans="1:15" x14ac:dyDescent="0.2">
      <c r="A2332" s="10" t="s">
        <v>1271</v>
      </c>
      <c r="B2332" s="10" t="s">
        <v>89</v>
      </c>
      <c r="C2332" s="10" t="s">
        <v>90</v>
      </c>
      <c r="D2332" s="10" t="s">
        <v>51</v>
      </c>
      <c r="E2332" s="10" t="s">
        <v>52</v>
      </c>
      <c r="F2332" s="10" t="s">
        <v>660</v>
      </c>
      <c r="G2332" s="10" t="b">
        <f>FALSE()</f>
        <v>0</v>
      </c>
      <c r="H2332" s="10">
        <v>0</v>
      </c>
      <c r="I2332" s="10">
        <v>1</v>
      </c>
      <c r="J2332" s="10">
        <v>0</v>
      </c>
      <c r="K2332" s="10">
        <v>0</v>
      </c>
      <c r="L2332" s="10">
        <v>0</v>
      </c>
      <c r="M2332" s="10">
        <v>1</v>
      </c>
      <c r="N2332" s="10">
        <v>113</v>
      </c>
      <c r="O2332" s="10">
        <v>112</v>
      </c>
    </row>
    <row r="2333" spans="1:15" x14ac:dyDescent="0.2">
      <c r="A2333" s="10" t="s">
        <v>135</v>
      </c>
      <c r="B2333" s="10" t="s">
        <v>136</v>
      </c>
      <c r="C2333" s="10" t="s">
        <v>73</v>
      </c>
      <c r="D2333" s="10" t="s">
        <v>45</v>
      </c>
      <c r="E2333" s="10" t="s">
        <v>46</v>
      </c>
      <c r="F2333" s="10" t="s">
        <v>481</v>
      </c>
      <c r="G2333" s="10" t="b">
        <f>FALSE()</f>
        <v>0</v>
      </c>
      <c r="H2333" s="10">
        <v>0</v>
      </c>
      <c r="I2333" s="10">
        <v>1</v>
      </c>
      <c r="J2333" s="10">
        <v>0</v>
      </c>
      <c r="K2333" s="10">
        <v>0</v>
      </c>
      <c r="L2333" s="10">
        <v>0</v>
      </c>
      <c r="M2333" s="10">
        <v>1</v>
      </c>
      <c r="N2333" s="10">
        <v>111</v>
      </c>
      <c r="O2333" s="10">
        <v>111</v>
      </c>
    </row>
    <row r="2334" spans="1:15" x14ac:dyDescent="0.2">
      <c r="A2334" s="10" t="s">
        <v>1188</v>
      </c>
      <c r="B2334" s="10" t="s">
        <v>111</v>
      </c>
      <c r="C2334" s="10" t="s">
        <v>112</v>
      </c>
      <c r="D2334" s="10" t="s">
        <v>51</v>
      </c>
      <c r="E2334" s="10" t="s">
        <v>52</v>
      </c>
      <c r="F2334" s="10" t="s">
        <v>331</v>
      </c>
      <c r="G2334" s="10" t="b">
        <f>FALSE()</f>
        <v>0</v>
      </c>
      <c r="H2334" s="10">
        <v>0</v>
      </c>
      <c r="I2334" s="10">
        <v>1</v>
      </c>
      <c r="J2334" s="10">
        <v>0</v>
      </c>
      <c r="K2334" s="10">
        <v>0</v>
      </c>
      <c r="L2334" s="10">
        <v>0</v>
      </c>
      <c r="M2334" s="10">
        <v>1</v>
      </c>
      <c r="N2334" s="10">
        <v>111</v>
      </c>
      <c r="O2334" s="10">
        <v>111</v>
      </c>
    </row>
    <row r="2335" spans="1:15" x14ac:dyDescent="0.2">
      <c r="A2335" s="10" t="s">
        <v>1192</v>
      </c>
      <c r="B2335" s="10" t="s">
        <v>508</v>
      </c>
      <c r="C2335" s="10" t="s">
        <v>90</v>
      </c>
      <c r="D2335" s="10" t="s">
        <v>51</v>
      </c>
      <c r="E2335" s="10" t="s">
        <v>52</v>
      </c>
      <c r="F2335" s="10" t="s">
        <v>61</v>
      </c>
      <c r="G2335" s="10" t="b">
        <f>FALSE()</f>
        <v>0</v>
      </c>
      <c r="H2335" s="10">
        <v>0</v>
      </c>
      <c r="I2335" s="10">
        <v>1</v>
      </c>
      <c r="J2335" s="10">
        <v>0</v>
      </c>
      <c r="K2335" s="10">
        <v>0</v>
      </c>
      <c r="L2335" s="10">
        <v>0</v>
      </c>
      <c r="M2335" s="10">
        <v>1</v>
      </c>
      <c r="N2335" s="10">
        <v>115</v>
      </c>
      <c r="O2335" s="10">
        <v>111</v>
      </c>
    </row>
    <row r="2336" spans="1:15" x14ac:dyDescent="0.2">
      <c r="A2336" s="10" t="s">
        <v>1236</v>
      </c>
      <c r="B2336" s="10" t="s">
        <v>104</v>
      </c>
      <c r="C2336" s="10" t="s">
        <v>105</v>
      </c>
      <c r="D2336" s="10" t="s">
        <v>45</v>
      </c>
      <c r="E2336" s="10" t="s">
        <v>46</v>
      </c>
      <c r="F2336" s="10" t="s">
        <v>132</v>
      </c>
      <c r="G2336" s="10" t="b">
        <f>FALSE()</f>
        <v>0</v>
      </c>
      <c r="H2336" s="10">
        <v>0</v>
      </c>
      <c r="I2336" s="10">
        <v>1</v>
      </c>
      <c r="J2336" s="10">
        <v>0</v>
      </c>
      <c r="K2336" s="10">
        <v>0</v>
      </c>
      <c r="L2336" s="10">
        <v>0</v>
      </c>
      <c r="M2336" s="10">
        <v>1</v>
      </c>
      <c r="N2336" s="10">
        <v>111</v>
      </c>
      <c r="O2336" s="10">
        <v>111</v>
      </c>
    </row>
    <row r="2337" spans="1:15" x14ac:dyDescent="0.2">
      <c r="A2337" s="10" t="s">
        <v>1266</v>
      </c>
      <c r="B2337" s="10" t="s">
        <v>70</v>
      </c>
      <c r="C2337" s="10" t="s">
        <v>70</v>
      </c>
      <c r="D2337" s="10" t="s">
        <v>45</v>
      </c>
      <c r="E2337" s="10" t="s">
        <v>46</v>
      </c>
      <c r="F2337" s="10" t="s">
        <v>393</v>
      </c>
      <c r="G2337" s="10" t="b">
        <f>FALSE()</f>
        <v>0</v>
      </c>
      <c r="H2337" s="10">
        <v>0</v>
      </c>
      <c r="I2337" s="10">
        <v>1</v>
      </c>
      <c r="J2337" s="10">
        <v>0</v>
      </c>
      <c r="K2337" s="10">
        <v>0</v>
      </c>
      <c r="L2337" s="10">
        <v>0</v>
      </c>
      <c r="M2337" s="10">
        <v>1</v>
      </c>
      <c r="N2337" s="10">
        <v>111</v>
      </c>
      <c r="O2337" s="10">
        <v>111</v>
      </c>
    </row>
    <row r="2338" spans="1:15" x14ac:dyDescent="0.2">
      <c r="A2338" s="10" t="s">
        <v>1076</v>
      </c>
      <c r="B2338" s="10" t="s">
        <v>285</v>
      </c>
      <c r="C2338" s="10" t="s">
        <v>105</v>
      </c>
      <c r="D2338" s="10" t="s">
        <v>45</v>
      </c>
      <c r="E2338" s="10" t="s">
        <v>46</v>
      </c>
      <c r="F2338" s="10" t="s">
        <v>47</v>
      </c>
      <c r="G2338" s="10" t="b">
        <f>FALSE()</f>
        <v>0</v>
      </c>
      <c r="H2338" s="10">
        <v>0</v>
      </c>
      <c r="I2338" s="10">
        <v>1</v>
      </c>
      <c r="J2338" s="10">
        <v>0</v>
      </c>
      <c r="K2338" s="10">
        <v>0</v>
      </c>
      <c r="L2338" s="10">
        <v>0</v>
      </c>
      <c r="M2338" s="10">
        <v>1</v>
      </c>
      <c r="N2338" s="10">
        <v>111</v>
      </c>
      <c r="O2338" s="10">
        <v>110</v>
      </c>
    </row>
    <row r="2339" spans="1:15" x14ac:dyDescent="0.2">
      <c r="A2339" s="10" t="s">
        <v>1151</v>
      </c>
      <c r="B2339" s="10" t="s">
        <v>70</v>
      </c>
      <c r="C2339" s="10" t="s">
        <v>70</v>
      </c>
      <c r="D2339" s="10" t="s">
        <v>45</v>
      </c>
      <c r="E2339" s="10" t="s">
        <v>46</v>
      </c>
      <c r="F2339" s="10" t="s">
        <v>107</v>
      </c>
      <c r="G2339" s="10" t="b">
        <f>FALSE()</f>
        <v>0</v>
      </c>
      <c r="H2339" s="10">
        <v>0</v>
      </c>
      <c r="I2339" s="10">
        <v>1</v>
      </c>
      <c r="J2339" s="10">
        <v>0</v>
      </c>
      <c r="K2339" s="10">
        <v>0</v>
      </c>
      <c r="L2339" s="10">
        <v>0</v>
      </c>
      <c r="M2339" s="10">
        <v>1</v>
      </c>
      <c r="N2339" s="10">
        <v>111</v>
      </c>
      <c r="O2339" s="10">
        <v>110</v>
      </c>
    </row>
    <row r="2340" spans="1:15" x14ac:dyDescent="0.2">
      <c r="A2340" s="10" t="s">
        <v>1141</v>
      </c>
      <c r="B2340" s="10" t="s">
        <v>405</v>
      </c>
      <c r="C2340" s="10" t="s">
        <v>112</v>
      </c>
      <c r="D2340" s="10" t="s">
        <v>51</v>
      </c>
      <c r="E2340" s="10" t="s">
        <v>52</v>
      </c>
      <c r="F2340" s="10" t="s">
        <v>91</v>
      </c>
      <c r="G2340" s="10" t="b">
        <f>TRUE()</f>
        <v>1</v>
      </c>
      <c r="H2340" s="10">
        <v>0</v>
      </c>
      <c r="I2340" s="10">
        <v>1</v>
      </c>
      <c r="J2340" s="10">
        <v>0</v>
      </c>
      <c r="K2340" s="10">
        <v>0</v>
      </c>
      <c r="L2340" s="10">
        <v>0</v>
      </c>
      <c r="M2340" s="10">
        <v>1</v>
      </c>
      <c r="N2340" s="10">
        <v>112</v>
      </c>
      <c r="O2340" s="10">
        <v>109</v>
      </c>
    </row>
    <row r="2341" spans="1:15" x14ac:dyDescent="0.2">
      <c r="A2341" s="10" t="s">
        <v>1047</v>
      </c>
      <c r="B2341" s="10" t="s">
        <v>96</v>
      </c>
      <c r="C2341" s="10" t="s">
        <v>50</v>
      </c>
      <c r="D2341" s="10" t="s">
        <v>51</v>
      </c>
      <c r="E2341" s="10" t="s">
        <v>52</v>
      </c>
      <c r="F2341" s="10" t="s">
        <v>190</v>
      </c>
      <c r="G2341" s="10" t="b">
        <f>TRUE()</f>
        <v>1</v>
      </c>
      <c r="H2341" s="10">
        <v>0</v>
      </c>
      <c r="I2341" s="10">
        <v>1</v>
      </c>
      <c r="J2341" s="10">
        <v>0</v>
      </c>
      <c r="K2341" s="10">
        <v>0</v>
      </c>
      <c r="L2341" s="10">
        <v>0</v>
      </c>
      <c r="M2341" s="10">
        <v>1</v>
      </c>
      <c r="N2341" s="10">
        <v>109</v>
      </c>
      <c r="O2341" s="10">
        <v>109</v>
      </c>
    </row>
    <row r="2342" spans="1:15" x14ac:dyDescent="0.2">
      <c r="A2342" s="10" t="s">
        <v>1250</v>
      </c>
      <c r="B2342" s="10" t="s">
        <v>456</v>
      </c>
      <c r="C2342" s="10" t="s">
        <v>245</v>
      </c>
      <c r="D2342" s="10" t="s">
        <v>51</v>
      </c>
      <c r="E2342" s="10" t="s">
        <v>52</v>
      </c>
      <c r="F2342" s="10" t="s">
        <v>79</v>
      </c>
      <c r="G2342" s="10" t="b">
        <f>FALSE()</f>
        <v>0</v>
      </c>
      <c r="H2342" s="10">
        <v>0</v>
      </c>
      <c r="I2342" s="10">
        <v>1</v>
      </c>
      <c r="J2342" s="10">
        <v>0</v>
      </c>
      <c r="K2342" s="10">
        <v>0</v>
      </c>
      <c r="L2342" s="10">
        <v>0</v>
      </c>
      <c r="M2342" s="10">
        <v>1</v>
      </c>
      <c r="N2342" s="10">
        <v>143</v>
      </c>
      <c r="O2342" s="10">
        <v>109</v>
      </c>
    </row>
    <row r="2343" spans="1:15" x14ac:dyDescent="0.2">
      <c r="A2343" s="10" t="s">
        <v>1028</v>
      </c>
      <c r="B2343" s="10" t="s">
        <v>262</v>
      </c>
      <c r="C2343" s="10" t="s">
        <v>105</v>
      </c>
      <c r="D2343" s="10" t="s">
        <v>45</v>
      </c>
      <c r="E2343" s="10" t="s">
        <v>46</v>
      </c>
      <c r="F2343" s="10" t="s">
        <v>153</v>
      </c>
      <c r="G2343" s="10" t="b">
        <f>FALSE()</f>
        <v>0</v>
      </c>
      <c r="H2343" s="10">
        <v>0</v>
      </c>
      <c r="I2343" s="10">
        <v>1</v>
      </c>
      <c r="J2343" s="10">
        <v>0</v>
      </c>
      <c r="K2343" s="10">
        <v>0</v>
      </c>
      <c r="L2343" s="10">
        <v>0</v>
      </c>
      <c r="M2343" s="10">
        <v>1</v>
      </c>
      <c r="N2343" s="10">
        <v>109</v>
      </c>
      <c r="O2343" s="10">
        <v>109</v>
      </c>
    </row>
    <row r="2344" spans="1:15" x14ac:dyDescent="0.2">
      <c r="A2344" s="10" t="s">
        <v>1206</v>
      </c>
      <c r="B2344" s="10" t="s">
        <v>285</v>
      </c>
      <c r="C2344" s="10" t="s">
        <v>105</v>
      </c>
      <c r="D2344" s="10" t="s">
        <v>45</v>
      </c>
      <c r="E2344" s="10" t="s">
        <v>46</v>
      </c>
      <c r="F2344" s="10" t="s">
        <v>251</v>
      </c>
      <c r="G2344" s="10" t="b">
        <f>FALSE()</f>
        <v>0</v>
      </c>
      <c r="H2344" s="10">
        <v>0</v>
      </c>
      <c r="I2344" s="10">
        <v>1</v>
      </c>
      <c r="J2344" s="10">
        <v>0</v>
      </c>
      <c r="K2344" s="10">
        <v>0</v>
      </c>
      <c r="L2344" s="10">
        <v>0</v>
      </c>
      <c r="M2344" s="10">
        <v>1</v>
      </c>
      <c r="N2344" s="10">
        <v>110</v>
      </c>
      <c r="O2344" s="10">
        <v>109</v>
      </c>
    </row>
    <row r="2345" spans="1:15" x14ac:dyDescent="0.2">
      <c r="A2345" s="10" t="s">
        <v>1123</v>
      </c>
      <c r="B2345" s="10" t="s">
        <v>70</v>
      </c>
      <c r="C2345" s="10" t="s">
        <v>70</v>
      </c>
      <c r="D2345" s="10" t="s">
        <v>45</v>
      </c>
      <c r="E2345" s="10" t="s">
        <v>46</v>
      </c>
      <c r="F2345" s="10" t="s">
        <v>61</v>
      </c>
      <c r="G2345" s="10" t="b">
        <f>FALSE()</f>
        <v>0</v>
      </c>
      <c r="H2345" s="10">
        <v>0</v>
      </c>
      <c r="I2345" s="10">
        <v>1</v>
      </c>
      <c r="J2345" s="10">
        <v>0</v>
      </c>
      <c r="K2345" s="10">
        <v>0</v>
      </c>
      <c r="L2345" s="10">
        <v>0</v>
      </c>
      <c r="M2345" s="10">
        <v>1</v>
      </c>
      <c r="N2345" s="10">
        <v>110</v>
      </c>
      <c r="O2345" s="10">
        <v>109</v>
      </c>
    </row>
    <row r="2346" spans="1:15" x14ac:dyDescent="0.2">
      <c r="A2346" s="10" t="s">
        <v>495</v>
      </c>
      <c r="B2346" s="10" t="s">
        <v>119</v>
      </c>
      <c r="C2346" s="10" t="s">
        <v>56</v>
      </c>
      <c r="D2346" s="10" t="s">
        <v>45</v>
      </c>
      <c r="E2346" s="10" t="s">
        <v>46</v>
      </c>
      <c r="F2346" s="10" t="s">
        <v>1272</v>
      </c>
      <c r="G2346" s="10" t="b">
        <f>TRUE()</f>
        <v>1</v>
      </c>
      <c r="H2346" s="10">
        <v>0</v>
      </c>
      <c r="I2346" s="10">
        <v>1</v>
      </c>
      <c r="J2346" s="10">
        <v>0</v>
      </c>
      <c r="K2346" s="10">
        <v>0</v>
      </c>
      <c r="L2346" s="10">
        <v>0</v>
      </c>
      <c r="M2346" s="10">
        <v>1</v>
      </c>
      <c r="N2346" s="10">
        <v>108</v>
      </c>
      <c r="O2346" s="10">
        <v>108</v>
      </c>
    </row>
    <row r="2347" spans="1:15" x14ac:dyDescent="0.2">
      <c r="A2347" s="10" t="s">
        <v>1217</v>
      </c>
      <c r="B2347" s="10" t="s">
        <v>128</v>
      </c>
      <c r="C2347" s="10" t="s">
        <v>50</v>
      </c>
      <c r="D2347" s="10" t="s">
        <v>51</v>
      </c>
      <c r="E2347" s="10" t="s">
        <v>52</v>
      </c>
      <c r="F2347" s="10" t="s">
        <v>91</v>
      </c>
      <c r="G2347" s="10" t="b">
        <f>TRUE()</f>
        <v>1</v>
      </c>
      <c r="H2347" s="10">
        <v>0</v>
      </c>
      <c r="I2347" s="10">
        <v>1</v>
      </c>
      <c r="J2347" s="10">
        <v>0</v>
      </c>
      <c r="K2347" s="10">
        <v>0</v>
      </c>
      <c r="L2347" s="10">
        <v>0</v>
      </c>
      <c r="M2347" s="10">
        <v>1</v>
      </c>
      <c r="N2347" s="10">
        <v>108</v>
      </c>
      <c r="O2347" s="10">
        <v>108</v>
      </c>
    </row>
    <row r="2348" spans="1:15" x14ac:dyDescent="0.2">
      <c r="A2348" s="10" t="s">
        <v>1068</v>
      </c>
      <c r="B2348" s="10" t="s">
        <v>238</v>
      </c>
      <c r="C2348" s="10" t="s">
        <v>90</v>
      </c>
      <c r="D2348" s="10" t="s">
        <v>51</v>
      </c>
      <c r="E2348" s="10" t="s">
        <v>52</v>
      </c>
      <c r="F2348" s="10" t="s">
        <v>91</v>
      </c>
      <c r="G2348" s="10" t="b">
        <f>TRUE()</f>
        <v>1</v>
      </c>
      <c r="H2348" s="10">
        <v>0</v>
      </c>
      <c r="I2348" s="10">
        <v>1</v>
      </c>
      <c r="J2348" s="10">
        <v>0</v>
      </c>
      <c r="K2348" s="10">
        <v>0</v>
      </c>
      <c r="L2348" s="10">
        <v>0</v>
      </c>
      <c r="M2348" s="10">
        <v>1</v>
      </c>
      <c r="N2348" s="10">
        <v>110</v>
      </c>
      <c r="O2348" s="10">
        <v>108</v>
      </c>
    </row>
    <row r="2349" spans="1:15" x14ac:dyDescent="0.2">
      <c r="A2349" s="10" t="s">
        <v>1190</v>
      </c>
      <c r="B2349" s="10" t="s">
        <v>321</v>
      </c>
      <c r="C2349" s="10" t="s">
        <v>245</v>
      </c>
      <c r="D2349" s="10" t="s">
        <v>51</v>
      </c>
      <c r="E2349" s="10" t="s">
        <v>52</v>
      </c>
      <c r="F2349" s="10" t="s">
        <v>236</v>
      </c>
      <c r="G2349" s="10" t="b">
        <f>FALSE()</f>
        <v>0</v>
      </c>
      <c r="H2349" s="10">
        <v>0</v>
      </c>
      <c r="I2349" s="10">
        <v>1</v>
      </c>
      <c r="J2349" s="10">
        <v>0</v>
      </c>
      <c r="K2349" s="10">
        <v>0</v>
      </c>
      <c r="L2349" s="10">
        <v>0</v>
      </c>
      <c r="M2349" s="10">
        <v>1</v>
      </c>
      <c r="N2349" s="10">
        <v>108</v>
      </c>
      <c r="O2349" s="10">
        <v>108</v>
      </c>
    </row>
    <row r="2350" spans="1:15" x14ac:dyDescent="0.2">
      <c r="A2350" s="10" t="s">
        <v>1244</v>
      </c>
      <c r="B2350" s="10" t="s">
        <v>104</v>
      </c>
      <c r="C2350" s="10" t="s">
        <v>105</v>
      </c>
      <c r="D2350" s="10" t="s">
        <v>45</v>
      </c>
      <c r="E2350" s="10" t="s">
        <v>46</v>
      </c>
      <c r="F2350" s="10" t="s">
        <v>403</v>
      </c>
      <c r="G2350" s="10" t="b">
        <f>TRUE()</f>
        <v>1</v>
      </c>
      <c r="H2350" s="10">
        <v>0</v>
      </c>
      <c r="I2350" s="10">
        <v>1</v>
      </c>
      <c r="J2350" s="10">
        <v>0</v>
      </c>
      <c r="K2350" s="10">
        <v>0</v>
      </c>
      <c r="L2350" s="10">
        <v>0</v>
      </c>
      <c r="M2350" s="10">
        <v>1</v>
      </c>
      <c r="N2350" s="10">
        <v>108</v>
      </c>
      <c r="O2350" s="10">
        <v>108</v>
      </c>
    </row>
    <row r="2351" spans="1:15" x14ac:dyDescent="0.2">
      <c r="A2351" s="10" t="s">
        <v>1075</v>
      </c>
      <c r="B2351" s="10" t="s">
        <v>172</v>
      </c>
      <c r="C2351" s="10" t="s">
        <v>44</v>
      </c>
      <c r="D2351" s="10" t="s">
        <v>45</v>
      </c>
      <c r="E2351" s="10" t="s">
        <v>46</v>
      </c>
      <c r="F2351" s="10" t="s">
        <v>153</v>
      </c>
      <c r="G2351" s="10" t="b">
        <f>FALSE()</f>
        <v>0</v>
      </c>
      <c r="H2351" s="10">
        <v>0</v>
      </c>
      <c r="I2351" s="10">
        <v>1</v>
      </c>
      <c r="J2351" s="10">
        <v>0</v>
      </c>
      <c r="K2351" s="10">
        <v>0</v>
      </c>
      <c r="L2351" s="10">
        <v>0</v>
      </c>
      <c r="M2351" s="10">
        <v>1</v>
      </c>
      <c r="N2351" s="10">
        <v>108</v>
      </c>
      <c r="O2351" s="10">
        <v>108</v>
      </c>
    </row>
    <row r="2352" spans="1:15" x14ac:dyDescent="0.2">
      <c r="A2352" s="10" t="s">
        <v>1273</v>
      </c>
      <c r="B2352" s="10" t="s">
        <v>188</v>
      </c>
      <c r="C2352" s="10" t="s">
        <v>112</v>
      </c>
      <c r="D2352" s="10" t="s">
        <v>51</v>
      </c>
      <c r="E2352" s="10" t="s">
        <v>52</v>
      </c>
      <c r="F2352" s="10" t="s">
        <v>834</v>
      </c>
      <c r="G2352" s="10" t="b">
        <f>FALSE()</f>
        <v>0</v>
      </c>
      <c r="H2352" s="10">
        <v>0</v>
      </c>
      <c r="I2352" s="10">
        <v>1</v>
      </c>
      <c r="J2352" s="10">
        <v>0</v>
      </c>
      <c r="K2352" s="10">
        <v>0</v>
      </c>
      <c r="L2352" s="10">
        <v>0</v>
      </c>
      <c r="M2352" s="10">
        <v>1</v>
      </c>
      <c r="N2352" s="10">
        <v>107</v>
      </c>
      <c r="O2352" s="10">
        <v>107</v>
      </c>
    </row>
    <row r="2353" spans="1:15" x14ac:dyDescent="0.2">
      <c r="A2353" s="10" t="s">
        <v>1195</v>
      </c>
      <c r="B2353" s="10" t="s">
        <v>163</v>
      </c>
      <c r="C2353" s="10" t="s">
        <v>90</v>
      </c>
      <c r="D2353" s="10" t="s">
        <v>51</v>
      </c>
      <c r="E2353" s="10" t="s">
        <v>52</v>
      </c>
      <c r="F2353" s="10" t="s">
        <v>318</v>
      </c>
      <c r="G2353" s="10" t="b">
        <f>FALSE()</f>
        <v>0</v>
      </c>
      <c r="H2353" s="10">
        <v>0</v>
      </c>
      <c r="I2353" s="10">
        <v>1</v>
      </c>
      <c r="J2353" s="10">
        <v>0</v>
      </c>
      <c r="K2353" s="10">
        <v>0</v>
      </c>
      <c r="L2353" s="10">
        <v>0</v>
      </c>
      <c r="M2353" s="10">
        <v>1</v>
      </c>
      <c r="N2353" s="10">
        <v>112</v>
      </c>
      <c r="O2353" s="10">
        <v>107</v>
      </c>
    </row>
    <row r="2354" spans="1:15" x14ac:dyDescent="0.2">
      <c r="A2354" s="10" t="s">
        <v>1274</v>
      </c>
      <c r="B2354" s="10" t="s">
        <v>72</v>
      </c>
      <c r="C2354" s="10" t="s">
        <v>73</v>
      </c>
      <c r="D2354" s="10" t="s">
        <v>45</v>
      </c>
      <c r="E2354" s="10" t="s">
        <v>46</v>
      </c>
      <c r="F2354" s="10" t="s">
        <v>91</v>
      </c>
      <c r="G2354" s="10" t="b">
        <f>TRUE()</f>
        <v>1</v>
      </c>
      <c r="H2354" s="10">
        <v>0</v>
      </c>
      <c r="I2354" s="10">
        <v>1</v>
      </c>
      <c r="J2354" s="10">
        <v>0</v>
      </c>
      <c r="K2354" s="10">
        <v>0</v>
      </c>
      <c r="L2354" s="10">
        <v>0</v>
      </c>
      <c r="M2354" s="10">
        <v>1</v>
      </c>
      <c r="N2354" s="10">
        <v>115</v>
      </c>
      <c r="O2354" s="10">
        <v>107</v>
      </c>
    </row>
    <row r="2355" spans="1:15" x14ac:dyDescent="0.2">
      <c r="A2355" s="10" t="s">
        <v>1132</v>
      </c>
      <c r="B2355" s="10" t="s">
        <v>262</v>
      </c>
      <c r="C2355" s="10" t="s">
        <v>105</v>
      </c>
      <c r="D2355" s="10" t="s">
        <v>45</v>
      </c>
      <c r="E2355" s="10" t="s">
        <v>46</v>
      </c>
      <c r="F2355" s="10" t="s">
        <v>47</v>
      </c>
      <c r="G2355" s="10" t="b">
        <f>FALSE()</f>
        <v>0</v>
      </c>
      <c r="H2355" s="10">
        <v>0</v>
      </c>
      <c r="I2355" s="10">
        <v>1</v>
      </c>
      <c r="J2355" s="10">
        <v>0</v>
      </c>
      <c r="K2355" s="10">
        <v>0</v>
      </c>
      <c r="L2355" s="10">
        <v>0</v>
      </c>
      <c r="M2355" s="10">
        <v>1</v>
      </c>
      <c r="N2355" s="10">
        <v>112</v>
      </c>
      <c r="O2355" s="10">
        <v>107</v>
      </c>
    </row>
    <row r="2356" spans="1:15" x14ac:dyDescent="0.2">
      <c r="A2356" s="10" t="s">
        <v>550</v>
      </c>
      <c r="B2356" s="10" t="s">
        <v>72</v>
      </c>
      <c r="C2356" s="10" t="s">
        <v>73</v>
      </c>
      <c r="D2356" s="10" t="s">
        <v>45</v>
      </c>
      <c r="E2356" s="10" t="s">
        <v>46</v>
      </c>
      <c r="F2356" s="10" t="s">
        <v>153</v>
      </c>
      <c r="G2356" s="10" t="b">
        <f>FALSE()</f>
        <v>0</v>
      </c>
      <c r="H2356" s="10">
        <v>0</v>
      </c>
      <c r="I2356" s="10">
        <v>1</v>
      </c>
      <c r="J2356" s="10">
        <v>0</v>
      </c>
      <c r="K2356" s="10">
        <v>0</v>
      </c>
      <c r="L2356" s="10">
        <v>0</v>
      </c>
      <c r="M2356" s="10">
        <v>1</v>
      </c>
      <c r="N2356" s="10">
        <v>106</v>
      </c>
      <c r="O2356" s="10">
        <v>106</v>
      </c>
    </row>
    <row r="2357" spans="1:15" x14ac:dyDescent="0.2">
      <c r="A2357" s="10" t="s">
        <v>1275</v>
      </c>
      <c r="B2357" s="10" t="s">
        <v>99</v>
      </c>
      <c r="C2357" s="10" t="s">
        <v>50</v>
      </c>
      <c r="D2357" s="10" t="s">
        <v>51</v>
      </c>
      <c r="E2357" s="10" t="s">
        <v>52</v>
      </c>
      <c r="F2357" s="10" t="s">
        <v>180</v>
      </c>
      <c r="G2357" s="10" t="b">
        <f>FALSE()</f>
        <v>0</v>
      </c>
      <c r="H2357" s="10">
        <v>0</v>
      </c>
      <c r="I2357" s="10">
        <v>1</v>
      </c>
      <c r="J2357" s="10">
        <v>0</v>
      </c>
      <c r="K2357" s="10">
        <v>0</v>
      </c>
      <c r="L2357" s="10">
        <v>0</v>
      </c>
      <c r="M2357" s="10">
        <v>1</v>
      </c>
      <c r="N2357" s="10">
        <v>117</v>
      </c>
      <c r="O2357" s="10">
        <v>106</v>
      </c>
    </row>
    <row r="2358" spans="1:15" x14ac:dyDescent="0.2">
      <c r="A2358" s="10" t="s">
        <v>1113</v>
      </c>
      <c r="B2358" s="10" t="s">
        <v>136</v>
      </c>
      <c r="C2358" s="10" t="s">
        <v>73</v>
      </c>
      <c r="D2358" s="10" t="s">
        <v>45</v>
      </c>
      <c r="E2358" s="10" t="s">
        <v>46</v>
      </c>
      <c r="F2358" s="10" t="s">
        <v>75</v>
      </c>
      <c r="G2358" s="10" t="b">
        <f>FALSE()</f>
        <v>0</v>
      </c>
      <c r="H2358" s="10">
        <v>0</v>
      </c>
      <c r="I2358" s="10">
        <v>1</v>
      </c>
      <c r="J2358" s="10">
        <v>0</v>
      </c>
      <c r="K2358" s="10">
        <v>0</v>
      </c>
      <c r="L2358" s="10">
        <v>0</v>
      </c>
      <c r="M2358" s="10">
        <v>1</v>
      </c>
      <c r="N2358" s="10">
        <v>106</v>
      </c>
      <c r="O2358" s="10">
        <v>106</v>
      </c>
    </row>
    <row r="2359" spans="1:15" x14ac:dyDescent="0.2">
      <c r="A2359" s="10" t="s">
        <v>307</v>
      </c>
      <c r="B2359" s="10" t="s">
        <v>70</v>
      </c>
      <c r="C2359" s="10" t="s">
        <v>70</v>
      </c>
      <c r="D2359" s="10" t="s">
        <v>45</v>
      </c>
      <c r="E2359" s="10" t="s">
        <v>46</v>
      </c>
      <c r="F2359" s="10" t="s">
        <v>61</v>
      </c>
      <c r="G2359" s="10" t="b">
        <f>FALSE()</f>
        <v>0</v>
      </c>
      <c r="H2359" s="10">
        <v>0</v>
      </c>
      <c r="I2359" s="10">
        <v>1</v>
      </c>
      <c r="J2359" s="10">
        <v>0</v>
      </c>
      <c r="K2359" s="10">
        <v>0</v>
      </c>
      <c r="L2359" s="10">
        <v>0</v>
      </c>
      <c r="M2359" s="10">
        <v>1</v>
      </c>
      <c r="N2359" s="10">
        <v>106</v>
      </c>
      <c r="O2359" s="10">
        <v>106</v>
      </c>
    </row>
    <row r="2360" spans="1:15" x14ac:dyDescent="0.2">
      <c r="A2360" s="10" t="s">
        <v>1130</v>
      </c>
      <c r="B2360" s="10" t="s">
        <v>193</v>
      </c>
      <c r="C2360" s="10" t="s">
        <v>117</v>
      </c>
      <c r="D2360" s="10" t="s">
        <v>51</v>
      </c>
      <c r="E2360" s="10" t="s">
        <v>52</v>
      </c>
      <c r="F2360" s="10" t="s">
        <v>481</v>
      </c>
      <c r="G2360" s="10" t="b">
        <f>FALSE()</f>
        <v>0</v>
      </c>
      <c r="H2360" s="10">
        <v>0</v>
      </c>
      <c r="I2360" s="10">
        <v>1</v>
      </c>
      <c r="J2360" s="10">
        <v>0</v>
      </c>
      <c r="K2360" s="10">
        <v>0</v>
      </c>
      <c r="L2360" s="10">
        <v>0</v>
      </c>
      <c r="M2360" s="10">
        <v>1</v>
      </c>
      <c r="N2360" s="10">
        <v>105</v>
      </c>
      <c r="O2360" s="10">
        <v>105</v>
      </c>
    </row>
    <row r="2361" spans="1:15" x14ac:dyDescent="0.2">
      <c r="A2361" s="10" t="s">
        <v>1130</v>
      </c>
      <c r="B2361" s="10" t="s">
        <v>193</v>
      </c>
      <c r="C2361" s="10" t="s">
        <v>117</v>
      </c>
      <c r="D2361" s="10" t="s">
        <v>51</v>
      </c>
      <c r="E2361" s="10" t="s">
        <v>52</v>
      </c>
      <c r="F2361" s="10" t="s">
        <v>749</v>
      </c>
      <c r="G2361" s="10" t="b">
        <f>TRUE()</f>
        <v>1</v>
      </c>
      <c r="H2361" s="10">
        <v>0</v>
      </c>
      <c r="I2361" s="10">
        <v>1</v>
      </c>
      <c r="J2361" s="10">
        <v>0</v>
      </c>
      <c r="K2361" s="10">
        <v>0</v>
      </c>
      <c r="L2361" s="10">
        <v>0</v>
      </c>
      <c r="M2361" s="10">
        <v>1</v>
      </c>
      <c r="N2361" s="10">
        <v>108</v>
      </c>
      <c r="O2361" s="10">
        <v>105</v>
      </c>
    </row>
    <row r="2362" spans="1:15" x14ac:dyDescent="0.2">
      <c r="A2362" s="10" t="s">
        <v>1131</v>
      </c>
      <c r="B2362" s="10" t="s">
        <v>139</v>
      </c>
      <c r="C2362" s="10" t="s">
        <v>64</v>
      </c>
      <c r="D2362" s="10" t="s">
        <v>45</v>
      </c>
      <c r="E2362" s="10" t="s">
        <v>46</v>
      </c>
      <c r="F2362" s="10" t="s">
        <v>212</v>
      </c>
      <c r="G2362" s="10" t="b">
        <f>FALSE()</f>
        <v>0</v>
      </c>
      <c r="H2362" s="10">
        <v>0</v>
      </c>
      <c r="I2362" s="10">
        <v>1</v>
      </c>
      <c r="J2362" s="10">
        <v>0</v>
      </c>
      <c r="K2362" s="10">
        <v>0</v>
      </c>
      <c r="L2362" s="10">
        <v>0</v>
      </c>
      <c r="M2362" s="10">
        <v>1</v>
      </c>
      <c r="N2362" s="10">
        <v>131</v>
      </c>
      <c r="O2362" s="10">
        <v>105</v>
      </c>
    </row>
    <row r="2363" spans="1:15" x14ac:dyDescent="0.2">
      <c r="A2363" s="10" t="s">
        <v>1069</v>
      </c>
      <c r="B2363" s="10" t="s">
        <v>89</v>
      </c>
      <c r="C2363" s="10" t="s">
        <v>90</v>
      </c>
      <c r="D2363" s="10" t="s">
        <v>51</v>
      </c>
      <c r="E2363" s="10" t="s">
        <v>52</v>
      </c>
      <c r="F2363" s="10" t="s">
        <v>153</v>
      </c>
      <c r="G2363" s="10" t="b">
        <f>FALSE()</f>
        <v>0</v>
      </c>
      <c r="H2363" s="10">
        <v>0</v>
      </c>
      <c r="I2363" s="10">
        <v>1</v>
      </c>
      <c r="J2363" s="10">
        <v>0</v>
      </c>
      <c r="K2363" s="10">
        <v>0</v>
      </c>
      <c r="L2363" s="10">
        <v>0</v>
      </c>
      <c r="M2363" s="10">
        <v>1</v>
      </c>
      <c r="N2363" s="10">
        <v>104</v>
      </c>
      <c r="O2363" s="10">
        <v>104</v>
      </c>
    </row>
    <row r="2364" spans="1:15" x14ac:dyDescent="0.2">
      <c r="A2364" s="10" t="s">
        <v>1111</v>
      </c>
      <c r="B2364" s="10" t="s">
        <v>70</v>
      </c>
      <c r="C2364" s="10" t="s">
        <v>70</v>
      </c>
      <c r="D2364" s="10" t="s">
        <v>45</v>
      </c>
      <c r="E2364" s="10" t="s">
        <v>46</v>
      </c>
      <c r="F2364" s="10" t="s">
        <v>91</v>
      </c>
      <c r="G2364" s="10" t="b">
        <f>TRUE()</f>
        <v>1</v>
      </c>
      <c r="H2364" s="10">
        <v>0</v>
      </c>
      <c r="I2364" s="10">
        <v>1</v>
      </c>
      <c r="J2364" s="10">
        <v>0</v>
      </c>
      <c r="K2364" s="10">
        <v>0</v>
      </c>
      <c r="L2364" s="10">
        <v>0</v>
      </c>
      <c r="M2364" s="10">
        <v>1</v>
      </c>
      <c r="N2364" s="10">
        <v>105</v>
      </c>
      <c r="O2364" s="10">
        <v>104</v>
      </c>
    </row>
    <row r="2365" spans="1:15" x14ac:dyDescent="0.2">
      <c r="A2365" s="10" t="s">
        <v>803</v>
      </c>
      <c r="B2365" s="10" t="s">
        <v>756</v>
      </c>
      <c r="C2365" s="10" t="s">
        <v>245</v>
      </c>
      <c r="D2365" s="10" t="s">
        <v>51</v>
      </c>
      <c r="E2365" s="10" t="s">
        <v>52</v>
      </c>
      <c r="F2365" s="10" t="s">
        <v>434</v>
      </c>
      <c r="G2365" s="10" t="b">
        <f>FALSE()</f>
        <v>0</v>
      </c>
      <c r="H2365" s="10">
        <v>0</v>
      </c>
      <c r="I2365" s="10">
        <v>1</v>
      </c>
      <c r="J2365" s="10">
        <v>0</v>
      </c>
      <c r="K2365" s="10">
        <v>0</v>
      </c>
      <c r="L2365" s="10">
        <v>0</v>
      </c>
      <c r="M2365" s="10">
        <v>1</v>
      </c>
      <c r="N2365" s="10">
        <v>136</v>
      </c>
      <c r="O2365" s="10">
        <v>103</v>
      </c>
    </row>
    <row r="2366" spans="1:15" x14ac:dyDescent="0.2">
      <c r="A2366" s="10" t="s">
        <v>150</v>
      </c>
      <c r="B2366" s="10" t="s">
        <v>151</v>
      </c>
      <c r="C2366" s="10" t="s">
        <v>64</v>
      </c>
      <c r="D2366" s="10" t="s">
        <v>45</v>
      </c>
      <c r="E2366" s="10" t="s">
        <v>46</v>
      </c>
      <c r="F2366" s="10" t="s">
        <v>58</v>
      </c>
      <c r="G2366" s="10" t="b">
        <f>FALSE()</f>
        <v>0</v>
      </c>
      <c r="H2366" s="10">
        <v>0</v>
      </c>
      <c r="I2366" s="10">
        <v>1</v>
      </c>
      <c r="J2366" s="10">
        <v>0</v>
      </c>
      <c r="K2366" s="10">
        <v>0</v>
      </c>
      <c r="L2366" s="10">
        <v>0</v>
      </c>
      <c r="M2366" s="10">
        <v>1</v>
      </c>
      <c r="N2366" s="10">
        <v>103</v>
      </c>
      <c r="O2366" s="10">
        <v>103</v>
      </c>
    </row>
    <row r="2367" spans="1:15" x14ac:dyDescent="0.2">
      <c r="A2367" s="10" t="s">
        <v>1164</v>
      </c>
      <c r="B2367" s="10" t="s">
        <v>111</v>
      </c>
      <c r="C2367" s="10" t="s">
        <v>112</v>
      </c>
      <c r="D2367" s="10" t="s">
        <v>51</v>
      </c>
      <c r="E2367" s="10" t="s">
        <v>52</v>
      </c>
      <c r="F2367" s="10" t="s">
        <v>61</v>
      </c>
      <c r="G2367" s="10" t="b">
        <f>FALSE()</f>
        <v>0</v>
      </c>
      <c r="H2367" s="10">
        <v>0</v>
      </c>
      <c r="I2367" s="10">
        <v>1</v>
      </c>
      <c r="J2367" s="10">
        <v>0</v>
      </c>
      <c r="K2367" s="10">
        <v>0</v>
      </c>
      <c r="L2367" s="10">
        <v>0</v>
      </c>
      <c r="M2367" s="10">
        <v>1</v>
      </c>
      <c r="N2367" s="10">
        <v>103</v>
      </c>
      <c r="O2367" s="10">
        <v>103</v>
      </c>
    </row>
    <row r="2368" spans="1:15" x14ac:dyDescent="0.2">
      <c r="A2368" s="10" t="s">
        <v>1047</v>
      </c>
      <c r="B2368" s="10" t="s">
        <v>96</v>
      </c>
      <c r="C2368" s="10" t="s">
        <v>50</v>
      </c>
      <c r="D2368" s="10" t="s">
        <v>51</v>
      </c>
      <c r="E2368" s="10" t="s">
        <v>52</v>
      </c>
      <c r="F2368" s="10" t="s">
        <v>481</v>
      </c>
      <c r="G2368" s="10" t="b">
        <f>FALSE()</f>
        <v>0</v>
      </c>
      <c r="H2368" s="10">
        <v>0</v>
      </c>
      <c r="I2368" s="10">
        <v>1</v>
      </c>
      <c r="J2368" s="10">
        <v>0</v>
      </c>
      <c r="K2368" s="10">
        <v>0</v>
      </c>
      <c r="L2368" s="10">
        <v>0</v>
      </c>
      <c r="M2368" s="10">
        <v>1</v>
      </c>
      <c r="N2368" s="10">
        <v>103</v>
      </c>
      <c r="O2368" s="10">
        <v>103</v>
      </c>
    </row>
    <row r="2369" spans="1:15" x14ac:dyDescent="0.2">
      <c r="A2369" s="10" t="s">
        <v>1276</v>
      </c>
      <c r="B2369" s="10" t="s">
        <v>477</v>
      </c>
      <c r="C2369" s="10" t="s">
        <v>50</v>
      </c>
      <c r="D2369" s="10" t="s">
        <v>51</v>
      </c>
      <c r="E2369" s="10" t="s">
        <v>52</v>
      </c>
      <c r="F2369" s="10" t="s">
        <v>153</v>
      </c>
      <c r="G2369" s="10" t="b">
        <f>FALSE()</f>
        <v>0</v>
      </c>
      <c r="H2369" s="10">
        <v>0</v>
      </c>
      <c r="I2369" s="10">
        <v>1</v>
      </c>
      <c r="J2369" s="10">
        <v>0</v>
      </c>
      <c r="K2369" s="10">
        <v>0</v>
      </c>
      <c r="L2369" s="10">
        <v>0</v>
      </c>
      <c r="M2369" s="10">
        <v>1</v>
      </c>
      <c r="N2369" s="10">
        <v>103</v>
      </c>
      <c r="O2369" s="10">
        <v>103</v>
      </c>
    </row>
    <row r="2370" spans="1:15" x14ac:dyDescent="0.2">
      <c r="A2370" s="10" t="s">
        <v>1277</v>
      </c>
      <c r="B2370" s="10" t="s">
        <v>163</v>
      </c>
      <c r="C2370" s="10" t="s">
        <v>90</v>
      </c>
      <c r="D2370" s="10" t="s">
        <v>51</v>
      </c>
      <c r="E2370" s="10" t="s">
        <v>52</v>
      </c>
      <c r="F2370" s="10" t="s">
        <v>91</v>
      </c>
      <c r="G2370" s="10" t="b">
        <f>TRUE()</f>
        <v>1</v>
      </c>
      <c r="H2370" s="10">
        <v>0</v>
      </c>
      <c r="I2370" s="10">
        <v>1</v>
      </c>
      <c r="J2370" s="10">
        <v>0</v>
      </c>
      <c r="K2370" s="10">
        <v>0</v>
      </c>
      <c r="L2370" s="10">
        <v>0</v>
      </c>
      <c r="M2370" s="10">
        <v>1</v>
      </c>
      <c r="N2370" s="10">
        <v>109</v>
      </c>
      <c r="O2370" s="10">
        <v>103</v>
      </c>
    </row>
    <row r="2371" spans="1:15" x14ac:dyDescent="0.2">
      <c r="A2371" s="10" t="s">
        <v>1146</v>
      </c>
      <c r="B2371" s="10" t="s">
        <v>70</v>
      </c>
      <c r="C2371" s="10" t="s">
        <v>70</v>
      </c>
      <c r="D2371" s="10" t="s">
        <v>45</v>
      </c>
      <c r="E2371" s="10" t="s">
        <v>46</v>
      </c>
      <c r="F2371" s="10" t="s">
        <v>47</v>
      </c>
      <c r="G2371" s="10" t="b">
        <f>FALSE()</f>
        <v>0</v>
      </c>
      <c r="H2371" s="10">
        <v>0</v>
      </c>
      <c r="I2371" s="10">
        <v>1</v>
      </c>
      <c r="J2371" s="10">
        <v>0</v>
      </c>
      <c r="K2371" s="10">
        <v>0</v>
      </c>
      <c r="L2371" s="10">
        <v>0</v>
      </c>
      <c r="M2371" s="10">
        <v>1</v>
      </c>
      <c r="N2371" s="10">
        <v>98</v>
      </c>
      <c r="O2371" s="10">
        <v>103</v>
      </c>
    </row>
    <row r="2372" spans="1:15" x14ac:dyDescent="0.2">
      <c r="A2372" s="10" t="s">
        <v>1228</v>
      </c>
      <c r="B2372" s="10" t="s">
        <v>339</v>
      </c>
      <c r="C2372" s="10" t="s">
        <v>117</v>
      </c>
      <c r="D2372" s="10" t="s">
        <v>51</v>
      </c>
      <c r="E2372" s="10" t="s">
        <v>52</v>
      </c>
      <c r="F2372" s="10" t="s">
        <v>190</v>
      </c>
      <c r="G2372" s="10" t="b">
        <f>TRUE()</f>
        <v>1</v>
      </c>
      <c r="H2372" s="10">
        <v>0</v>
      </c>
      <c r="I2372" s="10">
        <v>1</v>
      </c>
      <c r="J2372" s="10">
        <v>0</v>
      </c>
      <c r="K2372" s="10">
        <v>0</v>
      </c>
      <c r="L2372" s="10">
        <v>0</v>
      </c>
      <c r="M2372" s="10">
        <v>1</v>
      </c>
      <c r="N2372" s="10">
        <v>102</v>
      </c>
      <c r="O2372" s="10">
        <v>102</v>
      </c>
    </row>
    <row r="2373" spans="1:15" x14ac:dyDescent="0.2">
      <c r="A2373" s="10" t="s">
        <v>1268</v>
      </c>
      <c r="B2373" s="10" t="s">
        <v>498</v>
      </c>
      <c r="C2373" s="10" t="s">
        <v>245</v>
      </c>
      <c r="D2373" s="10" t="s">
        <v>51</v>
      </c>
      <c r="E2373" s="10" t="s">
        <v>52</v>
      </c>
      <c r="F2373" s="10" t="s">
        <v>190</v>
      </c>
      <c r="G2373" s="10" t="b">
        <f>TRUE()</f>
        <v>1</v>
      </c>
      <c r="H2373" s="10">
        <v>0</v>
      </c>
      <c r="I2373" s="10">
        <v>1</v>
      </c>
      <c r="J2373" s="10">
        <v>0</v>
      </c>
      <c r="K2373" s="10">
        <v>0</v>
      </c>
      <c r="L2373" s="10">
        <v>0</v>
      </c>
      <c r="M2373" s="10">
        <v>1</v>
      </c>
      <c r="N2373" s="10">
        <v>102</v>
      </c>
      <c r="O2373" s="10">
        <v>102</v>
      </c>
    </row>
    <row r="2374" spans="1:15" x14ac:dyDescent="0.2">
      <c r="A2374" s="10" t="s">
        <v>924</v>
      </c>
      <c r="B2374" s="10" t="s">
        <v>104</v>
      </c>
      <c r="C2374" s="10" t="s">
        <v>105</v>
      </c>
      <c r="D2374" s="10" t="s">
        <v>45</v>
      </c>
      <c r="E2374" s="10" t="s">
        <v>46</v>
      </c>
      <c r="F2374" s="10" t="s">
        <v>47</v>
      </c>
      <c r="G2374" s="10" t="b">
        <f>FALSE()</f>
        <v>0</v>
      </c>
      <c r="H2374" s="10">
        <v>0</v>
      </c>
      <c r="I2374" s="10">
        <v>1</v>
      </c>
      <c r="J2374" s="10">
        <v>0</v>
      </c>
      <c r="K2374" s="10">
        <v>0</v>
      </c>
      <c r="L2374" s="10">
        <v>0</v>
      </c>
      <c r="M2374" s="10">
        <v>1</v>
      </c>
      <c r="N2374" s="10">
        <v>111</v>
      </c>
      <c r="O2374" s="10">
        <v>101</v>
      </c>
    </row>
    <row r="2375" spans="1:15" x14ac:dyDescent="0.2">
      <c r="A2375" s="10" t="s">
        <v>1083</v>
      </c>
      <c r="B2375" s="10" t="s">
        <v>72</v>
      </c>
      <c r="C2375" s="10" t="s">
        <v>73</v>
      </c>
      <c r="D2375" s="10" t="s">
        <v>45</v>
      </c>
      <c r="E2375" s="10" t="s">
        <v>46</v>
      </c>
      <c r="F2375" s="10" t="s">
        <v>660</v>
      </c>
      <c r="G2375" s="10" t="b">
        <f>FALSE()</f>
        <v>0</v>
      </c>
      <c r="H2375" s="10">
        <v>0</v>
      </c>
      <c r="I2375" s="10">
        <v>1</v>
      </c>
      <c r="J2375" s="10">
        <v>0</v>
      </c>
      <c r="K2375" s="10">
        <v>0</v>
      </c>
      <c r="L2375" s="10">
        <v>0</v>
      </c>
      <c r="M2375" s="10">
        <v>1</v>
      </c>
      <c r="N2375" s="10">
        <v>102</v>
      </c>
      <c r="O2375" s="10">
        <v>101</v>
      </c>
    </row>
    <row r="2376" spans="1:15" x14ac:dyDescent="0.2">
      <c r="A2376" s="10" t="s">
        <v>1043</v>
      </c>
      <c r="B2376" s="10" t="s">
        <v>218</v>
      </c>
      <c r="C2376" s="10" t="s">
        <v>73</v>
      </c>
      <c r="D2376" s="10" t="s">
        <v>45</v>
      </c>
      <c r="E2376" s="10" t="s">
        <v>46</v>
      </c>
      <c r="F2376" s="10" t="s">
        <v>749</v>
      </c>
      <c r="G2376" s="10" t="b">
        <f>TRUE()</f>
        <v>1</v>
      </c>
      <c r="H2376" s="10">
        <v>0</v>
      </c>
      <c r="I2376" s="10">
        <v>1</v>
      </c>
      <c r="J2376" s="10">
        <v>0</v>
      </c>
      <c r="K2376" s="10">
        <v>0</v>
      </c>
      <c r="L2376" s="10">
        <v>0</v>
      </c>
      <c r="M2376" s="10">
        <v>1</v>
      </c>
      <c r="N2376" s="10">
        <v>101</v>
      </c>
      <c r="O2376" s="10">
        <v>101</v>
      </c>
    </row>
    <row r="2377" spans="1:15" x14ac:dyDescent="0.2">
      <c r="A2377" s="10" t="s">
        <v>1134</v>
      </c>
      <c r="B2377" s="10" t="s">
        <v>167</v>
      </c>
      <c r="C2377" s="10" t="s">
        <v>64</v>
      </c>
      <c r="D2377" s="10" t="s">
        <v>45</v>
      </c>
      <c r="E2377" s="10" t="s">
        <v>46</v>
      </c>
      <c r="F2377" s="10" t="s">
        <v>79</v>
      </c>
      <c r="G2377" s="10" t="b">
        <f>FALSE()</f>
        <v>0</v>
      </c>
      <c r="H2377" s="10">
        <v>0</v>
      </c>
      <c r="I2377" s="10">
        <v>1</v>
      </c>
      <c r="J2377" s="10">
        <v>0</v>
      </c>
      <c r="K2377" s="10">
        <v>0</v>
      </c>
      <c r="L2377" s="10">
        <v>0</v>
      </c>
      <c r="M2377" s="10">
        <v>1</v>
      </c>
      <c r="N2377" s="10">
        <v>101</v>
      </c>
      <c r="O2377" s="10">
        <v>101</v>
      </c>
    </row>
    <row r="2378" spans="1:15" x14ac:dyDescent="0.2">
      <c r="A2378" s="10" t="s">
        <v>775</v>
      </c>
      <c r="B2378" s="10" t="s">
        <v>188</v>
      </c>
      <c r="C2378" s="10" t="s">
        <v>112</v>
      </c>
      <c r="D2378" s="10" t="s">
        <v>51</v>
      </c>
      <c r="E2378" s="10" t="s">
        <v>52</v>
      </c>
      <c r="F2378" s="10" t="s">
        <v>79</v>
      </c>
      <c r="G2378" s="10" t="b">
        <f>FALSE()</f>
        <v>0</v>
      </c>
      <c r="H2378" s="10">
        <v>0</v>
      </c>
      <c r="I2378" s="10">
        <v>1</v>
      </c>
      <c r="J2378" s="10">
        <v>0</v>
      </c>
      <c r="K2378" s="10">
        <v>0</v>
      </c>
      <c r="L2378" s="10">
        <v>0</v>
      </c>
      <c r="M2378" s="10">
        <v>1</v>
      </c>
      <c r="N2378" s="10">
        <v>100</v>
      </c>
      <c r="O2378" s="10">
        <v>100</v>
      </c>
    </row>
    <row r="2379" spans="1:15" x14ac:dyDescent="0.2">
      <c r="A2379" s="10" t="s">
        <v>1267</v>
      </c>
      <c r="B2379" s="10" t="s">
        <v>407</v>
      </c>
      <c r="C2379" s="10" t="s">
        <v>112</v>
      </c>
      <c r="D2379" s="10" t="s">
        <v>51</v>
      </c>
      <c r="E2379" s="10" t="s">
        <v>52</v>
      </c>
      <c r="F2379" s="10" t="s">
        <v>91</v>
      </c>
      <c r="G2379" s="10" t="b">
        <f>TRUE()</f>
        <v>1</v>
      </c>
      <c r="H2379" s="10">
        <v>0</v>
      </c>
      <c r="I2379" s="10">
        <v>1</v>
      </c>
      <c r="J2379" s="10">
        <v>0</v>
      </c>
      <c r="K2379" s="10">
        <v>0</v>
      </c>
      <c r="L2379" s="10">
        <v>0</v>
      </c>
      <c r="M2379" s="10">
        <v>1</v>
      </c>
      <c r="N2379" s="10">
        <v>100</v>
      </c>
      <c r="O2379" s="10">
        <v>100</v>
      </c>
    </row>
    <row r="2380" spans="1:15" x14ac:dyDescent="0.2">
      <c r="A2380" s="10" t="s">
        <v>1229</v>
      </c>
      <c r="B2380" s="10" t="s">
        <v>669</v>
      </c>
      <c r="C2380" s="10" t="s">
        <v>90</v>
      </c>
      <c r="D2380" s="10" t="s">
        <v>51</v>
      </c>
      <c r="E2380" s="10" t="s">
        <v>52</v>
      </c>
      <c r="F2380" s="10" t="s">
        <v>113</v>
      </c>
      <c r="G2380" s="10" t="b">
        <f>TRUE()</f>
        <v>1</v>
      </c>
      <c r="H2380" s="10">
        <v>0</v>
      </c>
      <c r="I2380" s="10">
        <v>1</v>
      </c>
      <c r="J2380" s="10">
        <v>0</v>
      </c>
      <c r="K2380" s="10">
        <v>0</v>
      </c>
      <c r="L2380" s="10">
        <v>0</v>
      </c>
      <c r="M2380" s="10">
        <v>1</v>
      </c>
      <c r="N2380" s="10">
        <v>103</v>
      </c>
      <c r="O2380" s="10">
        <v>100</v>
      </c>
    </row>
    <row r="2381" spans="1:15" x14ac:dyDescent="0.2">
      <c r="A2381" s="10" t="s">
        <v>1186</v>
      </c>
      <c r="B2381" s="10" t="s">
        <v>498</v>
      </c>
      <c r="C2381" s="10" t="s">
        <v>245</v>
      </c>
      <c r="D2381" s="10" t="s">
        <v>51</v>
      </c>
      <c r="E2381" s="10" t="s">
        <v>52</v>
      </c>
      <c r="F2381" s="10" t="s">
        <v>92</v>
      </c>
      <c r="G2381" s="10" t="b">
        <f>FALSE()</f>
        <v>0</v>
      </c>
      <c r="H2381" s="10">
        <v>0</v>
      </c>
      <c r="I2381" s="10">
        <v>1</v>
      </c>
      <c r="J2381" s="10">
        <v>0</v>
      </c>
      <c r="K2381" s="10">
        <v>0</v>
      </c>
      <c r="L2381" s="10">
        <v>0</v>
      </c>
      <c r="M2381" s="10">
        <v>1</v>
      </c>
      <c r="N2381" s="10">
        <v>95</v>
      </c>
      <c r="O2381" s="10">
        <v>100</v>
      </c>
    </row>
    <row r="2382" spans="1:15" x14ac:dyDescent="0.2">
      <c r="A2382" s="10" t="s">
        <v>1278</v>
      </c>
      <c r="B2382" s="10" t="s">
        <v>63</v>
      </c>
      <c r="C2382" s="10" t="s">
        <v>64</v>
      </c>
      <c r="D2382" s="10" t="s">
        <v>45</v>
      </c>
      <c r="E2382" s="10" t="s">
        <v>46</v>
      </c>
      <c r="F2382" s="10" t="s">
        <v>85</v>
      </c>
      <c r="G2382" s="10" t="b">
        <f>FALSE()</f>
        <v>0</v>
      </c>
      <c r="H2382" s="10">
        <v>0</v>
      </c>
      <c r="I2382" s="10">
        <v>1</v>
      </c>
      <c r="J2382" s="10">
        <v>0</v>
      </c>
      <c r="K2382" s="10">
        <v>0</v>
      </c>
      <c r="L2382" s="10">
        <v>0</v>
      </c>
      <c r="M2382" s="10">
        <v>1</v>
      </c>
      <c r="N2382" s="10">
        <v>100</v>
      </c>
      <c r="O2382" s="10">
        <v>100</v>
      </c>
    </row>
    <row r="2383" spans="1:15" x14ac:dyDescent="0.2">
      <c r="A2383" s="10" t="s">
        <v>1279</v>
      </c>
      <c r="B2383" s="10" t="s">
        <v>193</v>
      </c>
      <c r="C2383" s="10" t="s">
        <v>117</v>
      </c>
      <c r="D2383" s="10" t="s">
        <v>51</v>
      </c>
      <c r="E2383" s="10" t="s">
        <v>52</v>
      </c>
      <c r="F2383" s="10" t="s">
        <v>190</v>
      </c>
      <c r="G2383" s="10" t="b">
        <f>TRUE()</f>
        <v>1</v>
      </c>
      <c r="H2383" s="10">
        <v>0</v>
      </c>
      <c r="I2383" s="10">
        <v>1</v>
      </c>
      <c r="J2383" s="10">
        <v>0</v>
      </c>
      <c r="K2383" s="10">
        <v>0</v>
      </c>
      <c r="L2383" s="10">
        <v>0</v>
      </c>
      <c r="M2383" s="10">
        <v>1</v>
      </c>
      <c r="N2383" s="10">
        <v>99</v>
      </c>
      <c r="O2383" s="10">
        <v>99</v>
      </c>
    </row>
    <row r="2384" spans="1:15" x14ac:dyDescent="0.2">
      <c r="A2384" s="10" t="s">
        <v>1280</v>
      </c>
      <c r="B2384" s="10" t="s">
        <v>727</v>
      </c>
      <c r="C2384" s="10" t="s">
        <v>112</v>
      </c>
      <c r="D2384" s="10" t="s">
        <v>51</v>
      </c>
      <c r="E2384" s="10" t="s">
        <v>52</v>
      </c>
      <c r="F2384" s="10" t="s">
        <v>180</v>
      </c>
      <c r="G2384" s="10" t="b">
        <f>FALSE()</f>
        <v>0</v>
      </c>
      <c r="H2384" s="10">
        <v>0</v>
      </c>
      <c r="I2384" s="10">
        <v>1</v>
      </c>
      <c r="J2384" s="10">
        <v>0</v>
      </c>
      <c r="K2384" s="10">
        <v>0</v>
      </c>
      <c r="L2384" s="10">
        <v>0</v>
      </c>
      <c r="M2384" s="10">
        <v>1</v>
      </c>
      <c r="N2384" s="10">
        <v>99</v>
      </c>
      <c r="O2384" s="10">
        <v>99</v>
      </c>
    </row>
    <row r="2385" spans="1:15" x14ac:dyDescent="0.2">
      <c r="A2385" s="10" t="s">
        <v>1109</v>
      </c>
      <c r="B2385" s="10" t="s">
        <v>122</v>
      </c>
      <c r="C2385" s="10" t="s">
        <v>112</v>
      </c>
      <c r="D2385" s="10" t="s">
        <v>51</v>
      </c>
      <c r="E2385" s="10" t="s">
        <v>52</v>
      </c>
      <c r="F2385" s="10" t="s">
        <v>434</v>
      </c>
      <c r="G2385" s="10" t="b">
        <f>FALSE()</f>
        <v>0</v>
      </c>
      <c r="H2385" s="10">
        <v>0</v>
      </c>
      <c r="I2385" s="10">
        <v>1</v>
      </c>
      <c r="J2385" s="10">
        <v>0</v>
      </c>
      <c r="K2385" s="10">
        <v>0</v>
      </c>
      <c r="L2385" s="10">
        <v>0</v>
      </c>
      <c r="M2385" s="10">
        <v>1</v>
      </c>
      <c r="N2385" s="10">
        <v>100</v>
      </c>
      <c r="O2385" s="10">
        <v>99</v>
      </c>
    </row>
    <row r="2386" spans="1:15" x14ac:dyDescent="0.2">
      <c r="A2386" s="10" t="s">
        <v>1074</v>
      </c>
      <c r="B2386" s="10" t="s">
        <v>104</v>
      </c>
      <c r="C2386" s="10" t="s">
        <v>105</v>
      </c>
      <c r="D2386" s="10" t="s">
        <v>45</v>
      </c>
      <c r="E2386" s="10" t="s">
        <v>46</v>
      </c>
      <c r="F2386" s="10" t="s">
        <v>97</v>
      </c>
      <c r="G2386" s="10" t="b">
        <f>TRUE()</f>
        <v>1</v>
      </c>
      <c r="H2386" s="10">
        <v>0</v>
      </c>
      <c r="I2386" s="10">
        <v>1</v>
      </c>
      <c r="J2386" s="10">
        <v>0</v>
      </c>
      <c r="K2386" s="10">
        <v>0</v>
      </c>
      <c r="L2386" s="10">
        <v>0</v>
      </c>
      <c r="M2386" s="10">
        <v>1</v>
      </c>
      <c r="N2386" s="10">
        <v>101</v>
      </c>
      <c r="O2386" s="10">
        <v>99</v>
      </c>
    </row>
    <row r="2387" spans="1:15" x14ac:dyDescent="0.2">
      <c r="A2387" s="10" t="s">
        <v>1122</v>
      </c>
      <c r="B2387" s="10" t="s">
        <v>285</v>
      </c>
      <c r="C2387" s="10" t="s">
        <v>105</v>
      </c>
      <c r="D2387" s="10" t="s">
        <v>45</v>
      </c>
      <c r="E2387" s="10" t="s">
        <v>46</v>
      </c>
      <c r="F2387" s="10" t="s">
        <v>47</v>
      </c>
      <c r="G2387" s="10" t="b">
        <f>FALSE()</f>
        <v>0</v>
      </c>
      <c r="H2387" s="10">
        <v>0</v>
      </c>
      <c r="I2387" s="10">
        <v>1</v>
      </c>
      <c r="J2387" s="10">
        <v>0</v>
      </c>
      <c r="K2387" s="10">
        <v>0</v>
      </c>
      <c r="L2387" s="10">
        <v>0</v>
      </c>
      <c r="M2387" s="10">
        <v>1</v>
      </c>
      <c r="N2387" s="10">
        <v>99</v>
      </c>
      <c r="O2387" s="10">
        <v>99</v>
      </c>
    </row>
    <row r="2388" spans="1:15" x14ac:dyDescent="0.2">
      <c r="A2388" s="10" t="s">
        <v>1154</v>
      </c>
      <c r="B2388" s="10" t="s">
        <v>119</v>
      </c>
      <c r="C2388" s="10" t="s">
        <v>56</v>
      </c>
      <c r="D2388" s="10" t="s">
        <v>45</v>
      </c>
      <c r="E2388" s="10" t="s">
        <v>46</v>
      </c>
      <c r="F2388" s="10" t="s">
        <v>47</v>
      </c>
      <c r="G2388" s="10" t="b">
        <f>FALSE()</f>
        <v>0</v>
      </c>
      <c r="H2388" s="10">
        <v>0</v>
      </c>
      <c r="I2388" s="10">
        <v>1</v>
      </c>
      <c r="J2388" s="10">
        <v>0</v>
      </c>
      <c r="K2388" s="10">
        <v>0</v>
      </c>
      <c r="L2388" s="10">
        <v>0</v>
      </c>
      <c r="M2388" s="10">
        <v>1</v>
      </c>
      <c r="N2388" s="10">
        <v>110</v>
      </c>
      <c r="O2388" s="10">
        <v>99</v>
      </c>
    </row>
    <row r="2389" spans="1:15" x14ac:dyDescent="0.2">
      <c r="A2389" s="10" t="s">
        <v>1281</v>
      </c>
      <c r="B2389" s="10" t="s">
        <v>116</v>
      </c>
      <c r="C2389" s="10" t="s">
        <v>117</v>
      </c>
      <c r="D2389" s="10" t="s">
        <v>51</v>
      </c>
      <c r="E2389" s="10" t="s">
        <v>52</v>
      </c>
      <c r="F2389" s="10" t="s">
        <v>92</v>
      </c>
      <c r="G2389" s="10" t="b">
        <f>FALSE()</f>
        <v>0</v>
      </c>
      <c r="H2389" s="10">
        <v>0</v>
      </c>
      <c r="I2389" s="10">
        <v>1</v>
      </c>
      <c r="J2389" s="10">
        <v>0</v>
      </c>
      <c r="K2389" s="10">
        <v>0</v>
      </c>
      <c r="L2389" s="10">
        <v>0</v>
      </c>
      <c r="M2389" s="10">
        <v>1</v>
      </c>
      <c r="N2389" s="10">
        <v>98</v>
      </c>
      <c r="O2389" s="10">
        <v>98</v>
      </c>
    </row>
    <row r="2390" spans="1:15" x14ac:dyDescent="0.2">
      <c r="A2390" s="10" t="s">
        <v>1262</v>
      </c>
      <c r="B2390" s="10" t="s">
        <v>193</v>
      </c>
      <c r="C2390" s="10" t="s">
        <v>117</v>
      </c>
      <c r="D2390" s="10" t="s">
        <v>51</v>
      </c>
      <c r="E2390" s="10" t="s">
        <v>52</v>
      </c>
      <c r="F2390" s="10" t="s">
        <v>251</v>
      </c>
      <c r="G2390" s="10" t="b">
        <f>FALSE()</f>
        <v>0</v>
      </c>
      <c r="H2390" s="10">
        <v>0</v>
      </c>
      <c r="I2390" s="10">
        <v>1</v>
      </c>
      <c r="J2390" s="10">
        <v>0</v>
      </c>
      <c r="K2390" s="10">
        <v>0</v>
      </c>
      <c r="L2390" s="10">
        <v>0</v>
      </c>
      <c r="M2390" s="10">
        <v>1</v>
      </c>
      <c r="N2390" s="10">
        <v>98</v>
      </c>
      <c r="O2390" s="10">
        <v>98</v>
      </c>
    </row>
    <row r="2391" spans="1:15" x14ac:dyDescent="0.2">
      <c r="A2391" s="10" t="s">
        <v>1282</v>
      </c>
      <c r="B2391" s="10" t="s">
        <v>70</v>
      </c>
      <c r="C2391" s="10" t="s">
        <v>70</v>
      </c>
      <c r="D2391" s="10" t="s">
        <v>45</v>
      </c>
      <c r="E2391" s="10" t="s">
        <v>46</v>
      </c>
      <c r="F2391" s="10" t="s">
        <v>251</v>
      </c>
      <c r="G2391" s="10" t="b">
        <f>FALSE()</f>
        <v>0</v>
      </c>
      <c r="H2391" s="10">
        <v>0</v>
      </c>
      <c r="I2391" s="10">
        <v>1</v>
      </c>
      <c r="J2391" s="10">
        <v>0</v>
      </c>
      <c r="K2391" s="10">
        <v>0</v>
      </c>
      <c r="L2391" s="10">
        <v>0</v>
      </c>
      <c r="M2391" s="10">
        <v>1</v>
      </c>
      <c r="N2391" s="10">
        <v>98</v>
      </c>
      <c r="O2391" s="10">
        <v>98</v>
      </c>
    </row>
    <row r="2392" spans="1:15" x14ac:dyDescent="0.2">
      <c r="A2392" s="10" t="s">
        <v>1264</v>
      </c>
      <c r="B2392" s="10" t="s">
        <v>43</v>
      </c>
      <c r="C2392" s="10" t="s">
        <v>44</v>
      </c>
      <c r="D2392" s="10" t="s">
        <v>45</v>
      </c>
      <c r="E2392" s="10" t="s">
        <v>46</v>
      </c>
      <c r="F2392" s="10" t="s">
        <v>219</v>
      </c>
      <c r="G2392" s="10" t="b">
        <f>FALSE()</f>
        <v>0</v>
      </c>
      <c r="H2392" s="10">
        <v>1</v>
      </c>
      <c r="I2392" s="10">
        <v>1</v>
      </c>
      <c r="J2392" s="10">
        <v>1</v>
      </c>
      <c r="K2392" s="10">
        <v>26</v>
      </c>
      <c r="L2392" s="10">
        <v>0</v>
      </c>
      <c r="M2392" s="10">
        <v>1</v>
      </c>
      <c r="N2392" s="10">
        <v>97</v>
      </c>
      <c r="O2392" s="10">
        <v>97</v>
      </c>
    </row>
    <row r="2393" spans="1:15" x14ac:dyDescent="0.2">
      <c r="A2393" s="10" t="s">
        <v>995</v>
      </c>
      <c r="B2393" s="10" t="s">
        <v>165</v>
      </c>
      <c r="C2393" s="10" t="s">
        <v>112</v>
      </c>
      <c r="D2393" s="10" t="s">
        <v>51</v>
      </c>
      <c r="E2393" s="10" t="s">
        <v>52</v>
      </c>
      <c r="F2393" s="10" t="s">
        <v>91</v>
      </c>
      <c r="G2393" s="10" t="b">
        <f>TRUE()</f>
        <v>1</v>
      </c>
      <c r="H2393" s="10">
        <v>0</v>
      </c>
      <c r="I2393" s="10">
        <v>1</v>
      </c>
      <c r="J2393" s="10">
        <v>0</v>
      </c>
      <c r="K2393" s="10">
        <v>0</v>
      </c>
      <c r="L2393" s="10">
        <v>0</v>
      </c>
      <c r="M2393" s="10">
        <v>1</v>
      </c>
      <c r="N2393" s="10">
        <v>98</v>
      </c>
      <c r="O2393" s="10">
        <v>97</v>
      </c>
    </row>
    <row r="2394" spans="1:15" x14ac:dyDescent="0.2">
      <c r="A2394" s="10" t="s">
        <v>1250</v>
      </c>
      <c r="B2394" s="10" t="s">
        <v>456</v>
      </c>
      <c r="C2394" s="10" t="s">
        <v>245</v>
      </c>
      <c r="D2394" s="10" t="s">
        <v>51</v>
      </c>
      <c r="E2394" s="10" t="s">
        <v>52</v>
      </c>
      <c r="F2394" s="10" t="s">
        <v>61</v>
      </c>
      <c r="G2394" s="10" t="b">
        <f>FALSE()</f>
        <v>0</v>
      </c>
      <c r="H2394" s="10">
        <v>0</v>
      </c>
      <c r="I2394" s="10">
        <v>1</v>
      </c>
      <c r="J2394" s="10">
        <v>0</v>
      </c>
      <c r="K2394" s="10">
        <v>0</v>
      </c>
      <c r="L2394" s="10">
        <v>0</v>
      </c>
      <c r="M2394" s="10">
        <v>1</v>
      </c>
      <c r="N2394" s="10">
        <v>91</v>
      </c>
      <c r="O2394" s="10">
        <v>97</v>
      </c>
    </row>
    <row r="2395" spans="1:15" x14ac:dyDescent="0.2">
      <c r="A2395" s="10" t="s">
        <v>134</v>
      </c>
      <c r="B2395" s="10" t="s">
        <v>139</v>
      </c>
      <c r="C2395" s="10" t="s">
        <v>64</v>
      </c>
      <c r="D2395" s="10" t="s">
        <v>45</v>
      </c>
      <c r="E2395" s="10" t="s">
        <v>46</v>
      </c>
      <c r="F2395" s="10" t="s">
        <v>61</v>
      </c>
      <c r="G2395" s="10" t="b">
        <f>FALSE()</f>
        <v>0</v>
      </c>
      <c r="H2395" s="10">
        <v>0</v>
      </c>
      <c r="I2395" s="10">
        <v>1</v>
      </c>
      <c r="J2395" s="10">
        <v>0</v>
      </c>
      <c r="K2395" s="10">
        <v>0</v>
      </c>
      <c r="L2395" s="10">
        <v>0</v>
      </c>
      <c r="M2395" s="10">
        <v>1</v>
      </c>
      <c r="N2395" s="10">
        <v>97</v>
      </c>
      <c r="O2395" s="10">
        <v>97</v>
      </c>
    </row>
    <row r="2396" spans="1:15" x14ac:dyDescent="0.2">
      <c r="A2396" s="10" t="s">
        <v>410</v>
      </c>
      <c r="B2396" s="10" t="s">
        <v>321</v>
      </c>
      <c r="C2396" s="10" t="s">
        <v>245</v>
      </c>
      <c r="D2396" s="10" t="s">
        <v>51</v>
      </c>
      <c r="E2396" s="10" t="s">
        <v>52</v>
      </c>
      <c r="F2396" s="10" t="s">
        <v>986</v>
      </c>
      <c r="G2396" s="10" t="b">
        <f>FALSE()</f>
        <v>0</v>
      </c>
      <c r="H2396" s="10">
        <v>0</v>
      </c>
      <c r="I2396" s="10">
        <v>1</v>
      </c>
      <c r="J2396" s="10">
        <v>0</v>
      </c>
      <c r="K2396" s="10">
        <v>0</v>
      </c>
      <c r="L2396" s="10">
        <v>0</v>
      </c>
      <c r="M2396" s="10">
        <v>1</v>
      </c>
      <c r="N2396" s="10">
        <v>96</v>
      </c>
      <c r="O2396" s="10">
        <v>96</v>
      </c>
    </row>
    <row r="2397" spans="1:15" x14ac:dyDescent="0.2">
      <c r="A2397" s="10" t="s">
        <v>1181</v>
      </c>
      <c r="B2397" s="10" t="s">
        <v>116</v>
      </c>
      <c r="C2397" s="10" t="s">
        <v>117</v>
      </c>
      <c r="D2397" s="10" t="s">
        <v>51</v>
      </c>
      <c r="E2397" s="10" t="s">
        <v>52</v>
      </c>
      <c r="F2397" s="10" t="s">
        <v>220</v>
      </c>
      <c r="G2397" s="10" t="b">
        <f>FALSE()</f>
        <v>0</v>
      </c>
      <c r="H2397" s="10">
        <v>0</v>
      </c>
      <c r="I2397" s="10">
        <v>1</v>
      </c>
      <c r="J2397" s="10">
        <v>0</v>
      </c>
      <c r="K2397" s="10">
        <v>0</v>
      </c>
      <c r="L2397" s="10">
        <v>0</v>
      </c>
      <c r="M2397" s="10">
        <v>1</v>
      </c>
      <c r="N2397" s="10">
        <v>99</v>
      </c>
      <c r="O2397" s="10">
        <v>96</v>
      </c>
    </row>
    <row r="2398" spans="1:15" x14ac:dyDescent="0.2">
      <c r="A2398" s="10" t="s">
        <v>1066</v>
      </c>
      <c r="B2398" s="10" t="s">
        <v>477</v>
      </c>
      <c r="C2398" s="10" t="s">
        <v>50</v>
      </c>
      <c r="D2398" s="10" t="s">
        <v>51</v>
      </c>
      <c r="E2398" s="10" t="s">
        <v>52</v>
      </c>
      <c r="F2398" s="10" t="s">
        <v>660</v>
      </c>
      <c r="G2398" s="10" t="b">
        <f>FALSE()</f>
        <v>0</v>
      </c>
      <c r="H2398" s="10">
        <v>0</v>
      </c>
      <c r="I2398" s="10">
        <v>1</v>
      </c>
      <c r="J2398" s="10">
        <v>0</v>
      </c>
      <c r="K2398" s="10">
        <v>0</v>
      </c>
      <c r="L2398" s="10">
        <v>0</v>
      </c>
      <c r="M2398" s="10">
        <v>1</v>
      </c>
      <c r="N2398" s="10">
        <v>96</v>
      </c>
      <c r="O2398" s="10">
        <v>96</v>
      </c>
    </row>
    <row r="2399" spans="1:15" x14ac:dyDescent="0.2">
      <c r="A2399" s="10" t="s">
        <v>1080</v>
      </c>
      <c r="B2399" s="10" t="s">
        <v>67</v>
      </c>
      <c r="C2399" s="10" t="s">
        <v>64</v>
      </c>
      <c r="D2399" s="10" t="s">
        <v>45</v>
      </c>
      <c r="E2399" s="10" t="s">
        <v>46</v>
      </c>
      <c r="F2399" s="10" t="s">
        <v>444</v>
      </c>
      <c r="G2399" s="10" t="b">
        <f>TRUE()</f>
        <v>1</v>
      </c>
      <c r="H2399" s="10">
        <v>0</v>
      </c>
      <c r="I2399" s="10">
        <v>1</v>
      </c>
      <c r="J2399" s="10">
        <v>0</v>
      </c>
      <c r="K2399" s="10">
        <v>0</v>
      </c>
      <c r="L2399" s="10">
        <v>0</v>
      </c>
      <c r="M2399" s="10">
        <v>1</v>
      </c>
      <c r="N2399" s="10">
        <v>97</v>
      </c>
      <c r="O2399" s="10">
        <v>96</v>
      </c>
    </row>
    <row r="2400" spans="1:15" x14ac:dyDescent="0.2">
      <c r="A2400" s="10" t="s">
        <v>1283</v>
      </c>
      <c r="B2400" s="10" t="s">
        <v>160</v>
      </c>
      <c r="C2400" s="10" t="s">
        <v>56</v>
      </c>
      <c r="D2400" s="10" t="s">
        <v>45</v>
      </c>
      <c r="E2400" s="10" t="s">
        <v>46</v>
      </c>
      <c r="F2400" s="10" t="s">
        <v>75</v>
      </c>
      <c r="G2400" s="10" t="b">
        <f>FALSE()</f>
        <v>0</v>
      </c>
      <c r="H2400" s="10">
        <v>0</v>
      </c>
      <c r="I2400" s="10">
        <v>1</v>
      </c>
      <c r="J2400" s="10">
        <v>0</v>
      </c>
      <c r="K2400" s="10">
        <v>0</v>
      </c>
      <c r="L2400" s="10">
        <v>0</v>
      </c>
      <c r="M2400" s="10">
        <v>1</v>
      </c>
      <c r="N2400" s="10">
        <v>96</v>
      </c>
      <c r="O2400" s="10">
        <v>96</v>
      </c>
    </row>
    <row r="2401" spans="1:15" x14ac:dyDescent="0.2">
      <c r="A2401" s="10" t="s">
        <v>1040</v>
      </c>
      <c r="B2401" s="10" t="s">
        <v>55</v>
      </c>
      <c r="C2401" s="10" t="s">
        <v>56</v>
      </c>
      <c r="D2401" s="10" t="s">
        <v>45</v>
      </c>
      <c r="E2401" s="10" t="s">
        <v>46</v>
      </c>
      <c r="F2401" s="10" t="s">
        <v>1249</v>
      </c>
      <c r="G2401" s="10" t="b">
        <f>TRUE()</f>
        <v>1</v>
      </c>
      <c r="H2401" s="10">
        <v>0</v>
      </c>
      <c r="I2401" s="10">
        <v>1</v>
      </c>
      <c r="J2401" s="10">
        <v>0</v>
      </c>
      <c r="K2401" s="10">
        <v>0</v>
      </c>
      <c r="L2401" s="10">
        <v>0</v>
      </c>
      <c r="M2401" s="10">
        <v>1</v>
      </c>
      <c r="N2401" s="10">
        <v>97</v>
      </c>
      <c r="O2401" s="10">
        <v>96</v>
      </c>
    </row>
    <row r="2402" spans="1:15" x14ac:dyDescent="0.2">
      <c r="A2402" s="10" t="s">
        <v>1105</v>
      </c>
      <c r="B2402" s="10" t="s">
        <v>43</v>
      </c>
      <c r="C2402" s="10" t="s">
        <v>44</v>
      </c>
      <c r="D2402" s="10" t="s">
        <v>45</v>
      </c>
      <c r="E2402" s="10" t="s">
        <v>46</v>
      </c>
      <c r="F2402" s="10" t="s">
        <v>74</v>
      </c>
      <c r="G2402" s="10" t="b">
        <f>FALSE()</f>
        <v>0</v>
      </c>
      <c r="H2402" s="10">
        <v>0</v>
      </c>
      <c r="I2402" s="10">
        <v>1</v>
      </c>
      <c r="J2402" s="10">
        <v>0</v>
      </c>
      <c r="K2402" s="10">
        <v>0</v>
      </c>
      <c r="L2402" s="10">
        <v>0</v>
      </c>
      <c r="M2402" s="10">
        <v>1</v>
      </c>
      <c r="N2402" s="10">
        <v>96</v>
      </c>
      <c r="O2402" s="10">
        <v>96</v>
      </c>
    </row>
    <row r="2403" spans="1:15" x14ac:dyDescent="0.2">
      <c r="A2403" s="10" t="s">
        <v>376</v>
      </c>
      <c r="B2403" s="10" t="s">
        <v>377</v>
      </c>
      <c r="C2403" s="10" t="s">
        <v>50</v>
      </c>
      <c r="D2403" s="10" t="s">
        <v>51</v>
      </c>
      <c r="E2403" s="10" t="s">
        <v>52</v>
      </c>
      <c r="F2403" s="10" t="s">
        <v>434</v>
      </c>
      <c r="G2403" s="10" t="b">
        <f>FALSE()</f>
        <v>0</v>
      </c>
      <c r="H2403" s="10">
        <v>0</v>
      </c>
      <c r="I2403" s="10">
        <v>1</v>
      </c>
      <c r="J2403" s="10">
        <v>0</v>
      </c>
      <c r="K2403" s="10">
        <v>0</v>
      </c>
      <c r="L2403" s="10">
        <v>0</v>
      </c>
      <c r="M2403" s="10">
        <v>1</v>
      </c>
      <c r="N2403" s="10">
        <v>97</v>
      </c>
      <c r="O2403" s="10">
        <v>95</v>
      </c>
    </row>
    <row r="2404" spans="1:15" x14ac:dyDescent="0.2">
      <c r="A2404" s="10" t="s">
        <v>1150</v>
      </c>
      <c r="B2404" s="10" t="s">
        <v>196</v>
      </c>
      <c r="C2404" s="10" t="s">
        <v>117</v>
      </c>
      <c r="D2404" s="10" t="s">
        <v>51</v>
      </c>
      <c r="E2404" s="10" t="s">
        <v>52</v>
      </c>
      <c r="F2404" s="10" t="s">
        <v>308</v>
      </c>
      <c r="G2404" s="10" t="b">
        <f>TRUE()</f>
        <v>1</v>
      </c>
      <c r="H2404" s="10">
        <v>0</v>
      </c>
      <c r="I2404" s="10">
        <v>1</v>
      </c>
      <c r="J2404" s="10">
        <v>0</v>
      </c>
      <c r="K2404" s="10">
        <v>0</v>
      </c>
      <c r="L2404" s="10">
        <v>0</v>
      </c>
      <c r="M2404" s="10">
        <v>1</v>
      </c>
      <c r="N2404" s="10">
        <v>96</v>
      </c>
      <c r="O2404" s="10">
        <v>95</v>
      </c>
    </row>
    <row r="2405" spans="1:15" x14ac:dyDescent="0.2">
      <c r="A2405" s="10" t="s">
        <v>1196</v>
      </c>
      <c r="B2405" s="10" t="s">
        <v>104</v>
      </c>
      <c r="C2405" s="10" t="s">
        <v>105</v>
      </c>
      <c r="D2405" s="10" t="s">
        <v>45</v>
      </c>
      <c r="E2405" s="10" t="s">
        <v>46</v>
      </c>
      <c r="F2405" s="10" t="s">
        <v>251</v>
      </c>
      <c r="G2405" s="10" t="b">
        <f>FALSE()</f>
        <v>0</v>
      </c>
      <c r="H2405" s="10">
        <v>0</v>
      </c>
      <c r="I2405" s="10">
        <v>1</v>
      </c>
      <c r="J2405" s="10">
        <v>0</v>
      </c>
      <c r="K2405" s="10">
        <v>0</v>
      </c>
      <c r="L2405" s="10">
        <v>0</v>
      </c>
      <c r="M2405" s="10">
        <v>1</v>
      </c>
      <c r="N2405" s="10">
        <v>97</v>
      </c>
      <c r="O2405" s="10">
        <v>95</v>
      </c>
    </row>
    <row r="2406" spans="1:15" x14ac:dyDescent="0.2">
      <c r="A2406" s="10" t="s">
        <v>177</v>
      </c>
      <c r="B2406" s="10" t="s">
        <v>178</v>
      </c>
      <c r="C2406" s="10" t="s">
        <v>73</v>
      </c>
      <c r="D2406" s="10" t="s">
        <v>45</v>
      </c>
      <c r="E2406" s="10" t="s">
        <v>46</v>
      </c>
      <c r="F2406" s="10" t="s">
        <v>153</v>
      </c>
      <c r="G2406" s="10" t="b">
        <f>FALSE()</f>
        <v>0</v>
      </c>
      <c r="H2406" s="10">
        <v>0</v>
      </c>
      <c r="I2406" s="10">
        <v>1</v>
      </c>
      <c r="J2406" s="10">
        <v>0</v>
      </c>
      <c r="K2406" s="10">
        <v>0</v>
      </c>
      <c r="L2406" s="10">
        <v>0</v>
      </c>
      <c r="M2406" s="10">
        <v>1</v>
      </c>
      <c r="N2406" s="10">
        <v>99</v>
      </c>
      <c r="O2406" s="10">
        <v>94</v>
      </c>
    </row>
    <row r="2407" spans="1:15" x14ac:dyDescent="0.2">
      <c r="A2407" s="10" t="s">
        <v>459</v>
      </c>
      <c r="B2407" s="10" t="s">
        <v>172</v>
      </c>
      <c r="C2407" s="10" t="s">
        <v>44</v>
      </c>
      <c r="D2407" s="10" t="s">
        <v>45</v>
      </c>
      <c r="E2407" s="10" t="s">
        <v>46</v>
      </c>
      <c r="F2407" s="10" t="s">
        <v>660</v>
      </c>
      <c r="G2407" s="10" t="b">
        <f>FALSE()</f>
        <v>0</v>
      </c>
      <c r="H2407" s="10">
        <v>0</v>
      </c>
      <c r="I2407" s="10">
        <v>1</v>
      </c>
      <c r="J2407" s="10">
        <v>0</v>
      </c>
      <c r="K2407" s="10">
        <v>0</v>
      </c>
      <c r="L2407" s="10">
        <v>0</v>
      </c>
      <c r="M2407" s="10">
        <v>1</v>
      </c>
      <c r="N2407" s="10">
        <v>95</v>
      </c>
      <c r="O2407" s="10">
        <v>94</v>
      </c>
    </row>
    <row r="2408" spans="1:15" x14ac:dyDescent="0.2">
      <c r="A2408" s="10" t="s">
        <v>691</v>
      </c>
      <c r="B2408" s="10" t="s">
        <v>136</v>
      </c>
      <c r="C2408" s="10" t="s">
        <v>73</v>
      </c>
      <c r="D2408" s="10" t="s">
        <v>45</v>
      </c>
      <c r="E2408" s="10" t="s">
        <v>46</v>
      </c>
      <c r="F2408" s="10" t="s">
        <v>363</v>
      </c>
      <c r="G2408" s="10" t="b">
        <f>FALSE()</f>
        <v>0</v>
      </c>
      <c r="H2408" s="10">
        <v>0</v>
      </c>
      <c r="I2408" s="10">
        <v>1</v>
      </c>
      <c r="J2408" s="10">
        <v>0</v>
      </c>
      <c r="K2408" s="10">
        <v>0</v>
      </c>
      <c r="L2408" s="10">
        <v>0</v>
      </c>
      <c r="M2408" s="10">
        <v>1</v>
      </c>
      <c r="N2408" s="10">
        <v>94</v>
      </c>
      <c r="O2408" s="10">
        <v>94</v>
      </c>
    </row>
    <row r="2409" spans="1:15" x14ac:dyDescent="0.2">
      <c r="A2409" s="10" t="s">
        <v>811</v>
      </c>
      <c r="B2409" s="10" t="s">
        <v>128</v>
      </c>
      <c r="C2409" s="10" t="s">
        <v>50</v>
      </c>
      <c r="D2409" s="10" t="s">
        <v>51</v>
      </c>
      <c r="E2409" s="10" t="s">
        <v>52</v>
      </c>
      <c r="F2409" s="10" t="s">
        <v>153</v>
      </c>
      <c r="G2409" s="10" t="b">
        <f>FALSE()</f>
        <v>0</v>
      </c>
      <c r="H2409" s="10">
        <v>0</v>
      </c>
      <c r="I2409" s="10">
        <v>1</v>
      </c>
      <c r="J2409" s="10">
        <v>0</v>
      </c>
      <c r="K2409" s="10">
        <v>0</v>
      </c>
      <c r="L2409" s="10">
        <v>0</v>
      </c>
      <c r="M2409" s="10">
        <v>1</v>
      </c>
      <c r="N2409" s="10">
        <v>94</v>
      </c>
      <c r="O2409" s="10">
        <v>94</v>
      </c>
    </row>
    <row r="2410" spans="1:15" x14ac:dyDescent="0.2">
      <c r="A2410" s="10" t="s">
        <v>1284</v>
      </c>
      <c r="B2410" s="10" t="s">
        <v>456</v>
      </c>
      <c r="C2410" s="10" t="s">
        <v>245</v>
      </c>
      <c r="D2410" s="10" t="s">
        <v>51</v>
      </c>
      <c r="E2410" s="10" t="s">
        <v>52</v>
      </c>
      <c r="F2410" s="10" t="s">
        <v>92</v>
      </c>
      <c r="G2410" s="10" t="b">
        <f>FALSE()</f>
        <v>0</v>
      </c>
      <c r="H2410" s="10">
        <v>0</v>
      </c>
      <c r="I2410" s="10">
        <v>1</v>
      </c>
      <c r="J2410" s="10">
        <v>0</v>
      </c>
      <c r="K2410" s="10">
        <v>0</v>
      </c>
      <c r="L2410" s="10">
        <v>0</v>
      </c>
      <c r="M2410" s="10">
        <v>1</v>
      </c>
      <c r="N2410" s="10">
        <v>94</v>
      </c>
      <c r="O2410" s="10">
        <v>94</v>
      </c>
    </row>
    <row r="2411" spans="1:15" x14ac:dyDescent="0.2">
      <c r="A2411" s="10" t="s">
        <v>1187</v>
      </c>
      <c r="B2411" s="10" t="s">
        <v>119</v>
      </c>
      <c r="C2411" s="10" t="s">
        <v>56</v>
      </c>
      <c r="D2411" s="10" t="s">
        <v>45</v>
      </c>
      <c r="E2411" s="10" t="s">
        <v>46</v>
      </c>
      <c r="F2411" s="10" t="s">
        <v>212</v>
      </c>
      <c r="G2411" s="10" t="b">
        <f>FALSE()</f>
        <v>0</v>
      </c>
      <c r="H2411" s="10">
        <v>0</v>
      </c>
      <c r="I2411" s="10">
        <v>1</v>
      </c>
      <c r="J2411" s="10">
        <v>0</v>
      </c>
      <c r="K2411" s="10">
        <v>0</v>
      </c>
      <c r="L2411" s="10">
        <v>0</v>
      </c>
      <c r="M2411" s="10">
        <v>1</v>
      </c>
      <c r="N2411" s="10">
        <v>107</v>
      </c>
      <c r="O2411" s="10">
        <v>94</v>
      </c>
    </row>
    <row r="2412" spans="1:15" x14ac:dyDescent="0.2">
      <c r="A2412" s="10" t="s">
        <v>1256</v>
      </c>
      <c r="B2412" s="10" t="s">
        <v>335</v>
      </c>
      <c r="C2412" s="10" t="s">
        <v>50</v>
      </c>
      <c r="D2412" s="10" t="s">
        <v>51</v>
      </c>
      <c r="E2412" s="10" t="s">
        <v>52</v>
      </c>
      <c r="F2412" s="10" t="s">
        <v>842</v>
      </c>
      <c r="G2412" s="10" t="b">
        <f>FALSE()</f>
        <v>0</v>
      </c>
      <c r="H2412" s="10">
        <v>0</v>
      </c>
      <c r="I2412" s="10">
        <v>1</v>
      </c>
      <c r="J2412" s="10">
        <v>0</v>
      </c>
      <c r="K2412" s="10">
        <v>0</v>
      </c>
      <c r="L2412" s="10">
        <v>0</v>
      </c>
      <c r="M2412" s="10">
        <v>1</v>
      </c>
      <c r="N2412" s="10">
        <v>57</v>
      </c>
      <c r="O2412" s="10">
        <v>93</v>
      </c>
    </row>
    <row r="2413" spans="1:15" x14ac:dyDescent="0.2">
      <c r="A2413" s="10" t="s">
        <v>1285</v>
      </c>
      <c r="B2413" s="10" t="s">
        <v>522</v>
      </c>
      <c r="C2413" s="10" t="s">
        <v>90</v>
      </c>
      <c r="D2413" s="10" t="s">
        <v>51</v>
      </c>
      <c r="E2413" s="10" t="s">
        <v>52</v>
      </c>
      <c r="F2413" s="10" t="s">
        <v>74</v>
      </c>
      <c r="G2413" s="10" t="b">
        <f>FALSE()</f>
        <v>0</v>
      </c>
      <c r="H2413" s="10">
        <v>0</v>
      </c>
      <c r="I2413" s="10">
        <v>1</v>
      </c>
      <c r="J2413" s="10">
        <v>0</v>
      </c>
      <c r="K2413" s="10">
        <v>0</v>
      </c>
      <c r="L2413" s="10">
        <v>0</v>
      </c>
      <c r="M2413" s="10">
        <v>1</v>
      </c>
      <c r="N2413" s="10">
        <v>97</v>
      </c>
      <c r="O2413" s="10">
        <v>93</v>
      </c>
    </row>
    <row r="2414" spans="1:15" x14ac:dyDescent="0.2">
      <c r="A2414" s="10" t="s">
        <v>1113</v>
      </c>
      <c r="B2414" s="10" t="s">
        <v>136</v>
      </c>
      <c r="C2414" s="10" t="s">
        <v>73</v>
      </c>
      <c r="D2414" s="10" t="s">
        <v>45</v>
      </c>
      <c r="E2414" s="10" t="s">
        <v>46</v>
      </c>
      <c r="F2414" s="10" t="s">
        <v>393</v>
      </c>
      <c r="G2414" s="10" t="b">
        <f>FALSE()</f>
        <v>0</v>
      </c>
      <c r="H2414" s="10">
        <v>0</v>
      </c>
      <c r="I2414" s="10">
        <v>1</v>
      </c>
      <c r="J2414" s="10">
        <v>0</v>
      </c>
      <c r="K2414" s="10">
        <v>0</v>
      </c>
      <c r="L2414" s="10">
        <v>0</v>
      </c>
      <c r="M2414" s="10">
        <v>1</v>
      </c>
      <c r="N2414" s="10">
        <v>93</v>
      </c>
      <c r="O2414" s="10">
        <v>93</v>
      </c>
    </row>
    <row r="2415" spans="1:15" x14ac:dyDescent="0.2">
      <c r="A2415" s="10" t="s">
        <v>1061</v>
      </c>
      <c r="B2415" s="10" t="s">
        <v>262</v>
      </c>
      <c r="C2415" s="10" t="s">
        <v>105</v>
      </c>
      <c r="D2415" s="10" t="s">
        <v>45</v>
      </c>
      <c r="E2415" s="10" t="s">
        <v>46</v>
      </c>
      <c r="F2415" s="10" t="s">
        <v>207</v>
      </c>
      <c r="G2415" s="10" t="b">
        <f>FALSE()</f>
        <v>0</v>
      </c>
      <c r="H2415" s="10">
        <v>0</v>
      </c>
      <c r="I2415" s="10">
        <v>1</v>
      </c>
      <c r="J2415" s="10">
        <v>0</v>
      </c>
      <c r="K2415" s="10">
        <v>0</v>
      </c>
      <c r="L2415" s="10">
        <v>0</v>
      </c>
      <c r="M2415" s="10">
        <v>1</v>
      </c>
      <c r="N2415" s="10">
        <v>103</v>
      </c>
      <c r="O2415" s="10">
        <v>93</v>
      </c>
    </row>
    <row r="2416" spans="1:15" x14ac:dyDescent="0.2">
      <c r="A2416" s="10" t="s">
        <v>103</v>
      </c>
      <c r="B2416" s="10" t="s">
        <v>104</v>
      </c>
      <c r="C2416" s="10" t="s">
        <v>105</v>
      </c>
      <c r="D2416" s="10" t="s">
        <v>45</v>
      </c>
      <c r="E2416" s="10" t="s">
        <v>46</v>
      </c>
      <c r="F2416" s="10" t="s">
        <v>403</v>
      </c>
      <c r="G2416" s="10" t="b">
        <f>TRUE()</f>
        <v>1</v>
      </c>
      <c r="H2416" s="10">
        <v>0</v>
      </c>
      <c r="I2416" s="10">
        <v>1</v>
      </c>
      <c r="J2416" s="10">
        <v>0</v>
      </c>
      <c r="K2416" s="10">
        <v>0</v>
      </c>
      <c r="L2416" s="10">
        <v>0</v>
      </c>
      <c r="M2416" s="10">
        <v>1</v>
      </c>
      <c r="N2416" s="10">
        <v>107</v>
      </c>
      <c r="O2416" s="10">
        <v>92</v>
      </c>
    </row>
    <row r="2417" spans="1:15" x14ac:dyDescent="0.2">
      <c r="A2417" s="10" t="s">
        <v>1286</v>
      </c>
      <c r="B2417" s="10" t="s">
        <v>111</v>
      </c>
      <c r="C2417" s="10" t="s">
        <v>112</v>
      </c>
      <c r="D2417" s="10" t="s">
        <v>51</v>
      </c>
      <c r="E2417" s="10" t="s">
        <v>52</v>
      </c>
      <c r="F2417" s="10" t="s">
        <v>223</v>
      </c>
      <c r="G2417" s="10" t="b">
        <f>FALSE()</f>
        <v>0</v>
      </c>
      <c r="H2417" s="10">
        <v>0</v>
      </c>
      <c r="I2417" s="10">
        <v>1</v>
      </c>
      <c r="J2417" s="10">
        <v>0</v>
      </c>
      <c r="K2417" s="10">
        <v>0</v>
      </c>
      <c r="L2417" s="10">
        <v>0</v>
      </c>
      <c r="M2417" s="10">
        <v>1</v>
      </c>
      <c r="N2417" s="10">
        <v>92</v>
      </c>
      <c r="O2417" s="10">
        <v>92</v>
      </c>
    </row>
    <row r="2418" spans="1:15" x14ac:dyDescent="0.2">
      <c r="A2418" s="10" t="s">
        <v>1188</v>
      </c>
      <c r="B2418" s="10" t="s">
        <v>111</v>
      </c>
      <c r="C2418" s="10" t="s">
        <v>112</v>
      </c>
      <c r="D2418" s="10" t="s">
        <v>51</v>
      </c>
      <c r="E2418" s="10" t="s">
        <v>52</v>
      </c>
      <c r="F2418" s="10" t="s">
        <v>207</v>
      </c>
      <c r="G2418" s="10" t="b">
        <f>FALSE()</f>
        <v>0</v>
      </c>
      <c r="H2418" s="10">
        <v>0</v>
      </c>
      <c r="I2418" s="10">
        <v>1</v>
      </c>
      <c r="J2418" s="10">
        <v>0</v>
      </c>
      <c r="K2418" s="10">
        <v>0</v>
      </c>
      <c r="L2418" s="10">
        <v>0</v>
      </c>
      <c r="M2418" s="10">
        <v>1</v>
      </c>
      <c r="N2418" s="10">
        <v>78</v>
      </c>
      <c r="O2418" s="10">
        <v>92</v>
      </c>
    </row>
    <row r="2419" spans="1:15" x14ac:dyDescent="0.2">
      <c r="A2419" s="10" t="s">
        <v>1141</v>
      </c>
      <c r="B2419" s="10" t="s">
        <v>405</v>
      </c>
      <c r="C2419" s="10" t="s">
        <v>112</v>
      </c>
      <c r="D2419" s="10" t="s">
        <v>51</v>
      </c>
      <c r="E2419" s="10" t="s">
        <v>52</v>
      </c>
      <c r="F2419" s="10" t="s">
        <v>970</v>
      </c>
      <c r="G2419" s="10" t="b">
        <f>FALSE()</f>
        <v>0</v>
      </c>
      <c r="H2419" s="10">
        <v>0</v>
      </c>
      <c r="I2419" s="10">
        <v>1</v>
      </c>
      <c r="J2419" s="10">
        <v>0</v>
      </c>
      <c r="K2419" s="10">
        <v>0</v>
      </c>
      <c r="L2419" s="10">
        <v>0</v>
      </c>
      <c r="M2419" s="10">
        <v>1</v>
      </c>
      <c r="N2419" s="10">
        <v>92</v>
      </c>
      <c r="O2419" s="10">
        <v>92</v>
      </c>
    </row>
    <row r="2420" spans="1:15" x14ac:dyDescent="0.2">
      <c r="A2420" s="10" t="s">
        <v>1047</v>
      </c>
      <c r="B2420" s="10" t="s">
        <v>96</v>
      </c>
      <c r="C2420" s="10" t="s">
        <v>50</v>
      </c>
      <c r="D2420" s="10" t="s">
        <v>51</v>
      </c>
      <c r="E2420" s="10" t="s">
        <v>52</v>
      </c>
      <c r="F2420" s="10" t="s">
        <v>153</v>
      </c>
      <c r="G2420" s="10" t="b">
        <f>FALSE()</f>
        <v>0</v>
      </c>
      <c r="H2420" s="10">
        <v>0</v>
      </c>
      <c r="I2420" s="10">
        <v>1</v>
      </c>
      <c r="J2420" s="10">
        <v>0</v>
      </c>
      <c r="K2420" s="10">
        <v>0</v>
      </c>
      <c r="L2420" s="10">
        <v>0</v>
      </c>
      <c r="M2420" s="10">
        <v>1</v>
      </c>
      <c r="N2420" s="10">
        <v>93</v>
      </c>
      <c r="O2420" s="10">
        <v>92</v>
      </c>
    </row>
    <row r="2421" spans="1:15" x14ac:dyDescent="0.2">
      <c r="A2421" s="10" t="s">
        <v>1178</v>
      </c>
      <c r="B2421" s="10" t="s">
        <v>96</v>
      </c>
      <c r="C2421" s="10" t="s">
        <v>50</v>
      </c>
      <c r="D2421" s="10" t="s">
        <v>51</v>
      </c>
      <c r="E2421" s="10" t="s">
        <v>52</v>
      </c>
      <c r="F2421" s="10" t="s">
        <v>91</v>
      </c>
      <c r="G2421" s="10" t="b">
        <f>TRUE()</f>
        <v>1</v>
      </c>
      <c r="H2421" s="10">
        <v>0</v>
      </c>
      <c r="I2421" s="10">
        <v>1</v>
      </c>
      <c r="J2421" s="10">
        <v>0</v>
      </c>
      <c r="K2421" s="10">
        <v>0</v>
      </c>
      <c r="L2421" s="10">
        <v>0</v>
      </c>
      <c r="M2421" s="10">
        <v>1</v>
      </c>
      <c r="N2421" s="10">
        <v>92</v>
      </c>
      <c r="O2421" s="10">
        <v>92</v>
      </c>
    </row>
    <row r="2422" spans="1:15" x14ac:dyDescent="0.2">
      <c r="A2422" s="10" t="s">
        <v>1108</v>
      </c>
      <c r="B2422" s="10" t="s">
        <v>232</v>
      </c>
      <c r="C2422" s="10" t="s">
        <v>90</v>
      </c>
      <c r="D2422" s="10" t="s">
        <v>51</v>
      </c>
      <c r="E2422" s="10" t="s">
        <v>52</v>
      </c>
      <c r="F2422" s="10" t="s">
        <v>61</v>
      </c>
      <c r="G2422" s="10" t="b">
        <f>FALSE()</f>
        <v>0</v>
      </c>
      <c r="H2422" s="10">
        <v>0</v>
      </c>
      <c r="I2422" s="10">
        <v>1</v>
      </c>
      <c r="J2422" s="10">
        <v>0</v>
      </c>
      <c r="K2422" s="10">
        <v>0</v>
      </c>
      <c r="L2422" s="10">
        <v>0</v>
      </c>
      <c r="M2422" s="10">
        <v>1</v>
      </c>
      <c r="N2422" s="10">
        <v>95</v>
      </c>
      <c r="O2422" s="10">
        <v>92</v>
      </c>
    </row>
    <row r="2423" spans="1:15" x14ac:dyDescent="0.2">
      <c r="A2423" s="10" t="s">
        <v>1097</v>
      </c>
      <c r="B2423" s="10" t="s">
        <v>109</v>
      </c>
      <c r="C2423" s="10" t="s">
        <v>90</v>
      </c>
      <c r="D2423" s="10" t="s">
        <v>51</v>
      </c>
      <c r="E2423" s="10" t="s">
        <v>52</v>
      </c>
      <c r="F2423" s="10" t="s">
        <v>91</v>
      </c>
      <c r="G2423" s="10" t="b">
        <f>TRUE()</f>
        <v>1</v>
      </c>
      <c r="H2423" s="10">
        <v>0</v>
      </c>
      <c r="I2423" s="10">
        <v>1</v>
      </c>
      <c r="J2423" s="10">
        <v>0</v>
      </c>
      <c r="K2423" s="10">
        <v>0</v>
      </c>
      <c r="L2423" s="10">
        <v>0</v>
      </c>
      <c r="M2423" s="10">
        <v>1</v>
      </c>
      <c r="N2423" s="10">
        <v>93</v>
      </c>
      <c r="O2423" s="10">
        <v>92</v>
      </c>
    </row>
    <row r="2424" spans="1:15" x14ac:dyDescent="0.2">
      <c r="A2424" s="10" t="s">
        <v>1287</v>
      </c>
      <c r="B2424" s="10" t="s">
        <v>218</v>
      </c>
      <c r="C2424" s="10" t="s">
        <v>73</v>
      </c>
      <c r="D2424" s="10" t="s">
        <v>45</v>
      </c>
      <c r="E2424" s="10" t="s">
        <v>46</v>
      </c>
      <c r="F2424" s="10" t="s">
        <v>91</v>
      </c>
      <c r="G2424" s="10" t="b">
        <f>TRUE()</f>
        <v>1</v>
      </c>
      <c r="H2424" s="10">
        <v>0</v>
      </c>
      <c r="I2424" s="10">
        <v>1</v>
      </c>
      <c r="J2424" s="10">
        <v>0</v>
      </c>
      <c r="K2424" s="10">
        <v>0</v>
      </c>
      <c r="L2424" s="10">
        <v>0</v>
      </c>
      <c r="M2424" s="10">
        <v>1</v>
      </c>
      <c r="N2424" s="10">
        <v>92</v>
      </c>
      <c r="O2424" s="10">
        <v>92</v>
      </c>
    </row>
    <row r="2425" spans="1:15" x14ac:dyDescent="0.2">
      <c r="A2425" s="10" t="s">
        <v>1043</v>
      </c>
      <c r="B2425" s="10" t="s">
        <v>218</v>
      </c>
      <c r="C2425" s="10" t="s">
        <v>73</v>
      </c>
      <c r="D2425" s="10" t="s">
        <v>45</v>
      </c>
      <c r="E2425" s="10" t="s">
        <v>46</v>
      </c>
      <c r="F2425" s="10" t="s">
        <v>190</v>
      </c>
      <c r="G2425" s="10" t="b">
        <f>TRUE()</f>
        <v>1</v>
      </c>
      <c r="H2425" s="10">
        <v>0</v>
      </c>
      <c r="I2425" s="10">
        <v>1</v>
      </c>
      <c r="J2425" s="10">
        <v>0</v>
      </c>
      <c r="K2425" s="10">
        <v>0</v>
      </c>
      <c r="L2425" s="10">
        <v>0</v>
      </c>
      <c r="M2425" s="10">
        <v>1</v>
      </c>
      <c r="N2425" s="10">
        <v>93</v>
      </c>
      <c r="O2425" s="10">
        <v>92</v>
      </c>
    </row>
    <row r="2426" spans="1:15" x14ac:dyDescent="0.2">
      <c r="A2426" s="10" t="s">
        <v>1288</v>
      </c>
      <c r="B2426" s="10" t="s">
        <v>70</v>
      </c>
      <c r="C2426" s="10" t="s">
        <v>70</v>
      </c>
      <c r="D2426" s="10" t="s">
        <v>45</v>
      </c>
      <c r="E2426" s="10" t="s">
        <v>46</v>
      </c>
      <c r="F2426" s="10" t="s">
        <v>791</v>
      </c>
      <c r="G2426" s="10" t="b">
        <f>FALSE()</f>
        <v>0</v>
      </c>
      <c r="H2426" s="10">
        <v>0</v>
      </c>
      <c r="I2426" s="10">
        <v>1</v>
      </c>
      <c r="J2426" s="10">
        <v>0</v>
      </c>
      <c r="K2426" s="10">
        <v>0</v>
      </c>
      <c r="L2426" s="10">
        <v>0</v>
      </c>
      <c r="M2426" s="10">
        <v>1</v>
      </c>
      <c r="N2426" s="10">
        <v>100</v>
      </c>
      <c r="O2426" s="10">
        <v>92</v>
      </c>
    </row>
    <row r="2427" spans="1:15" x14ac:dyDescent="0.2">
      <c r="A2427" s="10" t="s">
        <v>1262</v>
      </c>
      <c r="B2427" s="10" t="s">
        <v>193</v>
      </c>
      <c r="C2427" s="10" t="s">
        <v>117</v>
      </c>
      <c r="D2427" s="10" t="s">
        <v>51</v>
      </c>
      <c r="E2427" s="10" t="s">
        <v>52</v>
      </c>
      <c r="F2427" s="10" t="s">
        <v>204</v>
      </c>
      <c r="G2427" s="10" t="b">
        <f>FALSE()</f>
        <v>0</v>
      </c>
      <c r="H2427" s="10">
        <v>0</v>
      </c>
      <c r="I2427" s="10">
        <v>1</v>
      </c>
      <c r="J2427" s="10">
        <v>0</v>
      </c>
      <c r="K2427" s="10">
        <v>0</v>
      </c>
      <c r="L2427" s="10">
        <v>0</v>
      </c>
      <c r="M2427" s="10">
        <v>1</v>
      </c>
      <c r="N2427" s="10">
        <v>95</v>
      </c>
      <c r="O2427" s="10">
        <v>91</v>
      </c>
    </row>
    <row r="2428" spans="1:15" x14ac:dyDescent="0.2">
      <c r="A2428" s="10" t="s">
        <v>410</v>
      </c>
      <c r="B2428" s="10" t="s">
        <v>321</v>
      </c>
      <c r="C2428" s="10" t="s">
        <v>245</v>
      </c>
      <c r="D2428" s="10" t="s">
        <v>51</v>
      </c>
      <c r="E2428" s="10" t="s">
        <v>52</v>
      </c>
      <c r="F2428" s="10" t="s">
        <v>153</v>
      </c>
      <c r="G2428" s="10" t="b">
        <f>FALSE()</f>
        <v>0</v>
      </c>
      <c r="H2428" s="10">
        <v>0</v>
      </c>
      <c r="I2428" s="10">
        <v>1</v>
      </c>
      <c r="J2428" s="10">
        <v>0</v>
      </c>
      <c r="K2428" s="10">
        <v>0</v>
      </c>
      <c r="L2428" s="10">
        <v>0</v>
      </c>
      <c r="M2428" s="10">
        <v>1</v>
      </c>
      <c r="N2428" s="10">
        <v>90</v>
      </c>
      <c r="O2428" s="10">
        <v>90</v>
      </c>
    </row>
    <row r="2429" spans="1:15" x14ac:dyDescent="0.2">
      <c r="A2429" s="10" t="s">
        <v>303</v>
      </c>
      <c r="B2429" s="10" t="s">
        <v>172</v>
      </c>
      <c r="C2429" s="10" t="s">
        <v>44</v>
      </c>
      <c r="D2429" s="10" t="s">
        <v>45</v>
      </c>
      <c r="E2429" s="10" t="s">
        <v>46</v>
      </c>
      <c r="F2429" s="10" t="s">
        <v>1035</v>
      </c>
      <c r="G2429" s="10" t="b">
        <f>FALSE()</f>
        <v>0</v>
      </c>
      <c r="H2429" s="10">
        <v>0</v>
      </c>
      <c r="I2429" s="10">
        <v>1</v>
      </c>
      <c r="J2429" s="10">
        <v>0</v>
      </c>
      <c r="K2429" s="10">
        <v>0</v>
      </c>
      <c r="L2429" s="10">
        <v>0</v>
      </c>
      <c r="M2429" s="10">
        <v>1</v>
      </c>
      <c r="N2429" s="10">
        <v>92</v>
      </c>
      <c r="O2429" s="10">
        <v>90</v>
      </c>
    </row>
    <row r="2430" spans="1:15" x14ac:dyDescent="0.2">
      <c r="A2430" s="10" t="s">
        <v>1238</v>
      </c>
      <c r="B2430" s="10" t="s">
        <v>368</v>
      </c>
      <c r="C2430" s="10" t="s">
        <v>50</v>
      </c>
      <c r="D2430" s="10" t="s">
        <v>51</v>
      </c>
      <c r="E2430" s="10" t="s">
        <v>52</v>
      </c>
      <c r="F2430" s="10" t="s">
        <v>251</v>
      </c>
      <c r="G2430" s="10" t="b">
        <f>FALSE()</f>
        <v>0</v>
      </c>
      <c r="H2430" s="10">
        <v>0</v>
      </c>
      <c r="I2430" s="10">
        <v>1</v>
      </c>
      <c r="J2430" s="10">
        <v>0</v>
      </c>
      <c r="K2430" s="10">
        <v>0</v>
      </c>
      <c r="L2430" s="10">
        <v>0</v>
      </c>
      <c r="M2430" s="10">
        <v>1</v>
      </c>
      <c r="N2430" s="10">
        <v>90</v>
      </c>
      <c r="O2430" s="10">
        <v>90</v>
      </c>
    </row>
    <row r="2431" spans="1:15" x14ac:dyDescent="0.2">
      <c r="A2431" s="10" t="s">
        <v>1053</v>
      </c>
      <c r="B2431" s="10" t="s">
        <v>262</v>
      </c>
      <c r="C2431" s="10" t="s">
        <v>105</v>
      </c>
      <c r="D2431" s="10" t="s">
        <v>45</v>
      </c>
      <c r="E2431" s="10" t="s">
        <v>46</v>
      </c>
      <c r="F2431" s="10" t="s">
        <v>403</v>
      </c>
      <c r="G2431" s="10" t="b">
        <f>TRUE()</f>
        <v>1</v>
      </c>
      <c r="H2431" s="10">
        <v>0</v>
      </c>
      <c r="I2431" s="10">
        <v>1</v>
      </c>
      <c r="J2431" s="10">
        <v>0</v>
      </c>
      <c r="K2431" s="10">
        <v>0</v>
      </c>
      <c r="L2431" s="10">
        <v>0</v>
      </c>
      <c r="M2431" s="10">
        <v>1</v>
      </c>
      <c r="N2431" s="10">
        <v>91</v>
      </c>
      <c r="O2431" s="10">
        <v>90</v>
      </c>
    </row>
    <row r="2432" spans="1:15" x14ac:dyDescent="0.2">
      <c r="A2432" s="10" t="s">
        <v>1074</v>
      </c>
      <c r="B2432" s="10" t="s">
        <v>104</v>
      </c>
      <c r="C2432" s="10" t="s">
        <v>105</v>
      </c>
      <c r="D2432" s="10" t="s">
        <v>45</v>
      </c>
      <c r="E2432" s="10" t="s">
        <v>46</v>
      </c>
      <c r="F2432" s="10" t="s">
        <v>102</v>
      </c>
      <c r="G2432" s="10" t="b">
        <f>TRUE()</f>
        <v>1</v>
      </c>
      <c r="H2432" s="10">
        <v>0</v>
      </c>
      <c r="I2432" s="10">
        <v>1</v>
      </c>
      <c r="J2432" s="10">
        <v>0</v>
      </c>
      <c r="K2432" s="10">
        <v>0</v>
      </c>
      <c r="L2432" s="10">
        <v>0</v>
      </c>
      <c r="M2432" s="10">
        <v>1</v>
      </c>
      <c r="N2432" s="10">
        <v>91</v>
      </c>
      <c r="O2432" s="10">
        <v>90</v>
      </c>
    </row>
    <row r="2433" spans="1:15" x14ac:dyDescent="0.2">
      <c r="A2433" s="10" t="s">
        <v>734</v>
      </c>
      <c r="B2433" s="10" t="s">
        <v>89</v>
      </c>
      <c r="C2433" s="10" t="s">
        <v>90</v>
      </c>
      <c r="D2433" s="10" t="s">
        <v>51</v>
      </c>
      <c r="E2433" s="10" t="s">
        <v>52</v>
      </c>
      <c r="F2433" s="10" t="s">
        <v>107</v>
      </c>
      <c r="G2433" s="10" t="b">
        <f>FALSE()</f>
        <v>0</v>
      </c>
      <c r="H2433" s="10">
        <v>0</v>
      </c>
      <c r="I2433" s="10">
        <v>1</v>
      </c>
      <c r="J2433" s="10">
        <v>0</v>
      </c>
      <c r="K2433" s="10">
        <v>0</v>
      </c>
      <c r="L2433" s="10">
        <v>0</v>
      </c>
      <c r="M2433" s="10">
        <v>1</v>
      </c>
      <c r="N2433" s="10">
        <v>89</v>
      </c>
      <c r="O2433" s="10">
        <v>89</v>
      </c>
    </row>
    <row r="2434" spans="1:15" x14ac:dyDescent="0.2">
      <c r="A2434" s="10" t="s">
        <v>1289</v>
      </c>
      <c r="B2434" s="10" t="s">
        <v>116</v>
      </c>
      <c r="C2434" s="10" t="s">
        <v>117</v>
      </c>
      <c r="D2434" s="10" t="s">
        <v>51</v>
      </c>
      <c r="E2434" s="10" t="s">
        <v>52</v>
      </c>
      <c r="F2434" s="10" t="s">
        <v>92</v>
      </c>
      <c r="G2434" s="10" t="b">
        <f>FALSE()</f>
        <v>0</v>
      </c>
      <c r="H2434" s="10">
        <v>0</v>
      </c>
      <c r="I2434" s="10">
        <v>1</v>
      </c>
      <c r="J2434" s="10">
        <v>0</v>
      </c>
      <c r="K2434" s="10">
        <v>0</v>
      </c>
      <c r="L2434" s="10">
        <v>0</v>
      </c>
      <c r="M2434" s="10">
        <v>1</v>
      </c>
      <c r="N2434" s="10">
        <v>89</v>
      </c>
      <c r="O2434" s="10">
        <v>89</v>
      </c>
    </row>
    <row r="2435" spans="1:15" x14ac:dyDescent="0.2">
      <c r="A2435" s="10" t="s">
        <v>1194</v>
      </c>
      <c r="B2435" s="10" t="s">
        <v>89</v>
      </c>
      <c r="C2435" s="10" t="s">
        <v>90</v>
      </c>
      <c r="D2435" s="10" t="s">
        <v>51</v>
      </c>
      <c r="E2435" s="10" t="s">
        <v>52</v>
      </c>
      <c r="F2435" s="10" t="s">
        <v>79</v>
      </c>
      <c r="G2435" s="10" t="b">
        <f>FALSE()</f>
        <v>0</v>
      </c>
      <c r="H2435" s="10">
        <v>0</v>
      </c>
      <c r="I2435" s="10">
        <v>1</v>
      </c>
      <c r="J2435" s="10">
        <v>0</v>
      </c>
      <c r="K2435" s="10">
        <v>0</v>
      </c>
      <c r="L2435" s="10">
        <v>0</v>
      </c>
      <c r="M2435" s="10">
        <v>1</v>
      </c>
      <c r="N2435" s="10">
        <v>92</v>
      </c>
      <c r="O2435" s="10">
        <v>89</v>
      </c>
    </row>
    <row r="2436" spans="1:15" x14ac:dyDescent="0.2">
      <c r="A2436" s="10" t="s">
        <v>1126</v>
      </c>
      <c r="B2436" s="10" t="s">
        <v>260</v>
      </c>
      <c r="C2436" s="10" t="s">
        <v>64</v>
      </c>
      <c r="D2436" s="10" t="s">
        <v>45</v>
      </c>
      <c r="E2436" s="10" t="s">
        <v>46</v>
      </c>
      <c r="F2436" s="10" t="s">
        <v>214</v>
      </c>
      <c r="G2436" s="10" t="b">
        <f>FALSE()</f>
        <v>0</v>
      </c>
      <c r="H2436" s="10">
        <v>0</v>
      </c>
      <c r="I2436" s="10">
        <v>1</v>
      </c>
      <c r="J2436" s="10">
        <v>0</v>
      </c>
      <c r="K2436" s="10">
        <v>0</v>
      </c>
      <c r="L2436" s="10">
        <v>0</v>
      </c>
      <c r="M2436" s="10">
        <v>1</v>
      </c>
      <c r="N2436" s="10">
        <v>89</v>
      </c>
      <c r="O2436" s="10">
        <v>89</v>
      </c>
    </row>
    <row r="2437" spans="1:15" x14ac:dyDescent="0.2">
      <c r="A2437" s="10" t="s">
        <v>1074</v>
      </c>
      <c r="B2437" s="10" t="s">
        <v>104</v>
      </c>
      <c r="C2437" s="10" t="s">
        <v>105</v>
      </c>
      <c r="D2437" s="10" t="s">
        <v>45</v>
      </c>
      <c r="E2437" s="10" t="s">
        <v>46</v>
      </c>
      <c r="F2437" s="10" t="s">
        <v>1249</v>
      </c>
      <c r="G2437" s="10" t="b">
        <f>TRUE()</f>
        <v>1</v>
      </c>
      <c r="H2437" s="10">
        <v>0</v>
      </c>
      <c r="I2437" s="10">
        <v>1</v>
      </c>
      <c r="J2437" s="10">
        <v>0</v>
      </c>
      <c r="K2437" s="10">
        <v>0</v>
      </c>
      <c r="L2437" s="10">
        <v>0</v>
      </c>
      <c r="M2437" s="10">
        <v>1</v>
      </c>
      <c r="N2437" s="10">
        <v>92</v>
      </c>
      <c r="O2437" s="10">
        <v>89</v>
      </c>
    </row>
    <row r="2438" spans="1:15" x14ac:dyDescent="0.2">
      <c r="A2438" s="10" t="s">
        <v>1290</v>
      </c>
      <c r="B2438" s="10" t="s">
        <v>407</v>
      </c>
      <c r="C2438" s="10" t="s">
        <v>112</v>
      </c>
      <c r="D2438" s="10" t="s">
        <v>51</v>
      </c>
      <c r="E2438" s="10" t="s">
        <v>52</v>
      </c>
      <c r="F2438" s="10" t="s">
        <v>434</v>
      </c>
      <c r="G2438" s="10" t="b">
        <f>FALSE()</f>
        <v>0</v>
      </c>
      <c r="H2438" s="10">
        <v>0</v>
      </c>
      <c r="I2438" s="10">
        <v>1</v>
      </c>
      <c r="J2438" s="10">
        <v>0</v>
      </c>
      <c r="K2438" s="10">
        <v>0</v>
      </c>
      <c r="L2438" s="10">
        <v>0</v>
      </c>
      <c r="M2438" s="10">
        <v>1</v>
      </c>
      <c r="N2438" s="10">
        <v>91</v>
      </c>
      <c r="O2438" s="10">
        <v>88</v>
      </c>
    </row>
    <row r="2439" spans="1:15" x14ac:dyDescent="0.2">
      <c r="A2439" s="10" t="s">
        <v>1047</v>
      </c>
      <c r="B2439" s="10" t="s">
        <v>96</v>
      </c>
      <c r="C2439" s="10" t="s">
        <v>50</v>
      </c>
      <c r="D2439" s="10" t="s">
        <v>51</v>
      </c>
      <c r="E2439" s="10" t="s">
        <v>52</v>
      </c>
      <c r="F2439" s="10" t="s">
        <v>212</v>
      </c>
      <c r="G2439" s="10" t="b">
        <f>FALSE()</f>
        <v>0</v>
      </c>
      <c r="H2439" s="10">
        <v>0</v>
      </c>
      <c r="I2439" s="10">
        <v>1</v>
      </c>
      <c r="J2439" s="10">
        <v>0</v>
      </c>
      <c r="K2439" s="10">
        <v>0</v>
      </c>
      <c r="L2439" s="10">
        <v>0</v>
      </c>
      <c r="M2439" s="10">
        <v>1</v>
      </c>
      <c r="N2439" s="10">
        <v>88</v>
      </c>
      <c r="O2439" s="10">
        <v>88</v>
      </c>
    </row>
    <row r="2440" spans="1:15" x14ac:dyDescent="0.2">
      <c r="A2440" s="10" t="s">
        <v>209</v>
      </c>
      <c r="B2440" s="10" t="s">
        <v>178</v>
      </c>
      <c r="C2440" s="10" t="s">
        <v>73</v>
      </c>
      <c r="D2440" s="10" t="s">
        <v>45</v>
      </c>
      <c r="E2440" s="10" t="s">
        <v>46</v>
      </c>
      <c r="F2440" s="10" t="s">
        <v>363</v>
      </c>
      <c r="G2440" s="10" t="b">
        <f>FALSE()</f>
        <v>0</v>
      </c>
      <c r="H2440" s="10">
        <v>0</v>
      </c>
      <c r="I2440" s="10">
        <v>1</v>
      </c>
      <c r="J2440" s="10">
        <v>0</v>
      </c>
      <c r="K2440" s="10">
        <v>0</v>
      </c>
      <c r="L2440" s="10">
        <v>0</v>
      </c>
      <c r="M2440" s="10">
        <v>1</v>
      </c>
      <c r="N2440" s="10">
        <v>87</v>
      </c>
      <c r="O2440" s="10">
        <v>87</v>
      </c>
    </row>
    <row r="2441" spans="1:15" x14ac:dyDescent="0.2">
      <c r="A2441" s="10" t="s">
        <v>865</v>
      </c>
      <c r="B2441" s="10" t="s">
        <v>493</v>
      </c>
      <c r="C2441" s="10" t="s">
        <v>117</v>
      </c>
      <c r="D2441" s="10" t="s">
        <v>51</v>
      </c>
      <c r="E2441" s="10" t="s">
        <v>52</v>
      </c>
      <c r="F2441" s="10" t="s">
        <v>861</v>
      </c>
      <c r="G2441" s="10" t="b">
        <f>TRUE()</f>
        <v>1</v>
      </c>
      <c r="H2441" s="10">
        <v>0</v>
      </c>
      <c r="I2441" s="10">
        <v>1</v>
      </c>
      <c r="J2441" s="10">
        <v>0</v>
      </c>
      <c r="K2441" s="10">
        <v>0</v>
      </c>
      <c r="L2441" s="10">
        <v>0</v>
      </c>
      <c r="M2441" s="10">
        <v>1</v>
      </c>
      <c r="N2441" s="10">
        <v>106</v>
      </c>
      <c r="O2441" s="10">
        <v>87</v>
      </c>
    </row>
    <row r="2442" spans="1:15" x14ac:dyDescent="0.2">
      <c r="A2442" s="10" t="s">
        <v>1073</v>
      </c>
      <c r="B2442" s="10" t="s">
        <v>193</v>
      </c>
      <c r="C2442" s="10" t="s">
        <v>117</v>
      </c>
      <c r="D2442" s="10" t="s">
        <v>51</v>
      </c>
      <c r="E2442" s="10" t="s">
        <v>52</v>
      </c>
      <c r="F2442" s="10" t="s">
        <v>107</v>
      </c>
      <c r="G2442" s="10" t="b">
        <f>FALSE()</f>
        <v>0</v>
      </c>
      <c r="H2442" s="10">
        <v>0</v>
      </c>
      <c r="I2442" s="10">
        <v>1</v>
      </c>
      <c r="J2442" s="10">
        <v>0</v>
      </c>
      <c r="K2442" s="10">
        <v>0</v>
      </c>
      <c r="L2442" s="10">
        <v>0</v>
      </c>
      <c r="M2442" s="10">
        <v>1</v>
      </c>
      <c r="N2442" s="10">
        <v>87</v>
      </c>
      <c r="O2442" s="10">
        <v>87</v>
      </c>
    </row>
    <row r="2443" spans="1:15" x14ac:dyDescent="0.2">
      <c r="A2443" s="10" t="s">
        <v>1291</v>
      </c>
      <c r="B2443" s="10" t="s">
        <v>193</v>
      </c>
      <c r="C2443" s="10" t="s">
        <v>117</v>
      </c>
      <c r="D2443" s="10" t="s">
        <v>51</v>
      </c>
      <c r="E2443" s="10" t="s">
        <v>52</v>
      </c>
      <c r="F2443" s="10" t="s">
        <v>91</v>
      </c>
      <c r="G2443" s="10" t="b">
        <f>TRUE()</f>
        <v>1</v>
      </c>
      <c r="H2443" s="10">
        <v>0</v>
      </c>
      <c r="I2443" s="10">
        <v>1</v>
      </c>
      <c r="J2443" s="10">
        <v>0</v>
      </c>
      <c r="K2443" s="10">
        <v>0</v>
      </c>
      <c r="L2443" s="10">
        <v>0</v>
      </c>
      <c r="M2443" s="10">
        <v>1</v>
      </c>
      <c r="N2443" s="10">
        <v>87</v>
      </c>
      <c r="O2443" s="10">
        <v>87</v>
      </c>
    </row>
    <row r="2444" spans="1:15" x14ac:dyDescent="0.2">
      <c r="A2444" s="10" t="s">
        <v>1047</v>
      </c>
      <c r="B2444" s="10" t="s">
        <v>96</v>
      </c>
      <c r="C2444" s="10" t="s">
        <v>50</v>
      </c>
      <c r="D2444" s="10" t="s">
        <v>51</v>
      </c>
      <c r="E2444" s="10" t="s">
        <v>52</v>
      </c>
      <c r="F2444" s="10" t="s">
        <v>75</v>
      </c>
      <c r="G2444" s="10" t="b">
        <f>FALSE()</f>
        <v>0</v>
      </c>
      <c r="H2444" s="10">
        <v>0</v>
      </c>
      <c r="I2444" s="10">
        <v>1</v>
      </c>
      <c r="J2444" s="10">
        <v>0</v>
      </c>
      <c r="K2444" s="10">
        <v>0</v>
      </c>
      <c r="L2444" s="10">
        <v>0</v>
      </c>
      <c r="M2444" s="10">
        <v>1</v>
      </c>
      <c r="N2444" s="10">
        <v>97</v>
      </c>
      <c r="O2444" s="10">
        <v>87</v>
      </c>
    </row>
    <row r="2445" spans="1:15" x14ac:dyDescent="0.2">
      <c r="A2445" s="10" t="s">
        <v>1062</v>
      </c>
      <c r="B2445" s="10" t="s">
        <v>72</v>
      </c>
      <c r="C2445" s="10" t="s">
        <v>73</v>
      </c>
      <c r="D2445" s="10" t="s">
        <v>45</v>
      </c>
      <c r="E2445" s="10" t="s">
        <v>46</v>
      </c>
      <c r="F2445" s="10" t="s">
        <v>1173</v>
      </c>
      <c r="G2445" s="10" t="b">
        <f>FALSE()</f>
        <v>0</v>
      </c>
      <c r="H2445" s="10">
        <v>0</v>
      </c>
      <c r="I2445" s="10">
        <v>1</v>
      </c>
      <c r="J2445" s="10">
        <v>0</v>
      </c>
      <c r="K2445" s="10">
        <v>0</v>
      </c>
      <c r="L2445" s="10">
        <v>0</v>
      </c>
      <c r="M2445" s="10">
        <v>1</v>
      </c>
      <c r="N2445" s="10">
        <v>87</v>
      </c>
      <c r="O2445" s="10">
        <v>87</v>
      </c>
    </row>
    <row r="2446" spans="1:15" x14ac:dyDescent="0.2">
      <c r="A2446" s="10" t="s">
        <v>1237</v>
      </c>
      <c r="B2446" s="10" t="s">
        <v>70</v>
      </c>
      <c r="C2446" s="10" t="s">
        <v>70</v>
      </c>
      <c r="D2446" s="10" t="s">
        <v>45</v>
      </c>
      <c r="E2446" s="10" t="s">
        <v>46</v>
      </c>
      <c r="F2446" s="10" t="s">
        <v>403</v>
      </c>
      <c r="G2446" s="10" t="b">
        <f>TRUE()</f>
        <v>1</v>
      </c>
      <c r="H2446" s="10">
        <v>0</v>
      </c>
      <c r="I2446" s="10">
        <v>1</v>
      </c>
      <c r="J2446" s="10">
        <v>0</v>
      </c>
      <c r="K2446" s="10">
        <v>0</v>
      </c>
      <c r="L2446" s="10">
        <v>0</v>
      </c>
      <c r="M2446" s="10">
        <v>1</v>
      </c>
      <c r="N2446" s="10">
        <v>87</v>
      </c>
      <c r="O2446" s="10">
        <v>87</v>
      </c>
    </row>
    <row r="2447" spans="1:15" x14ac:dyDescent="0.2">
      <c r="A2447" s="10" t="s">
        <v>1205</v>
      </c>
      <c r="B2447" s="10" t="s">
        <v>136</v>
      </c>
      <c r="C2447" s="10" t="s">
        <v>73</v>
      </c>
      <c r="D2447" s="10" t="s">
        <v>45</v>
      </c>
      <c r="E2447" s="10" t="s">
        <v>46</v>
      </c>
      <c r="F2447" s="10" t="s">
        <v>153</v>
      </c>
      <c r="G2447" s="10" t="b">
        <f>FALSE()</f>
        <v>0</v>
      </c>
      <c r="H2447" s="10">
        <v>0</v>
      </c>
      <c r="I2447" s="10">
        <v>1</v>
      </c>
      <c r="J2447" s="10">
        <v>0</v>
      </c>
      <c r="K2447" s="10">
        <v>0</v>
      </c>
      <c r="L2447" s="10">
        <v>0</v>
      </c>
      <c r="M2447" s="10">
        <v>1</v>
      </c>
      <c r="N2447" s="10">
        <v>86</v>
      </c>
      <c r="O2447" s="10">
        <v>86</v>
      </c>
    </row>
    <row r="2448" spans="1:15" x14ac:dyDescent="0.2">
      <c r="A2448" s="10" t="s">
        <v>1115</v>
      </c>
      <c r="B2448" s="10" t="s">
        <v>89</v>
      </c>
      <c r="C2448" s="10" t="s">
        <v>90</v>
      </c>
      <c r="D2448" s="10" t="s">
        <v>51</v>
      </c>
      <c r="E2448" s="10" t="s">
        <v>52</v>
      </c>
      <c r="F2448" s="10" t="s">
        <v>153</v>
      </c>
      <c r="G2448" s="10" t="b">
        <f>FALSE()</f>
        <v>0</v>
      </c>
      <c r="H2448" s="10">
        <v>0</v>
      </c>
      <c r="I2448" s="10">
        <v>1</v>
      </c>
      <c r="J2448" s="10">
        <v>0</v>
      </c>
      <c r="K2448" s="10">
        <v>0</v>
      </c>
      <c r="L2448" s="10">
        <v>0</v>
      </c>
      <c r="M2448" s="10">
        <v>1</v>
      </c>
      <c r="N2448" s="10">
        <v>88</v>
      </c>
      <c r="O2448" s="10">
        <v>86</v>
      </c>
    </row>
    <row r="2449" spans="1:15" x14ac:dyDescent="0.2">
      <c r="A2449" s="10" t="s">
        <v>1243</v>
      </c>
      <c r="B2449" s="10" t="s">
        <v>234</v>
      </c>
      <c r="C2449" s="10" t="s">
        <v>90</v>
      </c>
      <c r="D2449" s="10" t="s">
        <v>51</v>
      </c>
      <c r="E2449" s="10" t="s">
        <v>52</v>
      </c>
      <c r="F2449" s="10" t="s">
        <v>506</v>
      </c>
      <c r="G2449" s="10" t="b">
        <f>TRUE()</f>
        <v>1</v>
      </c>
      <c r="H2449" s="10">
        <v>0</v>
      </c>
      <c r="I2449" s="10">
        <v>1</v>
      </c>
      <c r="J2449" s="10">
        <v>0</v>
      </c>
      <c r="K2449" s="10">
        <v>0</v>
      </c>
      <c r="L2449" s="10">
        <v>0</v>
      </c>
      <c r="M2449" s="10">
        <v>1</v>
      </c>
      <c r="N2449" s="10">
        <v>90</v>
      </c>
      <c r="O2449" s="10">
        <v>86</v>
      </c>
    </row>
    <row r="2450" spans="1:15" x14ac:dyDescent="0.2">
      <c r="A2450" s="10" t="s">
        <v>1082</v>
      </c>
      <c r="B2450" s="10" t="s">
        <v>562</v>
      </c>
      <c r="C2450" s="10" t="s">
        <v>245</v>
      </c>
      <c r="D2450" s="10" t="s">
        <v>51</v>
      </c>
      <c r="E2450" s="10" t="s">
        <v>52</v>
      </c>
      <c r="F2450" s="10" t="s">
        <v>180</v>
      </c>
      <c r="G2450" s="10" t="b">
        <f>FALSE()</f>
        <v>0</v>
      </c>
      <c r="H2450" s="10">
        <v>0</v>
      </c>
      <c r="I2450" s="10">
        <v>1</v>
      </c>
      <c r="J2450" s="10">
        <v>0</v>
      </c>
      <c r="K2450" s="10">
        <v>0</v>
      </c>
      <c r="L2450" s="10">
        <v>0</v>
      </c>
      <c r="M2450" s="10">
        <v>1</v>
      </c>
      <c r="N2450" s="10">
        <v>86</v>
      </c>
      <c r="O2450" s="10">
        <v>86</v>
      </c>
    </row>
    <row r="2451" spans="1:15" x14ac:dyDescent="0.2">
      <c r="A2451" s="10" t="s">
        <v>1061</v>
      </c>
      <c r="B2451" s="10" t="s">
        <v>262</v>
      </c>
      <c r="C2451" s="10" t="s">
        <v>105</v>
      </c>
      <c r="D2451" s="10" t="s">
        <v>45</v>
      </c>
      <c r="E2451" s="10" t="s">
        <v>46</v>
      </c>
      <c r="F2451" s="10" t="s">
        <v>363</v>
      </c>
      <c r="G2451" s="10" t="b">
        <f>FALSE()</f>
        <v>0</v>
      </c>
      <c r="H2451" s="10">
        <v>0</v>
      </c>
      <c r="I2451" s="10">
        <v>1</v>
      </c>
      <c r="J2451" s="10">
        <v>0</v>
      </c>
      <c r="K2451" s="10">
        <v>0</v>
      </c>
      <c r="L2451" s="10">
        <v>0</v>
      </c>
      <c r="M2451" s="10">
        <v>1</v>
      </c>
      <c r="N2451" s="10">
        <v>102</v>
      </c>
      <c r="O2451" s="10">
        <v>86</v>
      </c>
    </row>
    <row r="2452" spans="1:15" x14ac:dyDescent="0.2">
      <c r="A2452" s="10" t="s">
        <v>1122</v>
      </c>
      <c r="B2452" s="10" t="s">
        <v>285</v>
      </c>
      <c r="C2452" s="10" t="s">
        <v>105</v>
      </c>
      <c r="D2452" s="10" t="s">
        <v>45</v>
      </c>
      <c r="E2452" s="10" t="s">
        <v>46</v>
      </c>
      <c r="F2452" s="10" t="s">
        <v>92</v>
      </c>
      <c r="G2452" s="10" t="b">
        <f>FALSE()</f>
        <v>0</v>
      </c>
      <c r="H2452" s="10">
        <v>0</v>
      </c>
      <c r="I2452" s="10">
        <v>1</v>
      </c>
      <c r="J2452" s="10">
        <v>0</v>
      </c>
      <c r="K2452" s="10">
        <v>0</v>
      </c>
      <c r="L2452" s="10">
        <v>0</v>
      </c>
      <c r="M2452" s="10">
        <v>1</v>
      </c>
      <c r="N2452" s="10">
        <v>86</v>
      </c>
      <c r="O2452" s="10">
        <v>86</v>
      </c>
    </row>
    <row r="2453" spans="1:15" x14ac:dyDescent="0.2">
      <c r="A2453" s="10" t="s">
        <v>1031</v>
      </c>
      <c r="B2453" s="10" t="s">
        <v>119</v>
      </c>
      <c r="C2453" s="10" t="s">
        <v>56</v>
      </c>
      <c r="D2453" s="10" t="s">
        <v>45</v>
      </c>
      <c r="E2453" s="10" t="s">
        <v>46</v>
      </c>
      <c r="F2453" s="10" t="s">
        <v>107</v>
      </c>
      <c r="G2453" s="10" t="b">
        <f>FALSE()</f>
        <v>0</v>
      </c>
      <c r="H2453" s="10">
        <v>0</v>
      </c>
      <c r="I2453" s="10">
        <v>1</v>
      </c>
      <c r="J2453" s="10">
        <v>0</v>
      </c>
      <c r="K2453" s="10">
        <v>0</v>
      </c>
      <c r="L2453" s="10">
        <v>0</v>
      </c>
      <c r="M2453" s="10">
        <v>1</v>
      </c>
      <c r="N2453" s="10">
        <v>86</v>
      </c>
      <c r="O2453" s="10">
        <v>86</v>
      </c>
    </row>
    <row r="2454" spans="1:15" x14ac:dyDescent="0.2">
      <c r="A2454" s="10" t="s">
        <v>1185</v>
      </c>
      <c r="B2454" s="10" t="s">
        <v>43</v>
      </c>
      <c r="C2454" s="10" t="s">
        <v>44</v>
      </c>
      <c r="D2454" s="10" t="s">
        <v>45</v>
      </c>
      <c r="E2454" s="10" t="s">
        <v>46</v>
      </c>
      <c r="F2454" s="10" t="s">
        <v>1292</v>
      </c>
      <c r="G2454" s="10" t="b">
        <f>FALSE()</f>
        <v>0</v>
      </c>
      <c r="H2454" s="10">
        <v>0</v>
      </c>
      <c r="I2454" s="10">
        <v>1</v>
      </c>
      <c r="J2454" s="10">
        <v>0</v>
      </c>
      <c r="K2454" s="10">
        <v>0</v>
      </c>
      <c r="L2454" s="10">
        <v>0</v>
      </c>
      <c r="M2454" s="10">
        <v>1</v>
      </c>
      <c r="N2454" s="10">
        <v>83</v>
      </c>
      <c r="O2454" s="10">
        <v>86</v>
      </c>
    </row>
    <row r="2455" spans="1:15" x14ac:dyDescent="0.2">
      <c r="A2455" s="10" t="s">
        <v>288</v>
      </c>
      <c r="B2455" s="10" t="s">
        <v>289</v>
      </c>
      <c r="C2455" s="10" t="s">
        <v>50</v>
      </c>
      <c r="D2455" s="10" t="s">
        <v>51</v>
      </c>
      <c r="E2455" s="10" t="s">
        <v>52</v>
      </c>
      <c r="F2455" s="10" t="s">
        <v>79</v>
      </c>
      <c r="G2455" s="10" t="b">
        <f>FALSE()</f>
        <v>0</v>
      </c>
      <c r="H2455" s="10">
        <v>0</v>
      </c>
      <c r="I2455" s="10">
        <v>1</v>
      </c>
      <c r="J2455" s="10">
        <v>0</v>
      </c>
      <c r="K2455" s="10">
        <v>0</v>
      </c>
      <c r="L2455" s="10">
        <v>0</v>
      </c>
      <c r="M2455" s="10">
        <v>1</v>
      </c>
      <c r="N2455" s="10">
        <v>85</v>
      </c>
      <c r="O2455" s="10">
        <v>85</v>
      </c>
    </row>
    <row r="2456" spans="1:15" x14ac:dyDescent="0.2">
      <c r="A2456" s="10" t="s">
        <v>703</v>
      </c>
      <c r="B2456" s="10" t="s">
        <v>167</v>
      </c>
      <c r="C2456" s="10" t="s">
        <v>64</v>
      </c>
      <c r="D2456" s="10" t="s">
        <v>45</v>
      </c>
      <c r="E2456" s="10" t="s">
        <v>46</v>
      </c>
      <c r="F2456" s="10" t="s">
        <v>660</v>
      </c>
      <c r="G2456" s="10" t="b">
        <f>FALSE()</f>
        <v>0</v>
      </c>
      <c r="H2456" s="10">
        <v>0</v>
      </c>
      <c r="I2456" s="10">
        <v>1</v>
      </c>
      <c r="J2456" s="10">
        <v>0</v>
      </c>
      <c r="K2456" s="10">
        <v>0</v>
      </c>
      <c r="L2456" s="10">
        <v>0</v>
      </c>
      <c r="M2456" s="10">
        <v>1</v>
      </c>
      <c r="N2456" s="10">
        <v>85</v>
      </c>
      <c r="O2456" s="10">
        <v>85</v>
      </c>
    </row>
    <row r="2457" spans="1:15" x14ac:dyDescent="0.2">
      <c r="A2457" s="10" t="s">
        <v>1205</v>
      </c>
      <c r="B2457" s="10" t="s">
        <v>136</v>
      </c>
      <c r="C2457" s="10" t="s">
        <v>73</v>
      </c>
      <c r="D2457" s="10" t="s">
        <v>45</v>
      </c>
      <c r="E2457" s="10" t="s">
        <v>46</v>
      </c>
      <c r="F2457" s="10" t="s">
        <v>113</v>
      </c>
      <c r="G2457" s="10" t="b">
        <f>TRUE()</f>
        <v>1</v>
      </c>
      <c r="H2457" s="10">
        <v>0</v>
      </c>
      <c r="I2457" s="10">
        <v>1</v>
      </c>
      <c r="J2457" s="10">
        <v>0</v>
      </c>
      <c r="K2457" s="10">
        <v>0</v>
      </c>
      <c r="L2457" s="10">
        <v>0</v>
      </c>
      <c r="M2457" s="10">
        <v>1</v>
      </c>
      <c r="N2457" s="10">
        <v>85</v>
      </c>
      <c r="O2457" s="10">
        <v>85</v>
      </c>
    </row>
    <row r="2458" spans="1:15" x14ac:dyDescent="0.2">
      <c r="A2458" s="10" t="s">
        <v>1068</v>
      </c>
      <c r="B2458" s="10" t="s">
        <v>238</v>
      </c>
      <c r="C2458" s="10" t="s">
        <v>90</v>
      </c>
      <c r="D2458" s="10" t="s">
        <v>51</v>
      </c>
      <c r="E2458" s="10" t="s">
        <v>52</v>
      </c>
      <c r="F2458" s="10" t="s">
        <v>74</v>
      </c>
      <c r="G2458" s="10" t="b">
        <f>FALSE()</f>
        <v>0</v>
      </c>
      <c r="H2458" s="10">
        <v>0</v>
      </c>
      <c r="I2458" s="10">
        <v>1</v>
      </c>
      <c r="J2458" s="10">
        <v>0</v>
      </c>
      <c r="K2458" s="10">
        <v>0</v>
      </c>
      <c r="L2458" s="10">
        <v>0</v>
      </c>
      <c r="M2458" s="10">
        <v>1</v>
      </c>
      <c r="N2458" s="10">
        <v>85</v>
      </c>
      <c r="O2458" s="10">
        <v>85</v>
      </c>
    </row>
    <row r="2459" spans="1:15" x14ac:dyDescent="0.2">
      <c r="A2459" s="10" t="s">
        <v>1218</v>
      </c>
      <c r="B2459" s="10" t="s">
        <v>72</v>
      </c>
      <c r="C2459" s="10" t="s">
        <v>73</v>
      </c>
      <c r="D2459" s="10" t="s">
        <v>45</v>
      </c>
      <c r="E2459" s="10" t="s">
        <v>46</v>
      </c>
      <c r="F2459" s="10" t="s">
        <v>91</v>
      </c>
      <c r="G2459" s="10" t="b">
        <f>TRUE()</f>
        <v>1</v>
      </c>
      <c r="H2459" s="10">
        <v>0</v>
      </c>
      <c r="I2459" s="10">
        <v>1</v>
      </c>
      <c r="J2459" s="10">
        <v>0</v>
      </c>
      <c r="K2459" s="10">
        <v>0</v>
      </c>
      <c r="L2459" s="10">
        <v>0</v>
      </c>
      <c r="M2459" s="10">
        <v>1</v>
      </c>
      <c r="N2459" s="10">
        <v>85</v>
      </c>
      <c r="O2459" s="10">
        <v>85</v>
      </c>
    </row>
    <row r="2460" spans="1:15" x14ac:dyDescent="0.2">
      <c r="A2460" s="10" t="s">
        <v>1063</v>
      </c>
      <c r="B2460" s="10" t="s">
        <v>146</v>
      </c>
      <c r="C2460" s="10" t="s">
        <v>105</v>
      </c>
      <c r="D2460" s="10" t="s">
        <v>45</v>
      </c>
      <c r="E2460" s="10" t="s">
        <v>46</v>
      </c>
      <c r="F2460" s="10" t="s">
        <v>183</v>
      </c>
      <c r="G2460" s="10" t="b">
        <f>FALSE()</f>
        <v>0</v>
      </c>
      <c r="H2460" s="10">
        <v>0</v>
      </c>
      <c r="I2460" s="10">
        <v>1</v>
      </c>
      <c r="J2460" s="10">
        <v>0</v>
      </c>
      <c r="K2460" s="10">
        <v>0</v>
      </c>
      <c r="L2460" s="10">
        <v>0</v>
      </c>
      <c r="M2460" s="10">
        <v>1</v>
      </c>
      <c r="N2460" s="10">
        <v>133</v>
      </c>
      <c r="O2460" s="10">
        <v>85</v>
      </c>
    </row>
    <row r="2461" spans="1:15" x14ac:dyDescent="0.2">
      <c r="A2461" s="10" t="s">
        <v>1130</v>
      </c>
      <c r="B2461" s="10" t="s">
        <v>193</v>
      </c>
      <c r="C2461" s="10" t="s">
        <v>117</v>
      </c>
      <c r="D2461" s="10" t="s">
        <v>51</v>
      </c>
      <c r="E2461" s="10" t="s">
        <v>52</v>
      </c>
      <c r="F2461" s="10" t="s">
        <v>183</v>
      </c>
      <c r="G2461" s="10" t="b">
        <f>FALSE()</f>
        <v>0</v>
      </c>
      <c r="H2461" s="10">
        <v>0</v>
      </c>
      <c r="I2461" s="10">
        <v>1</v>
      </c>
      <c r="J2461" s="10">
        <v>0</v>
      </c>
      <c r="K2461" s="10">
        <v>0</v>
      </c>
      <c r="L2461" s="10">
        <v>0</v>
      </c>
      <c r="M2461" s="10">
        <v>1</v>
      </c>
      <c r="N2461" s="10">
        <v>446</v>
      </c>
      <c r="O2461" s="10">
        <v>84</v>
      </c>
    </row>
    <row r="2462" spans="1:15" x14ac:dyDescent="0.2">
      <c r="A2462" s="10" t="s">
        <v>1293</v>
      </c>
      <c r="B2462" s="10" t="s">
        <v>289</v>
      </c>
      <c r="C2462" s="10" t="s">
        <v>50</v>
      </c>
      <c r="D2462" s="10" t="s">
        <v>51</v>
      </c>
      <c r="E2462" s="10" t="s">
        <v>52</v>
      </c>
      <c r="F2462" s="10" t="s">
        <v>434</v>
      </c>
      <c r="G2462" s="10" t="b">
        <f>FALSE()</f>
        <v>0</v>
      </c>
      <c r="H2462" s="10">
        <v>0</v>
      </c>
      <c r="I2462" s="10">
        <v>1</v>
      </c>
      <c r="J2462" s="10">
        <v>0</v>
      </c>
      <c r="K2462" s="10">
        <v>0</v>
      </c>
      <c r="L2462" s="10">
        <v>0</v>
      </c>
      <c r="M2462" s="10">
        <v>1</v>
      </c>
      <c r="N2462" s="10">
        <v>84</v>
      </c>
      <c r="O2462" s="10">
        <v>84</v>
      </c>
    </row>
    <row r="2463" spans="1:15" x14ac:dyDescent="0.2">
      <c r="A2463" s="10" t="s">
        <v>1059</v>
      </c>
      <c r="B2463" s="10" t="s">
        <v>109</v>
      </c>
      <c r="C2463" s="10" t="s">
        <v>90</v>
      </c>
      <c r="D2463" s="10" t="s">
        <v>51</v>
      </c>
      <c r="E2463" s="10" t="s">
        <v>52</v>
      </c>
      <c r="F2463" s="10" t="s">
        <v>434</v>
      </c>
      <c r="G2463" s="10" t="b">
        <f>FALSE()</f>
        <v>0</v>
      </c>
      <c r="H2463" s="10">
        <v>0</v>
      </c>
      <c r="I2463" s="10">
        <v>1</v>
      </c>
      <c r="J2463" s="10">
        <v>0</v>
      </c>
      <c r="K2463" s="10">
        <v>0</v>
      </c>
      <c r="L2463" s="10">
        <v>0</v>
      </c>
      <c r="M2463" s="10">
        <v>1</v>
      </c>
      <c r="N2463" s="10">
        <v>92</v>
      </c>
      <c r="O2463" s="10">
        <v>84</v>
      </c>
    </row>
    <row r="2464" spans="1:15" x14ac:dyDescent="0.2">
      <c r="A2464" s="10" t="s">
        <v>1294</v>
      </c>
      <c r="B2464" s="10" t="s">
        <v>456</v>
      </c>
      <c r="C2464" s="10" t="s">
        <v>245</v>
      </c>
      <c r="D2464" s="10" t="s">
        <v>51</v>
      </c>
      <c r="E2464" s="10" t="s">
        <v>52</v>
      </c>
      <c r="F2464" s="10" t="s">
        <v>79</v>
      </c>
      <c r="G2464" s="10" t="b">
        <f>FALSE()</f>
        <v>0</v>
      </c>
      <c r="H2464" s="10">
        <v>0</v>
      </c>
      <c r="I2464" s="10">
        <v>1</v>
      </c>
      <c r="J2464" s="10">
        <v>0</v>
      </c>
      <c r="K2464" s="10">
        <v>0</v>
      </c>
      <c r="L2464" s="10">
        <v>0</v>
      </c>
      <c r="M2464" s="10">
        <v>1</v>
      </c>
      <c r="N2464" s="10">
        <v>107</v>
      </c>
      <c r="O2464" s="10">
        <v>84</v>
      </c>
    </row>
    <row r="2465" spans="1:15" x14ac:dyDescent="0.2">
      <c r="A2465" s="10" t="s">
        <v>1122</v>
      </c>
      <c r="B2465" s="10" t="s">
        <v>285</v>
      </c>
      <c r="C2465" s="10" t="s">
        <v>105</v>
      </c>
      <c r="D2465" s="10" t="s">
        <v>45</v>
      </c>
      <c r="E2465" s="10" t="s">
        <v>46</v>
      </c>
      <c r="F2465" s="10" t="s">
        <v>183</v>
      </c>
      <c r="G2465" s="10" t="b">
        <f>FALSE()</f>
        <v>0</v>
      </c>
      <c r="H2465" s="10">
        <v>0</v>
      </c>
      <c r="I2465" s="10">
        <v>1</v>
      </c>
      <c r="J2465" s="10">
        <v>0</v>
      </c>
      <c r="K2465" s="10">
        <v>0</v>
      </c>
      <c r="L2465" s="10">
        <v>0</v>
      </c>
      <c r="M2465" s="10">
        <v>1</v>
      </c>
      <c r="N2465" s="10">
        <v>100</v>
      </c>
      <c r="O2465" s="10">
        <v>84</v>
      </c>
    </row>
    <row r="2466" spans="1:15" x14ac:dyDescent="0.2">
      <c r="A2466" s="10" t="s">
        <v>1146</v>
      </c>
      <c r="B2466" s="10" t="s">
        <v>70</v>
      </c>
      <c r="C2466" s="10" t="s">
        <v>70</v>
      </c>
      <c r="D2466" s="10" t="s">
        <v>45</v>
      </c>
      <c r="E2466" s="10" t="s">
        <v>46</v>
      </c>
      <c r="F2466" s="10" t="s">
        <v>917</v>
      </c>
      <c r="G2466" s="10" t="b">
        <f>FALSE()</f>
        <v>0</v>
      </c>
      <c r="H2466" s="10">
        <v>0</v>
      </c>
      <c r="I2466" s="10">
        <v>1</v>
      </c>
      <c r="J2466" s="10">
        <v>0</v>
      </c>
      <c r="K2466" s="10">
        <v>0</v>
      </c>
      <c r="L2466" s="10">
        <v>0</v>
      </c>
      <c r="M2466" s="10">
        <v>1</v>
      </c>
      <c r="N2466" s="10">
        <v>95</v>
      </c>
      <c r="O2466" s="10">
        <v>84</v>
      </c>
    </row>
    <row r="2467" spans="1:15" x14ac:dyDescent="0.2">
      <c r="A2467" s="10" t="s">
        <v>144</v>
      </c>
      <c r="B2467" s="10" t="s">
        <v>72</v>
      </c>
      <c r="C2467" s="10" t="s">
        <v>73</v>
      </c>
      <c r="D2467" s="10" t="s">
        <v>45</v>
      </c>
      <c r="E2467" s="10" t="s">
        <v>46</v>
      </c>
      <c r="F2467" s="10" t="s">
        <v>85</v>
      </c>
      <c r="G2467" s="10" t="b">
        <f>FALSE()</f>
        <v>0</v>
      </c>
      <c r="H2467" s="10">
        <v>0</v>
      </c>
      <c r="I2467" s="10">
        <v>1</v>
      </c>
      <c r="J2467" s="10">
        <v>0</v>
      </c>
      <c r="K2467" s="10">
        <v>0</v>
      </c>
      <c r="L2467" s="10">
        <v>0</v>
      </c>
      <c r="M2467" s="10">
        <v>1</v>
      </c>
      <c r="N2467" s="10">
        <v>83</v>
      </c>
      <c r="O2467" s="10">
        <v>83</v>
      </c>
    </row>
    <row r="2468" spans="1:15" x14ac:dyDescent="0.2">
      <c r="A2468" s="10" t="s">
        <v>1295</v>
      </c>
      <c r="B2468" s="10" t="s">
        <v>193</v>
      </c>
      <c r="C2468" s="10" t="s">
        <v>117</v>
      </c>
      <c r="D2468" s="10" t="s">
        <v>51</v>
      </c>
      <c r="E2468" s="10" t="s">
        <v>52</v>
      </c>
      <c r="F2468" s="10" t="s">
        <v>861</v>
      </c>
      <c r="G2468" s="10" t="b">
        <f>TRUE()</f>
        <v>1</v>
      </c>
      <c r="H2468" s="10">
        <v>0</v>
      </c>
      <c r="I2468" s="10">
        <v>1</v>
      </c>
      <c r="J2468" s="10">
        <v>0</v>
      </c>
      <c r="K2468" s="10">
        <v>0</v>
      </c>
      <c r="L2468" s="10">
        <v>0</v>
      </c>
      <c r="M2468" s="10">
        <v>1</v>
      </c>
      <c r="N2468" s="10">
        <v>84</v>
      </c>
      <c r="O2468" s="10">
        <v>83</v>
      </c>
    </row>
    <row r="2469" spans="1:15" x14ac:dyDescent="0.2">
      <c r="A2469" s="10" t="s">
        <v>1296</v>
      </c>
      <c r="B2469" s="10" t="s">
        <v>116</v>
      </c>
      <c r="C2469" s="10" t="s">
        <v>117</v>
      </c>
      <c r="D2469" s="10" t="s">
        <v>51</v>
      </c>
      <c r="E2469" s="10" t="s">
        <v>52</v>
      </c>
      <c r="F2469" s="10" t="s">
        <v>126</v>
      </c>
      <c r="G2469" s="10" t="b">
        <f>FALSE()</f>
        <v>0</v>
      </c>
      <c r="H2469" s="10">
        <v>0</v>
      </c>
      <c r="I2469" s="10">
        <v>1</v>
      </c>
      <c r="J2469" s="10">
        <v>0</v>
      </c>
      <c r="K2469" s="10">
        <v>0</v>
      </c>
      <c r="L2469" s="10">
        <v>0</v>
      </c>
      <c r="M2469" s="10">
        <v>1</v>
      </c>
      <c r="N2469" s="10">
        <v>87</v>
      </c>
      <c r="O2469" s="10">
        <v>83</v>
      </c>
    </row>
    <row r="2470" spans="1:15" x14ac:dyDescent="0.2">
      <c r="A2470" s="10" t="s">
        <v>1047</v>
      </c>
      <c r="B2470" s="10" t="s">
        <v>96</v>
      </c>
      <c r="C2470" s="10" t="s">
        <v>50</v>
      </c>
      <c r="D2470" s="10" t="s">
        <v>51</v>
      </c>
      <c r="E2470" s="10" t="s">
        <v>52</v>
      </c>
      <c r="F2470" s="10" t="s">
        <v>434</v>
      </c>
      <c r="G2470" s="10" t="b">
        <f>FALSE()</f>
        <v>0</v>
      </c>
      <c r="H2470" s="10">
        <v>0</v>
      </c>
      <c r="I2470" s="10">
        <v>1</v>
      </c>
      <c r="J2470" s="10">
        <v>0</v>
      </c>
      <c r="K2470" s="10">
        <v>0</v>
      </c>
      <c r="L2470" s="10">
        <v>0</v>
      </c>
      <c r="M2470" s="10">
        <v>1</v>
      </c>
      <c r="N2470" s="10">
        <v>83</v>
      </c>
      <c r="O2470" s="10">
        <v>83</v>
      </c>
    </row>
    <row r="2471" spans="1:15" x14ac:dyDescent="0.2">
      <c r="A2471" s="10" t="s">
        <v>1087</v>
      </c>
      <c r="B2471" s="10" t="s">
        <v>63</v>
      </c>
      <c r="C2471" s="10" t="s">
        <v>64</v>
      </c>
      <c r="D2471" s="10" t="s">
        <v>45</v>
      </c>
      <c r="E2471" s="10" t="s">
        <v>46</v>
      </c>
      <c r="F2471" s="10" t="s">
        <v>153</v>
      </c>
      <c r="G2471" s="10" t="b">
        <f>FALSE()</f>
        <v>0</v>
      </c>
      <c r="H2471" s="10">
        <v>0</v>
      </c>
      <c r="I2471" s="10">
        <v>1</v>
      </c>
      <c r="J2471" s="10">
        <v>0</v>
      </c>
      <c r="K2471" s="10">
        <v>0</v>
      </c>
      <c r="L2471" s="10">
        <v>0</v>
      </c>
      <c r="M2471" s="10">
        <v>1</v>
      </c>
      <c r="N2471" s="10">
        <v>83</v>
      </c>
      <c r="O2471" s="10">
        <v>83</v>
      </c>
    </row>
    <row r="2472" spans="1:15" x14ac:dyDescent="0.2">
      <c r="A2472" s="10" t="s">
        <v>1138</v>
      </c>
      <c r="B2472" s="10" t="s">
        <v>130</v>
      </c>
      <c r="C2472" s="10" t="s">
        <v>56</v>
      </c>
      <c r="D2472" s="10" t="s">
        <v>45</v>
      </c>
      <c r="E2472" s="10" t="s">
        <v>46</v>
      </c>
      <c r="F2472" s="10" t="s">
        <v>535</v>
      </c>
      <c r="G2472" s="10" t="b">
        <f>TRUE()</f>
        <v>1</v>
      </c>
      <c r="H2472" s="10">
        <v>0</v>
      </c>
      <c r="I2472" s="10">
        <v>1</v>
      </c>
      <c r="J2472" s="10">
        <v>0</v>
      </c>
      <c r="K2472" s="10">
        <v>0</v>
      </c>
      <c r="L2472" s="10">
        <v>0</v>
      </c>
      <c r="M2472" s="10">
        <v>1</v>
      </c>
      <c r="N2472" s="10">
        <v>83</v>
      </c>
      <c r="O2472" s="10">
        <v>83</v>
      </c>
    </row>
    <row r="2473" spans="1:15" x14ac:dyDescent="0.2">
      <c r="A2473" s="10" t="s">
        <v>209</v>
      </c>
      <c r="B2473" s="10" t="s">
        <v>178</v>
      </c>
      <c r="C2473" s="10" t="s">
        <v>73</v>
      </c>
      <c r="D2473" s="10" t="s">
        <v>45</v>
      </c>
      <c r="E2473" s="10" t="s">
        <v>46</v>
      </c>
      <c r="F2473" s="10" t="s">
        <v>58</v>
      </c>
      <c r="G2473" s="10" t="b">
        <f>FALSE()</f>
        <v>0</v>
      </c>
      <c r="H2473" s="10">
        <v>0</v>
      </c>
      <c r="I2473" s="10">
        <v>1</v>
      </c>
      <c r="J2473" s="10">
        <v>0</v>
      </c>
      <c r="K2473" s="10">
        <v>0</v>
      </c>
      <c r="L2473" s="10">
        <v>0</v>
      </c>
      <c r="M2473" s="10">
        <v>1</v>
      </c>
      <c r="N2473" s="10">
        <v>82</v>
      </c>
      <c r="O2473" s="10">
        <v>82</v>
      </c>
    </row>
    <row r="2474" spans="1:15" x14ac:dyDescent="0.2">
      <c r="A2474" s="10" t="s">
        <v>1130</v>
      </c>
      <c r="B2474" s="10" t="s">
        <v>193</v>
      </c>
      <c r="C2474" s="10" t="s">
        <v>117</v>
      </c>
      <c r="D2474" s="10" t="s">
        <v>51</v>
      </c>
      <c r="E2474" s="10" t="s">
        <v>52</v>
      </c>
      <c r="F2474" s="10" t="s">
        <v>444</v>
      </c>
      <c r="G2474" s="10" t="b">
        <f>TRUE()</f>
        <v>1</v>
      </c>
      <c r="H2474" s="10">
        <v>0</v>
      </c>
      <c r="I2474" s="10">
        <v>1</v>
      </c>
      <c r="J2474" s="10">
        <v>0</v>
      </c>
      <c r="K2474" s="10">
        <v>0</v>
      </c>
      <c r="L2474" s="10">
        <v>0</v>
      </c>
      <c r="M2474" s="10">
        <v>1</v>
      </c>
      <c r="N2474" s="10">
        <v>94</v>
      </c>
      <c r="O2474" s="10">
        <v>82</v>
      </c>
    </row>
    <row r="2475" spans="1:15" x14ac:dyDescent="0.2">
      <c r="A2475" s="10" t="s">
        <v>1267</v>
      </c>
      <c r="B2475" s="10" t="s">
        <v>407</v>
      </c>
      <c r="C2475" s="10" t="s">
        <v>112</v>
      </c>
      <c r="D2475" s="10" t="s">
        <v>51</v>
      </c>
      <c r="E2475" s="10" t="s">
        <v>52</v>
      </c>
      <c r="F2475" s="10" t="s">
        <v>113</v>
      </c>
      <c r="G2475" s="10" t="b">
        <f>TRUE()</f>
        <v>1</v>
      </c>
      <c r="H2475" s="10">
        <v>0</v>
      </c>
      <c r="I2475" s="10">
        <v>1</v>
      </c>
      <c r="J2475" s="10">
        <v>0</v>
      </c>
      <c r="K2475" s="10">
        <v>0</v>
      </c>
      <c r="L2475" s="10">
        <v>0</v>
      </c>
      <c r="M2475" s="10">
        <v>1</v>
      </c>
      <c r="N2475" s="10">
        <v>90</v>
      </c>
      <c r="O2475" s="10">
        <v>82</v>
      </c>
    </row>
    <row r="2476" spans="1:15" x14ac:dyDescent="0.2">
      <c r="A2476" s="10" t="s">
        <v>1126</v>
      </c>
      <c r="B2476" s="10" t="s">
        <v>260</v>
      </c>
      <c r="C2476" s="10" t="s">
        <v>64</v>
      </c>
      <c r="D2476" s="10" t="s">
        <v>45</v>
      </c>
      <c r="E2476" s="10" t="s">
        <v>46</v>
      </c>
      <c r="F2476" s="10" t="s">
        <v>102</v>
      </c>
      <c r="G2476" s="10" t="b">
        <f>TRUE()</f>
        <v>1</v>
      </c>
      <c r="H2476" s="10">
        <v>0</v>
      </c>
      <c r="I2476" s="10">
        <v>1</v>
      </c>
      <c r="J2476" s="10">
        <v>0</v>
      </c>
      <c r="K2476" s="10">
        <v>0</v>
      </c>
      <c r="L2476" s="10">
        <v>0</v>
      </c>
      <c r="M2476" s="10">
        <v>1</v>
      </c>
      <c r="N2476" s="10">
        <v>94</v>
      </c>
      <c r="O2476" s="10">
        <v>82</v>
      </c>
    </row>
    <row r="2477" spans="1:15" x14ac:dyDescent="0.2">
      <c r="A2477" s="10" t="s">
        <v>1024</v>
      </c>
      <c r="B2477" s="10" t="s">
        <v>172</v>
      </c>
      <c r="C2477" s="10" t="s">
        <v>44</v>
      </c>
      <c r="D2477" s="10" t="s">
        <v>45</v>
      </c>
      <c r="E2477" s="10" t="s">
        <v>46</v>
      </c>
      <c r="F2477" s="10" t="s">
        <v>92</v>
      </c>
      <c r="G2477" s="10" t="b">
        <f>FALSE()</f>
        <v>0</v>
      </c>
      <c r="H2477" s="10">
        <v>0</v>
      </c>
      <c r="I2477" s="10">
        <v>1</v>
      </c>
      <c r="J2477" s="10">
        <v>0</v>
      </c>
      <c r="K2477" s="10">
        <v>0</v>
      </c>
      <c r="L2477" s="10">
        <v>0</v>
      </c>
      <c r="M2477" s="10">
        <v>1</v>
      </c>
      <c r="N2477" s="10">
        <v>82</v>
      </c>
      <c r="O2477" s="10">
        <v>82</v>
      </c>
    </row>
    <row r="2478" spans="1:15" x14ac:dyDescent="0.2">
      <c r="A2478" s="10" t="s">
        <v>1214</v>
      </c>
      <c r="B2478" s="10" t="s">
        <v>165</v>
      </c>
      <c r="C2478" s="10" t="s">
        <v>112</v>
      </c>
      <c r="D2478" s="10" t="s">
        <v>51</v>
      </c>
      <c r="E2478" s="10" t="s">
        <v>52</v>
      </c>
      <c r="F2478" s="10" t="s">
        <v>331</v>
      </c>
      <c r="G2478" s="10" t="b">
        <f>FALSE()</f>
        <v>0</v>
      </c>
      <c r="H2478" s="10">
        <v>0</v>
      </c>
      <c r="I2478" s="10">
        <v>1</v>
      </c>
      <c r="J2478" s="10">
        <v>0</v>
      </c>
      <c r="K2478" s="10">
        <v>0</v>
      </c>
      <c r="L2478" s="10">
        <v>0</v>
      </c>
      <c r="M2478" s="10">
        <v>1</v>
      </c>
      <c r="N2478" s="10">
        <v>81</v>
      </c>
      <c r="O2478" s="10">
        <v>81</v>
      </c>
    </row>
    <row r="2479" spans="1:15" x14ac:dyDescent="0.2">
      <c r="A2479" s="10" t="s">
        <v>1214</v>
      </c>
      <c r="B2479" s="10" t="s">
        <v>165</v>
      </c>
      <c r="C2479" s="10" t="s">
        <v>112</v>
      </c>
      <c r="D2479" s="10" t="s">
        <v>51</v>
      </c>
      <c r="E2479" s="10" t="s">
        <v>52</v>
      </c>
      <c r="F2479" s="10" t="s">
        <v>207</v>
      </c>
      <c r="G2479" s="10" t="b">
        <f>FALSE()</f>
        <v>0</v>
      </c>
      <c r="H2479" s="10">
        <v>0</v>
      </c>
      <c r="I2479" s="10">
        <v>1</v>
      </c>
      <c r="J2479" s="10">
        <v>0</v>
      </c>
      <c r="K2479" s="10">
        <v>0</v>
      </c>
      <c r="L2479" s="10">
        <v>0</v>
      </c>
      <c r="M2479" s="10">
        <v>1</v>
      </c>
      <c r="N2479" s="10">
        <v>84</v>
      </c>
      <c r="O2479" s="10">
        <v>81</v>
      </c>
    </row>
    <row r="2480" spans="1:15" x14ac:dyDescent="0.2">
      <c r="A2480" s="10" t="s">
        <v>1297</v>
      </c>
      <c r="B2480" s="10" t="s">
        <v>89</v>
      </c>
      <c r="C2480" s="10" t="s">
        <v>90</v>
      </c>
      <c r="D2480" s="10" t="s">
        <v>51</v>
      </c>
      <c r="E2480" s="10" t="s">
        <v>52</v>
      </c>
      <c r="F2480" s="10" t="s">
        <v>660</v>
      </c>
      <c r="G2480" s="10" t="b">
        <f>FALSE()</f>
        <v>0</v>
      </c>
      <c r="H2480" s="10">
        <v>0</v>
      </c>
      <c r="I2480" s="10">
        <v>1</v>
      </c>
      <c r="J2480" s="10">
        <v>0</v>
      </c>
      <c r="K2480" s="10">
        <v>0</v>
      </c>
      <c r="L2480" s="10">
        <v>0</v>
      </c>
      <c r="M2480" s="10">
        <v>1</v>
      </c>
      <c r="N2480" s="10">
        <v>81</v>
      </c>
      <c r="O2480" s="10">
        <v>81</v>
      </c>
    </row>
    <row r="2481" spans="1:15" x14ac:dyDescent="0.2">
      <c r="A2481" s="10" t="s">
        <v>1192</v>
      </c>
      <c r="B2481" s="10" t="s">
        <v>508</v>
      </c>
      <c r="C2481" s="10" t="s">
        <v>90</v>
      </c>
      <c r="D2481" s="10" t="s">
        <v>51</v>
      </c>
      <c r="E2481" s="10" t="s">
        <v>52</v>
      </c>
      <c r="F2481" s="10" t="s">
        <v>153</v>
      </c>
      <c r="G2481" s="10" t="b">
        <f>FALSE()</f>
        <v>0</v>
      </c>
      <c r="H2481" s="10">
        <v>0</v>
      </c>
      <c r="I2481" s="10">
        <v>1</v>
      </c>
      <c r="J2481" s="10">
        <v>0</v>
      </c>
      <c r="K2481" s="10">
        <v>0</v>
      </c>
      <c r="L2481" s="10">
        <v>0</v>
      </c>
      <c r="M2481" s="10">
        <v>1</v>
      </c>
      <c r="N2481" s="10">
        <v>81</v>
      </c>
      <c r="O2481" s="10">
        <v>81</v>
      </c>
    </row>
    <row r="2482" spans="1:15" x14ac:dyDescent="0.2">
      <c r="A2482" s="10" t="s">
        <v>453</v>
      </c>
      <c r="B2482" s="10" t="s">
        <v>136</v>
      </c>
      <c r="C2482" s="10" t="s">
        <v>73</v>
      </c>
      <c r="D2482" s="10" t="s">
        <v>45</v>
      </c>
      <c r="E2482" s="10" t="s">
        <v>46</v>
      </c>
      <c r="F2482" s="10" t="s">
        <v>1118</v>
      </c>
      <c r="G2482" s="10" t="b">
        <f>FALSE()</f>
        <v>0</v>
      </c>
      <c r="H2482" s="10">
        <v>0</v>
      </c>
      <c r="I2482" s="10">
        <v>1</v>
      </c>
      <c r="J2482" s="10">
        <v>0</v>
      </c>
      <c r="K2482" s="10">
        <v>0</v>
      </c>
      <c r="L2482" s="10">
        <v>0</v>
      </c>
      <c r="M2482" s="10">
        <v>1</v>
      </c>
      <c r="N2482" s="10">
        <v>80</v>
      </c>
      <c r="O2482" s="10">
        <v>80</v>
      </c>
    </row>
    <row r="2483" spans="1:15" x14ac:dyDescent="0.2">
      <c r="A2483" s="10" t="s">
        <v>1290</v>
      </c>
      <c r="B2483" s="10" t="s">
        <v>407</v>
      </c>
      <c r="C2483" s="10" t="s">
        <v>112</v>
      </c>
      <c r="D2483" s="10" t="s">
        <v>51</v>
      </c>
      <c r="E2483" s="10" t="s">
        <v>52</v>
      </c>
      <c r="F2483" s="10" t="s">
        <v>107</v>
      </c>
      <c r="G2483" s="10" t="b">
        <f>FALSE()</f>
        <v>0</v>
      </c>
      <c r="H2483" s="10">
        <v>0</v>
      </c>
      <c r="I2483" s="10">
        <v>1</v>
      </c>
      <c r="J2483" s="10">
        <v>0</v>
      </c>
      <c r="K2483" s="10">
        <v>0</v>
      </c>
      <c r="L2483" s="10">
        <v>0</v>
      </c>
      <c r="M2483" s="10">
        <v>1</v>
      </c>
      <c r="N2483" s="10">
        <v>80</v>
      </c>
      <c r="O2483" s="10">
        <v>80</v>
      </c>
    </row>
    <row r="2484" spans="1:15" x14ac:dyDescent="0.2">
      <c r="A2484" s="10" t="s">
        <v>1047</v>
      </c>
      <c r="B2484" s="10" t="s">
        <v>96</v>
      </c>
      <c r="C2484" s="10" t="s">
        <v>50</v>
      </c>
      <c r="D2484" s="10" t="s">
        <v>51</v>
      </c>
      <c r="E2484" s="10" t="s">
        <v>52</v>
      </c>
      <c r="F2484" s="10" t="s">
        <v>640</v>
      </c>
      <c r="G2484" s="10" t="b">
        <f>FALSE()</f>
        <v>0</v>
      </c>
      <c r="H2484" s="10">
        <v>0</v>
      </c>
      <c r="I2484" s="10">
        <v>1</v>
      </c>
      <c r="J2484" s="10">
        <v>0</v>
      </c>
      <c r="K2484" s="10">
        <v>0</v>
      </c>
      <c r="L2484" s="10">
        <v>0</v>
      </c>
      <c r="M2484" s="10">
        <v>1</v>
      </c>
      <c r="N2484" s="10">
        <v>83</v>
      </c>
      <c r="O2484" s="10">
        <v>80</v>
      </c>
    </row>
    <row r="2485" spans="1:15" x14ac:dyDescent="0.2">
      <c r="A2485" s="10" t="s">
        <v>1183</v>
      </c>
      <c r="B2485" s="10" t="s">
        <v>89</v>
      </c>
      <c r="C2485" s="10" t="s">
        <v>90</v>
      </c>
      <c r="D2485" s="10" t="s">
        <v>51</v>
      </c>
      <c r="E2485" s="10" t="s">
        <v>52</v>
      </c>
      <c r="F2485" s="10" t="s">
        <v>363</v>
      </c>
      <c r="G2485" s="10" t="b">
        <f>FALSE()</f>
        <v>0</v>
      </c>
      <c r="H2485" s="10">
        <v>0</v>
      </c>
      <c r="I2485" s="10">
        <v>1</v>
      </c>
      <c r="J2485" s="10">
        <v>0</v>
      </c>
      <c r="K2485" s="10">
        <v>0</v>
      </c>
      <c r="L2485" s="10">
        <v>0</v>
      </c>
      <c r="M2485" s="10">
        <v>1</v>
      </c>
      <c r="N2485" s="10">
        <v>125</v>
      </c>
      <c r="O2485" s="10">
        <v>80</v>
      </c>
    </row>
    <row r="2486" spans="1:15" x14ac:dyDescent="0.2">
      <c r="A2486" s="10" t="s">
        <v>1298</v>
      </c>
      <c r="B2486" s="10" t="s">
        <v>109</v>
      </c>
      <c r="C2486" s="10" t="s">
        <v>90</v>
      </c>
      <c r="D2486" s="10" t="s">
        <v>51</v>
      </c>
      <c r="E2486" s="10" t="s">
        <v>52</v>
      </c>
      <c r="F2486" s="10" t="s">
        <v>91</v>
      </c>
      <c r="G2486" s="10" t="b">
        <f>TRUE()</f>
        <v>1</v>
      </c>
      <c r="H2486" s="10">
        <v>0</v>
      </c>
      <c r="I2486" s="10">
        <v>1</v>
      </c>
      <c r="J2486" s="10">
        <v>0</v>
      </c>
      <c r="K2486" s="10">
        <v>0</v>
      </c>
      <c r="L2486" s="10">
        <v>0</v>
      </c>
      <c r="M2486" s="10">
        <v>1</v>
      </c>
      <c r="N2486" s="10">
        <v>86</v>
      </c>
      <c r="O2486" s="10">
        <v>80</v>
      </c>
    </row>
    <row r="2487" spans="1:15" x14ac:dyDescent="0.2">
      <c r="A2487" s="10" t="s">
        <v>1062</v>
      </c>
      <c r="B2487" s="10" t="s">
        <v>72</v>
      </c>
      <c r="C2487" s="10" t="s">
        <v>73</v>
      </c>
      <c r="D2487" s="10" t="s">
        <v>45</v>
      </c>
      <c r="E2487" s="10" t="s">
        <v>46</v>
      </c>
      <c r="F2487" s="10" t="s">
        <v>79</v>
      </c>
      <c r="G2487" s="10" t="b">
        <f>FALSE()</f>
        <v>0</v>
      </c>
      <c r="H2487" s="10">
        <v>0</v>
      </c>
      <c r="I2487" s="10">
        <v>1</v>
      </c>
      <c r="J2487" s="10">
        <v>0</v>
      </c>
      <c r="K2487" s="10">
        <v>0</v>
      </c>
      <c r="L2487" s="10">
        <v>0</v>
      </c>
      <c r="M2487" s="10">
        <v>1</v>
      </c>
      <c r="N2487" s="10">
        <v>80</v>
      </c>
      <c r="O2487" s="10">
        <v>80</v>
      </c>
    </row>
    <row r="2488" spans="1:15" x14ac:dyDescent="0.2">
      <c r="A2488" s="10" t="s">
        <v>1113</v>
      </c>
      <c r="B2488" s="10" t="s">
        <v>136</v>
      </c>
      <c r="C2488" s="10" t="s">
        <v>73</v>
      </c>
      <c r="D2488" s="10" t="s">
        <v>45</v>
      </c>
      <c r="E2488" s="10" t="s">
        <v>46</v>
      </c>
      <c r="F2488" s="10" t="s">
        <v>204</v>
      </c>
      <c r="G2488" s="10" t="b">
        <f>FALSE()</f>
        <v>0</v>
      </c>
      <c r="H2488" s="10">
        <v>0</v>
      </c>
      <c r="I2488" s="10">
        <v>1</v>
      </c>
      <c r="J2488" s="10">
        <v>0</v>
      </c>
      <c r="K2488" s="10">
        <v>0</v>
      </c>
      <c r="L2488" s="10">
        <v>0</v>
      </c>
      <c r="M2488" s="10">
        <v>1</v>
      </c>
      <c r="N2488" s="10">
        <v>86</v>
      </c>
      <c r="O2488" s="10">
        <v>80</v>
      </c>
    </row>
    <row r="2489" spans="1:15" x14ac:dyDescent="0.2">
      <c r="A2489" s="10" t="s">
        <v>693</v>
      </c>
      <c r="B2489" s="10" t="s">
        <v>130</v>
      </c>
      <c r="C2489" s="10" t="s">
        <v>56</v>
      </c>
      <c r="D2489" s="10" t="s">
        <v>45</v>
      </c>
      <c r="E2489" s="10" t="s">
        <v>46</v>
      </c>
      <c r="F2489" s="10" t="s">
        <v>74</v>
      </c>
      <c r="G2489" s="10" t="b">
        <f>FALSE()</f>
        <v>0</v>
      </c>
      <c r="H2489" s="10">
        <v>0</v>
      </c>
      <c r="I2489" s="10">
        <v>1</v>
      </c>
      <c r="J2489" s="10">
        <v>0</v>
      </c>
      <c r="K2489" s="10">
        <v>0</v>
      </c>
      <c r="L2489" s="10">
        <v>0</v>
      </c>
      <c r="M2489" s="10">
        <v>1</v>
      </c>
      <c r="N2489" s="10">
        <v>79</v>
      </c>
      <c r="O2489" s="10">
        <v>79</v>
      </c>
    </row>
    <row r="2490" spans="1:15" x14ac:dyDescent="0.2">
      <c r="A2490" s="10" t="s">
        <v>1152</v>
      </c>
      <c r="B2490" s="10" t="s">
        <v>67</v>
      </c>
      <c r="C2490" s="10" t="s">
        <v>64</v>
      </c>
      <c r="D2490" s="10" t="s">
        <v>45</v>
      </c>
      <c r="E2490" s="10" t="s">
        <v>46</v>
      </c>
      <c r="F2490" s="10" t="s">
        <v>92</v>
      </c>
      <c r="G2490" s="10" t="b">
        <f>FALSE()</f>
        <v>0</v>
      </c>
      <c r="H2490" s="10">
        <v>0</v>
      </c>
      <c r="I2490" s="10">
        <v>1</v>
      </c>
      <c r="J2490" s="10">
        <v>0</v>
      </c>
      <c r="K2490" s="10">
        <v>0</v>
      </c>
      <c r="L2490" s="10">
        <v>0</v>
      </c>
      <c r="M2490" s="10">
        <v>1</v>
      </c>
      <c r="N2490" s="10">
        <v>79</v>
      </c>
      <c r="O2490" s="10">
        <v>79</v>
      </c>
    </row>
    <row r="2491" spans="1:15" x14ac:dyDescent="0.2">
      <c r="A2491" s="10" t="s">
        <v>1127</v>
      </c>
      <c r="B2491" s="10" t="s">
        <v>55</v>
      </c>
      <c r="C2491" s="10" t="s">
        <v>56</v>
      </c>
      <c r="D2491" s="10" t="s">
        <v>45</v>
      </c>
      <c r="E2491" s="10" t="s">
        <v>46</v>
      </c>
      <c r="F2491" s="10" t="s">
        <v>1099</v>
      </c>
      <c r="G2491" s="10" t="b">
        <f>FALSE()</f>
        <v>0</v>
      </c>
      <c r="H2491" s="10">
        <v>0</v>
      </c>
      <c r="I2491" s="10">
        <v>1</v>
      </c>
      <c r="J2491" s="10">
        <v>0</v>
      </c>
      <c r="K2491" s="10">
        <v>0</v>
      </c>
      <c r="L2491" s="10">
        <v>0</v>
      </c>
      <c r="M2491" s="10">
        <v>1</v>
      </c>
      <c r="N2491" s="10">
        <v>79</v>
      </c>
      <c r="O2491" s="10">
        <v>79</v>
      </c>
    </row>
    <row r="2492" spans="1:15" x14ac:dyDescent="0.2">
      <c r="A2492" s="10" t="s">
        <v>307</v>
      </c>
      <c r="B2492" s="10" t="s">
        <v>70</v>
      </c>
      <c r="C2492" s="10" t="s">
        <v>70</v>
      </c>
      <c r="D2492" s="10" t="s">
        <v>45</v>
      </c>
      <c r="E2492" s="10" t="s">
        <v>46</v>
      </c>
      <c r="F2492" s="10" t="s">
        <v>403</v>
      </c>
      <c r="G2492" s="10" t="b">
        <f>TRUE()</f>
        <v>1</v>
      </c>
      <c r="H2492" s="10">
        <v>0</v>
      </c>
      <c r="I2492" s="10">
        <v>1</v>
      </c>
      <c r="J2492" s="10">
        <v>0</v>
      </c>
      <c r="K2492" s="10">
        <v>0</v>
      </c>
      <c r="L2492" s="10">
        <v>0</v>
      </c>
      <c r="M2492" s="10">
        <v>1</v>
      </c>
      <c r="N2492" s="10">
        <v>79</v>
      </c>
      <c r="O2492" s="10">
        <v>79</v>
      </c>
    </row>
    <row r="2493" spans="1:15" x14ac:dyDescent="0.2">
      <c r="A2493" s="10" t="s">
        <v>502</v>
      </c>
      <c r="B2493" s="10" t="s">
        <v>302</v>
      </c>
      <c r="C2493" s="10" t="s">
        <v>117</v>
      </c>
      <c r="D2493" s="10" t="s">
        <v>51</v>
      </c>
      <c r="E2493" s="10" t="s">
        <v>52</v>
      </c>
      <c r="F2493" s="10" t="s">
        <v>47</v>
      </c>
      <c r="G2493" s="10" t="b">
        <f>FALSE()</f>
        <v>0</v>
      </c>
      <c r="H2493" s="10">
        <v>1</v>
      </c>
      <c r="I2493" s="10">
        <v>1</v>
      </c>
      <c r="J2493" s="10">
        <v>1</v>
      </c>
      <c r="K2493" s="10">
        <v>28</v>
      </c>
      <c r="L2493" s="10">
        <v>0</v>
      </c>
      <c r="M2493" s="10">
        <v>1</v>
      </c>
      <c r="N2493" s="10">
        <v>54</v>
      </c>
      <c r="O2493" s="10">
        <v>78</v>
      </c>
    </row>
    <row r="2494" spans="1:15" x14ac:dyDescent="0.2">
      <c r="A2494" s="10" t="s">
        <v>523</v>
      </c>
      <c r="B2494" s="10" t="s">
        <v>96</v>
      </c>
      <c r="C2494" s="10" t="s">
        <v>50</v>
      </c>
      <c r="D2494" s="10" t="s">
        <v>51</v>
      </c>
      <c r="E2494" s="10" t="s">
        <v>52</v>
      </c>
      <c r="F2494" s="10" t="s">
        <v>214</v>
      </c>
      <c r="G2494" s="10" t="b">
        <f>FALSE()</f>
        <v>0</v>
      </c>
      <c r="H2494" s="10">
        <v>0</v>
      </c>
      <c r="I2494" s="10">
        <v>1</v>
      </c>
      <c r="J2494" s="10">
        <v>0</v>
      </c>
      <c r="K2494" s="10">
        <v>0</v>
      </c>
      <c r="L2494" s="10">
        <v>0</v>
      </c>
      <c r="M2494" s="10">
        <v>1</v>
      </c>
      <c r="N2494" s="10">
        <v>81</v>
      </c>
      <c r="O2494" s="10">
        <v>78</v>
      </c>
    </row>
    <row r="2495" spans="1:15" x14ac:dyDescent="0.2">
      <c r="A2495" s="10" t="s">
        <v>1299</v>
      </c>
      <c r="B2495" s="10" t="s">
        <v>89</v>
      </c>
      <c r="C2495" s="10" t="s">
        <v>90</v>
      </c>
      <c r="D2495" s="10" t="s">
        <v>51</v>
      </c>
      <c r="E2495" s="10" t="s">
        <v>52</v>
      </c>
      <c r="F2495" s="10" t="s">
        <v>947</v>
      </c>
      <c r="G2495" s="10" t="b">
        <f>FALSE()</f>
        <v>0</v>
      </c>
      <c r="H2495" s="10">
        <v>0</v>
      </c>
      <c r="I2495" s="10">
        <v>1</v>
      </c>
      <c r="J2495" s="10">
        <v>0</v>
      </c>
      <c r="K2495" s="10">
        <v>0</v>
      </c>
      <c r="L2495" s="10">
        <v>0</v>
      </c>
      <c r="M2495" s="10">
        <v>1</v>
      </c>
      <c r="N2495" s="10">
        <v>127</v>
      </c>
      <c r="O2495" s="10">
        <v>78</v>
      </c>
    </row>
    <row r="2496" spans="1:15" x14ac:dyDescent="0.2">
      <c r="A2496" s="10" t="s">
        <v>1055</v>
      </c>
      <c r="B2496" s="10" t="s">
        <v>178</v>
      </c>
      <c r="C2496" s="10" t="s">
        <v>73</v>
      </c>
      <c r="D2496" s="10" t="s">
        <v>45</v>
      </c>
      <c r="E2496" s="10" t="s">
        <v>46</v>
      </c>
      <c r="F2496" s="10" t="s">
        <v>190</v>
      </c>
      <c r="G2496" s="10" t="b">
        <f>TRUE()</f>
        <v>1</v>
      </c>
      <c r="H2496" s="10">
        <v>0</v>
      </c>
      <c r="I2496" s="10">
        <v>1</v>
      </c>
      <c r="J2496" s="10">
        <v>0</v>
      </c>
      <c r="K2496" s="10">
        <v>0</v>
      </c>
      <c r="L2496" s="10">
        <v>0</v>
      </c>
      <c r="M2496" s="10">
        <v>1</v>
      </c>
      <c r="N2496" s="10">
        <v>78</v>
      </c>
      <c r="O2496" s="10">
        <v>78</v>
      </c>
    </row>
    <row r="2497" spans="1:15" x14ac:dyDescent="0.2">
      <c r="A2497" s="10" t="s">
        <v>1206</v>
      </c>
      <c r="B2497" s="10" t="s">
        <v>285</v>
      </c>
      <c r="C2497" s="10" t="s">
        <v>105</v>
      </c>
      <c r="D2497" s="10" t="s">
        <v>45</v>
      </c>
      <c r="E2497" s="10" t="s">
        <v>46</v>
      </c>
      <c r="F2497" s="10" t="s">
        <v>92</v>
      </c>
      <c r="G2497" s="10" t="b">
        <f>FALSE()</f>
        <v>0</v>
      </c>
      <c r="H2497" s="10">
        <v>0</v>
      </c>
      <c r="I2497" s="10">
        <v>1</v>
      </c>
      <c r="J2497" s="10">
        <v>0</v>
      </c>
      <c r="K2497" s="10">
        <v>0</v>
      </c>
      <c r="L2497" s="10">
        <v>0</v>
      </c>
      <c r="M2497" s="10">
        <v>1</v>
      </c>
      <c r="N2497" s="10">
        <v>78</v>
      </c>
      <c r="O2497" s="10">
        <v>78</v>
      </c>
    </row>
    <row r="2498" spans="1:15" x14ac:dyDescent="0.2">
      <c r="A2498" s="10" t="s">
        <v>1221</v>
      </c>
      <c r="B2498" s="10" t="s">
        <v>146</v>
      </c>
      <c r="C2498" s="10" t="s">
        <v>105</v>
      </c>
      <c r="D2498" s="10" t="s">
        <v>45</v>
      </c>
      <c r="E2498" s="10" t="s">
        <v>46</v>
      </c>
      <c r="F2498" s="10" t="s">
        <v>190</v>
      </c>
      <c r="G2498" s="10" t="b">
        <f>TRUE()</f>
        <v>1</v>
      </c>
      <c r="H2498" s="10">
        <v>0</v>
      </c>
      <c r="I2498" s="10">
        <v>1</v>
      </c>
      <c r="J2498" s="10">
        <v>0</v>
      </c>
      <c r="K2498" s="10">
        <v>0</v>
      </c>
      <c r="L2498" s="10">
        <v>0</v>
      </c>
      <c r="M2498" s="10">
        <v>1</v>
      </c>
      <c r="N2498" s="10">
        <v>83</v>
      </c>
      <c r="O2498" s="10">
        <v>78</v>
      </c>
    </row>
    <row r="2499" spans="1:15" x14ac:dyDescent="0.2">
      <c r="A2499" s="10" t="s">
        <v>1196</v>
      </c>
      <c r="B2499" s="10" t="s">
        <v>104</v>
      </c>
      <c r="C2499" s="10" t="s">
        <v>105</v>
      </c>
      <c r="D2499" s="10" t="s">
        <v>45</v>
      </c>
      <c r="E2499" s="10" t="s">
        <v>46</v>
      </c>
      <c r="F2499" s="10" t="s">
        <v>558</v>
      </c>
      <c r="G2499" s="10" t="b">
        <f>TRUE()</f>
        <v>1</v>
      </c>
      <c r="H2499" s="10">
        <v>0</v>
      </c>
      <c r="I2499" s="10">
        <v>1</v>
      </c>
      <c r="J2499" s="10">
        <v>0</v>
      </c>
      <c r="K2499" s="10">
        <v>0</v>
      </c>
      <c r="L2499" s="10">
        <v>0</v>
      </c>
      <c r="M2499" s="10">
        <v>1</v>
      </c>
      <c r="N2499" s="10">
        <v>79</v>
      </c>
      <c r="O2499" s="10">
        <v>78</v>
      </c>
    </row>
    <row r="2500" spans="1:15" x14ac:dyDescent="0.2">
      <c r="A2500" s="10" t="s">
        <v>1300</v>
      </c>
      <c r="B2500" s="10" t="s">
        <v>55</v>
      </c>
      <c r="C2500" s="10" t="s">
        <v>56</v>
      </c>
      <c r="D2500" s="10" t="s">
        <v>45</v>
      </c>
      <c r="E2500" s="10" t="s">
        <v>46</v>
      </c>
      <c r="F2500" s="10" t="s">
        <v>393</v>
      </c>
      <c r="G2500" s="10" t="b">
        <f>FALSE()</f>
        <v>0</v>
      </c>
      <c r="H2500" s="10">
        <v>0</v>
      </c>
      <c r="I2500" s="10">
        <v>1</v>
      </c>
      <c r="J2500" s="10">
        <v>0</v>
      </c>
      <c r="K2500" s="10">
        <v>0</v>
      </c>
      <c r="L2500" s="10">
        <v>0</v>
      </c>
      <c r="M2500" s="10">
        <v>1</v>
      </c>
      <c r="N2500" s="10">
        <v>78</v>
      </c>
      <c r="O2500" s="10">
        <v>78</v>
      </c>
    </row>
    <row r="2501" spans="1:15" x14ac:dyDescent="0.2">
      <c r="A2501" s="10" t="s">
        <v>222</v>
      </c>
      <c r="B2501" s="10" t="s">
        <v>70</v>
      </c>
      <c r="C2501" s="10" t="s">
        <v>70</v>
      </c>
      <c r="D2501" s="10" t="s">
        <v>45</v>
      </c>
      <c r="E2501" s="10" t="s">
        <v>46</v>
      </c>
      <c r="F2501" s="10" t="s">
        <v>791</v>
      </c>
      <c r="G2501" s="10" t="b">
        <f>FALSE()</f>
        <v>0</v>
      </c>
      <c r="H2501" s="10">
        <v>0</v>
      </c>
      <c r="I2501" s="10">
        <v>1</v>
      </c>
      <c r="J2501" s="10">
        <v>0</v>
      </c>
      <c r="K2501" s="10">
        <v>0</v>
      </c>
      <c r="L2501" s="10">
        <v>0</v>
      </c>
      <c r="M2501" s="10">
        <v>1</v>
      </c>
      <c r="N2501" s="10">
        <v>77</v>
      </c>
      <c r="O2501" s="10">
        <v>77</v>
      </c>
    </row>
    <row r="2502" spans="1:15" x14ac:dyDescent="0.2">
      <c r="A2502" s="10" t="s">
        <v>150</v>
      </c>
      <c r="B2502" s="10" t="s">
        <v>151</v>
      </c>
      <c r="C2502" s="10" t="s">
        <v>64</v>
      </c>
      <c r="D2502" s="10" t="s">
        <v>45</v>
      </c>
      <c r="E2502" s="10" t="s">
        <v>46</v>
      </c>
      <c r="F2502" s="10" t="s">
        <v>434</v>
      </c>
      <c r="G2502" s="10" t="b">
        <f>FALSE()</f>
        <v>0</v>
      </c>
      <c r="H2502" s="10">
        <v>0</v>
      </c>
      <c r="I2502" s="10">
        <v>1</v>
      </c>
      <c r="J2502" s="10">
        <v>0</v>
      </c>
      <c r="K2502" s="10">
        <v>0</v>
      </c>
      <c r="L2502" s="10">
        <v>0</v>
      </c>
      <c r="M2502" s="10">
        <v>1</v>
      </c>
      <c r="N2502" s="10">
        <v>77</v>
      </c>
      <c r="O2502" s="10">
        <v>77</v>
      </c>
    </row>
    <row r="2503" spans="1:15" x14ac:dyDescent="0.2">
      <c r="A2503" s="10" t="s">
        <v>1301</v>
      </c>
      <c r="B2503" s="10" t="s">
        <v>407</v>
      </c>
      <c r="C2503" s="10" t="s">
        <v>112</v>
      </c>
      <c r="D2503" s="10" t="s">
        <v>51</v>
      </c>
      <c r="E2503" s="10" t="s">
        <v>52</v>
      </c>
      <c r="F2503" s="10" t="s">
        <v>126</v>
      </c>
      <c r="G2503" s="10" t="b">
        <f>FALSE()</f>
        <v>0</v>
      </c>
      <c r="H2503" s="10">
        <v>0</v>
      </c>
      <c r="I2503" s="10">
        <v>1</v>
      </c>
      <c r="J2503" s="10">
        <v>0</v>
      </c>
      <c r="K2503" s="10">
        <v>0</v>
      </c>
      <c r="L2503" s="10">
        <v>0</v>
      </c>
      <c r="M2503" s="10">
        <v>1</v>
      </c>
      <c r="N2503" s="10">
        <v>77</v>
      </c>
      <c r="O2503" s="10">
        <v>77</v>
      </c>
    </row>
    <row r="2504" spans="1:15" x14ac:dyDescent="0.2">
      <c r="A2504" s="10" t="s">
        <v>1302</v>
      </c>
      <c r="B2504" s="10" t="s">
        <v>96</v>
      </c>
      <c r="C2504" s="10" t="s">
        <v>50</v>
      </c>
      <c r="D2504" s="10" t="s">
        <v>51</v>
      </c>
      <c r="E2504" s="10" t="s">
        <v>52</v>
      </c>
      <c r="F2504" s="10" t="s">
        <v>207</v>
      </c>
      <c r="G2504" s="10" t="b">
        <f>FALSE()</f>
        <v>0</v>
      </c>
      <c r="H2504" s="10">
        <v>0</v>
      </c>
      <c r="I2504" s="10">
        <v>1</v>
      </c>
      <c r="J2504" s="10">
        <v>0</v>
      </c>
      <c r="K2504" s="10">
        <v>0</v>
      </c>
      <c r="L2504" s="10">
        <v>0</v>
      </c>
      <c r="M2504" s="10">
        <v>1</v>
      </c>
      <c r="N2504" s="10">
        <v>78</v>
      </c>
      <c r="O2504" s="10">
        <v>77</v>
      </c>
    </row>
    <row r="2505" spans="1:15" x14ac:dyDescent="0.2">
      <c r="A2505" s="10" t="s">
        <v>1243</v>
      </c>
      <c r="B2505" s="10" t="s">
        <v>234</v>
      </c>
      <c r="C2505" s="10" t="s">
        <v>90</v>
      </c>
      <c r="D2505" s="10" t="s">
        <v>51</v>
      </c>
      <c r="E2505" s="10" t="s">
        <v>52</v>
      </c>
      <c r="F2505" s="10" t="s">
        <v>102</v>
      </c>
      <c r="G2505" s="10" t="b">
        <f>TRUE()</f>
        <v>1</v>
      </c>
      <c r="H2505" s="10">
        <v>0</v>
      </c>
      <c r="I2505" s="10">
        <v>1</v>
      </c>
      <c r="J2505" s="10">
        <v>0</v>
      </c>
      <c r="K2505" s="10">
        <v>0</v>
      </c>
      <c r="L2505" s="10">
        <v>0</v>
      </c>
      <c r="M2505" s="10">
        <v>1</v>
      </c>
      <c r="N2505" s="10">
        <v>81</v>
      </c>
      <c r="O2505" s="10">
        <v>77</v>
      </c>
    </row>
    <row r="2506" spans="1:15" x14ac:dyDescent="0.2">
      <c r="A2506" s="10" t="s">
        <v>1165</v>
      </c>
      <c r="B2506" s="10" t="s">
        <v>136</v>
      </c>
      <c r="C2506" s="10" t="s">
        <v>73</v>
      </c>
      <c r="D2506" s="10" t="s">
        <v>45</v>
      </c>
      <c r="E2506" s="10" t="s">
        <v>46</v>
      </c>
      <c r="F2506" s="10" t="s">
        <v>183</v>
      </c>
      <c r="G2506" s="10" t="b">
        <f>FALSE()</f>
        <v>0</v>
      </c>
      <c r="H2506" s="10">
        <v>0</v>
      </c>
      <c r="I2506" s="10">
        <v>1</v>
      </c>
      <c r="J2506" s="10">
        <v>0</v>
      </c>
      <c r="K2506" s="10">
        <v>0</v>
      </c>
      <c r="L2506" s="10">
        <v>0</v>
      </c>
      <c r="M2506" s="10">
        <v>1</v>
      </c>
      <c r="N2506" s="10">
        <v>82</v>
      </c>
      <c r="O2506" s="10">
        <v>77</v>
      </c>
    </row>
    <row r="2507" spans="1:15" x14ac:dyDescent="0.2">
      <c r="A2507" s="10" t="s">
        <v>1244</v>
      </c>
      <c r="B2507" s="10" t="s">
        <v>104</v>
      </c>
      <c r="C2507" s="10" t="s">
        <v>105</v>
      </c>
      <c r="D2507" s="10" t="s">
        <v>45</v>
      </c>
      <c r="E2507" s="10" t="s">
        <v>46</v>
      </c>
      <c r="F2507" s="10" t="s">
        <v>535</v>
      </c>
      <c r="G2507" s="10" t="b">
        <f>TRUE()</f>
        <v>1</v>
      </c>
      <c r="H2507" s="10">
        <v>0</v>
      </c>
      <c r="I2507" s="10">
        <v>1</v>
      </c>
      <c r="J2507" s="10">
        <v>0</v>
      </c>
      <c r="K2507" s="10">
        <v>0</v>
      </c>
      <c r="L2507" s="10">
        <v>0</v>
      </c>
      <c r="M2507" s="10">
        <v>1</v>
      </c>
      <c r="N2507" s="10">
        <v>77</v>
      </c>
      <c r="O2507" s="10">
        <v>77</v>
      </c>
    </row>
    <row r="2508" spans="1:15" x14ac:dyDescent="0.2">
      <c r="A2508" s="10" t="s">
        <v>1145</v>
      </c>
      <c r="B2508" s="10" t="s">
        <v>70</v>
      </c>
      <c r="C2508" s="10" t="s">
        <v>70</v>
      </c>
      <c r="D2508" s="10" t="s">
        <v>45</v>
      </c>
      <c r="E2508" s="10" t="s">
        <v>46</v>
      </c>
      <c r="F2508" s="10" t="s">
        <v>588</v>
      </c>
      <c r="G2508" s="10" t="b">
        <f>TRUE()</f>
        <v>1</v>
      </c>
      <c r="H2508" s="10">
        <v>0</v>
      </c>
      <c r="I2508" s="10">
        <v>1</v>
      </c>
      <c r="J2508" s="10">
        <v>0</v>
      </c>
      <c r="K2508" s="10">
        <v>0</v>
      </c>
      <c r="L2508" s="10">
        <v>0</v>
      </c>
      <c r="M2508" s="10">
        <v>1</v>
      </c>
      <c r="N2508" s="10">
        <v>79</v>
      </c>
      <c r="O2508" s="10">
        <v>77</v>
      </c>
    </row>
    <row r="2509" spans="1:15" x14ac:dyDescent="0.2">
      <c r="A2509" s="10" t="s">
        <v>1137</v>
      </c>
      <c r="B2509" s="10" t="s">
        <v>70</v>
      </c>
      <c r="C2509" s="10" t="s">
        <v>70</v>
      </c>
      <c r="D2509" s="10" t="s">
        <v>45</v>
      </c>
      <c r="E2509" s="10" t="s">
        <v>46</v>
      </c>
      <c r="F2509" s="10" t="s">
        <v>58</v>
      </c>
      <c r="G2509" s="10" t="b">
        <f>FALSE()</f>
        <v>0</v>
      </c>
      <c r="H2509" s="10">
        <v>0</v>
      </c>
      <c r="I2509" s="10">
        <v>1</v>
      </c>
      <c r="J2509" s="10">
        <v>0</v>
      </c>
      <c r="K2509" s="10">
        <v>0</v>
      </c>
      <c r="L2509" s="10">
        <v>0</v>
      </c>
      <c r="M2509" s="10">
        <v>1</v>
      </c>
      <c r="N2509" s="10">
        <v>77</v>
      </c>
      <c r="O2509" s="10">
        <v>77</v>
      </c>
    </row>
    <row r="2510" spans="1:15" x14ac:dyDescent="0.2">
      <c r="A2510" s="10" t="s">
        <v>734</v>
      </c>
      <c r="B2510" s="10" t="s">
        <v>89</v>
      </c>
      <c r="C2510" s="10" t="s">
        <v>90</v>
      </c>
      <c r="D2510" s="10" t="s">
        <v>51</v>
      </c>
      <c r="E2510" s="10" t="s">
        <v>52</v>
      </c>
      <c r="F2510" s="10" t="s">
        <v>79</v>
      </c>
      <c r="G2510" s="10" t="b">
        <f>FALSE()</f>
        <v>0</v>
      </c>
      <c r="H2510" s="10">
        <v>0</v>
      </c>
      <c r="I2510" s="10">
        <v>1</v>
      </c>
      <c r="J2510" s="10">
        <v>0</v>
      </c>
      <c r="K2510" s="10">
        <v>0</v>
      </c>
      <c r="L2510" s="10">
        <v>0</v>
      </c>
      <c r="M2510" s="10">
        <v>1</v>
      </c>
      <c r="N2510" s="10">
        <v>78</v>
      </c>
      <c r="O2510" s="10">
        <v>76</v>
      </c>
    </row>
    <row r="2511" spans="1:15" x14ac:dyDescent="0.2">
      <c r="A2511" s="10" t="s">
        <v>263</v>
      </c>
      <c r="B2511" s="10" t="s">
        <v>67</v>
      </c>
      <c r="C2511" s="10" t="s">
        <v>64</v>
      </c>
      <c r="D2511" s="10" t="s">
        <v>45</v>
      </c>
      <c r="E2511" s="10" t="s">
        <v>46</v>
      </c>
      <c r="F2511" s="10" t="s">
        <v>47</v>
      </c>
      <c r="G2511" s="10" t="b">
        <f>FALSE()</f>
        <v>0</v>
      </c>
      <c r="H2511" s="10">
        <v>0</v>
      </c>
      <c r="I2511" s="10">
        <v>1</v>
      </c>
      <c r="J2511" s="10">
        <v>0</v>
      </c>
      <c r="K2511" s="10">
        <v>0</v>
      </c>
      <c r="L2511" s="10">
        <v>0</v>
      </c>
      <c r="M2511" s="10">
        <v>1</v>
      </c>
      <c r="N2511" s="10">
        <v>77</v>
      </c>
      <c r="O2511" s="10">
        <v>76</v>
      </c>
    </row>
    <row r="2512" spans="1:15" x14ac:dyDescent="0.2">
      <c r="A2512" s="10" t="s">
        <v>1141</v>
      </c>
      <c r="B2512" s="10" t="s">
        <v>405</v>
      </c>
      <c r="C2512" s="10" t="s">
        <v>112</v>
      </c>
      <c r="D2512" s="10" t="s">
        <v>51</v>
      </c>
      <c r="E2512" s="10" t="s">
        <v>52</v>
      </c>
      <c r="F2512" s="10" t="s">
        <v>74</v>
      </c>
      <c r="G2512" s="10" t="b">
        <f>FALSE()</f>
        <v>0</v>
      </c>
      <c r="H2512" s="10">
        <v>0</v>
      </c>
      <c r="I2512" s="10">
        <v>1</v>
      </c>
      <c r="J2512" s="10">
        <v>0</v>
      </c>
      <c r="K2512" s="10">
        <v>0</v>
      </c>
      <c r="L2512" s="10">
        <v>0</v>
      </c>
      <c r="M2512" s="10">
        <v>1</v>
      </c>
      <c r="N2512" s="10">
        <v>76</v>
      </c>
      <c r="O2512" s="10">
        <v>76</v>
      </c>
    </row>
    <row r="2513" spans="1:15" x14ac:dyDescent="0.2">
      <c r="A2513" s="10" t="s">
        <v>1303</v>
      </c>
      <c r="B2513" s="10" t="s">
        <v>247</v>
      </c>
      <c r="C2513" s="10" t="s">
        <v>245</v>
      </c>
      <c r="D2513" s="10" t="s">
        <v>51</v>
      </c>
      <c r="E2513" s="10" t="s">
        <v>52</v>
      </c>
      <c r="F2513" s="10" t="s">
        <v>126</v>
      </c>
      <c r="G2513" s="10" t="b">
        <f>FALSE()</f>
        <v>0</v>
      </c>
      <c r="H2513" s="10">
        <v>0</v>
      </c>
      <c r="I2513" s="10">
        <v>1</v>
      </c>
      <c r="J2513" s="10">
        <v>0</v>
      </c>
      <c r="K2513" s="10">
        <v>0</v>
      </c>
      <c r="L2513" s="10">
        <v>0</v>
      </c>
      <c r="M2513" s="10">
        <v>1</v>
      </c>
      <c r="N2513" s="10">
        <v>82</v>
      </c>
      <c r="O2513" s="10">
        <v>76</v>
      </c>
    </row>
    <row r="2514" spans="1:15" x14ac:dyDescent="0.2">
      <c r="A2514" s="10" t="s">
        <v>1043</v>
      </c>
      <c r="B2514" s="10" t="s">
        <v>218</v>
      </c>
      <c r="C2514" s="10" t="s">
        <v>73</v>
      </c>
      <c r="D2514" s="10" t="s">
        <v>45</v>
      </c>
      <c r="E2514" s="10" t="s">
        <v>46</v>
      </c>
      <c r="F2514" s="10" t="s">
        <v>186</v>
      </c>
      <c r="G2514" s="10" t="b">
        <f>TRUE()</f>
        <v>1</v>
      </c>
      <c r="H2514" s="10">
        <v>0</v>
      </c>
      <c r="I2514" s="10">
        <v>1</v>
      </c>
      <c r="J2514" s="10">
        <v>0</v>
      </c>
      <c r="K2514" s="10">
        <v>0</v>
      </c>
      <c r="L2514" s="10">
        <v>0</v>
      </c>
      <c r="M2514" s="10">
        <v>1</v>
      </c>
      <c r="N2514" s="10">
        <v>76</v>
      </c>
      <c r="O2514" s="10">
        <v>76</v>
      </c>
    </row>
    <row r="2515" spans="1:15" x14ac:dyDescent="0.2">
      <c r="A2515" s="10" t="s">
        <v>1175</v>
      </c>
      <c r="B2515" s="10" t="s">
        <v>260</v>
      </c>
      <c r="C2515" s="10" t="s">
        <v>64</v>
      </c>
      <c r="D2515" s="10" t="s">
        <v>45</v>
      </c>
      <c r="E2515" s="10" t="s">
        <v>46</v>
      </c>
      <c r="F2515" s="10" t="s">
        <v>219</v>
      </c>
      <c r="G2515" s="10" t="b">
        <f>FALSE()</f>
        <v>0</v>
      </c>
      <c r="H2515" s="10">
        <v>0</v>
      </c>
      <c r="I2515" s="10">
        <v>1</v>
      </c>
      <c r="J2515" s="10">
        <v>0</v>
      </c>
      <c r="K2515" s="10">
        <v>0</v>
      </c>
      <c r="L2515" s="10">
        <v>0</v>
      </c>
      <c r="M2515" s="10">
        <v>1</v>
      </c>
      <c r="N2515" s="10">
        <v>76</v>
      </c>
      <c r="O2515" s="10">
        <v>76</v>
      </c>
    </row>
    <row r="2516" spans="1:15" x14ac:dyDescent="0.2">
      <c r="A2516" s="10" t="s">
        <v>1208</v>
      </c>
      <c r="B2516" s="10" t="s">
        <v>119</v>
      </c>
      <c r="C2516" s="10" t="s">
        <v>56</v>
      </c>
      <c r="D2516" s="10" t="s">
        <v>45</v>
      </c>
      <c r="E2516" s="10" t="s">
        <v>46</v>
      </c>
      <c r="F2516" s="10" t="s">
        <v>107</v>
      </c>
      <c r="G2516" s="10" t="b">
        <f>FALSE()</f>
        <v>0</v>
      </c>
      <c r="H2516" s="10">
        <v>0</v>
      </c>
      <c r="I2516" s="10">
        <v>1</v>
      </c>
      <c r="J2516" s="10">
        <v>0</v>
      </c>
      <c r="K2516" s="10">
        <v>0</v>
      </c>
      <c r="L2516" s="10">
        <v>0</v>
      </c>
      <c r="M2516" s="10">
        <v>1</v>
      </c>
      <c r="N2516" s="10">
        <v>77</v>
      </c>
      <c r="O2516" s="10">
        <v>76</v>
      </c>
    </row>
    <row r="2517" spans="1:15" x14ac:dyDescent="0.2">
      <c r="A2517" s="10" t="s">
        <v>1179</v>
      </c>
      <c r="B2517" s="10" t="s">
        <v>70</v>
      </c>
      <c r="C2517" s="10" t="s">
        <v>70</v>
      </c>
      <c r="D2517" s="10" t="s">
        <v>45</v>
      </c>
      <c r="E2517" s="10" t="s">
        <v>46</v>
      </c>
      <c r="F2517" s="10" t="s">
        <v>588</v>
      </c>
      <c r="G2517" s="10" t="b">
        <f>TRUE()</f>
        <v>1</v>
      </c>
      <c r="H2517" s="10">
        <v>0</v>
      </c>
      <c r="I2517" s="10">
        <v>1</v>
      </c>
      <c r="J2517" s="10">
        <v>0</v>
      </c>
      <c r="K2517" s="10">
        <v>0</v>
      </c>
      <c r="L2517" s="10">
        <v>0</v>
      </c>
      <c r="M2517" s="10">
        <v>1</v>
      </c>
      <c r="N2517" s="10">
        <v>76</v>
      </c>
      <c r="O2517" s="10">
        <v>76</v>
      </c>
    </row>
    <row r="2518" spans="1:15" x14ac:dyDescent="0.2">
      <c r="A2518" s="10" t="s">
        <v>1285</v>
      </c>
      <c r="B2518" s="10" t="s">
        <v>522</v>
      </c>
      <c r="C2518" s="10" t="s">
        <v>90</v>
      </c>
      <c r="D2518" s="10" t="s">
        <v>51</v>
      </c>
      <c r="E2518" s="10" t="s">
        <v>52</v>
      </c>
      <c r="F2518" s="10" t="s">
        <v>61</v>
      </c>
      <c r="G2518" s="10" t="b">
        <f>FALSE()</f>
        <v>0</v>
      </c>
      <c r="H2518" s="10">
        <v>0</v>
      </c>
      <c r="I2518" s="10">
        <v>1</v>
      </c>
      <c r="J2518" s="10">
        <v>0</v>
      </c>
      <c r="K2518" s="10">
        <v>0</v>
      </c>
      <c r="L2518" s="10">
        <v>0</v>
      </c>
      <c r="M2518" s="10">
        <v>1</v>
      </c>
      <c r="N2518" s="10">
        <v>75</v>
      </c>
      <c r="O2518" s="10">
        <v>75</v>
      </c>
    </row>
    <row r="2519" spans="1:15" x14ac:dyDescent="0.2">
      <c r="A2519" s="10" t="s">
        <v>1196</v>
      </c>
      <c r="B2519" s="10" t="s">
        <v>104</v>
      </c>
      <c r="C2519" s="10" t="s">
        <v>105</v>
      </c>
      <c r="D2519" s="10" t="s">
        <v>45</v>
      </c>
      <c r="E2519" s="10" t="s">
        <v>46</v>
      </c>
      <c r="F2519" s="10" t="s">
        <v>207</v>
      </c>
      <c r="G2519" s="10" t="b">
        <f>FALSE()</f>
        <v>0</v>
      </c>
      <c r="H2519" s="10">
        <v>0</v>
      </c>
      <c r="I2519" s="10">
        <v>1</v>
      </c>
      <c r="J2519" s="10">
        <v>0</v>
      </c>
      <c r="K2519" s="10">
        <v>0</v>
      </c>
      <c r="L2519" s="10">
        <v>0</v>
      </c>
      <c r="M2519" s="10">
        <v>1</v>
      </c>
      <c r="N2519" s="10">
        <v>71</v>
      </c>
      <c r="O2519" s="10">
        <v>75</v>
      </c>
    </row>
    <row r="2520" spans="1:15" x14ac:dyDescent="0.2">
      <c r="A2520" s="10" t="s">
        <v>1196</v>
      </c>
      <c r="B2520" s="10" t="s">
        <v>104</v>
      </c>
      <c r="C2520" s="10" t="s">
        <v>105</v>
      </c>
      <c r="D2520" s="10" t="s">
        <v>45</v>
      </c>
      <c r="E2520" s="10" t="s">
        <v>46</v>
      </c>
      <c r="F2520" s="10" t="s">
        <v>365</v>
      </c>
      <c r="G2520" s="10" t="b">
        <f>TRUE()</f>
        <v>1</v>
      </c>
      <c r="H2520" s="10">
        <v>0</v>
      </c>
      <c r="I2520" s="10">
        <v>1</v>
      </c>
      <c r="J2520" s="10">
        <v>0</v>
      </c>
      <c r="K2520" s="10">
        <v>0</v>
      </c>
      <c r="L2520" s="10">
        <v>0</v>
      </c>
      <c r="M2520" s="10">
        <v>1</v>
      </c>
      <c r="N2520" s="10">
        <v>75</v>
      </c>
      <c r="O2520" s="10">
        <v>75</v>
      </c>
    </row>
    <row r="2521" spans="1:15" x14ac:dyDescent="0.2">
      <c r="A2521" s="10" t="s">
        <v>1058</v>
      </c>
      <c r="B2521" s="10" t="s">
        <v>43</v>
      </c>
      <c r="C2521" s="10" t="s">
        <v>44</v>
      </c>
      <c r="D2521" s="10" t="s">
        <v>45</v>
      </c>
      <c r="E2521" s="10" t="s">
        <v>46</v>
      </c>
      <c r="F2521" s="10" t="s">
        <v>94</v>
      </c>
      <c r="G2521" s="10" t="b">
        <f>FALSE()</f>
        <v>0</v>
      </c>
      <c r="H2521" s="10">
        <v>0</v>
      </c>
      <c r="I2521" s="10">
        <v>1</v>
      </c>
      <c r="J2521" s="10">
        <v>0</v>
      </c>
      <c r="K2521" s="10">
        <v>0</v>
      </c>
      <c r="L2521" s="10">
        <v>0</v>
      </c>
      <c r="M2521" s="10">
        <v>1</v>
      </c>
      <c r="N2521" s="10">
        <v>75</v>
      </c>
      <c r="O2521" s="10">
        <v>75</v>
      </c>
    </row>
    <row r="2522" spans="1:15" x14ac:dyDescent="0.2">
      <c r="A2522" s="10" t="s">
        <v>1086</v>
      </c>
      <c r="B2522" s="10" t="s">
        <v>172</v>
      </c>
      <c r="C2522" s="10" t="s">
        <v>44</v>
      </c>
      <c r="D2522" s="10" t="s">
        <v>45</v>
      </c>
      <c r="E2522" s="10" t="s">
        <v>46</v>
      </c>
      <c r="F2522" s="10" t="s">
        <v>791</v>
      </c>
      <c r="G2522" s="10" t="b">
        <f>FALSE()</f>
        <v>0</v>
      </c>
      <c r="H2522" s="10">
        <v>0</v>
      </c>
      <c r="I2522" s="10">
        <v>1</v>
      </c>
      <c r="J2522" s="10">
        <v>0</v>
      </c>
      <c r="K2522" s="10">
        <v>0</v>
      </c>
      <c r="L2522" s="10">
        <v>0</v>
      </c>
      <c r="M2522" s="10">
        <v>1</v>
      </c>
      <c r="N2522" s="10">
        <v>75</v>
      </c>
      <c r="O2522" s="10">
        <v>75</v>
      </c>
    </row>
    <row r="2523" spans="1:15" x14ac:dyDescent="0.2">
      <c r="A2523" s="10" t="s">
        <v>343</v>
      </c>
      <c r="B2523" s="10" t="s">
        <v>385</v>
      </c>
      <c r="C2523" s="10" t="s">
        <v>90</v>
      </c>
      <c r="D2523" s="10" t="s">
        <v>51</v>
      </c>
      <c r="E2523" s="10" t="s">
        <v>52</v>
      </c>
      <c r="F2523" s="10" t="s">
        <v>345</v>
      </c>
      <c r="G2523" s="10" t="b">
        <f>FALSE()</f>
        <v>0</v>
      </c>
      <c r="H2523" s="10">
        <v>0</v>
      </c>
      <c r="I2523" s="10">
        <v>1</v>
      </c>
      <c r="J2523" s="10">
        <v>0</v>
      </c>
      <c r="K2523" s="10">
        <v>0</v>
      </c>
      <c r="L2523" s="10">
        <v>0</v>
      </c>
      <c r="M2523" s="10">
        <v>1</v>
      </c>
      <c r="N2523" s="10">
        <v>74</v>
      </c>
      <c r="O2523" s="10">
        <v>74</v>
      </c>
    </row>
    <row r="2524" spans="1:15" x14ac:dyDescent="0.2">
      <c r="A2524" s="10" t="s">
        <v>1135</v>
      </c>
      <c r="B2524" s="10" t="s">
        <v>517</v>
      </c>
      <c r="C2524" s="10" t="s">
        <v>90</v>
      </c>
      <c r="D2524" s="10" t="s">
        <v>51</v>
      </c>
      <c r="E2524" s="10" t="s">
        <v>52</v>
      </c>
      <c r="F2524" s="10" t="s">
        <v>47</v>
      </c>
      <c r="G2524" s="10" t="b">
        <f>FALSE()</f>
        <v>0</v>
      </c>
      <c r="H2524" s="10">
        <v>0</v>
      </c>
      <c r="I2524" s="10">
        <v>1</v>
      </c>
      <c r="J2524" s="10">
        <v>0</v>
      </c>
      <c r="K2524" s="10">
        <v>0</v>
      </c>
      <c r="L2524" s="10">
        <v>0</v>
      </c>
      <c r="M2524" s="10">
        <v>1</v>
      </c>
      <c r="N2524" s="10">
        <v>86</v>
      </c>
      <c r="O2524" s="10">
        <v>74</v>
      </c>
    </row>
    <row r="2525" spans="1:15" x14ac:dyDescent="0.2">
      <c r="A2525" s="10" t="s">
        <v>1112</v>
      </c>
      <c r="B2525" s="10" t="s">
        <v>262</v>
      </c>
      <c r="C2525" s="10" t="s">
        <v>105</v>
      </c>
      <c r="D2525" s="10" t="s">
        <v>45</v>
      </c>
      <c r="E2525" s="10" t="s">
        <v>46</v>
      </c>
      <c r="F2525" s="10" t="s">
        <v>183</v>
      </c>
      <c r="G2525" s="10" t="b">
        <f>FALSE()</f>
        <v>0</v>
      </c>
      <c r="H2525" s="10">
        <v>0</v>
      </c>
      <c r="I2525" s="10">
        <v>1</v>
      </c>
      <c r="J2525" s="10">
        <v>0</v>
      </c>
      <c r="K2525" s="10">
        <v>0</v>
      </c>
      <c r="L2525" s="10">
        <v>0</v>
      </c>
      <c r="M2525" s="10">
        <v>1</v>
      </c>
      <c r="N2525" s="10">
        <v>76</v>
      </c>
      <c r="O2525" s="10">
        <v>74</v>
      </c>
    </row>
    <row r="2526" spans="1:15" x14ac:dyDescent="0.2">
      <c r="A2526" s="10" t="s">
        <v>1196</v>
      </c>
      <c r="B2526" s="10" t="s">
        <v>104</v>
      </c>
      <c r="C2526" s="10" t="s">
        <v>105</v>
      </c>
      <c r="D2526" s="10" t="s">
        <v>45</v>
      </c>
      <c r="E2526" s="10" t="s">
        <v>46</v>
      </c>
      <c r="F2526" s="10" t="s">
        <v>331</v>
      </c>
      <c r="G2526" s="10" t="b">
        <f>FALSE()</f>
        <v>0</v>
      </c>
      <c r="H2526" s="10">
        <v>0</v>
      </c>
      <c r="I2526" s="10">
        <v>1</v>
      </c>
      <c r="J2526" s="10">
        <v>0</v>
      </c>
      <c r="K2526" s="10">
        <v>0</v>
      </c>
      <c r="L2526" s="10">
        <v>0</v>
      </c>
      <c r="M2526" s="10">
        <v>1</v>
      </c>
      <c r="N2526" s="10">
        <v>76</v>
      </c>
      <c r="O2526" s="10">
        <v>74</v>
      </c>
    </row>
    <row r="2527" spans="1:15" x14ac:dyDescent="0.2">
      <c r="A2527" s="10" t="s">
        <v>1145</v>
      </c>
      <c r="B2527" s="10" t="s">
        <v>70</v>
      </c>
      <c r="C2527" s="10" t="s">
        <v>70</v>
      </c>
      <c r="D2527" s="10" t="s">
        <v>45</v>
      </c>
      <c r="E2527" s="10" t="s">
        <v>46</v>
      </c>
      <c r="F2527" s="10" t="s">
        <v>444</v>
      </c>
      <c r="G2527" s="10" t="b">
        <f>TRUE()</f>
        <v>1</v>
      </c>
      <c r="H2527" s="10">
        <v>0</v>
      </c>
      <c r="I2527" s="10">
        <v>1</v>
      </c>
      <c r="J2527" s="10">
        <v>0</v>
      </c>
      <c r="K2527" s="10">
        <v>0</v>
      </c>
      <c r="L2527" s="10">
        <v>0</v>
      </c>
      <c r="M2527" s="10">
        <v>1</v>
      </c>
      <c r="N2527" s="10">
        <v>74</v>
      </c>
      <c r="O2527" s="10">
        <v>74</v>
      </c>
    </row>
    <row r="2528" spans="1:15" x14ac:dyDescent="0.2">
      <c r="A2528" s="10" t="s">
        <v>1130</v>
      </c>
      <c r="B2528" s="10" t="s">
        <v>193</v>
      </c>
      <c r="C2528" s="10" t="s">
        <v>117</v>
      </c>
      <c r="D2528" s="10" t="s">
        <v>51</v>
      </c>
      <c r="E2528" s="10" t="s">
        <v>52</v>
      </c>
      <c r="F2528" s="10" t="s">
        <v>494</v>
      </c>
      <c r="G2528" s="10" t="b">
        <f>TRUE()</f>
        <v>1</v>
      </c>
      <c r="H2528" s="10">
        <v>0</v>
      </c>
      <c r="I2528" s="10">
        <v>1</v>
      </c>
      <c r="J2528" s="10">
        <v>0</v>
      </c>
      <c r="K2528" s="10">
        <v>0</v>
      </c>
      <c r="L2528" s="10">
        <v>0</v>
      </c>
      <c r="M2528" s="10">
        <v>1</v>
      </c>
      <c r="N2528" s="10">
        <v>73</v>
      </c>
      <c r="O2528" s="10">
        <v>73</v>
      </c>
    </row>
    <row r="2529" spans="1:15" x14ac:dyDescent="0.2">
      <c r="A2529" s="10" t="s">
        <v>1047</v>
      </c>
      <c r="B2529" s="10" t="s">
        <v>96</v>
      </c>
      <c r="C2529" s="10" t="s">
        <v>50</v>
      </c>
      <c r="D2529" s="10" t="s">
        <v>51</v>
      </c>
      <c r="E2529" s="10" t="s">
        <v>52</v>
      </c>
      <c r="F2529" s="10" t="s">
        <v>291</v>
      </c>
      <c r="G2529" s="10" t="b">
        <f>FALSE()</f>
        <v>0</v>
      </c>
      <c r="H2529" s="10">
        <v>0</v>
      </c>
      <c r="I2529" s="10">
        <v>1</v>
      </c>
      <c r="J2529" s="10">
        <v>0</v>
      </c>
      <c r="K2529" s="10">
        <v>0</v>
      </c>
      <c r="L2529" s="10">
        <v>0</v>
      </c>
      <c r="M2529" s="10">
        <v>1</v>
      </c>
      <c r="N2529" s="10">
        <v>73</v>
      </c>
      <c r="O2529" s="10">
        <v>73</v>
      </c>
    </row>
    <row r="2530" spans="1:15" x14ac:dyDescent="0.2">
      <c r="A2530" s="10" t="s">
        <v>1062</v>
      </c>
      <c r="B2530" s="10" t="s">
        <v>72</v>
      </c>
      <c r="C2530" s="10" t="s">
        <v>73</v>
      </c>
      <c r="D2530" s="10" t="s">
        <v>45</v>
      </c>
      <c r="E2530" s="10" t="s">
        <v>46</v>
      </c>
      <c r="F2530" s="10" t="s">
        <v>61</v>
      </c>
      <c r="G2530" s="10" t="b">
        <f>FALSE()</f>
        <v>0</v>
      </c>
      <c r="H2530" s="10">
        <v>0</v>
      </c>
      <c r="I2530" s="10">
        <v>1</v>
      </c>
      <c r="J2530" s="10">
        <v>0</v>
      </c>
      <c r="K2530" s="10">
        <v>0</v>
      </c>
      <c r="L2530" s="10">
        <v>0</v>
      </c>
      <c r="M2530" s="10">
        <v>1</v>
      </c>
      <c r="N2530" s="10">
        <v>74</v>
      </c>
      <c r="O2530" s="10">
        <v>73</v>
      </c>
    </row>
    <row r="2531" spans="1:15" x14ac:dyDescent="0.2">
      <c r="A2531" s="10" t="s">
        <v>1145</v>
      </c>
      <c r="B2531" s="10" t="s">
        <v>70</v>
      </c>
      <c r="C2531" s="10" t="s">
        <v>70</v>
      </c>
      <c r="D2531" s="10" t="s">
        <v>45</v>
      </c>
      <c r="E2531" s="10" t="s">
        <v>46</v>
      </c>
      <c r="F2531" s="10" t="s">
        <v>61</v>
      </c>
      <c r="G2531" s="10" t="b">
        <f>FALSE()</f>
        <v>0</v>
      </c>
      <c r="H2531" s="10">
        <v>0</v>
      </c>
      <c r="I2531" s="10">
        <v>1</v>
      </c>
      <c r="J2531" s="10">
        <v>0</v>
      </c>
      <c r="K2531" s="10">
        <v>0</v>
      </c>
      <c r="L2531" s="10">
        <v>0</v>
      </c>
      <c r="M2531" s="10">
        <v>1</v>
      </c>
      <c r="N2531" s="10">
        <v>73</v>
      </c>
      <c r="O2531" s="10">
        <v>73</v>
      </c>
    </row>
    <row r="2532" spans="1:15" x14ac:dyDescent="0.2">
      <c r="A2532" s="10" t="s">
        <v>1189</v>
      </c>
      <c r="B2532" s="10" t="s">
        <v>70</v>
      </c>
      <c r="C2532" s="10" t="s">
        <v>70</v>
      </c>
      <c r="D2532" s="10" t="s">
        <v>45</v>
      </c>
      <c r="E2532" s="10" t="s">
        <v>46</v>
      </c>
      <c r="F2532" s="10" t="s">
        <v>61</v>
      </c>
      <c r="G2532" s="10" t="b">
        <f>FALSE()</f>
        <v>0</v>
      </c>
      <c r="H2532" s="10">
        <v>0</v>
      </c>
      <c r="I2532" s="10">
        <v>1</v>
      </c>
      <c r="J2532" s="10">
        <v>0</v>
      </c>
      <c r="K2532" s="10">
        <v>0</v>
      </c>
      <c r="L2532" s="10">
        <v>0</v>
      </c>
      <c r="M2532" s="10">
        <v>1</v>
      </c>
      <c r="N2532" s="10">
        <v>72</v>
      </c>
      <c r="O2532" s="10">
        <v>72</v>
      </c>
    </row>
    <row r="2533" spans="1:15" x14ac:dyDescent="0.2">
      <c r="A2533" s="10" t="s">
        <v>1174</v>
      </c>
      <c r="B2533" s="10" t="s">
        <v>633</v>
      </c>
      <c r="C2533" s="10" t="s">
        <v>90</v>
      </c>
      <c r="D2533" s="10" t="s">
        <v>51</v>
      </c>
      <c r="E2533" s="10" t="s">
        <v>52</v>
      </c>
      <c r="F2533" s="10" t="s">
        <v>61</v>
      </c>
      <c r="G2533" s="10" t="b">
        <f>FALSE()</f>
        <v>0</v>
      </c>
      <c r="H2533" s="10">
        <v>0</v>
      </c>
      <c r="I2533" s="10">
        <v>1</v>
      </c>
      <c r="J2533" s="10">
        <v>0</v>
      </c>
      <c r="K2533" s="10">
        <v>0</v>
      </c>
      <c r="L2533" s="10">
        <v>0</v>
      </c>
      <c r="M2533" s="10">
        <v>1</v>
      </c>
      <c r="N2533" s="10">
        <v>71</v>
      </c>
      <c r="O2533" s="10">
        <v>71</v>
      </c>
    </row>
    <row r="2534" spans="1:15" x14ac:dyDescent="0.2">
      <c r="A2534" s="10" t="s">
        <v>1119</v>
      </c>
      <c r="B2534" s="10" t="s">
        <v>72</v>
      </c>
      <c r="C2534" s="10" t="s">
        <v>73</v>
      </c>
      <c r="D2534" s="10" t="s">
        <v>45</v>
      </c>
      <c r="E2534" s="10" t="s">
        <v>46</v>
      </c>
      <c r="F2534" s="10" t="s">
        <v>251</v>
      </c>
      <c r="G2534" s="10" t="b">
        <f>FALSE()</f>
        <v>0</v>
      </c>
      <c r="H2534" s="10">
        <v>0</v>
      </c>
      <c r="I2534" s="10">
        <v>1</v>
      </c>
      <c r="J2534" s="10">
        <v>0</v>
      </c>
      <c r="K2534" s="10">
        <v>0</v>
      </c>
      <c r="L2534" s="10">
        <v>0</v>
      </c>
      <c r="M2534" s="10">
        <v>1</v>
      </c>
      <c r="N2534" s="10">
        <v>71</v>
      </c>
      <c r="O2534" s="10">
        <v>71</v>
      </c>
    </row>
    <row r="2535" spans="1:15" x14ac:dyDescent="0.2">
      <c r="A2535" s="10" t="s">
        <v>1137</v>
      </c>
      <c r="B2535" s="10" t="s">
        <v>70</v>
      </c>
      <c r="C2535" s="10" t="s">
        <v>70</v>
      </c>
      <c r="D2535" s="10" t="s">
        <v>45</v>
      </c>
      <c r="E2535" s="10" t="s">
        <v>46</v>
      </c>
      <c r="F2535" s="10" t="s">
        <v>393</v>
      </c>
      <c r="G2535" s="10" t="b">
        <f>FALSE()</f>
        <v>0</v>
      </c>
      <c r="H2535" s="10">
        <v>0</v>
      </c>
      <c r="I2535" s="10">
        <v>1</v>
      </c>
      <c r="J2535" s="10">
        <v>0</v>
      </c>
      <c r="K2535" s="10">
        <v>0</v>
      </c>
      <c r="L2535" s="10">
        <v>0</v>
      </c>
      <c r="M2535" s="10">
        <v>1</v>
      </c>
      <c r="N2535" s="10">
        <v>71</v>
      </c>
      <c r="O2535" s="10">
        <v>71</v>
      </c>
    </row>
    <row r="2536" spans="1:15" x14ac:dyDescent="0.2">
      <c r="A2536" s="10" t="s">
        <v>1252</v>
      </c>
      <c r="B2536" s="10" t="s">
        <v>405</v>
      </c>
      <c r="C2536" s="10" t="s">
        <v>117</v>
      </c>
      <c r="D2536" s="10" t="s">
        <v>51</v>
      </c>
      <c r="E2536" s="10" t="s">
        <v>52</v>
      </c>
      <c r="F2536" s="10" t="s">
        <v>977</v>
      </c>
      <c r="G2536" s="10" t="b">
        <f>FALSE()</f>
        <v>0</v>
      </c>
      <c r="H2536" s="10">
        <v>0</v>
      </c>
      <c r="I2536" s="10">
        <v>1</v>
      </c>
      <c r="J2536" s="10">
        <v>0</v>
      </c>
      <c r="K2536" s="10">
        <v>0</v>
      </c>
      <c r="L2536" s="10">
        <v>0</v>
      </c>
      <c r="M2536" s="10">
        <v>1</v>
      </c>
      <c r="N2536" s="10">
        <v>70</v>
      </c>
      <c r="O2536" s="10">
        <v>70</v>
      </c>
    </row>
    <row r="2537" spans="1:15" x14ac:dyDescent="0.2">
      <c r="A2537" s="10" t="s">
        <v>1304</v>
      </c>
      <c r="B2537" s="10" t="s">
        <v>169</v>
      </c>
      <c r="C2537" s="10" t="s">
        <v>117</v>
      </c>
      <c r="D2537" s="10" t="s">
        <v>51</v>
      </c>
      <c r="E2537" s="10" t="s">
        <v>52</v>
      </c>
      <c r="F2537" s="10" t="s">
        <v>190</v>
      </c>
      <c r="G2537" s="10" t="b">
        <f>TRUE()</f>
        <v>1</v>
      </c>
      <c r="H2537" s="10">
        <v>0</v>
      </c>
      <c r="I2537" s="10">
        <v>1</v>
      </c>
      <c r="J2537" s="10">
        <v>0</v>
      </c>
      <c r="K2537" s="10">
        <v>0</v>
      </c>
      <c r="L2537" s="10">
        <v>0</v>
      </c>
      <c r="M2537" s="10">
        <v>1</v>
      </c>
      <c r="N2537" s="10">
        <v>70</v>
      </c>
      <c r="O2537" s="10">
        <v>70</v>
      </c>
    </row>
    <row r="2538" spans="1:15" x14ac:dyDescent="0.2">
      <c r="A2538" s="10" t="s">
        <v>1280</v>
      </c>
      <c r="B2538" s="10" t="s">
        <v>727</v>
      </c>
      <c r="C2538" s="10" t="s">
        <v>112</v>
      </c>
      <c r="D2538" s="10" t="s">
        <v>51</v>
      </c>
      <c r="E2538" s="10" t="s">
        <v>52</v>
      </c>
      <c r="F2538" s="10" t="s">
        <v>318</v>
      </c>
      <c r="G2538" s="10" t="b">
        <f>FALSE()</f>
        <v>0</v>
      </c>
      <c r="H2538" s="10">
        <v>0</v>
      </c>
      <c r="I2538" s="10">
        <v>1</v>
      </c>
      <c r="J2538" s="10">
        <v>0</v>
      </c>
      <c r="K2538" s="10">
        <v>0</v>
      </c>
      <c r="L2538" s="10">
        <v>0</v>
      </c>
      <c r="M2538" s="10">
        <v>1</v>
      </c>
      <c r="N2538" s="10">
        <v>70</v>
      </c>
      <c r="O2538" s="10">
        <v>70</v>
      </c>
    </row>
    <row r="2539" spans="1:15" x14ac:dyDescent="0.2">
      <c r="A2539" s="10" t="s">
        <v>1188</v>
      </c>
      <c r="B2539" s="10" t="s">
        <v>111</v>
      </c>
      <c r="C2539" s="10" t="s">
        <v>112</v>
      </c>
      <c r="D2539" s="10" t="s">
        <v>51</v>
      </c>
      <c r="E2539" s="10" t="s">
        <v>52</v>
      </c>
      <c r="F2539" s="10" t="s">
        <v>132</v>
      </c>
      <c r="G2539" s="10" t="b">
        <f>FALSE()</f>
        <v>0</v>
      </c>
      <c r="H2539" s="10">
        <v>0</v>
      </c>
      <c r="I2539" s="10">
        <v>1</v>
      </c>
      <c r="J2539" s="10">
        <v>0</v>
      </c>
      <c r="K2539" s="10">
        <v>0</v>
      </c>
      <c r="L2539" s="10">
        <v>0</v>
      </c>
      <c r="M2539" s="10">
        <v>1</v>
      </c>
      <c r="N2539" s="10">
        <v>70</v>
      </c>
      <c r="O2539" s="10">
        <v>70</v>
      </c>
    </row>
    <row r="2540" spans="1:15" x14ac:dyDescent="0.2">
      <c r="A2540" s="10" t="s">
        <v>1305</v>
      </c>
      <c r="B2540" s="10" t="s">
        <v>285</v>
      </c>
      <c r="C2540" s="10" t="s">
        <v>105</v>
      </c>
      <c r="D2540" s="10" t="s">
        <v>45</v>
      </c>
      <c r="E2540" s="10" t="s">
        <v>46</v>
      </c>
      <c r="F2540" s="10" t="s">
        <v>251</v>
      </c>
      <c r="G2540" s="10" t="b">
        <f>FALSE()</f>
        <v>0</v>
      </c>
      <c r="H2540" s="10">
        <v>0</v>
      </c>
      <c r="I2540" s="10">
        <v>1</v>
      </c>
      <c r="J2540" s="10">
        <v>0</v>
      </c>
      <c r="K2540" s="10">
        <v>0</v>
      </c>
      <c r="L2540" s="10">
        <v>0</v>
      </c>
      <c r="M2540" s="10">
        <v>1</v>
      </c>
      <c r="N2540" s="10">
        <v>70</v>
      </c>
      <c r="O2540" s="10">
        <v>70</v>
      </c>
    </row>
    <row r="2541" spans="1:15" x14ac:dyDescent="0.2">
      <c r="A2541" s="10" t="s">
        <v>1107</v>
      </c>
      <c r="B2541" s="10" t="s">
        <v>146</v>
      </c>
      <c r="C2541" s="10" t="s">
        <v>105</v>
      </c>
      <c r="D2541" s="10" t="s">
        <v>45</v>
      </c>
      <c r="E2541" s="10" t="s">
        <v>46</v>
      </c>
      <c r="F2541" s="10" t="s">
        <v>446</v>
      </c>
      <c r="G2541" s="10" t="b">
        <f>FALSE()</f>
        <v>0</v>
      </c>
      <c r="H2541" s="10">
        <v>0</v>
      </c>
      <c r="I2541" s="10">
        <v>1</v>
      </c>
      <c r="J2541" s="10">
        <v>0</v>
      </c>
      <c r="K2541" s="10">
        <v>0</v>
      </c>
      <c r="L2541" s="10">
        <v>0</v>
      </c>
      <c r="M2541" s="10">
        <v>1</v>
      </c>
      <c r="N2541" s="10">
        <v>87</v>
      </c>
      <c r="O2541" s="10">
        <v>70</v>
      </c>
    </row>
    <row r="2542" spans="1:15" x14ac:dyDescent="0.2">
      <c r="A2542" s="10" t="s">
        <v>1286</v>
      </c>
      <c r="B2542" s="10" t="s">
        <v>111</v>
      </c>
      <c r="C2542" s="10" t="s">
        <v>112</v>
      </c>
      <c r="D2542" s="10" t="s">
        <v>51</v>
      </c>
      <c r="E2542" s="10" t="s">
        <v>52</v>
      </c>
      <c r="F2542" s="10" t="s">
        <v>1306</v>
      </c>
      <c r="G2542" s="10" t="b">
        <f>FALSE()</f>
        <v>0</v>
      </c>
      <c r="H2542" s="10">
        <v>0</v>
      </c>
      <c r="I2542" s="10">
        <v>1</v>
      </c>
      <c r="J2542" s="10">
        <v>0</v>
      </c>
      <c r="K2542" s="10">
        <v>0</v>
      </c>
      <c r="L2542" s="10">
        <v>0</v>
      </c>
      <c r="M2542" s="10">
        <v>1</v>
      </c>
      <c r="N2542" s="10">
        <v>70</v>
      </c>
      <c r="O2542" s="10">
        <v>69</v>
      </c>
    </row>
    <row r="2543" spans="1:15" x14ac:dyDescent="0.2">
      <c r="A2543" s="10" t="s">
        <v>1047</v>
      </c>
      <c r="B2543" s="10" t="s">
        <v>96</v>
      </c>
      <c r="C2543" s="10" t="s">
        <v>50</v>
      </c>
      <c r="D2543" s="10" t="s">
        <v>51</v>
      </c>
      <c r="E2543" s="10" t="s">
        <v>52</v>
      </c>
      <c r="F2543" s="10" t="s">
        <v>331</v>
      </c>
      <c r="G2543" s="10" t="b">
        <f>FALSE()</f>
        <v>0</v>
      </c>
      <c r="H2543" s="10">
        <v>0</v>
      </c>
      <c r="I2543" s="10">
        <v>1</v>
      </c>
      <c r="J2543" s="10">
        <v>0</v>
      </c>
      <c r="K2543" s="10">
        <v>0</v>
      </c>
      <c r="L2543" s="10">
        <v>0</v>
      </c>
      <c r="M2543" s="10">
        <v>1</v>
      </c>
      <c r="N2543" s="10">
        <v>71</v>
      </c>
      <c r="O2543" s="10">
        <v>69</v>
      </c>
    </row>
    <row r="2544" spans="1:15" x14ac:dyDescent="0.2">
      <c r="A2544" s="10" t="s">
        <v>1047</v>
      </c>
      <c r="B2544" s="10" t="s">
        <v>96</v>
      </c>
      <c r="C2544" s="10" t="s">
        <v>50</v>
      </c>
      <c r="D2544" s="10" t="s">
        <v>51</v>
      </c>
      <c r="E2544" s="10" t="s">
        <v>52</v>
      </c>
      <c r="F2544" s="10" t="s">
        <v>986</v>
      </c>
      <c r="G2544" s="10" t="b">
        <f>FALSE()</f>
        <v>0</v>
      </c>
      <c r="H2544" s="10">
        <v>0</v>
      </c>
      <c r="I2544" s="10">
        <v>1</v>
      </c>
      <c r="J2544" s="10">
        <v>0</v>
      </c>
      <c r="K2544" s="10">
        <v>0</v>
      </c>
      <c r="L2544" s="10">
        <v>0</v>
      </c>
      <c r="M2544" s="10">
        <v>1</v>
      </c>
      <c r="N2544" s="10">
        <v>70</v>
      </c>
      <c r="O2544" s="10">
        <v>69</v>
      </c>
    </row>
    <row r="2545" spans="1:15" x14ac:dyDescent="0.2">
      <c r="A2545" s="10" t="s">
        <v>700</v>
      </c>
      <c r="B2545" s="10" t="s">
        <v>67</v>
      </c>
      <c r="C2545" s="10" t="s">
        <v>64</v>
      </c>
      <c r="D2545" s="10" t="s">
        <v>45</v>
      </c>
      <c r="E2545" s="10" t="s">
        <v>46</v>
      </c>
      <c r="F2545" s="10" t="s">
        <v>393</v>
      </c>
      <c r="G2545" s="10" t="b">
        <f>FALSE()</f>
        <v>0</v>
      </c>
      <c r="H2545" s="10">
        <v>0</v>
      </c>
      <c r="I2545" s="10">
        <v>1</v>
      </c>
      <c r="J2545" s="10">
        <v>0</v>
      </c>
      <c r="K2545" s="10">
        <v>0</v>
      </c>
      <c r="L2545" s="10">
        <v>0</v>
      </c>
      <c r="M2545" s="10">
        <v>1</v>
      </c>
      <c r="N2545" s="10">
        <v>69</v>
      </c>
      <c r="O2545" s="10">
        <v>69</v>
      </c>
    </row>
    <row r="2546" spans="1:15" x14ac:dyDescent="0.2">
      <c r="A2546" s="10" t="s">
        <v>1061</v>
      </c>
      <c r="B2546" s="10" t="s">
        <v>262</v>
      </c>
      <c r="C2546" s="10" t="s">
        <v>105</v>
      </c>
      <c r="D2546" s="10" t="s">
        <v>45</v>
      </c>
      <c r="E2546" s="10" t="s">
        <v>46</v>
      </c>
      <c r="F2546" s="10" t="s">
        <v>79</v>
      </c>
      <c r="G2546" s="10" t="b">
        <f>FALSE()</f>
        <v>0</v>
      </c>
      <c r="H2546" s="10">
        <v>0</v>
      </c>
      <c r="I2546" s="10">
        <v>1</v>
      </c>
      <c r="J2546" s="10">
        <v>0</v>
      </c>
      <c r="K2546" s="10">
        <v>0</v>
      </c>
      <c r="L2546" s="10">
        <v>0</v>
      </c>
      <c r="M2546" s="10">
        <v>1</v>
      </c>
      <c r="N2546" s="10">
        <v>73</v>
      </c>
      <c r="O2546" s="10">
        <v>69</v>
      </c>
    </row>
    <row r="2547" spans="1:15" x14ac:dyDescent="0.2">
      <c r="A2547" s="10" t="s">
        <v>1196</v>
      </c>
      <c r="B2547" s="10" t="s">
        <v>104</v>
      </c>
      <c r="C2547" s="10" t="s">
        <v>105</v>
      </c>
      <c r="D2547" s="10" t="s">
        <v>45</v>
      </c>
      <c r="E2547" s="10" t="s">
        <v>46</v>
      </c>
      <c r="F2547" s="10" t="s">
        <v>363</v>
      </c>
      <c r="G2547" s="10" t="b">
        <f>FALSE()</f>
        <v>0</v>
      </c>
      <c r="H2547" s="10">
        <v>0</v>
      </c>
      <c r="I2547" s="10">
        <v>1</v>
      </c>
      <c r="J2547" s="10">
        <v>0</v>
      </c>
      <c r="K2547" s="10">
        <v>0</v>
      </c>
      <c r="L2547" s="10">
        <v>0</v>
      </c>
      <c r="M2547" s="10">
        <v>1</v>
      </c>
      <c r="N2547" s="10">
        <v>69</v>
      </c>
      <c r="O2547" s="10">
        <v>69</v>
      </c>
    </row>
    <row r="2548" spans="1:15" x14ac:dyDescent="0.2">
      <c r="A2548" s="10" t="s">
        <v>1307</v>
      </c>
      <c r="B2548" s="10" t="s">
        <v>70</v>
      </c>
      <c r="C2548" s="10" t="s">
        <v>70</v>
      </c>
      <c r="D2548" s="10" t="s">
        <v>45</v>
      </c>
      <c r="E2548" s="10" t="s">
        <v>46</v>
      </c>
      <c r="F2548" s="10" t="s">
        <v>834</v>
      </c>
      <c r="G2548" s="10" t="b">
        <f>FALSE()</f>
        <v>0</v>
      </c>
      <c r="H2548" s="10">
        <v>0</v>
      </c>
      <c r="I2548" s="10">
        <v>1</v>
      </c>
      <c r="J2548" s="10">
        <v>0</v>
      </c>
      <c r="K2548" s="10">
        <v>0</v>
      </c>
      <c r="L2548" s="10">
        <v>0</v>
      </c>
      <c r="M2548" s="10">
        <v>1</v>
      </c>
      <c r="N2548" s="10">
        <v>77</v>
      </c>
      <c r="O2548" s="10">
        <v>69</v>
      </c>
    </row>
    <row r="2549" spans="1:15" x14ac:dyDescent="0.2">
      <c r="A2549" s="10" t="s">
        <v>1130</v>
      </c>
      <c r="B2549" s="10" t="s">
        <v>193</v>
      </c>
      <c r="C2549" s="10" t="s">
        <v>117</v>
      </c>
      <c r="D2549" s="10" t="s">
        <v>51</v>
      </c>
      <c r="E2549" s="10" t="s">
        <v>52</v>
      </c>
      <c r="F2549" s="10" t="s">
        <v>186</v>
      </c>
      <c r="G2549" s="10" t="b">
        <f>TRUE()</f>
        <v>1</v>
      </c>
      <c r="H2549" s="10">
        <v>0</v>
      </c>
      <c r="I2549" s="10">
        <v>1</v>
      </c>
      <c r="J2549" s="10">
        <v>0</v>
      </c>
      <c r="K2549" s="10">
        <v>0</v>
      </c>
      <c r="L2549" s="10">
        <v>0</v>
      </c>
      <c r="M2549" s="10">
        <v>1</v>
      </c>
      <c r="N2549" s="10">
        <v>73</v>
      </c>
      <c r="O2549" s="10">
        <v>68</v>
      </c>
    </row>
    <row r="2550" spans="1:15" x14ac:dyDescent="0.2">
      <c r="A2550" s="10" t="s">
        <v>1308</v>
      </c>
      <c r="B2550" s="10" t="s">
        <v>89</v>
      </c>
      <c r="C2550" s="10" t="s">
        <v>90</v>
      </c>
      <c r="D2550" s="10" t="s">
        <v>51</v>
      </c>
      <c r="E2550" s="10" t="s">
        <v>52</v>
      </c>
      <c r="F2550" s="10" t="s">
        <v>183</v>
      </c>
      <c r="G2550" s="10" t="b">
        <f>FALSE()</f>
        <v>0</v>
      </c>
      <c r="H2550" s="10">
        <v>0</v>
      </c>
      <c r="I2550" s="10">
        <v>1</v>
      </c>
      <c r="J2550" s="10">
        <v>0</v>
      </c>
      <c r="K2550" s="10">
        <v>0</v>
      </c>
      <c r="L2550" s="10">
        <v>0</v>
      </c>
      <c r="M2550" s="10">
        <v>1</v>
      </c>
      <c r="N2550" s="10">
        <v>70</v>
      </c>
      <c r="O2550" s="10">
        <v>68</v>
      </c>
    </row>
    <row r="2551" spans="1:15" x14ac:dyDescent="0.2">
      <c r="A2551" s="10" t="s">
        <v>1055</v>
      </c>
      <c r="B2551" s="10" t="s">
        <v>178</v>
      </c>
      <c r="C2551" s="10" t="s">
        <v>73</v>
      </c>
      <c r="D2551" s="10" t="s">
        <v>45</v>
      </c>
      <c r="E2551" s="10" t="s">
        <v>46</v>
      </c>
      <c r="F2551" s="10" t="s">
        <v>79</v>
      </c>
      <c r="G2551" s="10" t="b">
        <f>FALSE()</f>
        <v>0</v>
      </c>
      <c r="H2551" s="10">
        <v>0</v>
      </c>
      <c r="I2551" s="10">
        <v>1</v>
      </c>
      <c r="J2551" s="10">
        <v>0</v>
      </c>
      <c r="K2551" s="10">
        <v>0</v>
      </c>
      <c r="L2551" s="10">
        <v>0</v>
      </c>
      <c r="M2551" s="10">
        <v>1</v>
      </c>
      <c r="N2551" s="10">
        <v>68</v>
      </c>
      <c r="O2551" s="10">
        <v>68</v>
      </c>
    </row>
    <row r="2552" spans="1:15" x14ac:dyDescent="0.2">
      <c r="A2552" s="10" t="s">
        <v>1165</v>
      </c>
      <c r="B2552" s="10" t="s">
        <v>136</v>
      </c>
      <c r="C2552" s="10" t="s">
        <v>73</v>
      </c>
      <c r="D2552" s="10" t="s">
        <v>45</v>
      </c>
      <c r="E2552" s="10" t="s">
        <v>46</v>
      </c>
      <c r="F2552" s="10" t="s">
        <v>85</v>
      </c>
      <c r="G2552" s="10" t="b">
        <f>FALSE()</f>
        <v>0</v>
      </c>
      <c r="H2552" s="10">
        <v>0</v>
      </c>
      <c r="I2552" s="10">
        <v>1</v>
      </c>
      <c r="J2552" s="10">
        <v>0</v>
      </c>
      <c r="K2552" s="10">
        <v>0</v>
      </c>
      <c r="L2552" s="10">
        <v>0</v>
      </c>
      <c r="M2552" s="10">
        <v>1</v>
      </c>
      <c r="N2552" s="10">
        <v>68</v>
      </c>
      <c r="O2552" s="10">
        <v>68</v>
      </c>
    </row>
    <row r="2553" spans="1:15" x14ac:dyDescent="0.2">
      <c r="A2553" s="10" t="s">
        <v>1196</v>
      </c>
      <c r="B2553" s="10" t="s">
        <v>104</v>
      </c>
      <c r="C2553" s="10" t="s">
        <v>105</v>
      </c>
      <c r="D2553" s="10" t="s">
        <v>45</v>
      </c>
      <c r="E2553" s="10" t="s">
        <v>46</v>
      </c>
      <c r="F2553" s="10" t="s">
        <v>153</v>
      </c>
      <c r="G2553" s="10" t="b">
        <f>FALSE()</f>
        <v>0</v>
      </c>
      <c r="H2553" s="10">
        <v>0</v>
      </c>
      <c r="I2553" s="10">
        <v>1</v>
      </c>
      <c r="J2553" s="10">
        <v>0</v>
      </c>
      <c r="K2553" s="10">
        <v>0</v>
      </c>
      <c r="L2553" s="10">
        <v>0</v>
      </c>
      <c r="M2553" s="10">
        <v>1</v>
      </c>
      <c r="N2553" s="10">
        <v>68</v>
      </c>
      <c r="O2553" s="10">
        <v>68</v>
      </c>
    </row>
    <row r="2554" spans="1:15" x14ac:dyDescent="0.2">
      <c r="A2554" s="10" t="s">
        <v>1036</v>
      </c>
      <c r="B2554" s="10" t="s">
        <v>119</v>
      </c>
      <c r="C2554" s="10" t="s">
        <v>56</v>
      </c>
      <c r="D2554" s="10" t="s">
        <v>45</v>
      </c>
      <c r="E2554" s="10" t="s">
        <v>46</v>
      </c>
      <c r="F2554" s="10" t="s">
        <v>251</v>
      </c>
      <c r="G2554" s="10" t="b">
        <f>FALSE()</f>
        <v>0</v>
      </c>
      <c r="H2554" s="10">
        <v>0</v>
      </c>
      <c r="I2554" s="10">
        <v>1</v>
      </c>
      <c r="J2554" s="10">
        <v>0</v>
      </c>
      <c r="K2554" s="10">
        <v>0</v>
      </c>
      <c r="L2554" s="10">
        <v>0</v>
      </c>
      <c r="M2554" s="10">
        <v>1</v>
      </c>
      <c r="N2554" s="10">
        <v>68</v>
      </c>
      <c r="O2554" s="10">
        <v>68</v>
      </c>
    </row>
    <row r="2555" spans="1:15" x14ac:dyDescent="0.2">
      <c r="A2555" s="10" t="s">
        <v>1031</v>
      </c>
      <c r="B2555" s="10" t="s">
        <v>119</v>
      </c>
      <c r="C2555" s="10" t="s">
        <v>56</v>
      </c>
      <c r="D2555" s="10" t="s">
        <v>45</v>
      </c>
      <c r="E2555" s="10" t="s">
        <v>46</v>
      </c>
      <c r="F2555" s="10" t="s">
        <v>183</v>
      </c>
      <c r="G2555" s="10" t="b">
        <f>FALSE()</f>
        <v>0</v>
      </c>
      <c r="H2555" s="10">
        <v>0</v>
      </c>
      <c r="I2555" s="10">
        <v>1</v>
      </c>
      <c r="J2555" s="10">
        <v>0</v>
      </c>
      <c r="K2555" s="10">
        <v>0</v>
      </c>
      <c r="L2555" s="10">
        <v>0</v>
      </c>
      <c r="M2555" s="10">
        <v>1</v>
      </c>
      <c r="N2555" s="10">
        <v>141</v>
      </c>
      <c r="O2555" s="10">
        <v>68</v>
      </c>
    </row>
    <row r="2556" spans="1:15" x14ac:dyDescent="0.2">
      <c r="A2556" s="10" t="s">
        <v>179</v>
      </c>
      <c r="B2556" s="10" t="s">
        <v>55</v>
      </c>
      <c r="C2556" s="10" t="s">
        <v>56</v>
      </c>
      <c r="D2556" s="10" t="s">
        <v>45</v>
      </c>
      <c r="E2556" s="10" t="s">
        <v>46</v>
      </c>
      <c r="F2556" s="10" t="s">
        <v>393</v>
      </c>
      <c r="G2556" s="10" t="b">
        <f>FALSE()</f>
        <v>0</v>
      </c>
      <c r="H2556" s="10">
        <v>0</v>
      </c>
      <c r="I2556" s="10">
        <v>1</v>
      </c>
      <c r="J2556" s="10">
        <v>0</v>
      </c>
      <c r="K2556" s="10">
        <v>0</v>
      </c>
      <c r="L2556" s="10">
        <v>0</v>
      </c>
      <c r="M2556" s="10">
        <v>1</v>
      </c>
      <c r="N2556" s="10">
        <v>65</v>
      </c>
      <c r="O2556" s="10">
        <v>67</v>
      </c>
    </row>
    <row r="2557" spans="1:15" x14ac:dyDescent="0.2">
      <c r="A2557" s="10" t="s">
        <v>713</v>
      </c>
      <c r="B2557" s="10" t="s">
        <v>302</v>
      </c>
      <c r="C2557" s="10" t="s">
        <v>117</v>
      </c>
      <c r="D2557" s="10" t="s">
        <v>51</v>
      </c>
      <c r="E2557" s="10" t="s">
        <v>52</v>
      </c>
      <c r="F2557" s="10" t="s">
        <v>47</v>
      </c>
      <c r="G2557" s="10" t="b">
        <f>FALSE()</f>
        <v>0</v>
      </c>
      <c r="H2557" s="10">
        <v>0</v>
      </c>
      <c r="I2557" s="10">
        <v>1</v>
      </c>
      <c r="J2557" s="10">
        <v>0</v>
      </c>
      <c r="K2557" s="10">
        <v>0</v>
      </c>
      <c r="L2557" s="10">
        <v>0</v>
      </c>
      <c r="M2557" s="10">
        <v>1</v>
      </c>
      <c r="N2557" s="10">
        <v>47</v>
      </c>
      <c r="O2557" s="10">
        <v>67</v>
      </c>
    </row>
    <row r="2558" spans="1:15" x14ac:dyDescent="0.2">
      <c r="A2558" s="10" t="s">
        <v>1264</v>
      </c>
      <c r="B2558" s="10" t="s">
        <v>43</v>
      </c>
      <c r="C2558" s="10" t="s">
        <v>44</v>
      </c>
      <c r="D2558" s="10" t="s">
        <v>45</v>
      </c>
      <c r="E2558" s="10" t="s">
        <v>46</v>
      </c>
      <c r="F2558" s="10" t="s">
        <v>223</v>
      </c>
      <c r="G2558" s="10" t="b">
        <f>FALSE()</f>
        <v>0</v>
      </c>
      <c r="H2558" s="10">
        <v>0</v>
      </c>
      <c r="I2558" s="10">
        <v>1</v>
      </c>
      <c r="J2558" s="10">
        <v>0</v>
      </c>
      <c r="K2558" s="10">
        <v>0</v>
      </c>
      <c r="L2558" s="10">
        <v>0</v>
      </c>
      <c r="M2558" s="10">
        <v>1</v>
      </c>
      <c r="N2558" s="10">
        <v>67</v>
      </c>
      <c r="O2558" s="10">
        <v>67</v>
      </c>
    </row>
    <row r="2559" spans="1:15" x14ac:dyDescent="0.2">
      <c r="A2559" s="10" t="s">
        <v>1164</v>
      </c>
      <c r="B2559" s="10" t="s">
        <v>111</v>
      </c>
      <c r="C2559" s="10" t="s">
        <v>112</v>
      </c>
      <c r="D2559" s="10" t="s">
        <v>51</v>
      </c>
      <c r="E2559" s="10" t="s">
        <v>52</v>
      </c>
      <c r="F2559" s="10" t="s">
        <v>92</v>
      </c>
      <c r="G2559" s="10" t="b">
        <f>FALSE()</f>
        <v>0</v>
      </c>
      <c r="H2559" s="10">
        <v>0</v>
      </c>
      <c r="I2559" s="10">
        <v>1</v>
      </c>
      <c r="J2559" s="10">
        <v>0</v>
      </c>
      <c r="K2559" s="10">
        <v>0</v>
      </c>
      <c r="L2559" s="10">
        <v>0</v>
      </c>
      <c r="M2559" s="10">
        <v>1</v>
      </c>
      <c r="N2559" s="10">
        <v>67</v>
      </c>
      <c r="O2559" s="10">
        <v>67</v>
      </c>
    </row>
    <row r="2560" spans="1:15" x14ac:dyDescent="0.2">
      <c r="A2560" s="10" t="s">
        <v>1308</v>
      </c>
      <c r="B2560" s="10" t="s">
        <v>89</v>
      </c>
      <c r="C2560" s="10" t="s">
        <v>90</v>
      </c>
      <c r="D2560" s="10" t="s">
        <v>51</v>
      </c>
      <c r="E2560" s="10" t="s">
        <v>52</v>
      </c>
      <c r="F2560" s="10" t="s">
        <v>986</v>
      </c>
      <c r="G2560" s="10" t="b">
        <f>FALSE()</f>
        <v>0</v>
      </c>
      <c r="H2560" s="10">
        <v>0</v>
      </c>
      <c r="I2560" s="10">
        <v>1</v>
      </c>
      <c r="J2560" s="10">
        <v>0</v>
      </c>
      <c r="K2560" s="10">
        <v>0</v>
      </c>
      <c r="L2560" s="10">
        <v>0</v>
      </c>
      <c r="M2560" s="10">
        <v>1</v>
      </c>
      <c r="N2560" s="10">
        <v>67</v>
      </c>
      <c r="O2560" s="10">
        <v>67</v>
      </c>
    </row>
    <row r="2561" spans="1:15" x14ac:dyDescent="0.2">
      <c r="A2561" s="10" t="s">
        <v>1309</v>
      </c>
      <c r="B2561" s="10" t="s">
        <v>72</v>
      </c>
      <c r="C2561" s="10" t="s">
        <v>73</v>
      </c>
      <c r="D2561" s="10" t="s">
        <v>45</v>
      </c>
      <c r="E2561" s="10" t="s">
        <v>46</v>
      </c>
      <c r="F2561" s="10" t="s">
        <v>79</v>
      </c>
      <c r="G2561" s="10" t="b">
        <f>FALSE()</f>
        <v>0</v>
      </c>
      <c r="H2561" s="10">
        <v>0</v>
      </c>
      <c r="I2561" s="10">
        <v>1</v>
      </c>
      <c r="J2561" s="10">
        <v>0</v>
      </c>
      <c r="K2561" s="10">
        <v>0</v>
      </c>
      <c r="L2561" s="10">
        <v>0</v>
      </c>
      <c r="M2561" s="10">
        <v>1</v>
      </c>
      <c r="N2561" s="10">
        <v>68</v>
      </c>
      <c r="O2561" s="10">
        <v>67</v>
      </c>
    </row>
    <row r="2562" spans="1:15" x14ac:dyDescent="0.2">
      <c r="A2562" s="10" t="s">
        <v>1085</v>
      </c>
      <c r="B2562" s="10" t="s">
        <v>139</v>
      </c>
      <c r="C2562" s="10" t="s">
        <v>64</v>
      </c>
      <c r="D2562" s="10" t="s">
        <v>45</v>
      </c>
      <c r="E2562" s="10" t="s">
        <v>46</v>
      </c>
      <c r="F2562" s="10" t="s">
        <v>434</v>
      </c>
      <c r="G2562" s="10" t="b">
        <f>FALSE()</f>
        <v>0</v>
      </c>
      <c r="H2562" s="10">
        <v>0</v>
      </c>
      <c r="I2562" s="10">
        <v>1</v>
      </c>
      <c r="J2562" s="10">
        <v>0</v>
      </c>
      <c r="K2562" s="10">
        <v>0</v>
      </c>
      <c r="L2562" s="10">
        <v>0</v>
      </c>
      <c r="M2562" s="10">
        <v>1</v>
      </c>
      <c r="N2562" s="10">
        <v>67</v>
      </c>
      <c r="O2562" s="10">
        <v>67</v>
      </c>
    </row>
    <row r="2563" spans="1:15" x14ac:dyDescent="0.2">
      <c r="A2563" s="10" t="s">
        <v>1086</v>
      </c>
      <c r="B2563" s="10" t="s">
        <v>172</v>
      </c>
      <c r="C2563" s="10" t="s">
        <v>44</v>
      </c>
      <c r="D2563" s="10" t="s">
        <v>45</v>
      </c>
      <c r="E2563" s="10" t="s">
        <v>46</v>
      </c>
      <c r="F2563" s="10" t="s">
        <v>1118</v>
      </c>
      <c r="G2563" s="10" t="b">
        <f>FALSE()</f>
        <v>0</v>
      </c>
      <c r="H2563" s="10">
        <v>0</v>
      </c>
      <c r="I2563" s="10">
        <v>1</v>
      </c>
      <c r="J2563" s="10">
        <v>0</v>
      </c>
      <c r="K2563" s="10">
        <v>0</v>
      </c>
      <c r="L2563" s="10">
        <v>0</v>
      </c>
      <c r="M2563" s="10">
        <v>1</v>
      </c>
      <c r="N2563" s="10">
        <v>67</v>
      </c>
      <c r="O2563" s="10">
        <v>67</v>
      </c>
    </row>
    <row r="2564" spans="1:15" x14ac:dyDescent="0.2">
      <c r="A2564" s="10" t="s">
        <v>700</v>
      </c>
      <c r="B2564" s="10" t="s">
        <v>72</v>
      </c>
      <c r="C2564" s="10" t="s">
        <v>73</v>
      </c>
      <c r="D2564" s="10" t="s">
        <v>45</v>
      </c>
      <c r="E2564" s="10" t="s">
        <v>46</v>
      </c>
      <c r="F2564" s="10" t="s">
        <v>1173</v>
      </c>
      <c r="G2564" s="10" t="b">
        <f>FALSE()</f>
        <v>0</v>
      </c>
      <c r="H2564" s="10">
        <v>0</v>
      </c>
      <c r="I2564" s="10">
        <v>1</v>
      </c>
      <c r="J2564" s="10">
        <v>0</v>
      </c>
      <c r="K2564" s="10">
        <v>0</v>
      </c>
      <c r="L2564" s="10">
        <v>0</v>
      </c>
      <c r="M2564" s="10">
        <v>1</v>
      </c>
      <c r="N2564" s="10">
        <v>90</v>
      </c>
      <c r="O2564" s="10">
        <v>66</v>
      </c>
    </row>
    <row r="2565" spans="1:15" x14ac:dyDescent="0.2">
      <c r="A2565" s="10" t="s">
        <v>1073</v>
      </c>
      <c r="B2565" s="10" t="s">
        <v>193</v>
      </c>
      <c r="C2565" s="10" t="s">
        <v>117</v>
      </c>
      <c r="D2565" s="10" t="s">
        <v>51</v>
      </c>
      <c r="E2565" s="10" t="s">
        <v>52</v>
      </c>
      <c r="F2565" s="10" t="s">
        <v>363</v>
      </c>
      <c r="G2565" s="10" t="b">
        <f>FALSE()</f>
        <v>0</v>
      </c>
      <c r="H2565" s="10">
        <v>0</v>
      </c>
      <c r="I2565" s="10">
        <v>1</v>
      </c>
      <c r="J2565" s="10">
        <v>0</v>
      </c>
      <c r="K2565" s="10">
        <v>0</v>
      </c>
      <c r="L2565" s="10">
        <v>0</v>
      </c>
      <c r="M2565" s="10">
        <v>1</v>
      </c>
      <c r="N2565" s="10">
        <v>71</v>
      </c>
      <c r="O2565" s="10">
        <v>66</v>
      </c>
    </row>
    <row r="2566" spans="1:15" x14ac:dyDescent="0.2">
      <c r="A2566" s="10" t="s">
        <v>1289</v>
      </c>
      <c r="B2566" s="10" t="s">
        <v>116</v>
      </c>
      <c r="C2566" s="10" t="s">
        <v>117</v>
      </c>
      <c r="D2566" s="10" t="s">
        <v>51</v>
      </c>
      <c r="E2566" s="10" t="s">
        <v>52</v>
      </c>
      <c r="F2566" s="10" t="s">
        <v>61</v>
      </c>
      <c r="G2566" s="10" t="b">
        <f>FALSE()</f>
        <v>0</v>
      </c>
      <c r="H2566" s="10">
        <v>0</v>
      </c>
      <c r="I2566" s="10">
        <v>1</v>
      </c>
      <c r="J2566" s="10">
        <v>0</v>
      </c>
      <c r="K2566" s="10">
        <v>0</v>
      </c>
      <c r="L2566" s="10">
        <v>0</v>
      </c>
      <c r="M2566" s="10">
        <v>1</v>
      </c>
      <c r="N2566" s="10">
        <v>67</v>
      </c>
      <c r="O2566" s="10">
        <v>66</v>
      </c>
    </row>
    <row r="2567" spans="1:15" x14ac:dyDescent="0.2">
      <c r="A2567" s="10" t="s">
        <v>1290</v>
      </c>
      <c r="B2567" s="10" t="s">
        <v>407</v>
      </c>
      <c r="C2567" s="10" t="s">
        <v>112</v>
      </c>
      <c r="D2567" s="10" t="s">
        <v>51</v>
      </c>
      <c r="E2567" s="10" t="s">
        <v>52</v>
      </c>
      <c r="F2567" s="10" t="s">
        <v>92</v>
      </c>
      <c r="G2567" s="10" t="b">
        <f>FALSE()</f>
        <v>0</v>
      </c>
      <c r="H2567" s="10">
        <v>0</v>
      </c>
      <c r="I2567" s="10">
        <v>1</v>
      </c>
      <c r="J2567" s="10">
        <v>0</v>
      </c>
      <c r="K2567" s="10">
        <v>0</v>
      </c>
      <c r="L2567" s="10">
        <v>0</v>
      </c>
      <c r="M2567" s="10">
        <v>1</v>
      </c>
      <c r="N2567" s="10">
        <v>65</v>
      </c>
      <c r="O2567" s="10">
        <v>66</v>
      </c>
    </row>
    <row r="2568" spans="1:15" x14ac:dyDescent="0.2">
      <c r="A2568" s="10" t="s">
        <v>1199</v>
      </c>
      <c r="B2568" s="10" t="s">
        <v>890</v>
      </c>
      <c r="C2568" s="10" t="s">
        <v>112</v>
      </c>
      <c r="D2568" s="10" t="s">
        <v>51</v>
      </c>
      <c r="E2568" s="10" t="s">
        <v>52</v>
      </c>
      <c r="F2568" s="10" t="s">
        <v>94</v>
      </c>
      <c r="G2568" s="10" t="b">
        <f>FALSE()</f>
        <v>0</v>
      </c>
      <c r="H2568" s="10">
        <v>0</v>
      </c>
      <c r="I2568" s="10">
        <v>1</v>
      </c>
      <c r="J2568" s="10">
        <v>0</v>
      </c>
      <c r="K2568" s="10">
        <v>0</v>
      </c>
      <c r="L2568" s="10">
        <v>0</v>
      </c>
      <c r="M2568" s="10">
        <v>1</v>
      </c>
      <c r="N2568" s="10">
        <v>66</v>
      </c>
      <c r="O2568" s="10">
        <v>66</v>
      </c>
    </row>
    <row r="2569" spans="1:15" x14ac:dyDescent="0.2">
      <c r="A2569" s="10" t="s">
        <v>1066</v>
      </c>
      <c r="B2569" s="10" t="s">
        <v>477</v>
      </c>
      <c r="C2569" s="10" t="s">
        <v>50</v>
      </c>
      <c r="D2569" s="10" t="s">
        <v>51</v>
      </c>
      <c r="E2569" s="10" t="s">
        <v>52</v>
      </c>
      <c r="F2569" s="10" t="s">
        <v>183</v>
      </c>
      <c r="G2569" s="10" t="b">
        <f>FALSE()</f>
        <v>0</v>
      </c>
      <c r="H2569" s="10">
        <v>0</v>
      </c>
      <c r="I2569" s="10">
        <v>1</v>
      </c>
      <c r="J2569" s="10">
        <v>0</v>
      </c>
      <c r="K2569" s="10">
        <v>0</v>
      </c>
      <c r="L2569" s="10">
        <v>0</v>
      </c>
      <c r="M2569" s="10">
        <v>1</v>
      </c>
      <c r="N2569" s="10">
        <v>138</v>
      </c>
      <c r="O2569" s="10">
        <v>66</v>
      </c>
    </row>
    <row r="2570" spans="1:15" x14ac:dyDescent="0.2">
      <c r="A2570" s="10" t="s">
        <v>1230</v>
      </c>
      <c r="B2570" s="10" t="s">
        <v>78</v>
      </c>
      <c r="C2570" s="10" t="s">
        <v>50</v>
      </c>
      <c r="D2570" s="10" t="s">
        <v>51</v>
      </c>
      <c r="E2570" s="10" t="s">
        <v>52</v>
      </c>
      <c r="F2570" s="10" t="s">
        <v>91</v>
      </c>
      <c r="G2570" s="10" t="b">
        <f>TRUE()</f>
        <v>1</v>
      </c>
      <c r="H2570" s="10">
        <v>0</v>
      </c>
      <c r="I2570" s="10">
        <v>1</v>
      </c>
      <c r="J2570" s="10">
        <v>0</v>
      </c>
      <c r="K2570" s="10">
        <v>0</v>
      </c>
      <c r="L2570" s="10">
        <v>0</v>
      </c>
      <c r="M2570" s="10">
        <v>1</v>
      </c>
      <c r="N2570" s="10">
        <v>66</v>
      </c>
      <c r="O2570" s="10">
        <v>66</v>
      </c>
    </row>
    <row r="2571" spans="1:15" x14ac:dyDescent="0.2">
      <c r="A2571" s="10" t="s">
        <v>1204</v>
      </c>
      <c r="B2571" s="10" t="s">
        <v>163</v>
      </c>
      <c r="C2571" s="10" t="s">
        <v>90</v>
      </c>
      <c r="D2571" s="10" t="s">
        <v>51</v>
      </c>
      <c r="E2571" s="10" t="s">
        <v>52</v>
      </c>
      <c r="F2571" s="10" t="s">
        <v>92</v>
      </c>
      <c r="G2571" s="10" t="b">
        <f>FALSE()</f>
        <v>0</v>
      </c>
      <c r="H2571" s="10">
        <v>0</v>
      </c>
      <c r="I2571" s="10">
        <v>1</v>
      </c>
      <c r="J2571" s="10">
        <v>0</v>
      </c>
      <c r="K2571" s="10">
        <v>0</v>
      </c>
      <c r="L2571" s="10">
        <v>0</v>
      </c>
      <c r="M2571" s="10">
        <v>1</v>
      </c>
      <c r="N2571" s="10">
        <v>66</v>
      </c>
      <c r="O2571" s="10">
        <v>66</v>
      </c>
    </row>
    <row r="2572" spans="1:15" x14ac:dyDescent="0.2">
      <c r="A2572" s="10" t="s">
        <v>1080</v>
      </c>
      <c r="B2572" s="10" t="s">
        <v>67</v>
      </c>
      <c r="C2572" s="10" t="s">
        <v>64</v>
      </c>
      <c r="D2572" s="10" t="s">
        <v>45</v>
      </c>
      <c r="E2572" s="10" t="s">
        <v>46</v>
      </c>
      <c r="F2572" s="10" t="s">
        <v>749</v>
      </c>
      <c r="G2572" s="10" t="b">
        <f>TRUE()</f>
        <v>1</v>
      </c>
      <c r="H2572" s="10">
        <v>0</v>
      </c>
      <c r="I2572" s="10">
        <v>1</v>
      </c>
      <c r="J2572" s="10">
        <v>0</v>
      </c>
      <c r="K2572" s="10">
        <v>0</v>
      </c>
      <c r="L2572" s="10">
        <v>0</v>
      </c>
      <c r="M2572" s="10">
        <v>1</v>
      </c>
      <c r="N2572" s="10">
        <v>66</v>
      </c>
      <c r="O2572" s="10">
        <v>66</v>
      </c>
    </row>
    <row r="2573" spans="1:15" x14ac:dyDescent="0.2">
      <c r="A2573" s="10" t="s">
        <v>1310</v>
      </c>
      <c r="B2573" s="10" t="s">
        <v>130</v>
      </c>
      <c r="C2573" s="10" t="s">
        <v>56</v>
      </c>
      <c r="D2573" s="10" t="s">
        <v>45</v>
      </c>
      <c r="E2573" s="10" t="s">
        <v>46</v>
      </c>
      <c r="F2573" s="10" t="s">
        <v>1311</v>
      </c>
      <c r="G2573" s="10" t="b">
        <f>TRUE()</f>
        <v>1</v>
      </c>
      <c r="H2573" s="10">
        <v>0</v>
      </c>
      <c r="I2573" s="10">
        <v>1</v>
      </c>
      <c r="J2573" s="10">
        <v>0</v>
      </c>
      <c r="K2573" s="10">
        <v>0</v>
      </c>
      <c r="L2573" s="10">
        <v>0</v>
      </c>
      <c r="M2573" s="10">
        <v>1</v>
      </c>
      <c r="N2573" s="10">
        <v>95</v>
      </c>
      <c r="O2573" s="10">
        <v>66</v>
      </c>
    </row>
    <row r="2574" spans="1:15" x14ac:dyDescent="0.2">
      <c r="A2574" s="10" t="s">
        <v>1312</v>
      </c>
      <c r="B2574" s="10" t="s">
        <v>172</v>
      </c>
      <c r="C2574" s="10" t="s">
        <v>44</v>
      </c>
      <c r="D2574" s="10" t="s">
        <v>45</v>
      </c>
      <c r="E2574" s="10" t="s">
        <v>46</v>
      </c>
      <c r="F2574" s="10" t="s">
        <v>61</v>
      </c>
      <c r="G2574" s="10" t="b">
        <f>FALSE()</f>
        <v>0</v>
      </c>
      <c r="H2574" s="10">
        <v>0</v>
      </c>
      <c r="I2574" s="10">
        <v>1</v>
      </c>
      <c r="J2574" s="10">
        <v>0</v>
      </c>
      <c r="K2574" s="10">
        <v>0</v>
      </c>
      <c r="L2574" s="10">
        <v>0</v>
      </c>
      <c r="M2574" s="10">
        <v>1</v>
      </c>
      <c r="N2574" s="10">
        <v>66</v>
      </c>
      <c r="O2574" s="10">
        <v>66</v>
      </c>
    </row>
    <row r="2575" spans="1:15" x14ac:dyDescent="0.2">
      <c r="A2575" s="10" t="s">
        <v>1313</v>
      </c>
      <c r="B2575" s="10" t="s">
        <v>70</v>
      </c>
      <c r="C2575" s="10" t="s">
        <v>70</v>
      </c>
      <c r="D2575" s="10" t="s">
        <v>45</v>
      </c>
      <c r="E2575" s="10" t="s">
        <v>46</v>
      </c>
      <c r="F2575" s="10" t="s">
        <v>47</v>
      </c>
      <c r="G2575" s="10" t="b">
        <f>FALSE()</f>
        <v>0</v>
      </c>
      <c r="H2575" s="10">
        <v>0</v>
      </c>
      <c r="I2575" s="10">
        <v>1</v>
      </c>
      <c r="J2575" s="10">
        <v>0</v>
      </c>
      <c r="K2575" s="10">
        <v>0</v>
      </c>
      <c r="L2575" s="10">
        <v>0</v>
      </c>
      <c r="M2575" s="10">
        <v>1</v>
      </c>
      <c r="N2575" s="10">
        <v>79</v>
      </c>
      <c r="O2575" s="10">
        <v>66</v>
      </c>
    </row>
    <row r="2576" spans="1:15" x14ac:dyDescent="0.2">
      <c r="A2576" s="10" t="s">
        <v>495</v>
      </c>
      <c r="B2576" s="10" t="s">
        <v>119</v>
      </c>
      <c r="C2576" s="10" t="s">
        <v>56</v>
      </c>
      <c r="D2576" s="10" t="s">
        <v>45</v>
      </c>
      <c r="E2576" s="10" t="s">
        <v>46</v>
      </c>
      <c r="F2576" s="10" t="s">
        <v>506</v>
      </c>
      <c r="G2576" s="10" t="b">
        <f>TRUE()</f>
        <v>1</v>
      </c>
      <c r="H2576" s="10">
        <v>0</v>
      </c>
      <c r="I2576" s="10">
        <v>1</v>
      </c>
      <c r="J2576" s="10">
        <v>0</v>
      </c>
      <c r="K2576" s="10">
        <v>0</v>
      </c>
      <c r="L2576" s="10">
        <v>0</v>
      </c>
      <c r="M2576" s="10">
        <v>1</v>
      </c>
      <c r="N2576" s="10">
        <v>68</v>
      </c>
      <c r="O2576" s="10">
        <v>65</v>
      </c>
    </row>
    <row r="2577" spans="1:15" x14ac:dyDescent="0.2">
      <c r="A2577" s="10" t="s">
        <v>1291</v>
      </c>
      <c r="B2577" s="10" t="s">
        <v>193</v>
      </c>
      <c r="C2577" s="10" t="s">
        <v>117</v>
      </c>
      <c r="D2577" s="10" t="s">
        <v>51</v>
      </c>
      <c r="E2577" s="10" t="s">
        <v>52</v>
      </c>
      <c r="F2577" s="10" t="s">
        <v>190</v>
      </c>
      <c r="G2577" s="10" t="b">
        <f>TRUE()</f>
        <v>1</v>
      </c>
      <c r="H2577" s="10">
        <v>0</v>
      </c>
      <c r="I2577" s="10">
        <v>1</v>
      </c>
      <c r="J2577" s="10">
        <v>0</v>
      </c>
      <c r="K2577" s="10">
        <v>0</v>
      </c>
      <c r="L2577" s="10">
        <v>0</v>
      </c>
      <c r="M2577" s="10">
        <v>1</v>
      </c>
      <c r="N2577" s="10">
        <v>65</v>
      </c>
      <c r="O2577" s="10">
        <v>65</v>
      </c>
    </row>
    <row r="2578" spans="1:15" x14ac:dyDescent="0.2">
      <c r="A2578" s="10" t="s">
        <v>1130</v>
      </c>
      <c r="B2578" s="10" t="s">
        <v>193</v>
      </c>
      <c r="C2578" s="10" t="s">
        <v>117</v>
      </c>
      <c r="D2578" s="10" t="s">
        <v>51</v>
      </c>
      <c r="E2578" s="10" t="s">
        <v>52</v>
      </c>
      <c r="F2578" s="10" t="s">
        <v>207</v>
      </c>
      <c r="G2578" s="10" t="b">
        <f>FALSE()</f>
        <v>0</v>
      </c>
      <c r="H2578" s="10">
        <v>0</v>
      </c>
      <c r="I2578" s="10">
        <v>1</v>
      </c>
      <c r="J2578" s="10">
        <v>0</v>
      </c>
      <c r="K2578" s="10">
        <v>0</v>
      </c>
      <c r="L2578" s="10">
        <v>0</v>
      </c>
      <c r="M2578" s="10">
        <v>1</v>
      </c>
      <c r="N2578" s="10">
        <v>63</v>
      </c>
      <c r="O2578" s="10">
        <v>65</v>
      </c>
    </row>
    <row r="2579" spans="1:15" x14ac:dyDescent="0.2">
      <c r="A2579" s="10" t="s">
        <v>1314</v>
      </c>
      <c r="B2579" s="10" t="s">
        <v>249</v>
      </c>
      <c r="C2579" s="10" t="s">
        <v>90</v>
      </c>
      <c r="D2579" s="10" t="s">
        <v>51</v>
      </c>
      <c r="E2579" s="10" t="s">
        <v>52</v>
      </c>
      <c r="F2579" s="10" t="s">
        <v>180</v>
      </c>
      <c r="G2579" s="10" t="b">
        <f>FALSE()</f>
        <v>0</v>
      </c>
      <c r="H2579" s="10">
        <v>0</v>
      </c>
      <c r="I2579" s="10">
        <v>1</v>
      </c>
      <c r="J2579" s="10">
        <v>0</v>
      </c>
      <c r="K2579" s="10">
        <v>0</v>
      </c>
      <c r="L2579" s="10">
        <v>0</v>
      </c>
      <c r="M2579" s="10">
        <v>1</v>
      </c>
      <c r="N2579" s="10">
        <v>65</v>
      </c>
      <c r="O2579" s="10">
        <v>65</v>
      </c>
    </row>
    <row r="2580" spans="1:15" x14ac:dyDescent="0.2">
      <c r="A2580" s="10" t="s">
        <v>1315</v>
      </c>
      <c r="B2580" s="10" t="s">
        <v>55</v>
      </c>
      <c r="C2580" s="10" t="s">
        <v>56</v>
      </c>
      <c r="D2580" s="10" t="s">
        <v>45</v>
      </c>
      <c r="E2580" s="10" t="s">
        <v>46</v>
      </c>
      <c r="F2580" s="10" t="s">
        <v>113</v>
      </c>
      <c r="G2580" s="10" t="b">
        <f>TRUE()</f>
        <v>1</v>
      </c>
      <c r="H2580" s="10">
        <v>0</v>
      </c>
      <c r="I2580" s="10">
        <v>1</v>
      </c>
      <c r="J2580" s="10">
        <v>0</v>
      </c>
      <c r="K2580" s="10">
        <v>0</v>
      </c>
      <c r="L2580" s="10">
        <v>0</v>
      </c>
      <c r="M2580" s="10">
        <v>1</v>
      </c>
      <c r="N2580" s="10">
        <v>65</v>
      </c>
      <c r="O2580" s="10">
        <v>65</v>
      </c>
    </row>
    <row r="2581" spans="1:15" x14ac:dyDescent="0.2">
      <c r="A2581" s="10" t="s">
        <v>150</v>
      </c>
      <c r="B2581" s="10" t="s">
        <v>151</v>
      </c>
      <c r="C2581" s="10" t="s">
        <v>64</v>
      </c>
      <c r="D2581" s="10" t="s">
        <v>45</v>
      </c>
      <c r="E2581" s="10" t="s">
        <v>46</v>
      </c>
      <c r="F2581" s="10" t="s">
        <v>967</v>
      </c>
      <c r="G2581" s="10" t="b">
        <f>FALSE()</f>
        <v>0</v>
      </c>
      <c r="H2581" s="10">
        <v>0</v>
      </c>
      <c r="I2581" s="10">
        <v>1</v>
      </c>
      <c r="J2581" s="10">
        <v>0</v>
      </c>
      <c r="K2581" s="10">
        <v>0</v>
      </c>
      <c r="L2581" s="10">
        <v>0</v>
      </c>
      <c r="M2581" s="10">
        <v>1</v>
      </c>
      <c r="N2581" s="10">
        <v>64</v>
      </c>
      <c r="O2581" s="10">
        <v>64</v>
      </c>
    </row>
    <row r="2582" spans="1:15" x14ac:dyDescent="0.2">
      <c r="A2582" s="10" t="s">
        <v>217</v>
      </c>
      <c r="B2582" s="10" t="s">
        <v>218</v>
      </c>
      <c r="C2582" s="10" t="s">
        <v>73</v>
      </c>
      <c r="D2582" s="10" t="s">
        <v>45</v>
      </c>
      <c r="E2582" s="10" t="s">
        <v>46</v>
      </c>
      <c r="F2582" s="10" t="s">
        <v>496</v>
      </c>
      <c r="G2582" s="10" t="b">
        <f>FALSE()</f>
        <v>0</v>
      </c>
      <c r="H2582" s="10">
        <v>0</v>
      </c>
      <c r="I2582" s="10">
        <v>1</v>
      </c>
      <c r="J2582" s="10">
        <v>0</v>
      </c>
      <c r="K2582" s="10">
        <v>0</v>
      </c>
      <c r="L2582" s="10">
        <v>0</v>
      </c>
      <c r="M2582" s="10">
        <v>1</v>
      </c>
      <c r="N2582" s="10">
        <v>64</v>
      </c>
      <c r="O2582" s="10">
        <v>64</v>
      </c>
    </row>
    <row r="2583" spans="1:15" x14ac:dyDescent="0.2">
      <c r="A2583" s="10" t="s">
        <v>1316</v>
      </c>
      <c r="B2583" s="10" t="s">
        <v>419</v>
      </c>
      <c r="C2583" s="10" t="s">
        <v>50</v>
      </c>
      <c r="D2583" s="10" t="s">
        <v>51</v>
      </c>
      <c r="E2583" s="10" t="s">
        <v>52</v>
      </c>
      <c r="F2583" s="10" t="s">
        <v>94</v>
      </c>
      <c r="G2583" s="10" t="b">
        <f>FALSE()</f>
        <v>0</v>
      </c>
      <c r="H2583" s="10">
        <v>0</v>
      </c>
      <c r="I2583" s="10">
        <v>1</v>
      </c>
      <c r="J2583" s="10">
        <v>0</v>
      </c>
      <c r="K2583" s="10">
        <v>0</v>
      </c>
      <c r="L2583" s="10">
        <v>0</v>
      </c>
      <c r="M2583" s="10">
        <v>1</v>
      </c>
      <c r="N2583" s="10">
        <v>64</v>
      </c>
      <c r="O2583" s="10">
        <v>64</v>
      </c>
    </row>
    <row r="2584" spans="1:15" x14ac:dyDescent="0.2">
      <c r="A2584" s="10" t="s">
        <v>1277</v>
      </c>
      <c r="B2584" s="10" t="s">
        <v>163</v>
      </c>
      <c r="C2584" s="10" t="s">
        <v>90</v>
      </c>
      <c r="D2584" s="10" t="s">
        <v>51</v>
      </c>
      <c r="E2584" s="10" t="s">
        <v>52</v>
      </c>
      <c r="F2584" s="10" t="s">
        <v>190</v>
      </c>
      <c r="G2584" s="10" t="b">
        <f>TRUE()</f>
        <v>1</v>
      </c>
      <c r="H2584" s="10">
        <v>0</v>
      </c>
      <c r="I2584" s="10">
        <v>1</v>
      </c>
      <c r="J2584" s="10">
        <v>0</v>
      </c>
      <c r="K2584" s="10">
        <v>0</v>
      </c>
      <c r="L2584" s="10">
        <v>0</v>
      </c>
      <c r="M2584" s="10">
        <v>1</v>
      </c>
      <c r="N2584" s="10">
        <v>78</v>
      </c>
      <c r="O2584" s="10">
        <v>64</v>
      </c>
    </row>
    <row r="2585" spans="1:15" x14ac:dyDescent="0.2">
      <c r="A2585" s="10" t="s">
        <v>1268</v>
      </c>
      <c r="B2585" s="10" t="s">
        <v>498</v>
      </c>
      <c r="C2585" s="10" t="s">
        <v>245</v>
      </c>
      <c r="D2585" s="10" t="s">
        <v>51</v>
      </c>
      <c r="E2585" s="10" t="s">
        <v>52</v>
      </c>
      <c r="F2585" s="10" t="s">
        <v>365</v>
      </c>
      <c r="G2585" s="10" t="b">
        <f>TRUE()</f>
        <v>1</v>
      </c>
      <c r="H2585" s="10">
        <v>0</v>
      </c>
      <c r="I2585" s="10">
        <v>1</v>
      </c>
      <c r="J2585" s="10">
        <v>0</v>
      </c>
      <c r="K2585" s="10">
        <v>0</v>
      </c>
      <c r="L2585" s="10">
        <v>0</v>
      </c>
      <c r="M2585" s="10">
        <v>1</v>
      </c>
      <c r="N2585" s="10">
        <v>69</v>
      </c>
      <c r="O2585" s="10">
        <v>64</v>
      </c>
    </row>
    <row r="2586" spans="1:15" x14ac:dyDescent="0.2">
      <c r="A2586" s="10" t="s">
        <v>1190</v>
      </c>
      <c r="B2586" s="10" t="s">
        <v>321</v>
      </c>
      <c r="C2586" s="10" t="s">
        <v>245</v>
      </c>
      <c r="D2586" s="10" t="s">
        <v>51</v>
      </c>
      <c r="E2586" s="10" t="s">
        <v>52</v>
      </c>
      <c r="F2586" s="10" t="s">
        <v>91</v>
      </c>
      <c r="G2586" s="10" t="b">
        <f>TRUE()</f>
        <v>1</v>
      </c>
      <c r="H2586" s="10">
        <v>0</v>
      </c>
      <c r="I2586" s="10">
        <v>1</v>
      </c>
      <c r="J2586" s="10">
        <v>0</v>
      </c>
      <c r="K2586" s="10">
        <v>0</v>
      </c>
      <c r="L2586" s="10">
        <v>0</v>
      </c>
      <c r="M2586" s="10">
        <v>1</v>
      </c>
      <c r="N2586" s="10">
        <v>65</v>
      </c>
      <c r="O2586" s="10">
        <v>64</v>
      </c>
    </row>
    <row r="2587" spans="1:15" x14ac:dyDescent="0.2">
      <c r="A2587" s="10" t="s">
        <v>1056</v>
      </c>
      <c r="B2587" s="10" t="s">
        <v>104</v>
      </c>
      <c r="C2587" s="10" t="s">
        <v>105</v>
      </c>
      <c r="D2587" s="10" t="s">
        <v>45</v>
      </c>
      <c r="E2587" s="10" t="s">
        <v>46</v>
      </c>
      <c r="F2587" s="10" t="s">
        <v>153</v>
      </c>
      <c r="G2587" s="10" t="b">
        <f>FALSE()</f>
        <v>0</v>
      </c>
      <c r="H2587" s="10">
        <v>0</v>
      </c>
      <c r="I2587" s="10">
        <v>1</v>
      </c>
      <c r="J2587" s="10">
        <v>0</v>
      </c>
      <c r="K2587" s="10">
        <v>0</v>
      </c>
      <c r="L2587" s="10">
        <v>0</v>
      </c>
      <c r="M2587" s="10">
        <v>1</v>
      </c>
      <c r="N2587" s="10">
        <v>64</v>
      </c>
      <c r="O2587" s="10">
        <v>64</v>
      </c>
    </row>
    <row r="2588" spans="1:15" x14ac:dyDescent="0.2">
      <c r="A2588" s="10" t="s">
        <v>1145</v>
      </c>
      <c r="B2588" s="10" t="s">
        <v>70</v>
      </c>
      <c r="C2588" s="10" t="s">
        <v>70</v>
      </c>
      <c r="D2588" s="10" t="s">
        <v>45</v>
      </c>
      <c r="E2588" s="10" t="s">
        <v>46</v>
      </c>
      <c r="F2588" s="10" t="s">
        <v>749</v>
      </c>
      <c r="G2588" s="10" t="b">
        <f>TRUE()</f>
        <v>1</v>
      </c>
      <c r="H2588" s="10">
        <v>0</v>
      </c>
      <c r="I2588" s="10">
        <v>1</v>
      </c>
      <c r="J2588" s="10">
        <v>0</v>
      </c>
      <c r="K2588" s="10">
        <v>0</v>
      </c>
      <c r="L2588" s="10">
        <v>0</v>
      </c>
      <c r="M2588" s="10">
        <v>1</v>
      </c>
      <c r="N2588" s="10">
        <v>64</v>
      </c>
      <c r="O2588" s="10">
        <v>64</v>
      </c>
    </row>
    <row r="2589" spans="1:15" x14ac:dyDescent="0.2">
      <c r="A2589" s="10" t="s">
        <v>991</v>
      </c>
      <c r="B2589" s="10" t="s">
        <v>321</v>
      </c>
      <c r="C2589" s="10" t="s">
        <v>245</v>
      </c>
      <c r="D2589" s="10" t="s">
        <v>51</v>
      </c>
      <c r="E2589" s="10" t="s">
        <v>52</v>
      </c>
      <c r="F2589" s="10" t="s">
        <v>1249</v>
      </c>
      <c r="G2589" s="10" t="b">
        <f>TRUE()</f>
        <v>1</v>
      </c>
      <c r="H2589" s="10">
        <v>0</v>
      </c>
      <c r="I2589" s="10">
        <v>1</v>
      </c>
      <c r="J2589" s="10">
        <v>0</v>
      </c>
      <c r="K2589" s="10">
        <v>0</v>
      </c>
      <c r="L2589" s="10">
        <v>0</v>
      </c>
      <c r="M2589" s="10">
        <v>1</v>
      </c>
      <c r="N2589" s="10">
        <v>64</v>
      </c>
      <c r="O2589" s="10">
        <v>63</v>
      </c>
    </row>
    <row r="2590" spans="1:15" x14ac:dyDescent="0.2">
      <c r="A2590" s="10" t="s">
        <v>495</v>
      </c>
      <c r="B2590" s="10" t="s">
        <v>119</v>
      </c>
      <c r="C2590" s="10" t="s">
        <v>56</v>
      </c>
      <c r="D2590" s="10" t="s">
        <v>45</v>
      </c>
      <c r="E2590" s="10" t="s">
        <v>46</v>
      </c>
      <c r="F2590" s="10" t="s">
        <v>1317</v>
      </c>
      <c r="G2590" s="10" t="b">
        <f>TRUE()</f>
        <v>1</v>
      </c>
      <c r="H2590" s="10">
        <v>0</v>
      </c>
      <c r="I2590" s="10">
        <v>1</v>
      </c>
      <c r="J2590" s="10">
        <v>0</v>
      </c>
      <c r="K2590" s="10">
        <v>0</v>
      </c>
      <c r="L2590" s="10">
        <v>0</v>
      </c>
      <c r="M2590" s="10">
        <v>1</v>
      </c>
      <c r="N2590" s="10">
        <v>63</v>
      </c>
      <c r="O2590" s="10">
        <v>63</v>
      </c>
    </row>
    <row r="2591" spans="1:15" x14ac:dyDescent="0.2">
      <c r="A2591" s="10" t="s">
        <v>1290</v>
      </c>
      <c r="B2591" s="10" t="s">
        <v>407</v>
      </c>
      <c r="C2591" s="10" t="s">
        <v>112</v>
      </c>
      <c r="D2591" s="10" t="s">
        <v>51</v>
      </c>
      <c r="E2591" s="10" t="s">
        <v>52</v>
      </c>
      <c r="F2591" s="10" t="s">
        <v>967</v>
      </c>
      <c r="G2591" s="10" t="b">
        <f>FALSE()</f>
        <v>0</v>
      </c>
      <c r="H2591" s="10">
        <v>0</v>
      </c>
      <c r="I2591" s="10">
        <v>1</v>
      </c>
      <c r="J2591" s="10">
        <v>0</v>
      </c>
      <c r="K2591" s="10">
        <v>0</v>
      </c>
      <c r="L2591" s="10">
        <v>0</v>
      </c>
      <c r="M2591" s="10">
        <v>1</v>
      </c>
      <c r="N2591" s="10">
        <v>63</v>
      </c>
      <c r="O2591" s="10">
        <v>63</v>
      </c>
    </row>
    <row r="2592" spans="1:15" x14ac:dyDescent="0.2">
      <c r="A2592" s="10" t="s">
        <v>1084</v>
      </c>
      <c r="B2592" s="10" t="s">
        <v>89</v>
      </c>
      <c r="C2592" s="10" t="s">
        <v>90</v>
      </c>
      <c r="D2592" s="10" t="s">
        <v>51</v>
      </c>
      <c r="E2592" s="10" t="s">
        <v>52</v>
      </c>
      <c r="F2592" s="10" t="s">
        <v>186</v>
      </c>
      <c r="G2592" s="10" t="b">
        <f>TRUE()</f>
        <v>1</v>
      </c>
      <c r="H2592" s="10">
        <v>0</v>
      </c>
      <c r="I2592" s="10">
        <v>1</v>
      </c>
      <c r="J2592" s="10">
        <v>0</v>
      </c>
      <c r="K2592" s="10">
        <v>0</v>
      </c>
      <c r="L2592" s="10">
        <v>0</v>
      </c>
      <c r="M2592" s="10">
        <v>1</v>
      </c>
      <c r="N2592" s="10">
        <v>66</v>
      </c>
      <c r="O2592" s="10">
        <v>63</v>
      </c>
    </row>
    <row r="2593" spans="1:15" x14ac:dyDescent="0.2">
      <c r="A2593" s="10" t="s">
        <v>1106</v>
      </c>
      <c r="B2593" s="10" t="s">
        <v>146</v>
      </c>
      <c r="C2593" s="10" t="s">
        <v>105</v>
      </c>
      <c r="D2593" s="10" t="s">
        <v>45</v>
      </c>
      <c r="E2593" s="10" t="s">
        <v>46</v>
      </c>
      <c r="F2593" s="10" t="s">
        <v>365</v>
      </c>
      <c r="G2593" s="10" t="b">
        <f>TRUE()</f>
        <v>1</v>
      </c>
      <c r="H2593" s="10">
        <v>0</v>
      </c>
      <c r="I2593" s="10">
        <v>1</v>
      </c>
      <c r="J2593" s="10">
        <v>0</v>
      </c>
      <c r="K2593" s="10">
        <v>0</v>
      </c>
      <c r="L2593" s="10">
        <v>0</v>
      </c>
      <c r="M2593" s="10">
        <v>1</v>
      </c>
      <c r="N2593" s="10">
        <v>63</v>
      </c>
      <c r="O2593" s="10">
        <v>63</v>
      </c>
    </row>
    <row r="2594" spans="1:15" x14ac:dyDescent="0.2">
      <c r="A2594" s="10" t="s">
        <v>1196</v>
      </c>
      <c r="B2594" s="10" t="s">
        <v>104</v>
      </c>
      <c r="C2594" s="10" t="s">
        <v>105</v>
      </c>
      <c r="D2594" s="10" t="s">
        <v>45</v>
      </c>
      <c r="E2594" s="10" t="s">
        <v>46</v>
      </c>
      <c r="F2594" s="10" t="s">
        <v>190</v>
      </c>
      <c r="G2594" s="10" t="b">
        <f>TRUE()</f>
        <v>1</v>
      </c>
      <c r="H2594" s="10">
        <v>0</v>
      </c>
      <c r="I2594" s="10">
        <v>1</v>
      </c>
      <c r="J2594" s="10">
        <v>0</v>
      </c>
      <c r="K2594" s="10">
        <v>0</v>
      </c>
      <c r="L2594" s="10">
        <v>0</v>
      </c>
      <c r="M2594" s="10">
        <v>1</v>
      </c>
      <c r="N2594" s="10">
        <v>64</v>
      </c>
      <c r="O2594" s="10">
        <v>63</v>
      </c>
    </row>
    <row r="2595" spans="1:15" x14ac:dyDescent="0.2">
      <c r="A2595" s="10" t="s">
        <v>1111</v>
      </c>
      <c r="B2595" s="10" t="s">
        <v>70</v>
      </c>
      <c r="C2595" s="10" t="s">
        <v>70</v>
      </c>
      <c r="D2595" s="10" t="s">
        <v>45</v>
      </c>
      <c r="E2595" s="10" t="s">
        <v>46</v>
      </c>
      <c r="F2595" s="10" t="s">
        <v>190</v>
      </c>
      <c r="G2595" s="10" t="b">
        <f>TRUE()</f>
        <v>1</v>
      </c>
      <c r="H2595" s="10">
        <v>0</v>
      </c>
      <c r="I2595" s="10">
        <v>1</v>
      </c>
      <c r="J2595" s="10">
        <v>0</v>
      </c>
      <c r="K2595" s="10">
        <v>0</v>
      </c>
      <c r="L2595" s="10">
        <v>0</v>
      </c>
      <c r="M2595" s="10">
        <v>1</v>
      </c>
      <c r="N2595" s="10">
        <v>63</v>
      </c>
      <c r="O2595" s="10">
        <v>63</v>
      </c>
    </row>
    <row r="2596" spans="1:15" x14ac:dyDescent="0.2">
      <c r="A2596" s="10" t="s">
        <v>288</v>
      </c>
      <c r="B2596" s="10" t="s">
        <v>289</v>
      </c>
      <c r="C2596" s="10" t="s">
        <v>50</v>
      </c>
      <c r="D2596" s="10" t="s">
        <v>51</v>
      </c>
      <c r="E2596" s="10" t="s">
        <v>52</v>
      </c>
      <c r="F2596" s="10" t="s">
        <v>251</v>
      </c>
      <c r="G2596" s="10" t="b">
        <f>FALSE()</f>
        <v>0</v>
      </c>
      <c r="H2596" s="10">
        <v>0</v>
      </c>
      <c r="I2596" s="10">
        <v>1</v>
      </c>
      <c r="J2596" s="10">
        <v>0</v>
      </c>
      <c r="K2596" s="10">
        <v>0</v>
      </c>
      <c r="L2596" s="10">
        <v>0</v>
      </c>
      <c r="M2596" s="10">
        <v>1</v>
      </c>
      <c r="N2596" s="10">
        <v>62</v>
      </c>
      <c r="O2596" s="10">
        <v>62</v>
      </c>
    </row>
    <row r="2597" spans="1:15" x14ac:dyDescent="0.2">
      <c r="A2597" s="10" t="s">
        <v>1298</v>
      </c>
      <c r="B2597" s="10" t="s">
        <v>109</v>
      </c>
      <c r="C2597" s="10" t="s">
        <v>90</v>
      </c>
      <c r="D2597" s="10" t="s">
        <v>51</v>
      </c>
      <c r="E2597" s="10" t="s">
        <v>52</v>
      </c>
      <c r="F2597" s="10" t="s">
        <v>47</v>
      </c>
      <c r="G2597" s="10" t="b">
        <f>FALSE()</f>
        <v>0</v>
      </c>
      <c r="H2597" s="10">
        <v>0</v>
      </c>
      <c r="I2597" s="10">
        <v>1</v>
      </c>
      <c r="J2597" s="10">
        <v>0</v>
      </c>
      <c r="K2597" s="10">
        <v>0</v>
      </c>
      <c r="L2597" s="10">
        <v>0</v>
      </c>
      <c r="M2597" s="10">
        <v>1</v>
      </c>
      <c r="N2597" s="10">
        <v>60</v>
      </c>
      <c r="O2597" s="10">
        <v>62</v>
      </c>
    </row>
    <row r="2598" spans="1:15" x14ac:dyDescent="0.2">
      <c r="A2598" s="10" t="s">
        <v>1318</v>
      </c>
      <c r="B2598" s="10" t="s">
        <v>456</v>
      </c>
      <c r="C2598" s="10" t="s">
        <v>245</v>
      </c>
      <c r="D2598" s="10" t="s">
        <v>51</v>
      </c>
      <c r="E2598" s="10" t="s">
        <v>52</v>
      </c>
      <c r="F2598" s="10" t="s">
        <v>204</v>
      </c>
      <c r="G2598" s="10" t="b">
        <f>FALSE()</f>
        <v>0</v>
      </c>
      <c r="H2598" s="10">
        <v>0</v>
      </c>
      <c r="I2598" s="10">
        <v>1</v>
      </c>
      <c r="J2598" s="10">
        <v>0</v>
      </c>
      <c r="K2598" s="10">
        <v>0</v>
      </c>
      <c r="L2598" s="10">
        <v>0</v>
      </c>
      <c r="M2598" s="10">
        <v>1</v>
      </c>
      <c r="N2598" s="10">
        <v>75</v>
      </c>
      <c r="O2598" s="10">
        <v>62</v>
      </c>
    </row>
    <row r="2599" spans="1:15" x14ac:dyDescent="0.2">
      <c r="A2599" s="10" t="s">
        <v>1319</v>
      </c>
      <c r="B2599" s="10" t="s">
        <v>72</v>
      </c>
      <c r="C2599" s="10" t="s">
        <v>73</v>
      </c>
      <c r="D2599" s="10" t="s">
        <v>45</v>
      </c>
      <c r="E2599" s="10" t="s">
        <v>46</v>
      </c>
      <c r="F2599" s="10" t="s">
        <v>94</v>
      </c>
      <c r="G2599" s="10" t="b">
        <f>FALSE()</f>
        <v>0</v>
      </c>
      <c r="H2599" s="10">
        <v>0</v>
      </c>
      <c r="I2599" s="10">
        <v>1</v>
      </c>
      <c r="J2599" s="10">
        <v>0</v>
      </c>
      <c r="K2599" s="10">
        <v>0</v>
      </c>
      <c r="L2599" s="10">
        <v>0</v>
      </c>
      <c r="M2599" s="10">
        <v>1</v>
      </c>
      <c r="N2599" s="10">
        <v>62</v>
      </c>
      <c r="O2599" s="10">
        <v>62</v>
      </c>
    </row>
    <row r="2600" spans="1:15" x14ac:dyDescent="0.2">
      <c r="A2600" s="10" t="s">
        <v>1320</v>
      </c>
      <c r="B2600" s="10" t="s">
        <v>55</v>
      </c>
      <c r="C2600" s="10" t="s">
        <v>56</v>
      </c>
      <c r="D2600" s="10" t="s">
        <v>45</v>
      </c>
      <c r="E2600" s="10" t="s">
        <v>46</v>
      </c>
      <c r="F2600" s="10" t="s">
        <v>92</v>
      </c>
      <c r="G2600" s="10" t="b">
        <f>FALSE()</f>
        <v>0</v>
      </c>
      <c r="H2600" s="10">
        <v>0</v>
      </c>
      <c r="I2600" s="10">
        <v>1</v>
      </c>
      <c r="J2600" s="10">
        <v>0</v>
      </c>
      <c r="K2600" s="10">
        <v>0</v>
      </c>
      <c r="L2600" s="10">
        <v>0</v>
      </c>
      <c r="M2600" s="10">
        <v>1</v>
      </c>
      <c r="N2600" s="10">
        <v>62</v>
      </c>
      <c r="O2600" s="10">
        <v>62</v>
      </c>
    </row>
    <row r="2601" spans="1:15" x14ac:dyDescent="0.2">
      <c r="A2601" s="10" t="s">
        <v>1086</v>
      </c>
      <c r="B2601" s="10" t="s">
        <v>172</v>
      </c>
      <c r="C2601" s="10" t="s">
        <v>44</v>
      </c>
      <c r="D2601" s="10" t="s">
        <v>45</v>
      </c>
      <c r="E2601" s="10" t="s">
        <v>46</v>
      </c>
      <c r="F2601" s="10" t="s">
        <v>1116</v>
      </c>
      <c r="G2601" s="10" t="b">
        <f>FALSE()</f>
        <v>0</v>
      </c>
      <c r="H2601" s="10">
        <v>0</v>
      </c>
      <c r="I2601" s="10">
        <v>1</v>
      </c>
      <c r="J2601" s="10">
        <v>0</v>
      </c>
      <c r="K2601" s="10">
        <v>0</v>
      </c>
      <c r="L2601" s="10">
        <v>0</v>
      </c>
      <c r="M2601" s="10">
        <v>1</v>
      </c>
      <c r="N2601" s="10">
        <v>62</v>
      </c>
      <c r="O2601" s="10">
        <v>62</v>
      </c>
    </row>
    <row r="2602" spans="1:15" x14ac:dyDescent="0.2">
      <c r="A2602" s="10" t="s">
        <v>495</v>
      </c>
      <c r="B2602" s="10" t="s">
        <v>119</v>
      </c>
      <c r="C2602" s="10" t="s">
        <v>56</v>
      </c>
      <c r="D2602" s="10" t="s">
        <v>45</v>
      </c>
      <c r="E2602" s="10" t="s">
        <v>46</v>
      </c>
      <c r="F2602" s="10" t="s">
        <v>446</v>
      </c>
      <c r="G2602" s="10" t="b">
        <f>FALSE()</f>
        <v>0</v>
      </c>
      <c r="H2602" s="10">
        <v>0</v>
      </c>
      <c r="I2602" s="10">
        <v>1</v>
      </c>
      <c r="J2602" s="10">
        <v>0</v>
      </c>
      <c r="K2602" s="10">
        <v>0</v>
      </c>
      <c r="L2602" s="10">
        <v>0</v>
      </c>
      <c r="M2602" s="10">
        <v>1</v>
      </c>
      <c r="N2602" s="10">
        <v>73</v>
      </c>
      <c r="O2602" s="10">
        <v>61</v>
      </c>
    </row>
    <row r="2603" spans="1:15" x14ac:dyDescent="0.2">
      <c r="A2603" s="10" t="s">
        <v>1047</v>
      </c>
      <c r="B2603" s="10" t="s">
        <v>96</v>
      </c>
      <c r="C2603" s="10" t="s">
        <v>50</v>
      </c>
      <c r="D2603" s="10" t="s">
        <v>51</v>
      </c>
      <c r="E2603" s="10" t="s">
        <v>52</v>
      </c>
      <c r="F2603" s="10" t="s">
        <v>58</v>
      </c>
      <c r="G2603" s="10" t="b">
        <f>FALSE()</f>
        <v>0</v>
      </c>
      <c r="H2603" s="10">
        <v>0</v>
      </c>
      <c r="I2603" s="10">
        <v>1</v>
      </c>
      <c r="J2603" s="10">
        <v>0</v>
      </c>
      <c r="K2603" s="10">
        <v>0</v>
      </c>
      <c r="L2603" s="10">
        <v>0</v>
      </c>
      <c r="M2603" s="10">
        <v>1</v>
      </c>
      <c r="N2603" s="10">
        <v>61</v>
      </c>
      <c r="O2603" s="10">
        <v>61</v>
      </c>
    </row>
    <row r="2604" spans="1:15" x14ac:dyDescent="0.2">
      <c r="A2604" s="10" t="s">
        <v>1047</v>
      </c>
      <c r="B2604" s="10" t="s">
        <v>96</v>
      </c>
      <c r="C2604" s="10" t="s">
        <v>50</v>
      </c>
      <c r="D2604" s="10" t="s">
        <v>51</v>
      </c>
      <c r="E2604" s="10" t="s">
        <v>52</v>
      </c>
      <c r="F2604" s="10" t="s">
        <v>704</v>
      </c>
      <c r="G2604" s="10" t="b">
        <f>FALSE()</f>
        <v>0</v>
      </c>
      <c r="H2604" s="10">
        <v>0</v>
      </c>
      <c r="I2604" s="10">
        <v>1</v>
      </c>
      <c r="J2604" s="10">
        <v>0</v>
      </c>
      <c r="K2604" s="10">
        <v>0</v>
      </c>
      <c r="L2604" s="10">
        <v>0</v>
      </c>
      <c r="M2604" s="10">
        <v>1</v>
      </c>
      <c r="N2604" s="10">
        <v>64</v>
      </c>
      <c r="O2604" s="10">
        <v>61</v>
      </c>
    </row>
    <row r="2605" spans="1:15" x14ac:dyDescent="0.2">
      <c r="A2605" s="10" t="s">
        <v>1052</v>
      </c>
      <c r="B2605" s="10" t="s">
        <v>289</v>
      </c>
      <c r="C2605" s="10" t="s">
        <v>50</v>
      </c>
      <c r="D2605" s="10" t="s">
        <v>51</v>
      </c>
      <c r="E2605" s="10" t="s">
        <v>52</v>
      </c>
      <c r="F2605" s="10" t="s">
        <v>1321</v>
      </c>
      <c r="G2605" s="10" t="b">
        <f>FALSE()</f>
        <v>0</v>
      </c>
      <c r="H2605" s="10">
        <v>0</v>
      </c>
      <c r="I2605" s="10">
        <v>1</v>
      </c>
      <c r="J2605" s="10">
        <v>0</v>
      </c>
      <c r="K2605" s="10">
        <v>0</v>
      </c>
      <c r="L2605" s="10">
        <v>0</v>
      </c>
      <c r="M2605" s="10">
        <v>1</v>
      </c>
      <c r="N2605" s="10">
        <v>62</v>
      </c>
      <c r="O2605" s="10">
        <v>61</v>
      </c>
    </row>
    <row r="2606" spans="1:15" x14ac:dyDescent="0.2">
      <c r="A2606" s="10" t="s">
        <v>1308</v>
      </c>
      <c r="B2606" s="10" t="s">
        <v>89</v>
      </c>
      <c r="C2606" s="10" t="s">
        <v>90</v>
      </c>
      <c r="D2606" s="10" t="s">
        <v>51</v>
      </c>
      <c r="E2606" s="10" t="s">
        <v>52</v>
      </c>
      <c r="F2606" s="10" t="s">
        <v>113</v>
      </c>
      <c r="G2606" s="10" t="b">
        <f>TRUE()</f>
        <v>1</v>
      </c>
      <c r="H2606" s="10">
        <v>0</v>
      </c>
      <c r="I2606" s="10">
        <v>1</v>
      </c>
      <c r="J2606" s="10">
        <v>0</v>
      </c>
      <c r="K2606" s="10">
        <v>0</v>
      </c>
      <c r="L2606" s="10">
        <v>0</v>
      </c>
      <c r="M2606" s="10">
        <v>1</v>
      </c>
      <c r="N2606" s="10">
        <v>68</v>
      </c>
      <c r="O2606" s="10">
        <v>61</v>
      </c>
    </row>
    <row r="2607" spans="1:15" x14ac:dyDescent="0.2">
      <c r="A2607" s="10" t="s">
        <v>304</v>
      </c>
      <c r="B2607" s="10" t="s">
        <v>43</v>
      </c>
      <c r="C2607" s="10" t="s">
        <v>44</v>
      </c>
      <c r="D2607" s="10" t="s">
        <v>45</v>
      </c>
      <c r="E2607" s="10" t="s">
        <v>46</v>
      </c>
      <c r="F2607" s="10" t="s">
        <v>180</v>
      </c>
      <c r="G2607" s="10" t="b">
        <f>FALSE()</f>
        <v>0</v>
      </c>
      <c r="H2607" s="10">
        <v>0</v>
      </c>
      <c r="I2607" s="10">
        <v>1</v>
      </c>
      <c r="J2607" s="10">
        <v>0</v>
      </c>
      <c r="K2607" s="10">
        <v>0</v>
      </c>
      <c r="L2607" s="10">
        <v>0</v>
      </c>
      <c r="M2607" s="10">
        <v>1</v>
      </c>
      <c r="N2607" s="10">
        <v>60</v>
      </c>
      <c r="O2607" s="10">
        <v>60</v>
      </c>
    </row>
    <row r="2608" spans="1:15" x14ac:dyDescent="0.2">
      <c r="A2608" s="10" t="s">
        <v>263</v>
      </c>
      <c r="B2608" s="10" t="s">
        <v>67</v>
      </c>
      <c r="C2608" s="10" t="s">
        <v>64</v>
      </c>
      <c r="D2608" s="10" t="s">
        <v>45</v>
      </c>
      <c r="E2608" s="10" t="s">
        <v>46</v>
      </c>
      <c r="F2608" s="10" t="s">
        <v>749</v>
      </c>
      <c r="G2608" s="10" t="b">
        <f>TRUE()</f>
        <v>1</v>
      </c>
      <c r="H2608" s="10">
        <v>0</v>
      </c>
      <c r="I2608" s="10">
        <v>1</v>
      </c>
      <c r="J2608" s="10">
        <v>0</v>
      </c>
      <c r="K2608" s="10">
        <v>0</v>
      </c>
      <c r="L2608" s="10">
        <v>0</v>
      </c>
      <c r="M2608" s="10">
        <v>1</v>
      </c>
      <c r="N2608" s="10">
        <v>60</v>
      </c>
      <c r="O2608" s="10">
        <v>60</v>
      </c>
    </row>
    <row r="2609" spans="1:15" x14ac:dyDescent="0.2">
      <c r="A2609" s="10" t="s">
        <v>544</v>
      </c>
      <c r="B2609" s="10" t="s">
        <v>60</v>
      </c>
      <c r="C2609" s="10" t="s">
        <v>50</v>
      </c>
      <c r="D2609" s="10" t="s">
        <v>51</v>
      </c>
      <c r="E2609" s="10" t="s">
        <v>52</v>
      </c>
      <c r="F2609" s="10" t="s">
        <v>91</v>
      </c>
      <c r="G2609" s="10" t="b">
        <f>TRUE()</f>
        <v>1</v>
      </c>
      <c r="H2609" s="10">
        <v>0</v>
      </c>
      <c r="I2609" s="10">
        <v>1</v>
      </c>
      <c r="J2609" s="10">
        <v>0</v>
      </c>
      <c r="K2609" s="10">
        <v>0</v>
      </c>
      <c r="L2609" s="10">
        <v>0</v>
      </c>
      <c r="M2609" s="10">
        <v>1</v>
      </c>
      <c r="N2609" s="10">
        <v>61</v>
      </c>
      <c r="O2609" s="10">
        <v>60</v>
      </c>
    </row>
    <row r="2610" spans="1:15" x14ac:dyDescent="0.2">
      <c r="A2610" s="10" t="s">
        <v>1252</v>
      </c>
      <c r="B2610" s="10" t="s">
        <v>405</v>
      </c>
      <c r="C2610" s="10" t="s">
        <v>117</v>
      </c>
      <c r="D2610" s="10" t="s">
        <v>51</v>
      </c>
      <c r="E2610" s="10" t="s">
        <v>52</v>
      </c>
      <c r="F2610" s="10" t="s">
        <v>74</v>
      </c>
      <c r="G2610" s="10" t="b">
        <f>FALSE()</f>
        <v>0</v>
      </c>
      <c r="H2610" s="10">
        <v>0</v>
      </c>
      <c r="I2610" s="10">
        <v>1</v>
      </c>
      <c r="J2610" s="10">
        <v>0</v>
      </c>
      <c r="K2610" s="10">
        <v>0</v>
      </c>
      <c r="L2610" s="10">
        <v>0</v>
      </c>
      <c r="M2610" s="10">
        <v>1</v>
      </c>
      <c r="N2610" s="10">
        <v>61</v>
      </c>
      <c r="O2610" s="10">
        <v>60</v>
      </c>
    </row>
    <row r="2611" spans="1:15" x14ac:dyDescent="0.2">
      <c r="A2611" s="10" t="s">
        <v>1214</v>
      </c>
      <c r="B2611" s="10" t="s">
        <v>165</v>
      </c>
      <c r="C2611" s="10" t="s">
        <v>112</v>
      </c>
      <c r="D2611" s="10" t="s">
        <v>51</v>
      </c>
      <c r="E2611" s="10" t="s">
        <v>52</v>
      </c>
      <c r="F2611" s="10" t="s">
        <v>75</v>
      </c>
      <c r="G2611" s="10" t="b">
        <f>FALSE()</f>
        <v>0</v>
      </c>
      <c r="H2611" s="10">
        <v>0</v>
      </c>
      <c r="I2611" s="10">
        <v>1</v>
      </c>
      <c r="J2611" s="10">
        <v>0</v>
      </c>
      <c r="K2611" s="10">
        <v>0</v>
      </c>
      <c r="L2611" s="10">
        <v>0</v>
      </c>
      <c r="M2611" s="10">
        <v>1</v>
      </c>
      <c r="N2611" s="10">
        <v>60</v>
      </c>
      <c r="O2611" s="10">
        <v>60</v>
      </c>
    </row>
    <row r="2612" spans="1:15" x14ac:dyDescent="0.2">
      <c r="A2612" s="10" t="s">
        <v>1322</v>
      </c>
      <c r="B2612" s="10" t="s">
        <v>312</v>
      </c>
      <c r="C2612" s="10" t="s">
        <v>50</v>
      </c>
      <c r="D2612" s="10" t="s">
        <v>51</v>
      </c>
      <c r="E2612" s="10" t="s">
        <v>52</v>
      </c>
      <c r="F2612" s="10" t="s">
        <v>61</v>
      </c>
      <c r="G2612" s="10" t="b">
        <f>FALSE()</f>
        <v>0</v>
      </c>
      <c r="H2612" s="10">
        <v>0</v>
      </c>
      <c r="I2612" s="10">
        <v>1</v>
      </c>
      <c r="J2612" s="10">
        <v>0</v>
      </c>
      <c r="K2612" s="10">
        <v>0</v>
      </c>
      <c r="L2612" s="10">
        <v>0</v>
      </c>
      <c r="M2612" s="10">
        <v>1</v>
      </c>
      <c r="N2612" s="10">
        <v>60</v>
      </c>
      <c r="O2612" s="10">
        <v>60</v>
      </c>
    </row>
    <row r="2613" spans="1:15" x14ac:dyDescent="0.2">
      <c r="A2613" s="10" t="s">
        <v>1191</v>
      </c>
      <c r="B2613" s="10" t="s">
        <v>384</v>
      </c>
      <c r="C2613" s="10" t="s">
        <v>50</v>
      </c>
      <c r="D2613" s="10" t="s">
        <v>51</v>
      </c>
      <c r="E2613" s="10" t="s">
        <v>52</v>
      </c>
      <c r="F2613" s="10" t="s">
        <v>107</v>
      </c>
      <c r="G2613" s="10" t="b">
        <f>FALSE()</f>
        <v>0</v>
      </c>
      <c r="H2613" s="10">
        <v>0</v>
      </c>
      <c r="I2613" s="10">
        <v>1</v>
      </c>
      <c r="J2613" s="10">
        <v>0</v>
      </c>
      <c r="K2613" s="10">
        <v>0</v>
      </c>
      <c r="L2613" s="10">
        <v>0</v>
      </c>
      <c r="M2613" s="10">
        <v>1</v>
      </c>
      <c r="N2613" s="10">
        <v>60</v>
      </c>
      <c r="O2613" s="10">
        <v>60</v>
      </c>
    </row>
    <row r="2614" spans="1:15" x14ac:dyDescent="0.2">
      <c r="A2614" s="10" t="s">
        <v>1256</v>
      </c>
      <c r="B2614" s="10" t="s">
        <v>335</v>
      </c>
      <c r="C2614" s="10" t="s">
        <v>50</v>
      </c>
      <c r="D2614" s="10" t="s">
        <v>51</v>
      </c>
      <c r="E2614" s="10" t="s">
        <v>52</v>
      </c>
      <c r="F2614" s="10" t="s">
        <v>61</v>
      </c>
      <c r="G2614" s="10" t="b">
        <f>FALSE()</f>
        <v>0</v>
      </c>
      <c r="H2614" s="10">
        <v>0</v>
      </c>
      <c r="I2614" s="10">
        <v>1</v>
      </c>
      <c r="J2614" s="10">
        <v>0</v>
      </c>
      <c r="K2614" s="10">
        <v>0</v>
      </c>
      <c r="L2614" s="10">
        <v>0</v>
      </c>
      <c r="M2614" s="10">
        <v>1</v>
      </c>
      <c r="N2614" s="10">
        <v>60</v>
      </c>
      <c r="O2614" s="10">
        <v>60</v>
      </c>
    </row>
    <row r="2615" spans="1:15" x14ac:dyDescent="0.2">
      <c r="A2615" s="10" t="s">
        <v>1068</v>
      </c>
      <c r="B2615" s="10" t="s">
        <v>238</v>
      </c>
      <c r="C2615" s="10" t="s">
        <v>90</v>
      </c>
      <c r="D2615" s="10" t="s">
        <v>51</v>
      </c>
      <c r="E2615" s="10" t="s">
        <v>52</v>
      </c>
      <c r="F2615" s="10" t="s">
        <v>363</v>
      </c>
      <c r="G2615" s="10" t="b">
        <f>FALSE()</f>
        <v>0</v>
      </c>
      <c r="H2615" s="10">
        <v>0</v>
      </c>
      <c r="I2615" s="10">
        <v>1</v>
      </c>
      <c r="J2615" s="10">
        <v>0</v>
      </c>
      <c r="K2615" s="10">
        <v>0</v>
      </c>
      <c r="L2615" s="10">
        <v>0</v>
      </c>
      <c r="M2615" s="10">
        <v>1</v>
      </c>
      <c r="N2615" s="10">
        <v>70</v>
      </c>
      <c r="O2615" s="10">
        <v>60</v>
      </c>
    </row>
    <row r="2616" spans="1:15" x14ac:dyDescent="0.2">
      <c r="A2616" s="10" t="s">
        <v>1323</v>
      </c>
      <c r="B2616" s="10" t="s">
        <v>260</v>
      </c>
      <c r="C2616" s="10" t="s">
        <v>64</v>
      </c>
      <c r="D2616" s="10" t="s">
        <v>45</v>
      </c>
      <c r="E2616" s="10" t="s">
        <v>46</v>
      </c>
      <c r="F2616" s="10" t="s">
        <v>61</v>
      </c>
      <c r="G2616" s="10" t="b">
        <f>FALSE()</f>
        <v>0</v>
      </c>
      <c r="H2616" s="10">
        <v>0</v>
      </c>
      <c r="I2616" s="10">
        <v>1</v>
      </c>
      <c r="J2616" s="10">
        <v>0</v>
      </c>
      <c r="K2616" s="10">
        <v>0</v>
      </c>
      <c r="L2616" s="10">
        <v>0</v>
      </c>
      <c r="M2616" s="10">
        <v>1</v>
      </c>
      <c r="N2616" s="10">
        <v>60</v>
      </c>
      <c r="O2616" s="10">
        <v>60</v>
      </c>
    </row>
    <row r="2617" spans="1:15" x14ac:dyDescent="0.2">
      <c r="A2617" s="10" t="s">
        <v>1151</v>
      </c>
      <c r="B2617" s="10" t="s">
        <v>70</v>
      </c>
      <c r="C2617" s="10" t="s">
        <v>70</v>
      </c>
      <c r="D2617" s="10" t="s">
        <v>45</v>
      </c>
      <c r="E2617" s="10" t="s">
        <v>46</v>
      </c>
      <c r="F2617" s="10" t="s">
        <v>94</v>
      </c>
      <c r="G2617" s="10" t="b">
        <f>FALSE()</f>
        <v>0</v>
      </c>
      <c r="H2617" s="10">
        <v>0</v>
      </c>
      <c r="I2617" s="10">
        <v>1</v>
      </c>
      <c r="J2617" s="10">
        <v>0</v>
      </c>
      <c r="K2617" s="10">
        <v>0</v>
      </c>
      <c r="L2617" s="10">
        <v>0</v>
      </c>
      <c r="M2617" s="10">
        <v>1</v>
      </c>
      <c r="N2617" s="10">
        <v>60</v>
      </c>
      <c r="O2617" s="10">
        <v>60</v>
      </c>
    </row>
    <row r="2618" spans="1:15" x14ac:dyDescent="0.2">
      <c r="A2618" s="10" t="s">
        <v>933</v>
      </c>
      <c r="B2618" s="10" t="s">
        <v>146</v>
      </c>
      <c r="C2618" s="10" t="s">
        <v>105</v>
      </c>
      <c r="D2618" s="10" t="s">
        <v>45</v>
      </c>
      <c r="E2618" s="10" t="s">
        <v>46</v>
      </c>
      <c r="F2618" s="10" t="s">
        <v>61</v>
      </c>
      <c r="G2618" s="10" t="b">
        <f>FALSE()</f>
        <v>0</v>
      </c>
      <c r="H2618" s="10">
        <v>1</v>
      </c>
      <c r="I2618" s="10">
        <v>1</v>
      </c>
      <c r="J2618" s="10">
        <v>1</v>
      </c>
      <c r="K2618" s="10">
        <v>15</v>
      </c>
      <c r="L2618" s="10">
        <v>0</v>
      </c>
      <c r="M2618" s="10">
        <v>1</v>
      </c>
      <c r="N2618" s="10">
        <v>59</v>
      </c>
      <c r="O2618" s="10">
        <v>59</v>
      </c>
    </row>
    <row r="2619" spans="1:15" x14ac:dyDescent="0.2">
      <c r="A2619" s="10" t="s">
        <v>901</v>
      </c>
      <c r="B2619" s="10" t="s">
        <v>902</v>
      </c>
      <c r="C2619" s="10" t="s">
        <v>50</v>
      </c>
      <c r="D2619" s="10" t="s">
        <v>51</v>
      </c>
      <c r="E2619" s="10" t="s">
        <v>52</v>
      </c>
      <c r="F2619" s="10" t="s">
        <v>190</v>
      </c>
      <c r="G2619" s="10" t="b">
        <f>TRUE()</f>
        <v>1</v>
      </c>
      <c r="H2619" s="10">
        <v>0</v>
      </c>
      <c r="I2619" s="10">
        <v>1</v>
      </c>
      <c r="J2619" s="10">
        <v>0</v>
      </c>
      <c r="K2619" s="10">
        <v>0</v>
      </c>
      <c r="L2619" s="10">
        <v>0</v>
      </c>
      <c r="M2619" s="10">
        <v>1</v>
      </c>
      <c r="N2619" s="10">
        <v>59</v>
      </c>
      <c r="O2619" s="10">
        <v>59</v>
      </c>
    </row>
    <row r="2620" spans="1:15" x14ac:dyDescent="0.2">
      <c r="A2620" s="10" t="s">
        <v>865</v>
      </c>
      <c r="B2620" s="10" t="s">
        <v>493</v>
      </c>
      <c r="C2620" s="10" t="s">
        <v>117</v>
      </c>
      <c r="D2620" s="10" t="s">
        <v>51</v>
      </c>
      <c r="E2620" s="10" t="s">
        <v>52</v>
      </c>
      <c r="F2620" s="10" t="s">
        <v>506</v>
      </c>
      <c r="G2620" s="10" t="b">
        <f>TRUE()</f>
        <v>1</v>
      </c>
      <c r="H2620" s="10">
        <v>0</v>
      </c>
      <c r="I2620" s="10">
        <v>1</v>
      </c>
      <c r="J2620" s="10">
        <v>0</v>
      </c>
      <c r="K2620" s="10">
        <v>0</v>
      </c>
      <c r="L2620" s="10">
        <v>0</v>
      </c>
      <c r="M2620" s="10">
        <v>1</v>
      </c>
      <c r="N2620" s="10">
        <v>66</v>
      </c>
      <c r="O2620" s="10">
        <v>59</v>
      </c>
    </row>
    <row r="2621" spans="1:15" x14ac:dyDescent="0.2">
      <c r="A2621" s="10" t="s">
        <v>1324</v>
      </c>
      <c r="B2621" s="10" t="s">
        <v>419</v>
      </c>
      <c r="C2621" s="10" t="s">
        <v>50</v>
      </c>
      <c r="D2621" s="10" t="s">
        <v>51</v>
      </c>
      <c r="E2621" s="10" t="s">
        <v>52</v>
      </c>
      <c r="F2621" s="10" t="s">
        <v>552</v>
      </c>
      <c r="G2621" s="10" t="b">
        <f>FALSE()</f>
        <v>0</v>
      </c>
      <c r="H2621" s="10">
        <v>0</v>
      </c>
      <c r="I2621" s="10">
        <v>1</v>
      </c>
      <c r="J2621" s="10">
        <v>0</v>
      </c>
      <c r="K2621" s="10">
        <v>0</v>
      </c>
      <c r="L2621" s="10">
        <v>0</v>
      </c>
      <c r="M2621" s="10">
        <v>1</v>
      </c>
      <c r="N2621" s="10">
        <v>50</v>
      </c>
      <c r="O2621" s="10">
        <v>59</v>
      </c>
    </row>
    <row r="2622" spans="1:15" x14ac:dyDescent="0.2">
      <c r="A2622" s="10" t="s">
        <v>1052</v>
      </c>
      <c r="B2622" s="10" t="s">
        <v>289</v>
      </c>
      <c r="C2622" s="10" t="s">
        <v>50</v>
      </c>
      <c r="D2622" s="10" t="s">
        <v>51</v>
      </c>
      <c r="E2622" s="10" t="s">
        <v>52</v>
      </c>
      <c r="F2622" s="10" t="s">
        <v>1233</v>
      </c>
      <c r="G2622" s="10" t="b">
        <f>FALSE()</f>
        <v>0</v>
      </c>
      <c r="H2622" s="10">
        <v>0</v>
      </c>
      <c r="I2622" s="10">
        <v>1</v>
      </c>
      <c r="J2622" s="10">
        <v>0</v>
      </c>
      <c r="K2622" s="10">
        <v>0</v>
      </c>
      <c r="L2622" s="10">
        <v>0</v>
      </c>
      <c r="M2622" s="10">
        <v>1</v>
      </c>
      <c r="N2622" s="10">
        <v>59</v>
      </c>
      <c r="O2622" s="10">
        <v>59</v>
      </c>
    </row>
    <row r="2623" spans="1:15" x14ac:dyDescent="0.2">
      <c r="A2623" s="10" t="s">
        <v>1284</v>
      </c>
      <c r="B2623" s="10" t="s">
        <v>456</v>
      </c>
      <c r="C2623" s="10" t="s">
        <v>245</v>
      </c>
      <c r="D2623" s="10" t="s">
        <v>51</v>
      </c>
      <c r="E2623" s="10" t="s">
        <v>52</v>
      </c>
      <c r="F2623" s="10" t="s">
        <v>153</v>
      </c>
      <c r="G2623" s="10" t="b">
        <f>FALSE()</f>
        <v>0</v>
      </c>
      <c r="H2623" s="10">
        <v>0</v>
      </c>
      <c r="I2623" s="10">
        <v>1</v>
      </c>
      <c r="J2623" s="10">
        <v>0</v>
      </c>
      <c r="K2623" s="10">
        <v>0</v>
      </c>
      <c r="L2623" s="10">
        <v>0</v>
      </c>
      <c r="M2623" s="10">
        <v>1</v>
      </c>
      <c r="N2623" s="10">
        <v>59</v>
      </c>
      <c r="O2623" s="10">
        <v>59</v>
      </c>
    </row>
    <row r="2624" spans="1:15" x14ac:dyDescent="0.2">
      <c r="A2624" s="10" t="s">
        <v>1287</v>
      </c>
      <c r="B2624" s="10" t="s">
        <v>218</v>
      </c>
      <c r="C2624" s="10" t="s">
        <v>73</v>
      </c>
      <c r="D2624" s="10" t="s">
        <v>45</v>
      </c>
      <c r="E2624" s="10" t="s">
        <v>46</v>
      </c>
      <c r="F2624" s="10" t="s">
        <v>223</v>
      </c>
      <c r="G2624" s="10" t="b">
        <f>FALSE()</f>
        <v>0</v>
      </c>
      <c r="H2624" s="10">
        <v>0</v>
      </c>
      <c r="I2624" s="10">
        <v>1</v>
      </c>
      <c r="J2624" s="10">
        <v>0</v>
      </c>
      <c r="K2624" s="10">
        <v>0</v>
      </c>
      <c r="L2624" s="10">
        <v>0</v>
      </c>
      <c r="M2624" s="10">
        <v>1</v>
      </c>
      <c r="N2624" s="10">
        <v>59</v>
      </c>
      <c r="O2624" s="10">
        <v>59</v>
      </c>
    </row>
    <row r="2625" spans="1:15" x14ac:dyDescent="0.2">
      <c r="A2625" s="10" t="s">
        <v>1286</v>
      </c>
      <c r="B2625" s="10" t="s">
        <v>111</v>
      </c>
      <c r="C2625" s="10" t="s">
        <v>112</v>
      </c>
      <c r="D2625" s="10" t="s">
        <v>51</v>
      </c>
      <c r="E2625" s="10" t="s">
        <v>52</v>
      </c>
      <c r="F2625" s="10" t="s">
        <v>113</v>
      </c>
      <c r="G2625" s="10" t="b">
        <f>TRUE()</f>
        <v>1</v>
      </c>
      <c r="H2625" s="10">
        <v>0</v>
      </c>
      <c r="I2625" s="10">
        <v>1</v>
      </c>
      <c r="J2625" s="10">
        <v>0</v>
      </c>
      <c r="K2625" s="10">
        <v>0</v>
      </c>
      <c r="L2625" s="10">
        <v>0</v>
      </c>
      <c r="M2625" s="10">
        <v>1</v>
      </c>
      <c r="N2625" s="10">
        <v>59</v>
      </c>
      <c r="O2625" s="10">
        <v>58</v>
      </c>
    </row>
    <row r="2626" spans="1:15" x14ac:dyDescent="0.2">
      <c r="A2626" s="10" t="s">
        <v>1047</v>
      </c>
      <c r="B2626" s="10" t="s">
        <v>96</v>
      </c>
      <c r="C2626" s="10" t="s">
        <v>50</v>
      </c>
      <c r="D2626" s="10" t="s">
        <v>51</v>
      </c>
      <c r="E2626" s="10" t="s">
        <v>52</v>
      </c>
      <c r="F2626" s="10" t="s">
        <v>1306</v>
      </c>
      <c r="G2626" s="10" t="b">
        <f>FALSE()</f>
        <v>0</v>
      </c>
      <c r="H2626" s="10">
        <v>0</v>
      </c>
      <c r="I2626" s="10">
        <v>1</v>
      </c>
      <c r="J2626" s="10">
        <v>0</v>
      </c>
      <c r="K2626" s="10">
        <v>0</v>
      </c>
      <c r="L2626" s="10">
        <v>0</v>
      </c>
      <c r="M2626" s="10">
        <v>1</v>
      </c>
      <c r="N2626" s="10">
        <v>35</v>
      </c>
      <c r="O2626" s="10">
        <v>58</v>
      </c>
    </row>
    <row r="2627" spans="1:15" x14ac:dyDescent="0.2">
      <c r="A2627" s="10" t="s">
        <v>1256</v>
      </c>
      <c r="B2627" s="10" t="s">
        <v>335</v>
      </c>
      <c r="C2627" s="10" t="s">
        <v>50</v>
      </c>
      <c r="D2627" s="10" t="s">
        <v>51</v>
      </c>
      <c r="E2627" s="10" t="s">
        <v>52</v>
      </c>
      <c r="F2627" s="10" t="s">
        <v>475</v>
      </c>
      <c r="G2627" s="10" t="b">
        <f>FALSE()</f>
        <v>0</v>
      </c>
      <c r="H2627" s="10">
        <v>0</v>
      </c>
      <c r="I2627" s="10">
        <v>1</v>
      </c>
      <c r="J2627" s="10">
        <v>0</v>
      </c>
      <c r="K2627" s="10">
        <v>0</v>
      </c>
      <c r="L2627" s="10">
        <v>0</v>
      </c>
      <c r="M2627" s="10">
        <v>1</v>
      </c>
      <c r="N2627" s="10">
        <v>56</v>
      </c>
      <c r="O2627" s="10">
        <v>58</v>
      </c>
    </row>
    <row r="2628" spans="1:15" x14ac:dyDescent="0.2">
      <c r="A2628" s="10" t="s">
        <v>1088</v>
      </c>
      <c r="B2628" s="10" t="s">
        <v>517</v>
      </c>
      <c r="C2628" s="10" t="s">
        <v>90</v>
      </c>
      <c r="D2628" s="10" t="s">
        <v>51</v>
      </c>
      <c r="E2628" s="10" t="s">
        <v>52</v>
      </c>
      <c r="F2628" s="10" t="s">
        <v>183</v>
      </c>
      <c r="G2628" s="10" t="b">
        <f>FALSE()</f>
        <v>0</v>
      </c>
      <c r="H2628" s="10">
        <v>0</v>
      </c>
      <c r="I2628" s="10">
        <v>1</v>
      </c>
      <c r="J2628" s="10">
        <v>0</v>
      </c>
      <c r="K2628" s="10">
        <v>0</v>
      </c>
      <c r="L2628" s="10">
        <v>0</v>
      </c>
      <c r="M2628" s="10">
        <v>1</v>
      </c>
      <c r="N2628" s="10">
        <v>71</v>
      </c>
      <c r="O2628" s="10">
        <v>58</v>
      </c>
    </row>
    <row r="2629" spans="1:15" x14ac:dyDescent="0.2">
      <c r="A2629" s="10" t="s">
        <v>1059</v>
      </c>
      <c r="B2629" s="10" t="s">
        <v>109</v>
      </c>
      <c r="C2629" s="10" t="s">
        <v>90</v>
      </c>
      <c r="D2629" s="10" t="s">
        <v>51</v>
      </c>
      <c r="E2629" s="10" t="s">
        <v>52</v>
      </c>
      <c r="F2629" s="10" t="s">
        <v>183</v>
      </c>
      <c r="G2629" s="10" t="b">
        <f>FALSE()</f>
        <v>0</v>
      </c>
      <c r="H2629" s="10">
        <v>0</v>
      </c>
      <c r="I2629" s="10">
        <v>1</v>
      </c>
      <c r="J2629" s="10">
        <v>0</v>
      </c>
      <c r="K2629" s="10">
        <v>0</v>
      </c>
      <c r="L2629" s="10">
        <v>0</v>
      </c>
      <c r="M2629" s="10">
        <v>1</v>
      </c>
      <c r="N2629" s="10">
        <v>73</v>
      </c>
      <c r="O2629" s="10">
        <v>58</v>
      </c>
    </row>
    <row r="2630" spans="1:15" x14ac:dyDescent="0.2">
      <c r="A2630" s="10" t="s">
        <v>1170</v>
      </c>
      <c r="B2630" s="10" t="s">
        <v>146</v>
      </c>
      <c r="C2630" s="10" t="s">
        <v>105</v>
      </c>
      <c r="D2630" s="10" t="s">
        <v>45</v>
      </c>
      <c r="E2630" s="10" t="s">
        <v>46</v>
      </c>
      <c r="F2630" s="10" t="s">
        <v>660</v>
      </c>
      <c r="G2630" s="10" t="b">
        <f>FALSE()</f>
        <v>0</v>
      </c>
      <c r="H2630" s="10">
        <v>0</v>
      </c>
      <c r="I2630" s="10">
        <v>1</v>
      </c>
      <c r="J2630" s="10">
        <v>0</v>
      </c>
      <c r="K2630" s="10">
        <v>0</v>
      </c>
      <c r="L2630" s="10">
        <v>0</v>
      </c>
      <c r="M2630" s="10">
        <v>1</v>
      </c>
      <c r="N2630" s="10">
        <v>58</v>
      </c>
      <c r="O2630" s="10">
        <v>58</v>
      </c>
    </row>
    <row r="2631" spans="1:15" x14ac:dyDescent="0.2">
      <c r="A2631" s="10" t="s">
        <v>307</v>
      </c>
      <c r="B2631" s="10" t="s">
        <v>70</v>
      </c>
      <c r="C2631" s="10" t="s">
        <v>70</v>
      </c>
      <c r="D2631" s="10" t="s">
        <v>45</v>
      </c>
      <c r="E2631" s="10" t="s">
        <v>46</v>
      </c>
      <c r="F2631" s="10" t="s">
        <v>153</v>
      </c>
      <c r="G2631" s="10" t="b">
        <f>FALSE()</f>
        <v>0</v>
      </c>
      <c r="H2631" s="10">
        <v>0</v>
      </c>
      <c r="I2631" s="10">
        <v>1</v>
      </c>
      <c r="J2631" s="10">
        <v>0</v>
      </c>
      <c r="K2631" s="10">
        <v>0</v>
      </c>
      <c r="L2631" s="10">
        <v>0</v>
      </c>
      <c r="M2631" s="10">
        <v>1</v>
      </c>
      <c r="N2631" s="10">
        <v>58</v>
      </c>
      <c r="O2631" s="10">
        <v>58</v>
      </c>
    </row>
    <row r="2632" spans="1:15" x14ac:dyDescent="0.2">
      <c r="A2632" s="10" t="s">
        <v>901</v>
      </c>
      <c r="B2632" s="10" t="s">
        <v>902</v>
      </c>
      <c r="C2632" s="10" t="s">
        <v>50</v>
      </c>
      <c r="D2632" s="10" t="s">
        <v>51</v>
      </c>
      <c r="E2632" s="10" t="s">
        <v>52</v>
      </c>
      <c r="F2632" s="10" t="s">
        <v>92</v>
      </c>
      <c r="G2632" s="10" t="b">
        <f>FALSE()</f>
        <v>0</v>
      </c>
      <c r="H2632" s="10">
        <v>0</v>
      </c>
      <c r="I2632" s="10">
        <v>1</v>
      </c>
      <c r="J2632" s="10">
        <v>0</v>
      </c>
      <c r="K2632" s="10">
        <v>0</v>
      </c>
      <c r="L2632" s="10">
        <v>0</v>
      </c>
      <c r="M2632" s="10">
        <v>1</v>
      </c>
      <c r="N2632" s="10">
        <v>57</v>
      </c>
      <c r="O2632" s="10">
        <v>57</v>
      </c>
    </row>
    <row r="2633" spans="1:15" x14ac:dyDescent="0.2">
      <c r="A2633" s="10" t="s">
        <v>1128</v>
      </c>
      <c r="B2633" s="10" t="s">
        <v>549</v>
      </c>
      <c r="C2633" s="10" t="s">
        <v>117</v>
      </c>
      <c r="D2633" s="10" t="s">
        <v>51</v>
      </c>
      <c r="E2633" s="10" t="s">
        <v>52</v>
      </c>
      <c r="F2633" s="10" t="s">
        <v>444</v>
      </c>
      <c r="G2633" s="10" t="b">
        <f>TRUE()</f>
        <v>1</v>
      </c>
      <c r="H2633" s="10">
        <v>0</v>
      </c>
      <c r="I2633" s="10">
        <v>1</v>
      </c>
      <c r="J2633" s="10">
        <v>0</v>
      </c>
      <c r="K2633" s="10">
        <v>0</v>
      </c>
      <c r="L2633" s="10">
        <v>0</v>
      </c>
      <c r="M2633" s="10">
        <v>1</v>
      </c>
      <c r="N2633" s="10">
        <v>57</v>
      </c>
      <c r="O2633" s="10">
        <v>57</v>
      </c>
    </row>
    <row r="2634" spans="1:15" x14ac:dyDescent="0.2">
      <c r="A2634" s="10" t="s">
        <v>1174</v>
      </c>
      <c r="B2634" s="10" t="s">
        <v>633</v>
      </c>
      <c r="C2634" s="10" t="s">
        <v>90</v>
      </c>
      <c r="D2634" s="10" t="s">
        <v>51</v>
      </c>
      <c r="E2634" s="10" t="s">
        <v>52</v>
      </c>
      <c r="F2634" s="10" t="s">
        <v>113</v>
      </c>
      <c r="G2634" s="10" t="b">
        <f>TRUE()</f>
        <v>1</v>
      </c>
      <c r="H2634" s="10">
        <v>0</v>
      </c>
      <c r="I2634" s="10">
        <v>1</v>
      </c>
      <c r="J2634" s="10">
        <v>0</v>
      </c>
      <c r="K2634" s="10">
        <v>0</v>
      </c>
      <c r="L2634" s="10">
        <v>0</v>
      </c>
      <c r="M2634" s="10">
        <v>1</v>
      </c>
      <c r="N2634" s="10">
        <v>57</v>
      </c>
      <c r="O2634" s="10">
        <v>57</v>
      </c>
    </row>
    <row r="2635" spans="1:15" x14ac:dyDescent="0.2">
      <c r="A2635" s="10" t="s">
        <v>1277</v>
      </c>
      <c r="B2635" s="10" t="s">
        <v>163</v>
      </c>
      <c r="C2635" s="10" t="s">
        <v>90</v>
      </c>
      <c r="D2635" s="10" t="s">
        <v>51</v>
      </c>
      <c r="E2635" s="10" t="s">
        <v>52</v>
      </c>
      <c r="F2635" s="10" t="s">
        <v>113</v>
      </c>
      <c r="G2635" s="10" t="b">
        <f>TRUE()</f>
        <v>1</v>
      </c>
      <c r="H2635" s="10">
        <v>0</v>
      </c>
      <c r="I2635" s="10">
        <v>1</v>
      </c>
      <c r="J2635" s="10">
        <v>0</v>
      </c>
      <c r="K2635" s="10">
        <v>0</v>
      </c>
      <c r="L2635" s="10">
        <v>0</v>
      </c>
      <c r="M2635" s="10">
        <v>1</v>
      </c>
      <c r="N2635" s="10">
        <v>79</v>
      </c>
      <c r="O2635" s="10">
        <v>57</v>
      </c>
    </row>
    <row r="2636" spans="1:15" x14ac:dyDescent="0.2">
      <c r="A2636" s="10" t="s">
        <v>1270</v>
      </c>
      <c r="B2636" s="10" t="s">
        <v>72</v>
      </c>
      <c r="C2636" s="10" t="s">
        <v>73</v>
      </c>
      <c r="D2636" s="10" t="s">
        <v>45</v>
      </c>
      <c r="E2636" s="10" t="s">
        <v>46</v>
      </c>
      <c r="F2636" s="10" t="s">
        <v>92</v>
      </c>
      <c r="G2636" s="10" t="b">
        <f>FALSE()</f>
        <v>0</v>
      </c>
      <c r="H2636" s="10">
        <v>0</v>
      </c>
      <c r="I2636" s="10">
        <v>1</v>
      </c>
      <c r="J2636" s="10">
        <v>0</v>
      </c>
      <c r="K2636" s="10">
        <v>0</v>
      </c>
      <c r="L2636" s="10">
        <v>0</v>
      </c>
      <c r="M2636" s="10">
        <v>1</v>
      </c>
      <c r="N2636" s="10">
        <v>57</v>
      </c>
      <c r="O2636" s="10">
        <v>57</v>
      </c>
    </row>
    <row r="2637" spans="1:15" x14ac:dyDescent="0.2">
      <c r="A2637" s="10" t="s">
        <v>1129</v>
      </c>
      <c r="B2637" s="10" t="s">
        <v>157</v>
      </c>
      <c r="C2637" s="10" t="s">
        <v>64</v>
      </c>
      <c r="D2637" s="10" t="s">
        <v>45</v>
      </c>
      <c r="E2637" s="10" t="s">
        <v>46</v>
      </c>
      <c r="F2637" s="10" t="s">
        <v>94</v>
      </c>
      <c r="G2637" s="10" t="b">
        <f>FALSE()</f>
        <v>0</v>
      </c>
      <c r="H2637" s="10">
        <v>0</v>
      </c>
      <c r="I2637" s="10">
        <v>1</v>
      </c>
      <c r="J2637" s="10">
        <v>0</v>
      </c>
      <c r="K2637" s="10">
        <v>0</v>
      </c>
      <c r="L2637" s="10">
        <v>0</v>
      </c>
      <c r="M2637" s="10">
        <v>1</v>
      </c>
      <c r="N2637" s="10">
        <v>57</v>
      </c>
      <c r="O2637" s="10">
        <v>57</v>
      </c>
    </row>
    <row r="2638" spans="1:15" x14ac:dyDescent="0.2">
      <c r="A2638" s="10" t="s">
        <v>1132</v>
      </c>
      <c r="B2638" s="10" t="s">
        <v>262</v>
      </c>
      <c r="C2638" s="10" t="s">
        <v>105</v>
      </c>
      <c r="D2638" s="10" t="s">
        <v>45</v>
      </c>
      <c r="E2638" s="10" t="s">
        <v>46</v>
      </c>
      <c r="F2638" s="10" t="s">
        <v>153</v>
      </c>
      <c r="G2638" s="10" t="b">
        <f>FALSE()</f>
        <v>0</v>
      </c>
      <c r="H2638" s="10">
        <v>0</v>
      </c>
      <c r="I2638" s="10">
        <v>1</v>
      </c>
      <c r="J2638" s="10">
        <v>0</v>
      </c>
      <c r="K2638" s="10">
        <v>0</v>
      </c>
      <c r="L2638" s="10">
        <v>0</v>
      </c>
      <c r="M2638" s="10">
        <v>1</v>
      </c>
      <c r="N2638" s="10">
        <v>57</v>
      </c>
      <c r="O2638" s="10">
        <v>57</v>
      </c>
    </row>
    <row r="2639" spans="1:15" x14ac:dyDescent="0.2">
      <c r="A2639" s="10" t="s">
        <v>1262</v>
      </c>
      <c r="B2639" s="10" t="s">
        <v>193</v>
      </c>
      <c r="C2639" s="10" t="s">
        <v>117</v>
      </c>
      <c r="D2639" s="10" t="s">
        <v>51</v>
      </c>
      <c r="E2639" s="10" t="s">
        <v>52</v>
      </c>
      <c r="F2639" s="10" t="s">
        <v>132</v>
      </c>
      <c r="G2639" s="10" t="b">
        <f>FALSE()</f>
        <v>0</v>
      </c>
      <c r="H2639" s="10">
        <v>0</v>
      </c>
      <c r="I2639" s="10">
        <v>1</v>
      </c>
      <c r="J2639" s="10">
        <v>0</v>
      </c>
      <c r="K2639" s="10">
        <v>0</v>
      </c>
      <c r="L2639" s="10">
        <v>0</v>
      </c>
      <c r="M2639" s="10">
        <v>1</v>
      </c>
      <c r="N2639" s="10">
        <v>57</v>
      </c>
      <c r="O2639" s="10">
        <v>56</v>
      </c>
    </row>
    <row r="2640" spans="1:15" x14ac:dyDescent="0.2">
      <c r="A2640" s="10" t="s">
        <v>1108</v>
      </c>
      <c r="B2640" s="10" t="s">
        <v>232</v>
      </c>
      <c r="C2640" s="10" t="s">
        <v>90</v>
      </c>
      <c r="D2640" s="10" t="s">
        <v>51</v>
      </c>
      <c r="E2640" s="10" t="s">
        <v>52</v>
      </c>
      <c r="F2640" s="10" t="s">
        <v>251</v>
      </c>
      <c r="G2640" s="10" t="b">
        <f>FALSE()</f>
        <v>0</v>
      </c>
      <c r="H2640" s="10">
        <v>0</v>
      </c>
      <c r="I2640" s="10">
        <v>1</v>
      </c>
      <c r="J2640" s="10">
        <v>0</v>
      </c>
      <c r="K2640" s="10">
        <v>0</v>
      </c>
      <c r="L2640" s="10">
        <v>0</v>
      </c>
      <c r="M2640" s="10">
        <v>1</v>
      </c>
      <c r="N2640" s="10">
        <v>56</v>
      </c>
      <c r="O2640" s="10">
        <v>56</v>
      </c>
    </row>
    <row r="2641" spans="1:15" x14ac:dyDescent="0.2">
      <c r="A2641" s="10" t="s">
        <v>1097</v>
      </c>
      <c r="B2641" s="10" t="s">
        <v>109</v>
      </c>
      <c r="C2641" s="10" t="s">
        <v>90</v>
      </c>
      <c r="D2641" s="10" t="s">
        <v>51</v>
      </c>
      <c r="E2641" s="10" t="s">
        <v>52</v>
      </c>
      <c r="F2641" s="10" t="s">
        <v>251</v>
      </c>
      <c r="G2641" s="10" t="b">
        <f>FALSE()</f>
        <v>0</v>
      </c>
      <c r="H2641" s="10">
        <v>0</v>
      </c>
      <c r="I2641" s="10">
        <v>1</v>
      </c>
      <c r="J2641" s="10">
        <v>0</v>
      </c>
      <c r="K2641" s="10">
        <v>0</v>
      </c>
      <c r="L2641" s="10">
        <v>0</v>
      </c>
      <c r="M2641" s="10">
        <v>1</v>
      </c>
      <c r="N2641" s="10">
        <v>57</v>
      </c>
      <c r="O2641" s="10">
        <v>56</v>
      </c>
    </row>
    <row r="2642" spans="1:15" x14ac:dyDescent="0.2">
      <c r="A2642" s="10" t="s">
        <v>1258</v>
      </c>
      <c r="B2642" s="10" t="s">
        <v>43</v>
      </c>
      <c r="C2642" s="10" t="s">
        <v>44</v>
      </c>
      <c r="D2642" s="10" t="s">
        <v>45</v>
      </c>
      <c r="E2642" s="10" t="s">
        <v>46</v>
      </c>
      <c r="F2642" s="10" t="s">
        <v>702</v>
      </c>
      <c r="G2642" s="10" t="b">
        <f>FALSE()</f>
        <v>0</v>
      </c>
      <c r="H2642" s="10">
        <v>0</v>
      </c>
      <c r="I2642" s="10">
        <v>1</v>
      </c>
      <c r="J2642" s="10">
        <v>0</v>
      </c>
      <c r="K2642" s="10">
        <v>0</v>
      </c>
      <c r="L2642" s="10">
        <v>0</v>
      </c>
      <c r="M2642" s="10">
        <v>1</v>
      </c>
      <c r="N2642" s="10">
        <v>56</v>
      </c>
      <c r="O2642" s="10">
        <v>56</v>
      </c>
    </row>
    <row r="2643" spans="1:15" x14ac:dyDescent="0.2">
      <c r="A2643" s="10" t="s">
        <v>343</v>
      </c>
      <c r="B2643" s="10" t="s">
        <v>385</v>
      </c>
      <c r="C2643" s="10" t="s">
        <v>90</v>
      </c>
      <c r="D2643" s="10" t="s">
        <v>51</v>
      </c>
      <c r="E2643" s="10" t="s">
        <v>52</v>
      </c>
      <c r="F2643" s="10" t="s">
        <v>183</v>
      </c>
      <c r="G2643" s="10" t="b">
        <f>FALSE()</f>
        <v>0</v>
      </c>
      <c r="H2643" s="10">
        <v>0</v>
      </c>
      <c r="I2643" s="10">
        <v>1</v>
      </c>
      <c r="J2643" s="10">
        <v>0</v>
      </c>
      <c r="K2643" s="10">
        <v>0</v>
      </c>
      <c r="L2643" s="10">
        <v>0</v>
      </c>
      <c r="M2643" s="10">
        <v>1</v>
      </c>
      <c r="N2643" s="10">
        <v>70</v>
      </c>
      <c r="O2643" s="10">
        <v>55</v>
      </c>
    </row>
    <row r="2644" spans="1:15" x14ac:dyDescent="0.2">
      <c r="A2644" s="10" t="s">
        <v>661</v>
      </c>
      <c r="B2644" s="10" t="s">
        <v>72</v>
      </c>
      <c r="C2644" s="10" t="s">
        <v>73</v>
      </c>
      <c r="D2644" s="10" t="s">
        <v>45</v>
      </c>
      <c r="E2644" s="10" t="s">
        <v>46</v>
      </c>
      <c r="F2644" s="10" t="s">
        <v>190</v>
      </c>
      <c r="G2644" s="10" t="b">
        <f>TRUE()</f>
        <v>1</v>
      </c>
      <c r="H2644" s="10">
        <v>0</v>
      </c>
      <c r="I2644" s="10">
        <v>1</v>
      </c>
      <c r="J2644" s="10">
        <v>0</v>
      </c>
      <c r="K2644" s="10">
        <v>0</v>
      </c>
      <c r="L2644" s="10">
        <v>0</v>
      </c>
      <c r="M2644" s="10">
        <v>1</v>
      </c>
      <c r="N2644" s="10">
        <v>55</v>
      </c>
      <c r="O2644" s="10">
        <v>55</v>
      </c>
    </row>
    <row r="2645" spans="1:15" x14ac:dyDescent="0.2">
      <c r="A2645" s="10" t="s">
        <v>177</v>
      </c>
      <c r="B2645" s="10" t="s">
        <v>178</v>
      </c>
      <c r="C2645" s="10" t="s">
        <v>73</v>
      </c>
      <c r="D2645" s="10" t="s">
        <v>45</v>
      </c>
      <c r="E2645" s="10" t="s">
        <v>46</v>
      </c>
      <c r="F2645" s="10" t="s">
        <v>704</v>
      </c>
      <c r="G2645" s="10" t="b">
        <f>FALSE()</f>
        <v>0</v>
      </c>
      <c r="H2645" s="10">
        <v>0</v>
      </c>
      <c r="I2645" s="10">
        <v>1</v>
      </c>
      <c r="J2645" s="10">
        <v>0</v>
      </c>
      <c r="K2645" s="10">
        <v>0</v>
      </c>
      <c r="L2645" s="10">
        <v>0</v>
      </c>
      <c r="M2645" s="10">
        <v>1</v>
      </c>
      <c r="N2645" s="10">
        <v>65</v>
      </c>
      <c r="O2645" s="10">
        <v>55</v>
      </c>
    </row>
    <row r="2646" spans="1:15" x14ac:dyDescent="0.2">
      <c r="A2646" s="10" t="s">
        <v>59</v>
      </c>
      <c r="B2646" s="10" t="s">
        <v>60</v>
      </c>
      <c r="C2646" s="10" t="s">
        <v>50</v>
      </c>
      <c r="D2646" s="10" t="s">
        <v>51</v>
      </c>
      <c r="E2646" s="10" t="s">
        <v>52</v>
      </c>
      <c r="F2646" s="10" t="s">
        <v>251</v>
      </c>
      <c r="G2646" s="10" t="b">
        <f>FALSE()</f>
        <v>0</v>
      </c>
      <c r="H2646" s="10">
        <v>0</v>
      </c>
      <c r="I2646" s="10">
        <v>1</v>
      </c>
      <c r="J2646" s="10">
        <v>0</v>
      </c>
      <c r="K2646" s="10">
        <v>0</v>
      </c>
      <c r="L2646" s="10">
        <v>0</v>
      </c>
      <c r="M2646" s="10">
        <v>1</v>
      </c>
      <c r="N2646" s="10">
        <v>55</v>
      </c>
      <c r="O2646" s="10">
        <v>55</v>
      </c>
    </row>
    <row r="2647" spans="1:15" x14ac:dyDescent="0.2">
      <c r="A2647" s="10" t="s">
        <v>361</v>
      </c>
      <c r="B2647" s="10" t="s">
        <v>122</v>
      </c>
      <c r="C2647" s="10" t="s">
        <v>112</v>
      </c>
      <c r="D2647" s="10" t="s">
        <v>51</v>
      </c>
      <c r="E2647" s="10" t="s">
        <v>52</v>
      </c>
      <c r="F2647" s="10" t="s">
        <v>403</v>
      </c>
      <c r="G2647" s="10" t="b">
        <f>TRUE()</f>
        <v>1</v>
      </c>
      <c r="H2647" s="10">
        <v>0</v>
      </c>
      <c r="I2647" s="10">
        <v>1</v>
      </c>
      <c r="J2647" s="10">
        <v>0</v>
      </c>
      <c r="K2647" s="10">
        <v>0</v>
      </c>
      <c r="L2647" s="10">
        <v>0</v>
      </c>
      <c r="M2647" s="10">
        <v>1</v>
      </c>
      <c r="N2647" s="10">
        <v>55</v>
      </c>
      <c r="O2647" s="10">
        <v>55</v>
      </c>
    </row>
    <row r="2648" spans="1:15" x14ac:dyDescent="0.2">
      <c r="A2648" s="10" t="s">
        <v>1130</v>
      </c>
      <c r="B2648" s="10" t="s">
        <v>193</v>
      </c>
      <c r="C2648" s="10" t="s">
        <v>117</v>
      </c>
      <c r="D2648" s="10" t="s">
        <v>51</v>
      </c>
      <c r="E2648" s="10" t="s">
        <v>52</v>
      </c>
      <c r="F2648" s="10" t="s">
        <v>219</v>
      </c>
      <c r="G2648" s="10" t="b">
        <f>FALSE()</f>
        <v>0</v>
      </c>
      <c r="H2648" s="10">
        <v>0</v>
      </c>
      <c r="I2648" s="10">
        <v>1</v>
      </c>
      <c r="J2648" s="10">
        <v>0</v>
      </c>
      <c r="K2648" s="10">
        <v>0</v>
      </c>
      <c r="L2648" s="10">
        <v>0</v>
      </c>
      <c r="M2648" s="10">
        <v>1</v>
      </c>
      <c r="N2648" s="10">
        <v>58</v>
      </c>
      <c r="O2648" s="10">
        <v>55</v>
      </c>
    </row>
    <row r="2649" spans="1:15" x14ac:dyDescent="0.2">
      <c r="A2649" s="10" t="s">
        <v>1225</v>
      </c>
      <c r="B2649" s="10" t="s">
        <v>793</v>
      </c>
      <c r="C2649" s="10" t="s">
        <v>90</v>
      </c>
      <c r="D2649" s="10" t="s">
        <v>51</v>
      </c>
      <c r="E2649" s="10" t="s">
        <v>52</v>
      </c>
      <c r="F2649" s="10" t="s">
        <v>61</v>
      </c>
      <c r="G2649" s="10" t="b">
        <f>FALSE()</f>
        <v>0</v>
      </c>
      <c r="H2649" s="10">
        <v>0</v>
      </c>
      <c r="I2649" s="10">
        <v>1</v>
      </c>
      <c r="J2649" s="10">
        <v>0</v>
      </c>
      <c r="K2649" s="10">
        <v>0</v>
      </c>
      <c r="L2649" s="10">
        <v>0</v>
      </c>
      <c r="M2649" s="10">
        <v>1</v>
      </c>
      <c r="N2649" s="10">
        <v>62</v>
      </c>
      <c r="O2649" s="10">
        <v>55</v>
      </c>
    </row>
    <row r="2650" spans="1:15" x14ac:dyDescent="0.2">
      <c r="A2650" s="10" t="s">
        <v>1068</v>
      </c>
      <c r="B2650" s="10" t="s">
        <v>238</v>
      </c>
      <c r="C2650" s="10" t="s">
        <v>90</v>
      </c>
      <c r="D2650" s="10" t="s">
        <v>51</v>
      </c>
      <c r="E2650" s="10" t="s">
        <v>52</v>
      </c>
      <c r="F2650" s="10" t="s">
        <v>92</v>
      </c>
      <c r="G2650" s="10" t="b">
        <f>FALSE()</f>
        <v>0</v>
      </c>
      <c r="H2650" s="10">
        <v>0</v>
      </c>
      <c r="I2650" s="10">
        <v>1</v>
      </c>
      <c r="J2650" s="10">
        <v>0</v>
      </c>
      <c r="K2650" s="10">
        <v>0</v>
      </c>
      <c r="L2650" s="10">
        <v>0</v>
      </c>
      <c r="M2650" s="10">
        <v>1</v>
      </c>
      <c r="N2650" s="10">
        <v>55</v>
      </c>
      <c r="O2650" s="10">
        <v>55</v>
      </c>
    </row>
    <row r="2651" spans="1:15" x14ac:dyDescent="0.2">
      <c r="A2651" s="10" t="s">
        <v>233</v>
      </c>
      <c r="B2651" s="10" t="s">
        <v>238</v>
      </c>
      <c r="C2651" s="10" t="s">
        <v>90</v>
      </c>
      <c r="D2651" s="10" t="s">
        <v>51</v>
      </c>
      <c r="E2651" s="10" t="s">
        <v>52</v>
      </c>
      <c r="F2651" s="10" t="s">
        <v>214</v>
      </c>
      <c r="G2651" s="10" t="b">
        <f>FALSE()</f>
        <v>0</v>
      </c>
      <c r="H2651" s="10">
        <v>0</v>
      </c>
      <c r="I2651" s="10">
        <v>1</v>
      </c>
      <c r="J2651" s="10">
        <v>0</v>
      </c>
      <c r="K2651" s="10">
        <v>0</v>
      </c>
      <c r="L2651" s="10">
        <v>0</v>
      </c>
      <c r="M2651" s="10">
        <v>1</v>
      </c>
      <c r="N2651" s="10">
        <v>55</v>
      </c>
      <c r="O2651" s="10">
        <v>55</v>
      </c>
    </row>
    <row r="2652" spans="1:15" x14ac:dyDescent="0.2">
      <c r="A2652" s="10" t="s">
        <v>1268</v>
      </c>
      <c r="B2652" s="10" t="s">
        <v>498</v>
      </c>
      <c r="C2652" s="10" t="s">
        <v>245</v>
      </c>
      <c r="D2652" s="10" t="s">
        <v>51</v>
      </c>
      <c r="E2652" s="10" t="s">
        <v>52</v>
      </c>
      <c r="F2652" s="10" t="s">
        <v>444</v>
      </c>
      <c r="G2652" s="10" t="b">
        <f>TRUE()</f>
        <v>1</v>
      </c>
      <c r="H2652" s="10">
        <v>0</v>
      </c>
      <c r="I2652" s="10">
        <v>1</v>
      </c>
      <c r="J2652" s="10">
        <v>0</v>
      </c>
      <c r="K2652" s="10">
        <v>0</v>
      </c>
      <c r="L2652" s="10">
        <v>0</v>
      </c>
      <c r="M2652" s="10">
        <v>1</v>
      </c>
      <c r="N2652" s="10">
        <v>74</v>
      </c>
      <c r="O2652" s="10">
        <v>55</v>
      </c>
    </row>
    <row r="2653" spans="1:15" x14ac:dyDescent="0.2">
      <c r="A2653" s="10" t="s">
        <v>1163</v>
      </c>
      <c r="B2653" s="10" t="s">
        <v>247</v>
      </c>
      <c r="C2653" s="10" t="s">
        <v>245</v>
      </c>
      <c r="D2653" s="10" t="s">
        <v>51</v>
      </c>
      <c r="E2653" s="10" t="s">
        <v>52</v>
      </c>
      <c r="F2653" s="10" t="s">
        <v>219</v>
      </c>
      <c r="G2653" s="10" t="b">
        <f>FALSE()</f>
        <v>0</v>
      </c>
      <c r="H2653" s="10">
        <v>0</v>
      </c>
      <c r="I2653" s="10">
        <v>1</v>
      </c>
      <c r="J2653" s="10">
        <v>0</v>
      </c>
      <c r="K2653" s="10">
        <v>0</v>
      </c>
      <c r="L2653" s="10">
        <v>0</v>
      </c>
      <c r="M2653" s="10">
        <v>1</v>
      </c>
      <c r="N2653" s="10">
        <v>77</v>
      </c>
      <c r="O2653" s="10">
        <v>55</v>
      </c>
    </row>
    <row r="2654" spans="1:15" x14ac:dyDescent="0.2">
      <c r="A2654" s="10" t="s">
        <v>1129</v>
      </c>
      <c r="B2654" s="10" t="s">
        <v>157</v>
      </c>
      <c r="C2654" s="10" t="s">
        <v>64</v>
      </c>
      <c r="D2654" s="10" t="s">
        <v>45</v>
      </c>
      <c r="E2654" s="10" t="s">
        <v>46</v>
      </c>
      <c r="F2654" s="10" t="s">
        <v>251</v>
      </c>
      <c r="G2654" s="10" t="b">
        <f>FALSE()</f>
        <v>0</v>
      </c>
      <c r="H2654" s="10">
        <v>0</v>
      </c>
      <c r="I2654" s="10">
        <v>1</v>
      </c>
      <c r="J2654" s="10">
        <v>0</v>
      </c>
      <c r="K2654" s="10">
        <v>0</v>
      </c>
      <c r="L2654" s="10">
        <v>0</v>
      </c>
      <c r="M2654" s="10">
        <v>1</v>
      </c>
      <c r="N2654" s="10">
        <v>55</v>
      </c>
      <c r="O2654" s="10">
        <v>55</v>
      </c>
    </row>
    <row r="2655" spans="1:15" x14ac:dyDescent="0.2">
      <c r="A2655" s="10" t="s">
        <v>1305</v>
      </c>
      <c r="B2655" s="10" t="s">
        <v>285</v>
      </c>
      <c r="C2655" s="10" t="s">
        <v>105</v>
      </c>
      <c r="D2655" s="10" t="s">
        <v>45</v>
      </c>
      <c r="E2655" s="10" t="s">
        <v>46</v>
      </c>
      <c r="F2655" s="10" t="s">
        <v>74</v>
      </c>
      <c r="G2655" s="10" t="b">
        <f>FALSE()</f>
        <v>0</v>
      </c>
      <c r="H2655" s="10">
        <v>0</v>
      </c>
      <c r="I2655" s="10">
        <v>1</v>
      </c>
      <c r="J2655" s="10">
        <v>0</v>
      </c>
      <c r="K2655" s="10">
        <v>0</v>
      </c>
      <c r="L2655" s="10">
        <v>0</v>
      </c>
      <c r="M2655" s="10">
        <v>1</v>
      </c>
      <c r="N2655" s="10">
        <v>57</v>
      </c>
      <c r="O2655" s="10">
        <v>55</v>
      </c>
    </row>
    <row r="2656" spans="1:15" x14ac:dyDescent="0.2">
      <c r="A2656" s="10" t="s">
        <v>1223</v>
      </c>
      <c r="B2656" s="10" t="s">
        <v>146</v>
      </c>
      <c r="C2656" s="10" t="s">
        <v>105</v>
      </c>
      <c r="D2656" s="10" t="s">
        <v>45</v>
      </c>
      <c r="E2656" s="10" t="s">
        <v>46</v>
      </c>
      <c r="F2656" s="10" t="s">
        <v>153</v>
      </c>
      <c r="G2656" s="10" t="b">
        <f>FALSE()</f>
        <v>0</v>
      </c>
      <c r="H2656" s="10">
        <v>0</v>
      </c>
      <c r="I2656" s="10">
        <v>1</v>
      </c>
      <c r="J2656" s="10">
        <v>0</v>
      </c>
      <c r="K2656" s="10">
        <v>0</v>
      </c>
      <c r="L2656" s="10">
        <v>0</v>
      </c>
      <c r="M2656" s="10">
        <v>1</v>
      </c>
      <c r="N2656" s="10">
        <v>64</v>
      </c>
      <c r="O2656" s="10">
        <v>55</v>
      </c>
    </row>
    <row r="2657" spans="1:15" x14ac:dyDescent="0.2">
      <c r="A2657" s="10" t="s">
        <v>1325</v>
      </c>
      <c r="B2657" s="10" t="s">
        <v>130</v>
      </c>
      <c r="C2657" s="10" t="s">
        <v>56</v>
      </c>
      <c r="D2657" s="10" t="s">
        <v>45</v>
      </c>
      <c r="E2657" s="10" t="s">
        <v>46</v>
      </c>
      <c r="F2657" s="10" t="s">
        <v>331</v>
      </c>
      <c r="G2657" s="10" t="b">
        <f>FALSE()</f>
        <v>0</v>
      </c>
      <c r="H2657" s="10">
        <v>0</v>
      </c>
      <c r="I2657" s="10">
        <v>1</v>
      </c>
      <c r="J2657" s="10">
        <v>0</v>
      </c>
      <c r="K2657" s="10">
        <v>0</v>
      </c>
      <c r="L2657" s="10">
        <v>0</v>
      </c>
      <c r="M2657" s="10">
        <v>1</v>
      </c>
      <c r="N2657" s="10">
        <v>59</v>
      </c>
      <c r="O2657" s="10">
        <v>55</v>
      </c>
    </row>
    <row r="2658" spans="1:15" x14ac:dyDescent="0.2">
      <c r="A2658" s="10" t="s">
        <v>1047</v>
      </c>
      <c r="B2658" s="10" t="s">
        <v>96</v>
      </c>
      <c r="C2658" s="10" t="s">
        <v>50</v>
      </c>
      <c r="D2658" s="10" t="s">
        <v>51</v>
      </c>
      <c r="E2658" s="10" t="s">
        <v>52</v>
      </c>
      <c r="F2658" s="10" t="s">
        <v>1198</v>
      </c>
      <c r="G2658" s="10" t="b">
        <f>FALSE()</f>
        <v>0</v>
      </c>
      <c r="H2658" s="10">
        <v>0</v>
      </c>
      <c r="I2658" s="10">
        <v>1</v>
      </c>
      <c r="J2658" s="10">
        <v>0</v>
      </c>
      <c r="K2658" s="10">
        <v>0</v>
      </c>
      <c r="L2658" s="10">
        <v>0</v>
      </c>
      <c r="M2658" s="10">
        <v>1</v>
      </c>
      <c r="N2658" s="10">
        <v>96</v>
      </c>
      <c r="O2658" s="10">
        <v>54</v>
      </c>
    </row>
    <row r="2659" spans="1:15" x14ac:dyDescent="0.2">
      <c r="A2659" s="10" t="s">
        <v>1326</v>
      </c>
      <c r="B2659" s="10" t="s">
        <v>247</v>
      </c>
      <c r="C2659" s="10" t="s">
        <v>245</v>
      </c>
      <c r="D2659" s="10" t="s">
        <v>51</v>
      </c>
      <c r="E2659" s="10" t="s">
        <v>52</v>
      </c>
      <c r="F2659" s="10" t="s">
        <v>61</v>
      </c>
      <c r="G2659" s="10" t="b">
        <f>FALSE()</f>
        <v>0</v>
      </c>
      <c r="H2659" s="10">
        <v>0</v>
      </c>
      <c r="I2659" s="10">
        <v>1</v>
      </c>
      <c r="J2659" s="10">
        <v>0</v>
      </c>
      <c r="K2659" s="10">
        <v>0</v>
      </c>
      <c r="L2659" s="10">
        <v>0</v>
      </c>
      <c r="M2659" s="10">
        <v>1</v>
      </c>
      <c r="N2659" s="10">
        <v>56</v>
      </c>
      <c r="O2659" s="10">
        <v>54</v>
      </c>
    </row>
    <row r="2660" spans="1:15" x14ac:dyDescent="0.2">
      <c r="A2660" s="10" t="s">
        <v>609</v>
      </c>
      <c r="B2660" s="10" t="s">
        <v>136</v>
      </c>
      <c r="C2660" s="10" t="s">
        <v>73</v>
      </c>
      <c r="D2660" s="10" t="s">
        <v>45</v>
      </c>
      <c r="E2660" s="10" t="s">
        <v>46</v>
      </c>
      <c r="F2660" s="10" t="s">
        <v>190</v>
      </c>
      <c r="G2660" s="10" t="b">
        <f>TRUE()</f>
        <v>1</v>
      </c>
      <c r="H2660" s="10">
        <v>0</v>
      </c>
      <c r="I2660" s="10">
        <v>1</v>
      </c>
      <c r="J2660" s="10">
        <v>0</v>
      </c>
      <c r="K2660" s="10">
        <v>0</v>
      </c>
      <c r="L2660" s="10">
        <v>0</v>
      </c>
      <c r="M2660" s="10">
        <v>1</v>
      </c>
      <c r="N2660" s="10">
        <v>53</v>
      </c>
      <c r="O2660" s="10">
        <v>53</v>
      </c>
    </row>
    <row r="2661" spans="1:15" x14ac:dyDescent="0.2">
      <c r="A2661" s="10" t="s">
        <v>1130</v>
      </c>
      <c r="B2661" s="10" t="s">
        <v>193</v>
      </c>
      <c r="C2661" s="10" t="s">
        <v>117</v>
      </c>
      <c r="D2661" s="10" t="s">
        <v>51</v>
      </c>
      <c r="E2661" s="10" t="s">
        <v>52</v>
      </c>
      <c r="F2661" s="10" t="s">
        <v>220</v>
      </c>
      <c r="G2661" s="10" t="b">
        <f>FALSE()</f>
        <v>0</v>
      </c>
      <c r="H2661" s="10">
        <v>0</v>
      </c>
      <c r="I2661" s="10">
        <v>1</v>
      </c>
      <c r="J2661" s="10">
        <v>0</v>
      </c>
      <c r="K2661" s="10">
        <v>0</v>
      </c>
      <c r="L2661" s="10">
        <v>0</v>
      </c>
      <c r="M2661" s="10">
        <v>1</v>
      </c>
      <c r="N2661" s="10">
        <v>62</v>
      </c>
      <c r="O2661" s="10">
        <v>53</v>
      </c>
    </row>
    <row r="2662" spans="1:15" x14ac:dyDescent="0.2">
      <c r="A2662" s="10" t="s">
        <v>1327</v>
      </c>
      <c r="B2662" s="10" t="s">
        <v>587</v>
      </c>
      <c r="C2662" s="10" t="s">
        <v>50</v>
      </c>
      <c r="D2662" s="10" t="s">
        <v>51</v>
      </c>
      <c r="E2662" s="10" t="s">
        <v>52</v>
      </c>
      <c r="F2662" s="10" t="s">
        <v>552</v>
      </c>
      <c r="G2662" s="10" t="b">
        <f>FALSE()</f>
        <v>0</v>
      </c>
      <c r="H2662" s="10">
        <v>0</v>
      </c>
      <c r="I2662" s="10">
        <v>1</v>
      </c>
      <c r="J2662" s="10">
        <v>0</v>
      </c>
      <c r="K2662" s="10">
        <v>0</v>
      </c>
      <c r="L2662" s="10">
        <v>0</v>
      </c>
      <c r="M2662" s="10">
        <v>1</v>
      </c>
      <c r="N2662" s="10">
        <v>43</v>
      </c>
      <c r="O2662" s="10">
        <v>53</v>
      </c>
    </row>
    <row r="2663" spans="1:15" x14ac:dyDescent="0.2">
      <c r="A2663" s="10" t="s">
        <v>1006</v>
      </c>
      <c r="B2663" s="10" t="s">
        <v>167</v>
      </c>
      <c r="C2663" s="10" t="s">
        <v>64</v>
      </c>
      <c r="D2663" s="10" t="s">
        <v>45</v>
      </c>
      <c r="E2663" s="10" t="s">
        <v>46</v>
      </c>
      <c r="F2663" s="10" t="s">
        <v>251</v>
      </c>
      <c r="G2663" s="10" t="b">
        <f>FALSE()</f>
        <v>0</v>
      </c>
      <c r="H2663" s="10">
        <v>0</v>
      </c>
      <c r="I2663" s="10">
        <v>1</v>
      </c>
      <c r="J2663" s="10">
        <v>0</v>
      </c>
      <c r="K2663" s="10">
        <v>0</v>
      </c>
      <c r="L2663" s="10">
        <v>0</v>
      </c>
      <c r="M2663" s="10">
        <v>1</v>
      </c>
      <c r="N2663" s="10">
        <v>53</v>
      </c>
      <c r="O2663" s="10">
        <v>53</v>
      </c>
    </row>
    <row r="2664" spans="1:15" x14ac:dyDescent="0.2">
      <c r="A2664" s="10" t="s">
        <v>1328</v>
      </c>
      <c r="B2664" s="10" t="s">
        <v>260</v>
      </c>
      <c r="C2664" s="10" t="s">
        <v>64</v>
      </c>
      <c r="D2664" s="10" t="s">
        <v>45</v>
      </c>
      <c r="E2664" s="10" t="s">
        <v>46</v>
      </c>
      <c r="F2664" s="10" t="s">
        <v>61</v>
      </c>
      <c r="G2664" s="10" t="b">
        <f>FALSE()</f>
        <v>0</v>
      </c>
      <c r="H2664" s="10">
        <v>0</v>
      </c>
      <c r="I2664" s="10">
        <v>1</v>
      </c>
      <c r="J2664" s="10">
        <v>0</v>
      </c>
      <c r="K2664" s="10">
        <v>0</v>
      </c>
      <c r="L2664" s="10">
        <v>0</v>
      </c>
      <c r="M2664" s="10">
        <v>1</v>
      </c>
      <c r="N2664" s="10">
        <v>53</v>
      </c>
      <c r="O2664" s="10">
        <v>53</v>
      </c>
    </row>
    <row r="2665" spans="1:15" x14ac:dyDescent="0.2">
      <c r="A2665" s="10" t="s">
        <v>1106</v>
      </c>
      <c r="B2665" s="10" t="s">
        <v>146</v>
      </c>
      <c r="C2665" s="10" t="s">
        <v>105</v>
      </c>
      <c r="D2665" s="10" t="s">
        <v>45</v>
      </c>
      <c r="E2665" s="10" t="s">
        <v>46</v>
      </c>
      <c r="F2665" s="10" t="s">
        <v>749</v>
      </c>
      <c r="G2665" s="10" t="b">
        <f>TRUE()</f>
        <v>1</v>
      </c>
      <c r="H2665" s="10">
        <v>0</v>
      </c>
      <c r="I2665" s="10">
        <v>1</v>
      </c>
      <c r="J2665" s="10">
        <v>0</v>
      </c>
      <c r="K2665" s="10">
        <v>0</v>
      </c>
      <c r="L2665" s="10">
        <v>0</v>
      </c>
      <c r="M2665" s="10">
        <v>1</v>
      </c>
      <c r="N2665" s="10">
        <v>53</v>
      </c>
      <c r="O2665" s="10">
        <v>53</v>
      </c>
    </row>
    <row r="2666" spans="1:15" x14ac:dyDescent="0.2">
      <c r="A2666" s="10" t="s">
        <v>1189</v>
      </c>
      <c r="B2666" s="10" t="s">
        <v>70</v>
      </c>
      <c r="C2666" s="10" t="s">
        <v>70</v>
      </c>
      <c r="D2666" s="10" t="s">
        <v>45</v>
      </c>
      <c r="E2666" s="10" t="s">
        <v>46</v>
      </c>
      <c r="F2666" s="10" t="s">
        <v>434</v>
      </c>
      <c r="G2666" s="10" t="b">
        <f>FALSE()</f>
        <v>0</v>
      </c>
      <c r="H2666" s="10">
        <v>0</v>
      </c>
      <c r="I2666" s="10">
        <v>1</v>
      </c>
      <c r="J2666" s="10">
        <v>0</v>
      </c>
      <c r="K2666" s="10">
        <v>0</v>
      </c>
      <c r="L2666" s="10">
        <v>0</v>
      </c>
      <c r="M2666" s="10">
        <v>1</v>
      </c>
      <c r="N2666" s="10">
        <v>53</v>
      </c>
      <c r="O2666" s="10">
        <v>53</v>
      </c>
    </row>
    <row r="2667" spans="1:15" x14ac:dyDescent="0.2">
      <c r="A2667" s="10" t="s">
        <v>144</v>
      </c>
      <c r="B2667" s="10" t="s">
        <v>72</v>
      </c>
      <c r="C2667" s="10" t="s">
        <v>73</v>
      </c>
      <c r="D2667" s="10" t="s">
        <v>45</v>
      </c>
      <c r="E2667" s="10" t="s">
        <v>46</v>
      </c>
      <c r="F2667" s="10" t="s">
        <v>153</v>
      </c>
      <c r="G2667" s="10" t="b">
        <f>FALSE()</f>
        <v>0</v>
      </c>
      <c r="H2667" s="10">
        <v>0</v>
      </c>
      <c r="I2667" s="10">
        <v>1</v>
      </c>
      <c r="J2667" s="10">
        <v>0</v>
      </c>
      <c r="K2667" s="10">
        <v>0</v>
      </c>
      <c r="L2667" s="10">
        <v>0</v>
      </c>
      <c r="M2667" s="10">
        <v>1</v>
      </c>
      <c r="N2667" s="10">
        <v>52</v>
      </c>
      <c r="O2667" s="10">
        <v>52</v>
      </c>
    </row>
    <row r="2668" spans="1:15" x14ac:dyDescent="0.2">
      <c r="A2668" s="10" t="s">
        <v>1097</v>
      </c>
      <c r="B2668" s="10" t="s">
        <v>109</v>
      </c>
      <c r="C2668" s="10" t="s">
        <v>90</v>
      </c>
      <c r="D2668" s="10" t="s">
        <v>51</v>
      </c>
      <c r="E2668" s="10" t="s">
        <v>52</v>
      </c>
      <c r="F2668" s="10" t="s">
        <v>153</v>
      </c>
      <c r="G2668" s="10" t="b">
        <f>FALSE()</f>
        <v>0</v>
      </c>
      <c r="H2668" s="10">
        <v>0</v>
      </c>
      <c r="I2668" s="10">
        <v>1</v>
      </c>
      <c r="J2668" s="10">
        <v>0</v>
      </c>
      <c r="K2668" s="10">
        <v>0</v>
      </c>
      <c r="L2668" s="10">
        <v>0</v>
      </c>
      <c r="M2668" s="10">
        <v>1</v>
      </c>
      <c r="N2668" s="10">
        <v>52</v>
      </c>
      <c r="O2668" s="10">
        <v>52</v>
      </c>
    </row>
    <row r="2669" spans="1:15" x14ac:dyDescent="0.2">
      <c r="A2669" s="10" t="s">
        <v>1329</v>
      </c>
      <c r="B2669" s="10" t="s">
        <v>562</v>
      </c>
      <c r="C2669" s="10" t="s">
        <v>245</v>
      </c>
      <c r="D2669" s="10" t="s">
        <v>51</v>
      </c>
      <c r="E2669" s="10" t="s">
        <v>52</v>
      </c>
      <c r="F2669" s="10" t="s">
        <v>102</v>
      </c>
      <c r="G2669" s="10" t="b">
        <f>TRUE()</f>
        <v>1</v>
      </c>
      <c r="H2669" s="10">
        <v>0</v>
      </c>
      <c r="I2669" s="10">
        <v>1</v>
      </c>
      <c r="J2669" s="10">
        <v>0</v>
      </c>
      <c r="K2669" s="10">
        <v>0</v>
      </c>
      <c r="L2669" s="10">
        <v>0</v>
      </c>
      <c r="M2669" s="10">
        <v>1</v>
      </c>
      <c r="N2669" s="10">
        <v>61</v>
      </c>
      <c r="O2669" s="10">
        <v>52</v>
      </c>
    </row>
    <row r="2670" spans="1:15" x14ac:dyDescent="0.2">
      <c r="A2670" s="10" t="s">
        <v>1189</v>
      </c>
      <c r="B2670" s="10" t="s">
        <v>70</v>
      </c>
      <c r="C2670" s="10" t="s">
        <v>70</v>
      </c>
      <c r="D2670" s="10" t="s">
        <v>45</v>
      </c>
      <c r="E2670" s="10" t="s">
        <v>46</v>
      </c>
      <c r="F2670" s="10" t="s">
        <v>92</v>
      </c>
      <c r="G2670" s="10" t="b">
        <f>FALSE()</f>
        <v>0</v>
      </c>
      <c r="H2670" s="10">
        <v>0</v>
      </c>
      <c r="I2670" s="10">
        <v>1</v>
      </c>
      <c r="J2670" s="10">
        <v>0</v>
      </c>
      <c r="K2670" s="10">
        <v>0</v>
      </c>
      <c r="L2670" s="10">
        <v>0</v>
      </c>
      <c r="M2670" s="10">
        <v>1</v>
      </c>
      <c r="N2670" s="10">
        <v>52</v>
      </c>
      <c r="O2670" s="10">
        <v>52</v>
      </c>
    </row>
    <row r="2671" spans="1:15" x14ac:dyDescent="0.2">
      <c r="A2671" s="10" t="s">
        <v>771</v>
      </c>
      <c r="B2671" s="10" t="s">
        <v>116</v>
      </c>
      <c r="C2671" s="10" t="s">
        <v>117</v>
      </c>
      <c r="D2671" s="10" t="s">
        <v>51</v>
      </c>
      <c r="E2671" s="10" t="s">
        <v>52</v>
      </c>
      <c r="F2671" s="10" t="s">
        <v>834</v>
      </c>
      <c r="G2671" s="10" t="b">
        <f>FALSE()</f>
        <v>0</v>
      </c>
      <c r="H2671" s="10">
        <v>0</v>
      </c>
      <c r="I2671" s="10">
        <v>1</v>
      </c>
      <c r="J2671" s="10">
        <v>0</v>
      </c>
      <c r="K2671" s="10">
        <v>0</v>
      </c>
      <c r="L2671" s="10">
        <v>0</v>
      </c>
      <c r="M2671" s="10">
        <v>1</v>
      </c>
      <c r="N2671" s="10">
        <v>54</v>
      </c>
      <c r="O2671" s="10">
        <v>51</v>
      </c>
    </row>
    <row r="2672" spans="1:15" x14ac:dyDescent="0.2">
      <c r="A2672" s="10" t="s">
        <v>376</v>
      </c>
      <c r="B2672" s="10" t="s">
        <v>377</v>
      </c>
      <c r="C2672" s="10" t="s">
        <v>50</v>
      </c>
      <c r="D2672" s="10" t="s">
        <v>51</v>
      </c>
      <c r="E2672" s="10" t="s">
        <v>52</v>
      </c>
      <c r="F2672" s="10" t="s">
        <v>212</v>
      </c>
      <c r="G2672" s="10" t="b">
        <f>FALSE()</f>
        <v>0</v>
      </c>
      <c r="H2672" s="10">
        <v>0</v>
      </c>
      <c r="I2672" s="10">
        <v>1</v>
      </c>
      <c r="J2672" s="10">
        <v>0</v>
      </c>
      <c r="K2672" s="10">
        <v>0</v>
      </c>
      <c r="L2672" s="10">
        <v>0</v>
      </c>
      <c r="M2672" s="10">
        <v>1</v>
      </c>
      <c r="N2672" s="10">
        <v>51</v>
      </c>
      <c r="O2672" s="10">
        <v>51</v>
      </c>
    </row>
    <row r="2673" spans="1:15" x14ac:dyDescent="0.2">
      <c r="A2673" s="10" t="s">
        <v>865</v>
      </c>
      <c r="B2673" s="10" t="s">
        <v>493</v>
      </c>
      <c r="C2673" s="10" t="s">
        <v>117</v>
      </c>
      <c r="D2673" s="10" t="s">
        <v>51</v>
      </c>
      <c r="E2673" s="10" t="s">
        <v>52</v>
      </c>
      <c r="F2673" s="10" t="s">
        <v>446</v>
      </c>
      <c r="G2673" s="10" t="b">
        <f>FALSE()</f>
        <v>0</v>
      </c>
      <c r="H2673" s="10">
        <v>0</v>
      </c>
      <c r="I2673" s="10">
        <v>1</v>
      </c>
      <c r="J2673" s="10">
        <v>0</v>
      </c>
      <c r="K2673" s="10">
        <v>0</v>
      </c>
      <c r="L2673" s="10">
        <v>0</v>
      </c>
      <c r="M2673" s="10">
        <v>1</v>
      </c>
      <c r="N2673" s="10">
        <v>57</v>
      </c>
      <c r="O2673" s="10">
        <v>51</v>
      </c>
    </row>
    <row r="2674" spans="1:15" x14ac:dyDescent="0.2">
      <c r="A2674" s="10" t="s">
        <v>1262</v>
      </c>
      <c r="B2674" s="10" t="s">
        <v>193</v>
      </c>
      <c r="C2674" s="10" t="s">
        <v>117</v>
      </c>
      <c r="D2674" s="10" t="s">
        <v>51</v>
      </c>
      <c r="E2674" s="10" t="s">
        <v>52</v>
      </c>
      <c r="F2674" s="10" t="s">
        <v>61</v>
      </c>
      <c r="G2674" s="10" t="b">
        <f>FALSE()</f>
        <v>0</v>
      </c>
      <c r="H2674" s="10">
        <v>0</v>
      </c>
      <c r="I2674" s="10">
        <v>1</v>
      </c>
      <c r="J2674" s="10">
        <v>0</v>
      </c>
      <c r="K2674" s="10">
        <v>0</v>
      </c>
      <c r="L2674" s="10">
        <v>0</v>
      </c>
      <c r="M2674" s="10">
        <v>1</v>
      </c>
      <c r="N2674" s="10">
        <v>45</v>
      </c>
      <c r="O2674" s="10">
        <v>51</v>
      </c>
    </row>
    <row r="2675" spans="1:15" x14ac:dyDescent="0.2">
      <c r="A2675" s="10" t="s">
        <v>1214</v>
      </c>
      <c r="B2675" s="10" t="s">
        <v>165</v>
      </c>
      <c r="C2675" s="10" t="s">
        <v>112</v>
      </c>
      <c r="D2675" s="10" t="s">
        <v>51</v>
      </c>
      <c r="E2675" s="10" t="s">
        <v>52</v>
      </c>
      <c r="F2675" s="10" t="s">
        <v>74</v>
      </c>
      <c r="G2675" s="10" t="b">
        <f>FALSE()</f>
        <v>0</v>
      </c>
      <c r="H2675" s="10">
        <v>0</v>
      </c>
      <c r="I2675" s="10">
        <v>1</v>
      </c>
      <c r="J2675" s="10">
        <v>0</v>
      </c>
      <c r="K2675" s="10">
        <v>0</v>
      </c>
      <c r="L2675" s="10">
        <v>0</v>
      </c>
      <c r="M2675" s="10">
        <v>1</v>
      </c>
      <c r="N2675" s="10">
        <v>51</v>
      </c>
      <c r="O2675" s="10">
        <v>51</v>
      </c>
    </row>
    <row r="2676" spans="1:15" x14ac:dyDescent="0.2">
      <c r="A2676" s="10" t="s">
        <v>1307</v>
      </c>
      <c r="B2676" s="10" t="s">
        <v>70</v>
      </c>
      <c r="C2676" s="10" t="s">
        <v>70</v>
      </c>
      <c r="D2676" s="10" t="s">
        <v>45</v>
      </c>
      <c r="E2676" s="10" t="s">
        <v>46</v>
      </c>
      <c r="F2676" s="10" t="s">
        <v>917</v>
      </c>
      <c r="G2676" s="10" t="b">
        <f>FALSE()</f>
        <v>0</v>
      </c>
      <c r="H2676" s="10">
        <v>0</v>
      </c>
      <c r="I2676" s="10">
        <v>1</v>
      </c>
      <c r="J2676" s="10">
        <v>0</v>
      </c>
      <c r="K2676" s="10">
        <v>0</v>
      </c>
      <c r="L2676" s="10">
        <v>0</v>
      </c>
      <c r="M2676" s="10">
        <v>1</v>
      </c>
      <c r="N2676" s="10">
        <v>63</v>
      </c>
      <c r="O2676" s="10">
        <v>51</v>
      </c>
    </row>
    <row r="2677" spans="1:15" x14ac:dyDescent="0.2">
      <c r="A2677" s="10" t="s">
        <v>453</v>
      </c>
      <c r="B2677" s="10" t="s">
        <v>136</v>
      </c>
      <c r="C2677" s="10" t="s">
        <v>73</v>
      </c>
      <c r="D2677" s="10" t="s">
        <v>45</v>
      </c>
      <c r="E2677" s="10" t="s">
        <v>46</v>
      </c>
      <c r="F2677" s="10" t="s">
        <v>74</v>
      </c>
      <c r="G2677" s="10" t="b">
        <f>FALSE()</f>
        <v>0</v>
      </c>
      <c r="H2677" s="10">
        <v>0</v>
      </c>
      <c r="I2677" s="10">
        <v>1</v>
      </c>
      <c r="J2677" s="10">
        <v>0</v>
      </c>
      <c r="K2677" s="10">
        <v>0</v>
      </c>
      <c r="L2677" s="10">
        <v>0</v>
      </c>
      <c r="M2677" s="10">
        <v>1</v>
      </c>
      <c r="N2677" s="10">
        <v>50</v>
      </c>
      <c r="O2677" s="10">
        <v>50</v>
      </c>
    </row>
    <row r="2678" spans="1:15" x14ac:dyDescent="0.2">
      <c r="A2678" s="10" t="s">
        <v>177</v>
      </c>
      <c r="B2678" s="10" t="s">
        <v>178</v>
      </c>
      <c r="C2678" s="10" t="s">
        <v>73</v>
      </c>
      <c r="D2678" s="10" t="s">
        <v>45</v>
      </c>
      <c r="E2678" s="10" t="s">
        <v>46</v>
      </c>
      <c r="F2678" s="10" t="s">
        <v>468</v>
      </c>
      <c r="G2678" s="10" t="b">
        <f>FALSE()</f>
        <v>0</v>
      </c>
      <c r="H2678" s="10">
        <v>0</v>
      </c>
      <c r="I2678" s="10">
        <v>1</v>
      </c>
      <c r="J2678" s="10">
        <v>0</v>
      </c>
      <c r="K2678" s="10">
        <v>0</v>
      </c>
      <c r="L2678" s="10">
        <v>0</v>
      </c>
      <c r="M2678" s="10">
        <v>1</v>
      </c>
      <c r="N2678" s="10">
        <v>79</v>
      </c>
      <c r="O2678" s="10">
        <v>50</v>
      </c>
    </row>
    <row r="2679" spans="1:15" x14ac:dyDescent="0.2">
      <c r="A2679" s="10" t="s">
        <v>1072</v>
      </c>
      <c r="B2679" s="10" t="s">
        <v>116</v>
      </c>
      <c r="C2679" s="10" t="s">
        <v>117</v>
      </c>
      <c r="D2679" s="10" t="s">
        <v>51</v>
      </c>
      <c r="E2679" s="10" t="s">
        <v>52</v>
      </c>
      <c r="F2679" s="10" t="s">
        <v>58</v>
      </c>
      <c r="G2679" s="10" t="b">
        <f>FALSE()</f>
        <v>0</v>
      </c>
      <c r="H2679" s="10">
        <v>0</v>
      </c>
      <c r="I2679" s="10">
        <v>1</v>
      </c>
      <c r="J2679" s="10">
        <v>0</v>
      </c>
      <c r="K2679" s="10">
        <v>0</v>
      </c>
      <c r="L2679" s="10">
        <v>0</v>
      </c>
      <c r="M2679" s="10">
        <v>1</v>
      </c>
      <c r="N2679" s="10">
        <v>50</v>
      </c>
      <c r="O2679" s="10">
        <v>50</v>
      </c>
    </row>
    <row r="2680" spans="1:15" x14ac:dyDescent="0.2">
      <c r="A2680" s="10" t="s">
        <v>1130</v>
      </c>
      <c r="B2680" s="10" t="s">
        <v>193</v>
      </c>
      <c r="C2680" s="10" t="s">
        <v>117</v>
      </c>
      <c r="D2680" s="10" t="s">
        <v>51</v>
      </c>
      <c r="E2680" s="10" t="s">
        <v>52</v>
      </c>
      <c r="F2680" s="10" t="s">
        <v>308</v>
      </c>
      <c r="G2680" s="10" t="b">
        <f>TRUE()</f>
        <v>1</v>
      </c>
      <c r="H2680" s="10">
        <v>0</v>
      </c>
      <c r="I2680" s="10">
        <v>1</v>
      </c>
      <c r="J2680" s="10">
        <v>0</v>
      </c>
      <c r="K2680" s="10">
        <v>0</v>
      </c>
      <c r="L2680" s="10">
        <v>0</v>
      </c>
      <c r="M2680" s="10">
        <v>1</v>
      </c>
      <c r="N2680" s="10">
        <v>50</v>
      </c>
      <c r="O2680" s="10">
        <v>50</v>
      </c>
    </row>
    <row r="2681" spans="1:15" x14ac:dyDescent="0.2">
      <c r="A2681" s="10" t="s">
        <v>1279</v>
      </c>
      <c r="B2681" s="10" t="s">
        <v>193</v>
      </c>
      <c r="C2681" s="10" t="s">
        <v>117</v>
      </c>
      <c r="D2681" s="10" t="s">
        <v>51</v>
      </c>
      <c r="E2681" s="10" t="s">
        <v>52</v>
      </c>
      <c r="F2681" s="10" t="s">
        <v>91</v>
      </c>
      <c r="G2681" s="10" t="b">
        <f>TRUE()</f>
        <v>1</v>
      </c>
      <c r="H2681" s="10">
        <v>0</v>
      </c>
      <c r="I2681" s="10">
        <v>1</v>
      </c>
      <c r="J2681" s="10">
        <v>0</v>
      </c>
      <c r="K2681" s="10">
        <v>0</v>
      </c>
      <c r="L2681" s="10">
        <v>0</v>
      </c>
      <c r="M2681" s="10">
        <v>1</v>
      </c>
      <c r="N2681" s="10">
        <v>50</v>
      </c>
      <c r="O2681" s="10">
        <v>50</v>
      </c>
    </row>
    <row r="2682" spans="1:15" x14ac:dyDescent="0.2">
      <c r="A2682" s="10" t="s">
        <v>1204</v>
      </c>
      <c r="B2682" s="10" t="s">
        <v>163</v>
      </c>
      <c r="C2682" s="10" t="s">
        <v>90</v>
      </c>
      <c r="D2682" s="10" t="s">
        <v>51</v>
      </c>
      <c r="E2682" s="10" t="s">
        <v>52</v>
      </c>
      <c r="F2682" s="10" t="s">
        <v>153</v>
      </c>
      <c r="G2682" s="10" t="b">
        <f>FALSE()</f>
        <v>0</v>
      </c>
      <c r="H2682" s="10">
        <v>0</v>
      </c>
      <c r="I2682" s="10">
        <v>1</v>
      </c>
      <c r="J2682" s="10">
        <v>0</v>
      </c>
      <c r="K2682" s="10">
        <v>0</v>
      </c>
      <c r="L2682" s="10">
        <v>0</v>
      </c>
      <c r="M2682" s="10">
        <v>1</v>
      </c>
      <c r="N2682" s="10">
        <v>50</v>
      </c>
      <c r="O2682" s="10">
        <v>50</v>
      </c>
    </row>
    <row r="2683" spans="1:15" x14ac:dyDescent="0.2">
      <c r="A2683" s="10" t="s">
        <v>1270</v>
      </c>
      <c r="B2683" s="10" t="s">
        <v>72</v>
      </c>
      <c r="C2683" s="10" t="s">
        <v>73</v>
      </c>
      <c r="D2683" s="10" t="s">
        <v>45</v>
      </c>
      <c r="E2683" s="10" t="s">
        <v>46</v>
      </c>
      <c r="F2683" s="10" t="s">
        <v>251</v>
      </c>
      <c r="G2683" s="10" t="b">
        <f>FALSE()</f>
        <v>0</v>
      </c>
      <c r="H2683" s="10">
        <v>0</v>
      </c>
      <c r="I2683" s="10">
        <v>1</v>
      </c>
      <c r="J2683" s="10">
        <v>0</v>
      </c>
      <c r="K2683" s="10">
        <v>0</v>
      </c>
      <c r="L2683" s="10">
        <v>0</v>
      </c>
      <c r="M2683" s="10">
        <v>1</v>
      </c>
      <c r="N2683" s="10">
        <v>59</v>
      </c>
      <c r="O2683" s="10">
        <v>50</v>
      </c>
    </row>
    <row r="2684" spans="1:15" x14ac:dyDescent="0.2">
      <c r="A2684" s="10" t="s">
        <v>1085</v>
      </c>
      <c r="B2684" s="10" t="s">
        <v>139</v>
      </c>
      <c r="C2684" s="10" t="s">
        <v>64</v>
      </c>
      <c r="D2684" s="10" t="s">
        <v>45</v>
      </c>
      <c r="E2684" s="10" t="s">
        <v>46</v>
      </c>
      <c r="F2684" s="10" t="s">
        <v>65</v>
      </c>
      <c r="G2684" s="10" t="b">
        <f>FALSE()</f>
        <v>0</v>
      </c>
      <c r="H2684" s="10">
        <v>0</v>
      </c>
      <c r="I2684" s="10">
        <v>1</v>
      </c>
      <c r="J2684" s="10">
        <v>0</v>
      </c>
      <c r="K2684" s="10">
        <v>0</v>
      </c>
      <c r="L2684" s="10">
        <v>0</v>
      </c>
      <c r="M2684" s="10">
        <v>1</v>
      </c>
      <c r="N2684" s="10">
        <v>50</v>
      </c>
      <c r="O2684" s="10">
        <v>50</v>
      </c>
    </row>
    <row r="2685" spans="1:15" x14ac:dyDescent="0.2">
      <c r="A2685" s="10" t="s">
        <v>1253</v>
      </c>
      <c r="B2685" s="10" t="s">
        <v>167</v>
      </c>
      <c r="C2685" s="10" t="s">
        <v>64</v>
      </c>
      <c r="D2685" s="10" t="s">
        <v>45</v>
      </c>
      <c r="E2685" s="10" t="s">
        <v>46</v>
      </c>
      <c r="F2685" s="10" t="s">
        <v>183</v>
      </c>
      <c r="G2685" s="10" t="b">
        <f>FALSE()</f>
        <v>0</v>
      </c>
      <c r="H2685" s="10">
        <v>0</v>
      </c>
      <c r="I2685" s="10">
        <v>1</v>
      </c>
      <c r="J2685" s="10">
        <v>0</v>
      </c>
      <c r="K2685" s="10">
        <v>0</v>
      </c>
      <c r="L2685" s="10">
        <v>0</v>
      </c>
      <c r="M2685" s="10">
        <v>1</v>
      </c>
      <c r="N2685" s="10">
        <v>114</v>
      </c>
      <c r="O2685" s="10">
        <v>50</v>
      </c>
    </row>
    <row r="2686" spans="1:15" x14ac:dyDescent="0.2">
      <c r="A2686" s="10" t="s">
        <v>1074</v>
      </c>
      <c r="B2686" s="10" t="s">
        <v>104</v>
      </c>
      <c r="C2686" s="10" t="s">
        <v>105</v>
      </c>
      <c r="D2686" s="10" t="s">
        <v>45</v>
      </c>
      <c r="E2686" s="10" t="s">
        <v>46</v>
      </c>
      <c r="F2686" s="10" t="s">
        <v>506</v>
      </c>
      <c r="G2686" s="10" t="b">
        <f>TRUE()</f>
        <v>1</v>
      </c>
      <c r="H2686" s="10">
        <v>0</v>
      </c>
      <c r="I2686" s="10">
        <v>1</v>
      </c>
      <c r="J2686" s="10">
        <v>0</v>
      </c>
      <c r="K2686" s="10">
        <v>0</v>
      </c>
      <c r="L2686" s="10">
        <v>0</v>
      </c>
      <c r="M2686" s="10">
        <v>1</v>
      </c>
      <c r="N2686" s="10">
        <v>50</v>
      </c>
      <c r="O2686" s="10">
        <v>50</v>
      </c>
    </row>
    <row r="2687" spans="1:15" x14ac:dyDescent="0.2">
      <c r="A2687" s="10" t="s">
        <v>1288</v>
      </c>
      <c r="B2687" s="10" t="s">
        <v>70</v>
      </c>
      <c r="C2687" s="10" t="s">
        <v>70</v>
      </c>
      <c r="D2687" s="10" t="s">
        <v>45</v>
      </c>
      <c r="E2687" s="10" t="s">
        <v>46</v>
      </c>
      <c r="F2687" s="10" t="s">
        <v>58</v>
      </c>
      <c r="G2687" s="10" t="b">
        <f>FALSE()</f>
        <v>0</v>
      </c>
      <c r="H2687" s="10">
        <v>0</v>
      </c>
      <c r="I2687" s="10">
        <v>1</v>
      </c>
      <c r="J2687" s="10">
        <v>0</v>
      </c>
      <c r="K2687" s="10">
        <v>0</v>
      </c>
      <c r="L2687" s="10">
        <v>0</v>
      </c>
      <c r="M2687" s="10">
        <v>1</v>
      </c>
      <c r="N2687" s="10">
        <v>50</v>
      </c>
      <c r="O2687" s="10">
        <v>50</v>
      </c>
    </row>
    <row r="2688" spans="1:15" x14ac:dyDescent="0.2">
      <c r="A2688" s="10" t="s">
        <v>946</v>
      </c>
      <c r="B2688" s="10" t="s">
        <v>89</v>
      </c>
      <c r="C2688" s="10" t="s">
        <v>90</v>
      </c>
      <c r="D2688" s="10" t="s">
        <v>51</v>
      </c>
      <c r="E2688" s="10" t="s">
        <v>52</v>
      </c>
      <c r="F2688" s="10" t="s">
        <v>207</v>
      </c>
      <c r="G2688" s="10" t="b">
        <f>FALSE()</f>
        <v>0</v>
      </c>
      <c r="H2688" s="10">
        <v>0</v>
      </c>
      <c r="I2688" s="10">
        <v>1</v>
      </c>
      <c r="J2688" s="10">
        <v>0</v>
      </c>
      <c r="K2688" s="10">
        <v>0</v>
      </c>
      <c r="L2688" s="10">
        <v>0</v>
      </c>
      <c r="M2688" s="10">
        <v>1</v>
      </c>
      <c r="N2688" s="10">
        <v>49</v>
      </c>
      <c r="O2688" s="10">
        <v>49</v>
      </c>
    </row>
    <row r="2689" spans="1:15" x14ac:dyDescent="0.2">
      <c r="A2689" s="10" t="s">
        <v>226</v>
      </c>
      <c r="B2689" s="10" t="s">
        <v>130</v>
      </c>
      <c r="C2689" s="10" t="s">
        <v>56</v>
      </c>
      <c r="D2689" s="10" t="s">
        <v>45</v>
      </c>
      <c r="E2689" s="10" t="s">
        <v>46</v>
      </c>
      <c r="F2689" s="10" t="s">
        <v>660</v>
      </c>
      <c r="G2689" s="10" t="b">
        <f>FALSE()</f>
        <v>0</v>
      </c>
      <c r="H2689" s="10">
        <v>0</v>
      </c>
      <c r="I2689" s="10">
        <v>1</v>
      </c>
      <c r="J2689" s="10">
        <v>0</v>
      </c>
      <c r="K2689" s="10">
        <v>0</v>
      </c>
      <c r="L2689" s="10">
        <v>0</v>
      </c>
      <c r="M2689" s="10">
        <v>1</v>
      </c>
      <c r="N2689" s="10">
        <v>49</v>
      </c>
      <c r="O2689" s="10">
        <v>49</v>
      </c>
    </row>
    <row r="2690" spans="1:15" x14ac:dyDescent="0.2">
      <c r="A2690" s="10" t="s">
        <v>131</v>
      </c>
      <c r="B2690" s="10" t="s">
        <v>70</v>
      </c>
      <c r="C2690" s="10" t="s">
        <v>70</v>
      </c>
      <c r="D2690" s="10" t="s">
        <v>45</v>
      </c>
      <c r="E2690" s="10" t="s">
        <v>46</v>
      </c>
      <c r="F2690" s="10" t="s">
        <v>219</v>
      </c>
      <c r="G2690" s="10" t="b">
        <f>FALSE()</f>
        <v>0</v>
      </c>
      <c r="H2690" s="10">
        <v>0</v>
      </c>
      <c r="I2690" s="10">
        <v>1</v>
      </c>
      <c r="J2690" s="10">
        <v>0</v>
      </c>
      <c r="K2690" s="10">
        <v>0</v>
      </c>
      <c r="L2690" s="10">
        <v>0</v>
      </c>
      <c r="M2690" s="10">
        <v>1</v>
      </c>
      <c r="N2690" s="10">
        <v>49</v>
      </c>
      <c r="O2690" s="10">
        <v>49</v>
      </c>
    </row>
    <row r="2691" spans="1:15" x14ac:dyDescent="0.2">
      <c r="A2691" s="10" t="s">
        <v>1130</v>
      </c>
      <c r="B2691" s="10" t="s">
        <v>193</v>
      </c>
      <c r="C2691" s="10" t="s">
        <v>117</v>
      </c>
      <c r="D2691" s="10" t="s">
        <v>51</v>
      </c>
      <c r="E2691" s="10" t="s">
        <v>52</v>
      </c>
      <c r="F2691" s="10" t="s">
        <v>236</v>
      </c>
      <c r="G2691" s="10" t="b">
        <f>FALSE()</f>
        <v>0</v>
      </c>
      <c r="H2691" s="10">
        <v>0</v>
      </c>
      <c r="I2691" s="10">
        <v>1</v>
      </c>
      <c r="J2691" s="10">
        <v>0</v>
      </c>
      <c r="K2691" s="10">
        <v>0</v>
      </c>
      <c r="L2691" s="10">
        <v>0</v>
      </c>
      <c r="M2691" s="10">
        <v>1</v>
      </c>
      <c r="N2691" s="10">
        <v>49</v>
      </c>
      <c r="O2691" s="10">
        <v>49</v>
      </c>
    </row>
    <row r="2692" spans="1:15" x14ac:dyDescent="0.2">
      <c r="A2692" s="10" t="s">
        <v>1289</v>
      </c>
      <c r="B2692" s="10" t="s">
        <v>116</v>
      </c>
      <c r="C2692" s="10" t="s">
        <v>117</v>
      </c>
      <c r="D2692" s="10" t="s">
        <v>51</v>
      </c>
      <c r="E2692" s="10" t="s">
        <v>52</v>
      </c>
      <c r="F2692" s="10" t="s">
        <v>153</v>
      </c>
      <c r="G2692" s="10" t="b">
        <f>FALSE()</f>
        <v>0</v>
      </c>
      <c r="H2692" s="10">
        <v>0</v>
      </c>
      <c r="I2692" s="10">
        <v>1</v>
      </c>
      <c r="J2692" s="10">
        <v>0</v>
      </c>
      <c r="K2692" s="10">
        <v>0</v>
      </c>
      <c r="L2692" s="10">
        <v>0</v>
      </c>
      <c r="M2692" s="10">
        <v>1</v>
      </c>
      <c r="N2692" s="10">
        <v>49</v>
      </c>
      <c r="O2692" s="10">
        <v>49</v>
      </c>
    </row>
    <row r="2693" spans="1:15" x14ac:dyDescent="0.2">
      <c r="A2693" s="10" t="s">
        <v>1330</v>
      </c>
      <c r="B2693" s="10" t="s">
        <v>128</v>
      </c>
      <c r="C2693" s="10" t="s">
        <v>50</v>
      </c>
      <c r="D2693" s="10" t="s">
        <v>51</v>
      </c>
      <c r="E2693" s="10" t="s">
        <v>52</v>
      </c>
      <c r="F2693" s="10" t="s">
        <v>132</v>
      </c>
      <c r="G2693" s="10" t="b">
        <f>FALSE()</f>
        <v>0</v>
      </c>
      <c r="H2693" s="10">
        <v>0</v>
      </c>
      <c r="I2693" s="10">
        <v>1</v>
      </c>
      <c r="J2693" s="10">
        <v>0</v>
      </c>
      <c r="K2693" s="10">
        <v>0</v>
      </c>
      <c r="L2693" s="10">
        <v>0</v>
      </c>
      <c r="M2693" s="10">
        <v>1</v>
      </c>
      <c r="N2693" s="10">
        <v>49</v>
      </c>
      <c r="O2693" s="10">
        <v>49</v>
      </c>
    </row>
    <row r="2694" spans="1:15" x14ac:dyDescent="0.2">
      <c r="A2694" s="10" t="s">
        <v>1190</v>
      </c>
      <c r="B2694" s="10" t="s">
        <v>321</v>
      </c>
      <c r="C2694" s="10" t="s">
        <v>245</v>
      </c>
      <c r="D2694" s="10" t="s">
        <v>51</v>
      </c>
      <c r="E2694" s="10" t="s">
        <v>52</v>
      </c>
      <c r="F2694" s="10" t="s">
        <v>496</v>
      </c>
      <c r="G2694" s="10" t="b">
        <f>FALSE()</f>
        <v>0</v>
      </c>
      <c r="H2694" s="10">
        <v>0</v>
      </c>
      <c r="I2694" s="10">
        <v>1</v>
      </c>
      <c r="J2694" s="10">
        <v>0</v>
      </c>
      <c r="K2694" s="10">
        <v>0</v>
      </c>
      <c r="L2694" s="10">
        <v>0</v>
      </c>
      <c r="M2694" s="10">
        <v>1</v>
      </c>
      <c r="N2694" s="10">
        <v>49</v>
      </c>
      <c r="O2694" s="10">
        <v>49</v>
      </c>
    </row>
    <row r="2695" spans="1:15" x14ac:dyDescent="0.2">
      <c r="A2695" s="10" t="s">
        <v>1270</v>
      </c>
      <c r="B2695" s="10" t="s">
        <v>72</v>
      </c>
      <c r="C2695" s="10" t="s">
        <v>73</v>
      </c>
      <c r="D2695" s="10" t="s">
        <v>45</v>
      </c>
      <c r="E2695" s="10" t="s">
        <v>46</v>
      </c>
      <c r="F2695" s="10" t="s">
        <v>94</v>
      </c>
      <c r="G2695" s="10" t="b">
        <f>FALSE()</f>
        <v>0</v>
      </c>
      <c r="H2695" s="10">
        <v>0</v>
      </c>
      <c r="I2695" s="10">
        <v>1</v>
      </c>
      <c r="J2695" s="10">
        <v>0</v>
      </c>
      <c r="K2695" s="10">
        <v>0</v>
      </c>
      <c r="L2695" s="10">
        <v>0</v>
      </c>
      <c r="M2695" s="10">
        <v>1</v>
      </c>
      <c r="N2695" s="10">
        <v>49</v>
      </c>
      <c r="O2695" s="10">
        <v>49</v>
      </c>
    </row>
    <row r="2696" spans="1:15" x14ac:dyDescent="0.2">
      <c r="A2696" s="10" t="s">
        <v>1165</v>
      </c>
      <c r="B2696" s="10" t="s">
        <v>136</v>
      </c>
      <c r="C2696" s="10" t="s">
        <v>73</v>
      </c>
      <c r="D2696" s="10" t="s">
        <v>45</v>
      </c>
      <c r="E2696" s="10" t="s">
        <v>46</v>
      </c>
      <c r="F2696" s="10" t="s">
        <v>79</v>
      </c>
      <c r="G2696" s="10" t="b">
        <f>FALSE()</f>
        <v>0</v>
      </c>
      <c r="H2696" s="10">
        <v>0</v>
      </c>
      <c r="I2696" s="10">
        <v>1</v>
      </c>
      <c r="J2696" s="10">
        <v>0</v>
      </c>
      <c r="K2696" s="10">
        <v>0</v>
      </c>
      <c r="L2696" s="10">
        <v>0</v>
      </c>
      <c r="M2696" s="10">
        <v>1</v>
      </c>
      <c r="N2696" s="10">
        <v>57</v>
      </c>
      <c r="O2696" s="10">
        <v>49</v>
      </c>
    </row>
    <row r="2697" spans="1:15" x14ac:dyDescent="0.2">
      <c r="A2697" s="10" t="s">
        <v>609</v>
      </c>
      <c r="B2697" s="10" t="s">
        <v>136</v>
      </c>
      <c r="C2697" s="10" t="s">
        <v>73</v>
      </c>
      <c r="D2697" s="10" t="s">
        <v>45</v>
      </c>
      <c r="E2697" s="10" t="s">
        <v>46</v>
      </c>
      <c r="F2697" s="10" t="s">
        <v>186</v>
      </c>
      <c r="G2697" s="10" t="b">
        <f>TRUE()</f>
        <v>1</v>
      </c>
      <c r="H2697" s="10">
        <v>0</v>
      </c>
      <c r="I2697" s="10">
        <v>1</v>
      </c>
      <c r="J2697" s="10">
        <v>0</v>
      </c>
      <c r="K2697" s="10">
        <v>0</v>
      </c>
      <c r="L2697" s="10">
        <v>0</v>
      </c>
      <c r="M2697" s="10">
        <v>1</v>
      </c>
      <c r="N2697" s="10">
        <v>48</v>
      </c>
      <c r="O2697" s="10">
        <v>48</v>
      </c>
    </row>
    <row r="2698" spans="1:15" x14ac:dyDescent="0.2">
      <c r="A2698" s="10" t="s">
        <v>1205</v>
      </c>
      <c r="B2698" s="10" t="s">
        <v>136</v>
      </c>
      <c r="C2698" s="10" t="s">
        <v>73</v>
      </c>
      <c r="D2698" s="10" t="s">
        <v>45</v>
      </c>
      <c r="E2698" s="10" t="s">
        <v>46</v>
      </c>
      <c r="F2698" s="10" t="s">
        <v>155</v>
      </c>
      <c r="G2698" s="10" t="b">
        <f>TRUE()</f>
        <v>1</v>
      </c>
      <c r="H2698" s="10">
        <v>0</v>
      </c>
      <c r="I2698" s="10">
        <v>1</v>
      </c>
      <c r="J2698" s="10">
        <v>0</v>
      </c>
      <c r="K2698" s="10">
        <v>0</v>
      </c>
      <c r="L2698" s="10">
        <v>0</v>
      </c>
      <c r="M2698" s="10">
        <v>1</v>
      </c>
      <c r="N2698" s="10">
        <v>48</v>
      </c>
      <c r="O2698" s="10">
        <v>48</v>
      </c>
    </row>
    <row r="2699" spans="1:15" x14ac:dyDescent="0.2">
      <c r="A2699" s="10" t="s">
        <v>1072</v>
      </c>
      <c r="B2699" s="10" t="s">
        <v>116</v>
      </c>
      <c r="C2699" s="10" t="s">
        <v>117</v>
      </c>
      <c r="D2699" s="10" t="s">
        <v>51</v>
      </c>
      <c r="E2699" s="10" t="s">
        <v>52</v>
      </c>
      <c r="F2699" s="10" t="s">
        <v>183</v>
      </c>
      <c r="G2699" s="10" t="b">
        <f>FALSE()</f>
        <v>0</v>
      </c>
      <c r="H2699" s="10">
        <v>0</v>
      </c>
      <c r="I2699" s="10">
        <v>1</v>
      </c>
      <c r="J2699" s="10">
        <v>0</v>
      </c>
      <c r="K2699" s="10">
        <v>0</v>
      </c>
      <c r="L2699" s="10">
        <v>0</v>
      </c>
      <c r="M2699" s="10">
        <v>1</v>
      </c>
      <c r="N2699" s="10">
        <v>97</v>
      </c>
      <c r="O2699" s="10">
        <v>48</v>
      </c>
    </row>
    <row r="2700" spans="1:15" x14ac:dyDescent="0.2">
      <c r="A2700" s="10" t="s">
        <v>1291</v>
      </c>
      <c r="B2700" s="10" t="s">
        <v>193</v>
      </c>
      <c r="C2700" s="10" t="s">
        <v>117</v>
      </c>
      <c r="D2700" s="10" t="s">
        <v>51</v>
      </c>
      <c r="E2700" s="10" t="s">
        <v>52</v>
      </c>
      <c r="F2700" s="10" t="s">
        <v>444</v>
      </c>
      <c r="G2700" s="10" t="b">
        <f>TRUE()</f>
        <v>1</v>
      </c>
      <c r="H2700" s="10">
        <v>0</v>
      </c>
      <c r="I2700" s="10">
        <v>1</v>
      </c>
      <c r="J2700" s="10">
        <v>0</v>
      </c>
      <c r="K2700" s="10">
        <v>0</v>
      </c>
      <c r="L2700" s="10">
        <v>0</v>
      </c>
      <c r="M2700" s="10">
        <v>1</v>
      </c>
      <c r="N2700" s="10">
        <v>48</v>
      </c>
      <c r="O2700" s="10">
        <v>48</v>
      </c>
    </row>
    <row r="2701" spans="1:15" x14ac:dyDescent="0.2">
      <c r="A2701" s="10" t="s">
        <v>1286</v>
      </c>
      <c r="B2701" s="10" t="s">
        <v>111</v>
      </c>
      <c r="C2701" s="10" t="s">
        <v>112</v>
      </c>
      <c r="D2701" s="10" t="s">
        <v>51</v>
      </c>
      <c r="E2701" s="10" t="s">
        <v>52</v>
      </c>
      <c r="F2701" s="10" t="s">
        <v>1331</v>
      </c>
      <c r="G2701" s="10" t="b">
        <f>FALSE()</f>
        <v>0</v>
      </c>
      <c r="H2701" s="10">
        <v>0</v>
      </c>
      <c r="I2701" s="10">
        <v>1</v>
      </c>
      <c r="J2701" s="10">
        <v>0</v>
      </c>
      <c r="K2701" s="10">
        <v>0</v>
      </c>
      <c r="L2701" s="10">
        <v>0</v>
      </c>
      <c r="M2701" s="10">
        <v>1</v>
      </c>
      <c r="N2701" s="10">
        <v>57</v>
      </c>
      <c r="O2701" s="10">
        <v>48</v>
      </c>
    </row>
    <row r="2702" spans="1:15" x14ac:dyDescent="0.2">
      <c r="A2702" s="10" t="s">
        <v>1092</v>
      </c>
      <c r="B2702" s="10" t="s">
        <v>60</v>
      </c>
      <c r="C2702" s="10" t="s">
        <v>50</v>
      </c>
      <c r="D2702" s="10" t="s">
        <v>51</v>
      </c>
      <c r="E2702" s="10" t="s">
        <v>52</v>
      </c>
      <c r="F2702" s="10" t="s">
        <v>251</v>
      </c>
      <c r="G2702" s="10" t="b">
        <f>FALSE()</f>
        <v>0</v>
      </c>
      <c r="H2702" s="10">
        <v>0</v>
      </c>
      <c r="I2702" s="10">
        <v>1</v>
      </c>
      <c r="J2702" s="10">
        <v>0</v>
      </c>
      <c r="K2702" s="10">
        <v>0</v>
      </c>
      <c r="L2702" s="10">
        <v>0</v>
      </c>
      <c r="M2702" s="10">
        <v>1</v>
      </c>
      <c r="N2702" s="10">
        <v>48</v>
      </c>
      <c r="O2702" s="10">
        <v>48</v>
      </c>
    </row>
    <row r="2703" spans="1:15" x14ac:dyDescent="0.2">
      <c r="A2703" s="10" t="s">
        <v>1183</v>
      </c>
      <c r="B2703" s="10" t="s">
        <v>89</v>
      </c>
      <c r="C2703" s="10" t="s">
        <v>90</v>
      </c>
      <c r="D2703" s="10" t="s">
        <v>51</v>
      </c>
      <c r="E2703" s="10" t="s">
        <v>52</v>
      </c>
      <c r="F2703" s="10" t="s">
        <v>153</v>
      </c>
      <c r="G2703" s="10" t="b">
        <f>FALSE()</f>
        <v>0</v>
      </c>
      <c r="H2703" s="10">
        <v>0</v>
      </c>
      <c r="I2703" s="10">
        <v>1</v>
      </c>
      <c r="J2703" s="10">
        <v>0</v>
      </c>
      <c r="K2703" s="10">
        <v>0</v>
      </c>
      <c r="L2703" s="10">
        <v>0</v>
      </c>
      <c r="M2703" s="10">
        <v>1</v>
      </c>
      <c r="N2703" s="10">
        <v>49</v>
      </c>
      <c r="O2703" s="10">
        <v>48</v>
      </c>
    </row>
    <row r="2704" spans="1:15" x14ac:dyDescent="0.2">
      <c r="A2704" s="10" t="s">
        <v>1084</v>
      </c>
      <c r="B2704" s="10" t="s">
        <v>89</v>
      </c>
      <c r="C2704" s="10" t="s">
        <v>90</v>
      </c>
      <c r="D2704" s="10" t="s">
        <v>51</v>
      </c>
      <c r="E2704" s="10" t="s">
        <v>52</v>
      </c>
      <c r="F2704" s="10" t="s">
        <v>91</v>
      </c>
      <c r="G2704" s="10" t="b">
        <f>TRUE()</f>
        <v>1</v>
      </c>
      <c r="H2704" s="10">
        <v>0</v>
      </c>
      <c r="I2704" s="10">
        <v>1</v>
      </c>
      <c r="J2704" s="10">
        <v>0</v>
      </c>
      <c r="K2704" s="10">
        <v>0</v>
      </c>
      <c r="L2704" s="10">
        <v>0</v>
      </c>
      <c r="M2704" s="10">
        <v>1</v>
      </c>
      <c r="N2704" s="10">
        <v>48</v>
      </c>
      <c r="O2704" s="10">
        <v>48</v>
      </c>
    </row>
    <row r="2705" spans="1:15" x14ac:dyDescent="0.2">
      <c r="A2705" s="10" t="s">
        <v>1332</v>
      </c>
      <c r="B2705" s="10" t="s">
        <v>70</v>
      </c>
      <c r="C2705" s="10" t="s">
        <v>70</v>
      </c>
      <c r="D2705" s="10" t="s">
        <v>45</v>
      </c>
      <c r="E2705" s="10" t="s">
        <v>46</v>
      </c>
      <c r="F2705" s="10" t="s">
        <v>92</v>
      </c>
      <c r="G2705" s="10" t="b">
        <f>FALSE()</f>
        <v>0</v>
      </c>
      <c r="H2705" s="10">
        <v>0</v>
      </c>
      <c r="I2705" s="10">
        <v>1</v>
      </c>
      <c r="J2705" s="10">
        <v>0</v>
      </c>
      <c r="K2705" s="10">
        <v>0</v>
      </c>
      <c r="L2705" s="10">
        <v>0</v>
      </c>
      <c r="M2705" s="10">
        <v>1</v>
      </c>
      <c r="N2705" s="10">
        <v>48</v>
      </c>
      <c r="O2705" s="10">
        <v>48</v>
      </c>
    </row>
    <row r="2706" spans="1:15" x14ac:dyDescent="0.2">
      <c r="A2706" s="10" t="s">
        <v>707</v>
      </c>
      <c r="B2706" s="10" t="s">
        <v>136</v>
      </c>
      <c r="C2706" s="10" t="s">
        <v>73</v>
      </c>
      <c r="D2706" s="10" t="s">
        <v>45</v>
      </c>
      <c r="E2706" s="10" t="s">
        <v>46</v>
      </c>
      <c r="F2706" s="10" t="s">
        <v>153</v>
      </c>
      <c r="G2706" s="10" t="b">
        <f>FALSE()</f>
        <v>0</v>
      </c>
      <c r="H2706" s="10">
        <v>0</v>
      </c>
      <c r="I2706" s="10">
        <v>1</v>
      </c>
      <c r="J2706" s="10">
        <v>0</v>
      </c>
      <c r="K2706" s="10">
        <v>0</v>
      </c>
      <c r="L2706" s="10">
        <v>0</v>
      </c>
      <c r="M2706" s="10">
        <v>1</v>
      </c>
      <c r="N2706" s="10">
        <v>47</v>
      </c>
      <c r="O2706" s="10">
        <v>47</v>
      </c>
    </row>
    <row r="2707" spans="1:15" x14ac:dyDescent="0.2">
      <c r="A2707" s="10" t="s">
        <v>414</v>
      </c>
      <c r="B2707" s="10" t="s">
        <v>96</v>
      </c>
      <c r="C2707" s="10" t="s">
        <v>50</v>
      </c>
      <c r="D2707" s="10" t="s">
        <v>51</v>
      </c>
      <c r="E2707" s="10" t="s">
        <v>52</v>
      </c>
      <c r="F2707" s="10" t="s">
        <v>1116</v>
      </c>
      <c r="G2707" s="10" t="b">
        <f>FALSE()</f>
        <v>0</v>
      </c>
      <c r="H2707" s="10">
        <v>0</v>
      </c>
      <c r="I2707" s="10">
        <v>1</v>
      </c>
      <c r="J2707" s="10">
        <v>0</v>
      </c>
      <c r="K2707" s="10">
        <v>0</v>
      </c>
      <c r="L2707" s="10">
        <v>0</v>
      </c>
      <c r="M2707" s="10">
        <v>1</v>
      </c>
      <c r="N2707" s="10">
        <v>47</v>
      </c>
      <c r="O2707" s="10">
        <v>47</v>
      </c>
    </row>
    <row r="2708" spans="1:15" x14ac:dyDescent="0.2">
      <c r="A2708" s="10" t="s">
        <v>1333</v>
      </c>
      <c r="B2708" s="10" t="s">
        <v>1334</v>
      </c>
      <c r="C2708" s="10" t="s">
        <v>50</v>
      </c>
      <c r="D2708" s="10" t="s">
        <v>51</v>
      </c>
      <c r="E2708" s="10" t="s">
        <v>52</v>
      </c>
      <c r="F2708" s="10" t="s">
        <v>180</v>
      </c>
      <c r="G2708" s="10" t="b">
        <f>FALSE()</f>
        <v>0</v>
      </c>
      <c r="H2708" s="10">
        <v>0</v>
      </c>
      <c r="I2708" s="10">
        <v>1</v>
      </c>
      <c r="J2708" s="10">
        <v>0</v>
      </c>
      <c r="K2708" s="10">
        <v>0</v>
      </c>
      <c r="L2708" s="10">
        <v>0</v>
      </c>
      <c r="M2708" s="10">
        <v>1</v>
      </c>
      <c r="N2708" s="10">
        <v>47</v>
      </c>
      <c r="O2708" s="10">
        <v>47</v>
      </c>
    </row>
    <row r="2709" spans="1:15" x14ac:dyDescent="0.2">
      <c r="A2709" s="10" t="s">
        <v>1047</v>
      </c>
      <c r="B2709" s="10" t="s">
        <v>96</v>
      </c>
      <c r="C2709" s="10" t="s">
        <v>50</v>
      </c>
      <c r="D2709" s="10" t="s">
        <v>51</v>
      </c>
      <c r="E2709" s="10" t="s">
        <v>52</v>
      </c>
      <c r="F2709" s="10" t="s">
        <v>1335</v>
      </c>
      <c r="G2709" s="10" t="b">
        <f>FALSE()</f>
        <v>0</v>
      </c>
      <c r="H2709" s="10">
        <v>0</v>
      </c>
      <c r="I2709" s="10">
        <v>1</v>
      </c>
      <c r="J2709" s="10">
        <v>0</v>
      </c>
      <c r="K2709" s="10">
        <v>0</v>
      </c>
      <c r="L2709" s="10">
        <v>0</v>
      </c>
      <c r="M2709" s="10">
        <v>1</v>
      </c>
      <c r="N2709" s="10">
        <v>47</v>
      </c>
      <c r="O2709" s="10">
        <v>47</v>
      </c>
    </row>
    <row r="2710" spans="1:15" x14ac:dyDescent="0.2">
      <c r="A2710" s="10" t="s">
        <v>1104</v>
      </c>
      <c r="B2710" s="10" t="s">
        <v>128</v>
      </c>
      <c r="C2710" s="10" t="s">
        <v>50</v>
      </c>
      <c r="D2710" s="10" t="s">
        <v>51</v>
      </c>
      <c r="E2710" s="10" t="s">
        <v>52</v>
      </c>
      <c r="F2710" s="10" t="s">
        <v>1336</v>
      </c>
      <c r="G2710" s="10" t="b">
        <f>TRUE()</f>
        <v>1</v>
      </c>
      <c r="H2710" s="10">
        <v>0</v>
      </c>
      <c r="I2710" s="10">
        <v>1</v>
      </c>
      <c r="J2710" s="10">
        <v>0</v>
      </c>
      <c r="K2710" s="10">
        <v>0</v>
      </c>
      <c r="L2710" s="10">
        <v>0</v>
      </c>
      <c r="M2710" s="10">
        <v>1</v>
      </c>
      <c r="N2710" s="10">
        <v>48</v>
      </c>
      <c r="O2710" s="10">
        <v>47</v>
      </c>
    </row>
    <row r="2711" spans="1:15" x14ac:dyDescent="0.2">
      <c r="A2711" s="10" t="s">
        <v>179</v>
      </c>
      <c r="B2711" s="10" t="s">
        <v>55</v>
      </c>
      <c r="C2711" s="10" t="s">
        <v>56</v>
      </c>
      <c r="D2711" s="10" t="s">
        <v>45</v>
      </c>
      <c r="E2711" s="10" t="s">
        <v>46</v>
      </c>
      <c r="F2711" s="10" t="s">
        <v>986</v>
      </c>
      <c r="G2711" s="10" t="b">
        <f>FALSE()</f>
        <v>0</v>
      </c>
      <c r="H2711" s="10">
        <v>0</v>
      </c>
      <c r="I2711" s="10">
        <v>1</v>
      </c>
      <c r="J2711" s="10">
        <v>0</v>
      </c>
      <c r="K2711" s="10">
        <v>0</v>
      </c>
      <c r="L2711" s="10">
        <v>0</v>
      </c>
      <c r="M2711" s="10">
        <v>1</v>
      </c>
      <c r="N2711" s="10">
        <v>47</v>
      </c>
      <c r="O2711" s="10">
        <v>46</v>
      </c>
    </row>
    <row r="2712" spans="1:15" x14ac:dyDescent="0.2">
      <c r="A2712" s="10" t="s">
        <v>873</v>
      </c>
      <c r="B2712" s="10" t="s">
        <v>70</v>
      </c>
      <c r="C2712" s="10" t="s">
        <v>70</v>
      </c>
      <c r="D2712" s="10" t="s">
        <v>45</v>
      </c>
      <c r="E2712" s="10" t="s">
        <v>46</v>
      </c>
      <c r="F2712" s="10" t="s">
        <v>393</v>
      </c>
      <c r="G2712" s="10" t="b">
        <f>FALSE()</f>
        <v>0</v>
      </c>
      <c r="H2712" s="10">
        <v>0</v>
      </c>
      <c r="I2712" s="10">
        <v>1</v>
      </c>
      <c r="J2712" s="10">
        <v>0</v>
      </c>
      <c r="K2712" s="10">
        <v>0</v>
      </c>
      <c r="L2712" s="10">
        <v>0</v>
      </c>
      <c r="M2712" s="10">
        <v>1</v>
      </c>
      <c r="N2712" s="10">
        <v>46</v>
      </c>
      <c r="O2712" s="10">
        <v>46</v>
      </c>
    </row>
    <row r="2713" spans="1:15" x14ac:dyDescent="0.2">
      <c r="A2713" s="10" t="s">
        <v>1181</v>
      </c>
      <c r="B2713" s="10" t="s">
        <v>116</v>
      </c>
      <c r="C2713" s="10" t="s">
        <v>117</v>
      </c>
      <c r="D2713" s="10" t="s">
        <v>51</v>
      </c>
      <c r="E2713" s="10" t="s">
        <v>52</v>
      </c>
      <c r="F2713" s="10" t="s">
        <v>345</v>
      </c>
      <c r="G2713" s="10" t="b">
        <f>FALSE()</f>
        <v>0</v>
      </c>
      <c r="H2713" s="10">
        <v>0</v>
      </c>
      <c r="I2713" s="10">
        <v>1</v>
      </c>
      <c r="J2713" s="10">
        <v>0</v>
      </c>
      <c r="K2713" s="10">
        <v>0</v>
      </c>
      <c r="L2713" s="10">
        <v>0</v>
      </c>
      <c r="M2713" s="10">
        <v>1</v>
      </c>
      <c r="N2713" s="10">
        <v>46</v>
      </c>
      <c r="O2713" s="10">
        <v>46</v>
      </c>
    </row>
    <row r="2714" spans="1:15" x14ac:dyDescent="0.2">
      <c r="A2714" s="10" t="s">
        <v>1199</v>
      </c>
      <c r="B2714" s="10" t="s">
        <v>890</v>
      </c>
      <c r="C2714" s="10" t="s">
        <v>112</v>
      </c>
      <c r="D2714" s="10" t="s">
        <v>51</v>
      </c>
      <c r="E2714" s="10" t="s">
        <v>52</v>
      </c>
      <c r="F2714" s="10" t="s">
        <v>251</v>
      </c>
      <c r="G2714" s="10" t="b">
        <f>FALSE()</f>
        <v>0</v>
      </c>
      <c r="H2714" s="10">
        <v>0</v>
      </c>
      <c r="I2714" s="10">
        <v>1</v>
      </c>
      <c r="J2714" s="10">
        <v>0</v>
      </c>
      <c r="K2714" s="10">
        <v>0</v>
      </c>
      <c r="L2714" s="10">
        <v>0</v>
      </c>
      <c r="M2714" s="10">
        <v>1</v>
      </c>
      <c r="N2714" s="10">
        <v>47</v>
      </c>
      <c r="O2714" s="10">
        <v>46</v>
      </c>
    </row>
    <row r="2715" spans="1:15" x14ac:dyDescent="0.2">
      <c r="A2715" s="10" t="s">
        <v>1188</v>
      </c>
      <c r="B2715" s="10" t="s">
        <v>111</v>
      </c>
      <c r="C2715" s="10" t="s">
        <v>112</v>
      </c>
      <c r="D2715" s="10" t="s">
        <v>51</v>
      </c>
      <c r="E2715" s="10" t="s">
        <v>52</v>
      </c>
      <c r="F2715" s="10" t="s">
        <v>204</v>
      </c>
      <c r="G2715" s="10" t="b">
        <f>FALSE()</f>
        <v>0</v>
      </c>
      <c r="H2715" s="10">
        <v>0</v>
      </c>
      <c r="I2715" s="10">
        <v>1</v>
      </c>
      <c r="J2715" s="10">
        <v>0</v>
      </c>
      <c r="K2715" s="10">
        <v>0</v>
      </c>
      <c r="L2715" s="10">
        <v>0</v>
      </c>
      <c r="M2715" s="10">
        <v>1</v>
      </c>
      <c r="N2715" s="10">
        <v>61</v>
      </c>
      <c r="O2715" s="10">
        <v>46</v>
      </c>
    </row>
    <row r="2716" spans="1:15" x14ac:dyDescent="0.2">
      <c r="A2716" s="10" t="s">
        <v>1163</v>
      </c>
      <c r="B2716" s="10" t="s">
        <v>247</v>
      </c>
      <c r="C2716" s="10" t="s">
        <v>245</v>
      </c>
      <c r="D2716" s="10" t="s">
        <v>51</v>
      </c>
      <c r="E2716" s="10" t="s">
        <v>52</v>
      </c>
      <c r="F2716" s="10" t="s">
        <v>660</v>
      </c>
      <c r="G2716" s="10" t="b">
        <f>FALSE()</f>
        <v>0</v>
      </c>
      <c r="H2716" s="10">
        <v>0</v>
      </c>
      <c r="I2716" s="10">
        <v>1</v>
      </c>
      <c r="J2716" s="10">
        <v>0</v>
      </c>
      <c r="K2716" s="10">
        <v>0</v>
      </c>
      <c r="L2716" s="10">
        <v>0</v>
      </c>
      <c r="M2716" s="10">
        <v>1</v>
      </c>
      <c r="N2716" s="10">
        <v>46</v>
      </c>
      <c r="O2716" s="10">
        <v>46</v>
      </c>
    </row>
    <row r="2717" spans="1:15" x14ac:dyDescent="0.2">
      <c r="A2717" s="10" t="s">
        <v>1077</v>
      </c>
      <c r="B2717" s="10" t="s">
        <v>606</v>
      </c>
      <c r="C2717" s="10" t="s">
        <v>64</v>
      </c>
      <c r="D2717" s="10" t="s">
        <v>45</v>
      </c>
      <c r="E2717" s="10" t="s">
        <v>46</v>
      </c>
      <c r="F2717" s="10" t="s">
        <v>65</v>
      </c>
      <c r="G2717" s="10" t="b">
        <f>FALSE()</f>
        <v>0</v>
      </c>
      <c r="H2717" s="10">
        <v>0</v>
      </c>
      <c r="I2717" s="10">
        <v>1</v>
      </c>
      <c r="J2717" s="10">
        <v>0</v>
      </c>
      <c r="K2717" s="10">
        <v>0</v>
      </c>
      <c r="L2717" s="10">
        <v>0</v>
      </c>
      <c r="M2717" s="10">
        <v>1</v>
      </c>
      <c r="N2717" s="10">
        <v>46</v>
      </c>
      <c r="O2717" s="10">
        <v>46</v>
      </c>
    </row>
    <row r="2718" spans="1:15" x14ac:dyDescent="0.2">
      <c r="A2718" s="10" t="s">
        <v>1313</v>
      </c>
      <c r="B2718" s="10" t="s">
        <v>70</v>
      </c>
      <c r="C2718" s="10" t="s">
        <v>70</v>
      </c>
      <c r="D2718" s="10" t="s">
        <v>45</v>
      </c>
      <c r="E2718" s="10" t="s">
        <v>46</v>
      </c>
      <c r="F2718" s="10" t="s">
        <v>207</v>
      </c>
      <c r="G2718" s="10" t="b">
        <f>FALSE()</f>
        <v>0</v>
      </c>
      <c r="H2718" s="10">
        <v>0</v>
      </c>
      <c r="I2718" s="10">
        <v>1</v>
      </c>
      <c r="J2718" s="10">
        <v>0</v>
      </c>
      <c r="K2718" s="10">
        <v>0</v>
      </c>
      <c r="L2718" s="10">
        <v>0</v>
      </c>
      <c r="M2718" s="10">
        <v>1</v>
      </c>
      <c r="N2718" s="10">
        <v>46</v>
      </c>
      <c r="O2718" s="10">
        <v>46</v>
      </c>
    </row>
    <row r="2719" spans="1:15" x14ac:dyDescent="0.2">
      <c r="A2719" s="10" t="s">
        <v>209</v>
      </c>
      <c r="B2719" s="10" t="s">
        <v>178</v>
      </c>
      <c r="C2719" s="10" t="s">
        <v>73</v>
      </c>
      <c r="D2719" s="10" t="s">
        <v>45</v>
      </c>
      <c r="E2719" s="10" t="s">
        <v>46</v>
      </c>
      <c r="F2719" s="10" t="s">
        <v>704</v>
      </c>
      <c r="G2719" s="10" t="b">
        <f>FALSE()</f>
        <v>0</v>
      </c>
      <c r="H2719" s="10">
        <v>0</v>
      </c>
      <c r="I2719" s="10">
        <v>1</v>
      </c>
      <c r="J2719" s="10">
        <v>0</v>
      </c>
      <c r="K2719" s="10">
        <v>0</v>
      </c>
      <c r="L2719" s="10">
        <v>0</v>
      </c>
      <c r="M2719" s="10">
        <v>1</v>
      </c>
      <c r="N2719" s="10">
        <v>46</v>
      </c>
      <c r="O2719" s="10">
        <v>45</v>
      </c>
    </row>
    <row r="2720" spans="1:15" x14ac:dyDescent="0.2">
      <c r="A2720" s="10" t="s">
        <v>343</v>
      </c>
      <c r="B2720" s="10" t="s">
        <v>385</v>
      </c>
      <c r="C2720" s="10" t="s">
        <v>90</v>
      </c>
      <c r="D2720" s="10" t="s">
        <v>51</v>
      </c>
      <c r="E2720" s="10" t="s">
        <v>52</v>
      </c>
      <c r="F2720" s="10" t="s">
        <v>1335</v>
      </c>
      <c r="G2720" s="10" t="b">
        <f>FALSE()</f>
        <v>0</v>
      </c>
      <c r="H2720" s="10">
        <v>0</v>
      </c>
      <c r="I2720" s="10">
        <v>1</v>
      </c>
      <c r="J2720" s="10">
        <v>0</v>
      </c>
      <c r="K2720" s="10">
        <v>0</v>
      </c>
      <c r="L2720" s="10">
        <v>0</v>
      </c>
      <c r="M2720" s="10">
        <v>1</v>
      </c>
      <c r="N2720" s="10">
        <v>60</v>
      </c>
      <c r="O2720" s="10">
        <v>45</v>
      </c>
    </row>
    <row r="2721" spans="1:15" x14ac:dyDescent="0.2">
      <c r="A2721" s="10" t="s">
        <v>495</v>
      </c>
      <c r="B2721" s="10" t="s">
        <v>119</v>
      </c>
      <c r="C2721" s="10" t="s">
        <v>56</v>
      </c>
      <c r="D2721" s="10" t="s">
        <v>45</v>
      </c>
      <c r="E2721" s="10" t="s">
        <v>46</v>
      </c>
      <c r="F2721" s="10" t="s">
        <v>1257</v>
      </c>
      <c r="G2721" s="10" t="b">
        <f>TRUE()</f>
        <v>1</v>
      </c>
      <c r="H2721" s="10">
        <v>0</v>
      </c>
      <c r="I2721" s="10">
        <v>1</v>
      </c>
      <c r="J2721" s="10">
        <v>0</v>
      </c>
      <c r="K2721" s="10">
        <v>0</v>
      </c>
      <c r="L2721" s="10">
        <v>0</v>
      </c>
      <c r="M2721" s="10">
        <v>1</v>
      </c>
      <c r="N2721" s="10">
        <v>45</v>
      </c>
      <c r="O2721" s="10">
        <v>45</v>
      </c>
    </row>
    <row r="2722" spans="1:15" x14ac:dyDescent="0.2">
      <c r="A2722" s="10" t="s">
        <v>1130</v>
      </c>
      <c r="B2722" s="10" t="s">
        <v>193</v>
      </c>
      <c r="C2722" s="10" t="s">
        <v>117</v>
      </c>
      <c r="D2722" s="10" t="s">
        <v>51</v>
      </c>
      <c r="E2722" s="10" t="s">
        <v>52</v>
      </c>
      <c r="F2722" s="10" t="s">
        <v>345</v>
      </c>
      <c r="G2722" s="10" t="b">
        <f>FALSE()</f>
        <v>0</v>
      </c>
      <c r="H2722" s="10">
        <v>0</v>
      </c>
      <c r="I2722" s="10">
        <v>1</v>
      </c>
      <c r="J2722" s="10">
        <v>0</v>
      </c>
      <c r="K2722" s="10">
        <v>0</v>
      </c>
      <c r="L2722" s="10">
        <v>0</v>
      </c>
      <c r="M2722" s="10">
        <v>1</v>
      </c>
      <c r="N2722" s="10">
        <v>45</v>
      </c>
      <c r="O2722" s="10">
        <v>45</v>
      </c>
    </row>
    <row r="2723" spans="1:15" x14ac:dyDescent="0.2">
      <c r="A2723" s="10" t="s">
        <v>1141</v>
      </c>
      <c r="B2723" s="10" t="s">
        <v>405</v>
      </c>
      <c r="C2723" s="10" t="s">
        <v>112</v>
      </c>
      <c r="D2723" s="10" t="s">
        <v>51</v>
      </c>
      <c r="E2723" s="10" t="s">
        <v>52</v>
      </c>
      <c r="F2723" s="10" t="s">
        <v>212</v>
      </c>
      <c r="G2723" s="10" t="b">
        <f>FALSE()</f>
        <v>0</v>
      </c>
      <c r="H2723" s="10">
        <v>0</v>
      </c>
      <c r="I2723" s="10">
        <v>1</v>
      </c>
      <c r="J2723" s="10">
        <v>0</v>
      </c>
      <c r="K2723" s="10">
        <v>0</v>
      </c>
      <c r="L2723" s="10">
        <v>0</v>
      </c>
      <c r="M2723" s="10">
        <v>1</v>
      </c>
      <c r="N2723" s="10">
        <v>53</v>
      </c>
      <c r="O2723" s="10">
        <v>45</v>
      </c>
    </row>
    <row r="2724" spans="1:15" x14ac:dyDescent="0.2">
      <c r="A2724" s="10" t="s">
        <v>1298</v>
      </c>
      <c r="B2724" s="10" t="s">
        <v>109</v>
      </c>
      <c r="C2724" s="10" t="s">
        <v>90</v>
      </c>
      <c r="D2724" s="10" t="s">
        <v>51</v>
      </c>
      <c r="E2724" s="10" t="s">
        <v>52</v>
      </c>
      <c r="F2724" s="10" t="s">
        <v>190</v>
      </c>
      <c r="G2724" s="10" t="b">
        <f>TRUE()</f>
        <v>1</v>
      </c>
      <c r="H2724" s="10">
        <v>0</v>
      </c>
      <c r="I2724" s="10">
        <v>1</v>
      </c>
      <c r="J2724" s="10">
        <v>0</v>
      </c>
      <c r="K2724" s="10">
        <v>0</v>
      </c>
      <c r="L2724" s="10">
        <v>0</v>
      </c>
      <c r="M2724" s="10">
        <v>1</v>
      </c>
      <c r="N2724" s="10">
        <v>48</v>
      </c>
      <c r="O2724" s="10">
        <v>45</v>
      </c>
    </row>
    <row r="2725" spans="1:15" x14ac:dyDescent="0.2">
      <c r="A2725" s="10" t="s">
        <v>1170</v>
      </c>
      <c r="B2725" s="10" t="s">
        <v>146</v>
      </c>
      <c r="C2725" s="10" t="s">
        <v>105</v>
      </c>
      <c r="D2725" s="10" t="s">
        <v>45</v>
      </c>
      <c r="E2725" s="10" t="s">
        <v>46</v>
      </c>
      <c r="F2725" s="10" t="s">
        <v>251</v>
      </c>
      <c r="G2725" s="10" t="b">
        <f>FALSE()</f>
        <v>0</v>
      </c>
      <c r="H2725" s="10">
        <v>0</v>
      </c>
      <c r="I2725" s="10">
        <v>1</v>
      </c>
      <c r="J2725" s="10">
        <v>0</v>
      </c>
      <c r="K2725" s="10">
        <v>0</v>
      </c>
      <c r="L2725" s="10">
        <v>0</v>
      </c>
      <c r="M2725" s="10">
        <v>1</v>
      </c>
      <c r="N2725" s="10">
        <v>45</v>
      </c>
      <c r="O2725" s="10">
        <v>45</v>
      </c>
    </row>
    <row r="2726" spans="1:15" x14ac:dyDescent="0.2">
      <c r="A2726" s="10" t="s">
        <v>1241</v>
      </c>
      <c r="B2726" s="10" t="s">
        <v>262</v>
      </c>
      <c r="C2726" s="10" t="s">
        <v>105</v>
      </c>
      <c r="D2726" s="10" t="s">
        <v>45</v>
      </c>
      <c r="E2726" s="10" t="s">
        <v>46</v>
      </c>
      <c r="F2726" s="10" t="s">
        <v>61</v>
      </c>
      <c r="G2726" s="10" t="b">
        <f>FALSE()</f>
        <v>0</v>
      </c>
      <c r="H2726" s="10">
        <v>0</v>
      </c>
      <c r="I2726" s="10">
        <v>1</v>
      </c>
      <c r="J2726" s="10">
        <v>0</v>
      </c>
      <c r="K2726" s="10">
        <v>0</v>
      </c>
      <c r="L2726" s="10">
        <v>0</v>
      </c>
      <c r="M2726" s="10">
        <v>1</v>
      </c>
      <c r="N2726" s="10">
        <v>45</v>
      </c>
      <c r="O2726" s="10">
        <v>45</v>
      </c>
    </row>
    <row r="2727" spans="1:15" x14ac:dyDescent="0.2">
      <c r="A2727" s="10" t="s">
        <v>1248</v>
      </c>
      <c r="B2727" s="10" t="s">
        <v>55</v>
      </c>
      <c r="C2727" s="10" t="s">
        <v>56</v>
      </c>
      <c r="D2727" s="10" t="s">
        <v>45</v>
      </c>
      <c r="E2727" s="10" t="s">
        <v>46</v>
      </c>
      <c r="F2727" s="10" t="s">
        <v>92</v>
      </c>
      <c r="G2727" s="10" t="b">
        <f>FALSE()</f>
        <v>0</v>
      </c>
      <c r="H2727" s="10">
        <v>0</v>
      </c>
      <c r="I2727" s="10">
        <v>1</v>
      </c>
      <c r="J2727" s="10">
        <v>0</v>
      </c>
      <c r="K2727" s="10">
        <v>0</v>
      </c>
      <c r="L2727" s="10">
        <v>0</v>
      </c>
      <c r="M2727" s="10">
        <v>1</v>
      </c>
      <c r="N2727" s="10">
        <v>45</v>
      </c>
      <c r="O2727" s="10">
        <v>45</v>
      </c>
    </row>
    <row r="2728" spans="1:15" x14ac:dyDescent="0.2">
      <c r="A2728" s="10" t="s">
        <v>1040</v>
      </c>
      <c r="B2728" s="10" t="s">
        <v>55</v>
      </c>
      <c r="C2728" s="10" t="s">
        <v>56</v>
      </c>
      <c r="D2728" s="10" t="s">
        <v>45</v>
      </c>
      <c r="E2728" s="10" t="s">
        <v>46</v>
      </c>
      <c r="F2728" s="10" t="s">
        <v>1337</v>
      </c>
      <c r="G2728" s="10" t="b">
        <f>TRUE()</f>
        <v>1</v>
      </c>
      <c r="H2728" s="10">
        <v>0</v>
      </c>
      <c r="I2728" s="10">
        <v>1</v>
      </c>
      <c r="J2728" s="10">
        <v>0</v>
      </c>
      <c r="K2728" s="10">
        <v>0</v>
      </c>
      <c r="L2728" s="10">
        <v>0</v>
      </c>
      <c r="M2728" s="10">
        <v>1</v>
      </c>
      <c r="N2728" s="10">
        <v>47</v>
      </c>
      <c r="O2728" s="10">
        <v>45</v>
      </c>
    </row>
    <row r="2729" spans="1:15" x14ac:dyDescent="0.2">
      <c r="A2729" s="10" t="s">
        <v>796</v>
      </c>
      <c r="B2729" s="10" t="s">
        <v>72</v>
      </c>
      <c r="C2729" s="10" t="s">
        <v>73</v>
      </c>
      <c r="D2729" s="10" t="s">
        <v>45</v>
      </c>
      <c r="E2729" s="10" t="s">
        <v>46</v>
      </c>
      <c r="F2729" s="10" t="s">
        <v>365</v>
      </c>
      <c r="G2729" s="10" t="b">
        <f>TRUE()</f>
        <v>1</v>
      </c>
      <c r="H2729" s="10">
        <v>1</v>
      </c>
      <c r="I2729" s="10">
        <v>1</v>
      </c>
      <c r="J2729" s="10">
        <v>1</v>
      </c>
      <c r="K2729" s="10">
        <v>23</v>
      </c>
      <c r="L2729" s="10">
        <v>0</v>
      </c>
      <c r="M2729" s="10">
        <v>1</v>
      </c>
      <c r="N2729" s="10">
        <v>44</v>
      </c>
      <c r="O2729" s="10">
        <v>44</v>
      </c>
    </row>
    <row r="2730" spans="1:15" x14ac:dyDescent="0.2">
      <c r="A2730" s="10" t="s">
        <v>1191</v>
      </c>
      <c r="B2730" s="10" t="s">
        <v>384</v>
      </c>
      <c r="C2730" s="10" t="s">
        <v>50</v>
      </c>
      <c r="D2730" s="10" t="s">
        <v>51</v>
      </c>
      <c r="E2730" s="10" t="s">
        <v>52</v>
      </c>
      <c r="F2730" s="10" t="s">
        <v>74</v>
      </c>
      <c r="G2730" s="10" t="b">
        <f>FALSE()</f>
        <v>0</v>
      </c>
      <c r="H2730" s="10">
        <v>0</v>
      </c>
      <c r="I2730" s="10">
        <v>1</v>
      </c>
      <c r="J2730" s="10">
        <v>0</v>
      </c>
      <c r="K2730" s="10">
        <v>0</v>
      </c>
      <c r="L2730" s="10">
        <v>0</v>
      </c>
      <c r="M2730" s="10">
        <v>1</v>
      </c>
      <c r="N2730" s="10">
        <v>44</v>
      </c>
      <c r="O2730" s="10">
        <v>44</v>
      </c>
    </row>
    <row r="2731" spans="1:15" x14ac:dyDescent="0.2">
      <c r="A2731" s="10" t="s">
        <v>1068</v>
      </c>
      <c r="B2731" s="10" t="s">
        <v>238</v>
      </c>
      <c r="C2731" s="10" t="s">
        <v>90</v>
      </c>
      <c r="D2731" s="10" t="s">
        <v>51</v>
      </c>
      <c r="E2731" s="10" t="s">
        <v>52</v>
      </c>
      <c r="F2731" s="10" t="s">
        <v>113</v>
      </c>
      <c r="G2731" s="10" t="b">
        <f>TRUE()</f>
        <v>1</v>
      </c>
      <c r="H2731" s="10">
        <v>0</v>
      </c>
      <c r="I2731" s="10">
        <v>1</v>
      </c>
      <c r="J2731" s="10">
        <v>0</v>
      </c>
      <c r="K2731" s="10">
        <v>0</v>
      </c>
      <c r="L2731" s="10">
        <v>0</v>
      </c>
      <c r="M2731" s="10">
        <v>1</v>
      </c>
      <c r="N2731" s="10">
        <v>45</v>
      </c>
      <c r="O2731" s="10">
        <v>44</v>
      </c>
    </row>
    <row r="2732" spans="1:15" x14ac:dyDescent="0.2">
      <c r="A2732" s="10" t="s">
        <v>1196</v>
      </c>
      <c r="B2732" s="10" t="s">
        <v>104</v>
      </c>
      <c r="C2732" s="10" t="s">
        <v>105</v>
      </c>
      <c r="D2732" s="10" t="s">
        <v>45</v>
      </c>
      <c r="E2732" s="10" t="s">
        <v>46</v>
      </c>
      <c r="F2732" s="10" t="s">
        <v>530</v>
      </c>
      <c r="G2732" s="10" t="b">
        <f>TRUE()</f>
        <v>1</v>
      </c>
      <c r="H2732" s="10">
        <v>0</v>
      </c>
      <c r="I2732" s="10">
        <v>1</v>
      </c>
      <c r="J2732" s="10">
        <v>0</v>
      </c>
      <c r="K2732" s="10">
        <v>0</v>
      </c>
      <c r="L2732" s="10">
        <v>0</v>
      </c>
      <c r="M2732" s="10">
        <v>1</v>
      </c>
      <c r="N2732" s="10">
        <v>44</v>
      </c>
      <c r="O2732" s="10">
        <v>44</v>
      </c>
    </row>
    <row r="2733" spans="1:15" x14ac:dyDescent="0.2">
      <c r="A2733" s="10" t="s">
        <v>1254</v>
      </c>
      <c r="B2733" s="10" t="s">
        <v>70</v>
      </c>
      <c r="C2733" s="10" t="s">
        <v>70</v>
      </c>
      <c r="D2733" s="10" t="s">
        <v>45</v>
      </c>
      <c r="E2733" s="10" t="s">
        <v>46</v>
      </c>
      <c r="F2733" s="10" t="s">
        <v>61</v>
      </c>
      <c r="G2733" s="10" t="b">
        <f>FALSE()</f>
        <v>0</v>
      </c>
      <c r="H2733" s="10">
        <v>0</v>
      </c>
      <c r="I2733" s="10">
        <v>1</v>
      </c>
      <c r="J2733" s="10">
        <v>0</v>
      </c>
      <c r="K2733" s="10">
        <v>0</v>
      </c>
      <c r="L2733" s="10">
        <v>0</v>
      </c>
      <c r="M2733" s="10">
        <v>1</v>
      </c>
      <c r="N2733" s="10">
        <v>44</v>
      </c>
      <c r="O2733" s="10">
        <v>44</v>
      </c>
    </row>
    <row r="2734" spans="1:15" x14ac:dyDescent="0.2">
      <c r="A2734" s="10" t="s">
        <v>453</v>
      </c>
      <c r="B2734" s="10" t="s">
        <v>136</v>
      </c>
      <c r="C2734" s="10" t="s">
        <v>73</v>
      </c>
      <c r="D2734" s="10" t="s">
        <v>45</v>
      </c>
      <c r="E2734" s="10" t="s">
        <v>46</v>
      </c>
      <c r="F2734" s="10" t="s">
        <v>1116</v>
      </c>
      <c r="G2734" s="10" t="b">
        <f>FALSE()</f>
        <v>0</v>
      </c>
      <c r="H2734" s="10">
        <v>0</v>
      </c>
      <c r="I2734" s="10">
        <v>1</v>
      </c>
      <c r="J2734" s="10">
        <v>0</v>
      </c>
      <c r="K2734" s="10">
        <v>0</v>
      </c>
      <c r="L2734" s="10">
        <v>0</v>
      </c>
      <c r="M2734" s="10">
        <v>1</v>
      </c>
      <c r="N2734" s="10">
        <v>43</v>
      </c>
      <c r="O2734" s="10">
        <v>43</v>
      </c>
    </row>
    <row r="2735" spans="1:15" x14ac:dyDescent="0.2">
      <c r="A2735" s="10" t="s">
        <v>101</v>
      </c>
      <c r="B2735" s="10" t="s">
        <v>55</v>
      </c>
      <c r="C2735" s="10" t="s">
        <v>56</v>
      </c>
      <c r="D2735" s="10" t="s">
        <v>45</v>
      </c>
      <c r="E2735" s="10" t="s">
        <v>46</v>
      </c>
      <c r="F2735" s="10" t="s">
        <v>967</v>
      </c>
      <c r="G2735" s="10" t="b">
        <f>FALSE()</f>
        <v>0</v>
      </c>
      <c r="H2735" s="10">
        <v>0</v>
      </c>
      <c r="I2735" s="10">
        <v>1</v>
      </c>
      <c r="J2735" s="10">
        <v>0</v>
      </c>
      <c r="K2735" s="10">
        <v>0</v>
      </c>
      <c r="L2735" s="10">
        <v>0</v>
      </c>
      <c r="M2735" s="10">
        <v>1</v>
      </c>
      <c r="N2735" s="10">
        <v>43</v>
      </c>
      <c r="O2735" s="10">
        <v>43</v>
      </c>
    </row>
    <row r="2736" spans="1:15" x14ac:dyDescent="0.2">
      <c r="A2736" s="10" t="s">
        <v>1201</v>
      </c>
      <c r="B2736" s="10" t="s">
        <v>759</v>
      </c>
      <c r="C2736" s="10" t="s">
        <v>112</v>
      </c>
      <c r="D2736" s="10" t="s">
        <v>51</v>
      </c>
      <c r="E2736" s="10" t="s">
        <v>52</v>
      </c>
      <c r="F2736" s="10" t="s">
        <v>91</v>
      </c>
      <c r="G2736" s="10" t="b">
        <f>TRUE()</f>
        <v>1</v>
      </c>
      <c r="H2736" s="10">
        <v>0</v>
      </c>
      <c r="I2736" s="10">
        <v>1</v>
      </c>
      <c r="J2736" s="10">
        <v>0</v>
      </c>
      <c r="K2736" s="10">
        <v>0</v>
      </c>
      <c r="L2736" s="10">
        <v>0</v>
      </c>
      <c r="M2736" s="10">
        <v>1</v>
      </c>
      <c r="N2736" s="10">
        <v>43</v>
      </c>
      <c r="O2736" s="10">
        <v>43</v>
      </c>
    </row>
    <row r="2737" spans="1:15" x14ac:dyDescent="0.2">
      <c r="A2737" s="10" t="s">
        <v>1246</v>
      </c>
      <c r="B2737" s="10" t="s">
        <v>333</v>
      </c>
      <c r="C2737" s="10" t="s">
        <v>50</v>
      </c>
      <c r="D2737" s="10" t="s">
        <v>51</v>
      </c>
      <c r="E2737" s="10" t="s">
        <v>52</v>
      </c>
      <c r="F2737" s="10" t="s">
        <v>318</v>
      </c>
      <c r="G2737" s="10" t="b">
        <f>FALSE()</f>
        <v>0</v>
      </c>
      <c r="H2737" s="10">
        <v>0</v>
      </c>
      <c r="I2737" s="10">
        <v>1</v>
      </c>
      <c r="J2737" s="10">
        <v>0</v>
      </c>
      <c r="K2737" s="10">
        <v>0</v>
      </c>
      <c r="L2737" s="10">
        <v>0</v>
      </c>
      <c r="M2737" s="10">
        <v>1</v>
      </c>
      <c r="N2737" s="10">
        <v>43</v>
      </c>
      <c r="O2737" s="10">
        <v>43</v>
      </c>
    </row>
    <row r="2738" spans="1:15" x14ac:dyDescent="0.2">
      <c r="A2738" s="10" t="s">
        <v>448</v>
      </c>
      <c r="B2738" s="10" t="s">
        <v>289</v>
      </c>
      <c r="C2738" s="10" t="s">
        <v>50</v>
      </c>
      <c r="D2738" s="10" t="s">
        <v>51</v>
      </c>
      <c r="E2738" s="10" t="s">
        <v>52</v>
      </c>
      <c r="F2738" s="10" t="s">
        <v>91</v>
      </c>
      <c r="G2738" s="10" t="b">
        <f>TRUE()</f>
        <v>1</v>
      </c>
      <c r="H2738" s="10">
        <v>0</v>
      </c>
      <c r="I2738" s="10">
        <v>1</v>
      </c>
      <c r="J2738" s="10">
        <v>0</v>
      </c>
      <c r="K2738" s="10">
        <v>0</v>
      </c>
      <c r="L2738" s="10">
        <v>0</v>
      </c>
      <c r="M2738" s="10">
        <v>1</v>
      </c>
      <c r="N2738" s="10">
        <v>42</v>
      </c>
      <c r="O2738" s="10">
        <v>42</v>
      </c>
    </row>
    <row r="2739" spans="1:15" x14ac:dyDescent="0.2">
      <c r="A2739" s="10" t="s">
        <v>706</v>
      </c>
      <c r="B2739" s="10" t="s">
        <v>477</v>
      </c>
      <c r="C2739" s="10" t="s">
        <v>50</v>
      </c>
      <c r="D2739" s="10" t="s">
        <v>51</v>
      </c>
      <c r="E2739" s="10" t="s">
        <v>52</v>
      </c>
      <c r="F2739" s="10" t="s">
        <v>214</v>
      </c>
      <c r="G2739" s="10" t="b">
        <f>FALSE()</f>
        <v>0</v>
      </c>
      <c r="H2739" s="10">
        <v>0</v>
      </c>
      <c r="I2739" s="10">
        <v>1</v>
      </c>
      <c r="J2739" s="10">
        <v>0</v>
      </c>
      <c r="K2739" s="10">
        <v>0</v>
      </c>
      <c r="L2739" s="10">
        <v>0</v>
      </c>
      <c r="M2739" s="10">
        <v>1</v>
      </c>
      <c r="N2739" s="10">
        <v>43</v>
      </c>
      <c r="O2739" s="10">
        <v>42</v>
      </c>
    </row>
    <row r="2740" spans="1:15" x14ac:dyDescent="0.2">
      <c r="A2740" s="10" t="s">
        <v>1259</v>
      </c>
      <c r="B2740" s="10" t="s">
        <v>831</v>
      </c>
      <c r="C2740" s="10" t="s">
        <v>117</v>
      </c>
      <c r="D2740" s="10" t="s">
        <v>51</v>
      </c>
      <c r="E2740" s="10" t="s">
        <v>52</v>
      </c>
      <c r="F2740" s="10" t="s">
        <v>214</v>
      </c>
      <c r="G2740" s="10" t="b">
        <f>FALSE()</f>
        <v>0</v>
      </c>
      <c r="H2740" s="10">
        <v>0</v>
      </c>
      <c r="I2740" s="10">
        <v>1</v>
      </c>
      <c r="J2740" s="10">
        <v>0</v>
      </c>
      <c r="K2740" s="10">
        <v>0</v>
      </c>
      <c r="L2740" s="10">
        <v>0</v>
      </c>
      <c r="M2740" s="10">
        <v>1</v>
      </c>
      <c r="N2740" s="10">
        <v>45</v>
      </c>
      <c r="O2740" s="10">
        <v>42</v>
      </c>
    </row>
    <row r="2741" spans="1:15" x14ac:dyDescent="0.2">
      <c r="A2741" s="10" t="s">
        <v>1262</v>
      </c>
      <c r="B2741" s="10" t="s">
        <v>193</v>
      </c>
      <c r="C2741" s="10" t="s">
        <v>117</v>
      </c>
      <c r="D2741" s="10" t="s">
        <v>51</v>
      </c>
      <c r="E2741" s="10" t="s">
        <v>52</v>
      </c>
      <c r="F2741" s="10" t="s">
        <v>977</v>
      </c>
      <c r="G2741" s="10" t="b">
        <f>FALSE()</f>
        <v>0</v>
      </c>
      <c r="H2741" s="10">
        <v>0</v>
      </c>
      <c r="I2741" s="10">
        <v>1</v>
      </c>
      <c r="J2741" s="10">
        <v>0</v>
      </c>
      <c r="K2741" s="10">
        <v>0</v>
      </c>
      <c r="L2741" s="10">
        <v>0</v>
      </c>
      <c r="M2741" s="10">
        <v>1</v>
      </c>
      <c r="N2741" s="10">
        <v>42</v>
      </c>
      <c r="O2741" s="10">
        <v>42</v>
      </c>
    </row>
    <row r="2742" spans="1:15" x14ac:dyDescent="0.2">
      <c r="A2742" s="10" t="s">
        <v>1243</v>
      </c>
      <c r="B2742" s="10" t="s">
        <v>234</v>
      </c>
      <c r="C2742" s="10" t="s">
        <v>90</v>
      </c>
      <c r="D2742" s="10" t="s">
        <v>51</v>
      </c>
      <c r="E2742" s="10" t="s">
        <v>52</v>
      </c>
      <c r="F2742" s="10" t="s">
        <v>155</v>
      </c>
      <c r="G2742" s="10" t="b">
        <f>TRUE()</f>
        <v>1</v>
      </c>
      <c r="H2742" s="10">
        <v>0</v>
      </c>
      <c r="I2742" s="10">
        <v>1</v>
      </c>
      <c r="J2742" s="10">
        <v>0</v>
      </c>
      <c r="K2742" s="10">
        <v>0</v>
      </c>
      <c r="L2742" s="10">
        <v>0</v>
      </c>
      <c r="M2742" s="10">
        <v>1</v>
      </c>
      <c r="N2742" s="10">
        <v>42</v>
      </c>
      <c r="O2742" s="10">
        <v>42</v>
      </c>
    </row>
    <row r="2743" spans="1:15" x14ac:dyDescent="0.2">
      <c r="A2743" s="10" t="s">
        <v>1163</v>
      </c>
      <c r="B2743" s="10" t="s">
        <v>247</v>
      </c>
      <c r="C2743" s="10" t="s">
        <v>245</v>
      </c>
      <c r="D2743" s="10" t="s">
        <v>51</v>
      </c>
      <c r="E2743" s="10" t="s">
        <v>52</v>
      </c>
      <c r="F2743" s="10" t="s">
        <v>212</v>
      </c>
      <c r="G2743" s="10" t="b">
        <f>FALSE()</f>
        <v>0</v>
      </c>
      <c r="H2743" s="10">
        <v>0</v>
      </c>
      <c r="I2743" s="10">
        <v>1</v>
      </c>
      <c r="J2743" s="10">
        <v>0</v>
      </c>
      <c r="K2743" s="10">
        <v>0</v>
      </c>
      <c r="L2743" s="10">
        <v>0</v>
      </c>
      <c r="M2743" s="10">
        <v>1</v>
      </c>
      <c r="N2743" s="10">
        <v>49</v>
      </c>
      <c r="O2743" s="10">
        <v>42</v>
      </c>
    </row>
    <row r="2744" spans="1:15" x14ac:dyDescent="0.2">
      <c r="A2744" s="10" t="s">
        <v>324</v>
      </c>
      <c r="B2744" s="10" t="s">
        <v>72</v>
      </c>
      <c r="C2744" s="10" t="s">
        <v>73</v>
      </c>
      <c r="D2744" s="10" t="s">
        <v>45</v>
      </c>
      <c r="E2744" s="10" t="s">
        <v>46</v>
      </c>
      <c r="F2744" s="10" t="s">
        <v>91</v>
      </c>
      <c r="G2744" s="10" t="b">
        <f>TRUE()</f>
        <v>1</v>
      </c>
      <c r="H2744" s="10">
        <v>0</v>
      </c>
      <c r="I2744" s="10">
        <v>1</v>
      </c>
      <c r="J2744" s="10">
        <v>0</v>
      </c>
      <c r="K2744" s="10">
        <v>0</v>
      </c>
      <c r="L2744" s="10">
        <v>0</v>
      </c>
      <c r="M2744" s="10">
        <v>1</v>
      </c>
      <c r="N2744" s="10">
        <v>42</v>
      </c>
      <c r="O2744" s="10">
        <v>42</v>
      </c>
    </row>
    <row r="2745" spans="1:15" x14ac:dyDescent="0.2">
      <c r="A2745" s="10" t="s">
        <v>1085</v>
      </c>
      <c r="B2745" s="10" t="s">
        <v>139</v>
      </c>
      <c r="C2745" s="10" t="s">
        <v>64</v>
      </c>
      <c r="D2745" s="10" t="s">
        <v>45</v>
      </c>
      <c r="E2745" s="10" t="s">
        <v>46</v>
      </c>
      <c r="F2745" s="10" t="s">
        <v>373</v>
      </c>
      <c r="G2745" s="10" t="b">
        <f>FALSE()</f>
        <v>0</v>
      </c>
      <c r="H2745" s="10">
        <v>0</v>
      </c>
      <c r="I2745" s="10">
        <v>1</v>
      </c>
      <c r="J2745" s="10">
        <v>0</v>
      </c>
      <c r="K2745" s="10">
        <v>0</v>
      </c>
      <c r="L2745" s="10">
        <v>0</v>
      </c>
      <c r="M2745" s="10">
        <v>1</v>
      </c>
      <c r="N2745" s="10">
        <v>43</v>
      </c>
      <c r="O2745" s="10">
        <v>42</v>
      </c>
    </row>
    <row r="2746" spans="1:15" x14ac:dyDescent="0.2">
      <c r="A2746" s="10" t="s">
        <v>1338</v>
      </c>
      <c r="B2746" s="10" t="s">
        <v>916</v>
      </c>
      <c r="C2746" s="10" t="s">
        <v>117</v>
      </c>
      <c r="D2746" s="10" t="s">
        <v>51</v>
      </c>
      <c r="E2746" s="10" t="s">
        <v>52</v>
      </c>
      <c r="F2746" s="10" t="s">
        <v>318</v>
      </c>
      <c r="G2746" s="10" t="b">
        <f>FALSE()</f>
        <v>0</v>
      </c>
      <c r="H2746" s="10">
        <v>0</v>
      </c>
      <c r="I2746" s="10">
        <v>1</v>
      </c>
      <c r="J2746" s="10">
        <v>0</v>
      </c>
      <c r="K2746" s="10">
        <v>0</v>
      </c>
      <c r="L2746" s="10">
        <v>0</v>
      </c>
      <c r="M2746" s="10">
        <v>1</v>
      </c>
      <c r="N2746" s="10">
        <v>41</v>
      </c>
      <c r="O2746" s="10">
        <v>41</v>
      </c>
    </row>
    <row r="2747" spans="1:15" x14ac:dyDescent="0.2">
      <c r="A2747" s="10" t="s">
        <v>1339</v>
      </c>
      <c r="B2747" s="10" t="s">
        <v>218</v>
      </c>
      <c r="C2747" s="10" t="s">
        <v>73</v>
      </c>
      <c r="D2747" s="10" t="s">
        <v>45</v>
      </c>
      <c r="E2747" s="10" t="s">
        <v>46</v>
      </c>
      <c r="F2747" s="10" t="s">
        <v>61</v>
      </c>
      <c r="G2747" s="10" t="b">
        <f>FALSE()</f>
        <v>0</v>
      </c>
      <c r="H2747" s="10">
        <v>0</v>
      </c>
      <c r="I2747" s="10">
        <v>1</v>
      </c>
      <c r="J2747" s="10">
        <v>0</v>
      </c>
      <c r="K2747" s="10">
        <v>0</v>
      </c>
      <c r="L2747" s="10">
        <v>0</v>
      </c>
      <c r="M2747" s="10">
        <v>1</v>
      </c>
      <c r="N2747" s="10">
        <v>41</v>
      </c>
      <c r="O2747" s="10">
        <v>41</v>
      </c>
    </row>
    <row r="2748" spans="1:15" x14ac:dyDescent="0.2">
      <c r="A2748" s="10" t="s">
        <v>1340</v>
      </c>
      <c r="B2748" s="10" t="s">
        <v>178</v>
      </c>
      <c r="C2748" s="10" t="s">
        <v>73</v>
      </c>
      <c r="D2748" s="10" t="s">
        <v>45</v>
      </c>
      <c r="E2748" s="10" t="s">
        <v>46</v>
      </c>
      <c r="F2748" s="10" t="s">
        <v>79</v>
      </c>
      <c r="G2748" s="10" t="b">
        <f>FALSE()</f>
        <v>0</v>
      </c>
      <c r="H2748" s="10">
        <v>0</v>
      </c>
      <c r="I2748" s="10">
        <v>1</v>
      </c>
      <c r="J2748" s="10">
        <v>0</v>
      </c>
      <c r="K2748" s="10">
        <v>0</v>
      </c>
      <c r="L2748" s="10">
        <v>0</v>
      </c>
      <c r="M2748" s="10">
        <v>1</v>
      </c>
      <c r="N2748" s="10">
        <v>42</v>
      </c>
      <c r="O2748" s="10">
        <v>41</v>
      </c>
    </row>
    <row r="2749" spans="1:15" x14ac:dyDescent="0.2">
      <c r="A2749" s="10" t="s">
        <v>1341</v>
      </c>
      <c r="B2749" s="10" t="s">
        <v>63</v>
      </c>
      <c r="C2749" s="10" t="s">
        <v>64</v>
      </c>
      <c r="D2749" s="10" t="s">
        <v>45</v>
      </c>
      <c r="E2749" s="10" t="s">
        <v>46</v>
      </c>
      <c r="F2749" s="10" t="s">
        <v>92</v>
      </c>
      <c r="G2749" s="10" t="b">
        <f>FALSE()</f>
        <v>0</v>
      </c>
      <c r="H2749" s="10">
        <v>0</v>
      </c>
      <c r="I2749" s="10">
        <v>1</v>
      </c>
      <c r="J2749" s="10">
        <v>0</v>
      </c>
      <c r="K2749" s="10">
        <v>0</v>
      </c>
      <c r="L2749" s="10">
        <v>0</v>
      </c>
      <c r="M2749" s="10">
        <v>1</v>
      </c>
      <c r="N2749" s="10">
        <v>41</v>
      </c>
      <c r="O2749" s="10">
        <v>41</v>
      </c>
    </row>
    <row r="2750" spans="1:15" x14ac:dyDescent="0.2">
      <c r="A2750" s="10" t="s">
        <v>135</v>
      </c>
      <c r="B2750" s="10" t="s">
        <v>136</v>
      </c>
      <c r="C2750" s="10" t="s">
        <v>73</v>
      </c>
      <c r="D2750" s="10" t="s">
        <v>45</v>
      </c>
      <c r="E2750" s="10" t="s">
        <v>46</v>
      </c>
      <c r="F2750" s="10" t="s">
        <v>190</v>
      </c>
      <c r="G2750" s="10" t="b">
        <f>TRUE()</f>
        <v>1</v>
      </c>
      <c r="H2750" s="10">
        <v>0</v>
      </c>
      <c r="I2750" s="10">
        <v>1</v>
      </c>
      <c r="J2750" s="10">
        <v>0</v>
      </c>
      <c r="K2750" s="10">
        <v>0</v>
      </c>
      <c r="L2750" s="10">
        <v>0</v>
      </c>
      <c r="M2750" s="10">
        <v>1</v>
      </c>
      <c r="N2750" s="10">
        <v>40</v>
      </c>
      <c r="O2750" s="10">
        <v>40</v>
      </c>
    </row>
    <row r="2751" spans="1:15" x14ac:dyDescent="0.2">
      <c r="A2751" s="10" t="s">
        <v>667</v>
      </c>
      <c r="B2751" s="10" t="s">
        <v>321</v>
      </c>
      <c r="C2751" s="10" t="s">
        <v>245</v>
      </c>
      <c r="D2751" s="10" t="s">
        <v>51</v>
      </c>
      <c r="E2751" s="10" t="s">
        <v>52</v>
      </c>
      <c r="F2751" s="10" t="s">
        <v>434</v>
      </c>
      <c r="G2751" s="10" t="b">
        <f>FALSE()</f>
        <v>0</v>
      </c>
      <c r="H2751" s="10">
        <v>0</v>
      </c>
      <c r="I2751" s="10">
        <v>1</v>
      </c>
      <c r="J2751" s="10">
        <v>0</v>
      </c>
      <c r="K2751" s="10">
        <v>0</v>
      </c>
      <c r="L2751" s="10">
        <v>0</v>
      </c>
      <c r="M2751" s="10">
        <v>1</v>
      </c>
      <c r="N2751" s="10">
        <v>40</v>
      </c>
      <c r="O2751" s="10">
        <v>40</v>
      </c>
    </row>
    <row r="2752" spans="1:15" x14ac:dyDescent="0.2">
      <c r="A2752" s="10" t="s">
        <v>703</v>
      </c>
      <c r="B2752" s="10" t="s">
        <v>167</v>
      </c>
      <c r="C2752" s="10" t="s">
        <v>64</v>
      </c>
      <c r="D2752" s="10" t="s">
        <v>45</v>
      </c>
      <c r="E2752" s="10" t="s">
        <v>46</v>
      </c>
      <c r="F2752" s="10" t="s">
        <v>92</v>
      </c>
      <c r="G2752" s="10" t="b">
        <f>FALSE()</f>
        <v>0</v>
      </c>
      <c r="H2752" s="10">
        <v>0</v>
      </c>
      <c r="I2752" s="10">
        <v>1</v>
      </c>
      <c r="J2752" s="10">
        <v>0</v>
      </c>
      <c r="K2752" s="10">
        <v>0</v>
      </c>
      <c r="L2752" s="10">
        <v>0</v>
      </c>
      <c r="M2752" s="10">
        <v>1</v>
      </c>
      <c r="N2752" s="10">
        <v>40</v>
      </c>
      <c r="O2752" s="10">
        <v>40</v>
      </c>
    </row>
    <row r="2753" spans="1:15" x14ac:dyDescent="0.2">
      <c r="A2753" s="10" t="s">
        <v>1286</v>
      </c>
      <c r="B2753" s="10" t="s">
        <v>111</v>
      </c>
      <c r="C2753" s="10" t="s">
        <v>112</v>
      </c>
      <c r="D2753" s="10" t="s">
        <v>51</v>
      </c>
      <c r="E2753" s="10" t="s">
        <v>52</v>
      </c>
      <c r="F2753" s="10" t="s">
        <v>74</v>
      </c>
      <c r="G2753" s="10" t="b">
        <f>FALSE()</f>
        <v>0</v>
      </c>
      <c r="H2753" s="10">
        <v>0</v>
      </c>
      <c r="I2753" s="10">
        <v>1</v>
      </c>
      <c r="J2753" s="10">
        <v>0</v>
      </c>
      <c r="K2753" s="10">
        <v>0</v>
      </c>
      <c r="L2753" s="10">
        <v>0</v>
      </c>
      <c r="M2753" s="10">
        <v>1</v>
      </c>
      <c r="N2753" s="10">
        <v>40</v>
      </c>
      <c r="O2753" s="10">
        <v>40</v>
      </c>
    </row>
    <row r="2754" spans="1:15" x14ac:dyDescent="0.2">
      <c r="A2754" s="10" t="s">
        <v>1286</v>
      </c>
      <c r="B2754" s="10" t="s">
        <v>111</v>
      </c>
      <c r="C2754" s="10" t="s">
        <v>112</v>
      </c>
      <c r="D2754" s="10" t="s">
        <v>51</v>
      </c>
      <c r="E2754" s="10" t="s">
        <v>52</v>
      </c>
      <c r="F2754" s="10" t="s">
        <v>91</v>
      </c>
      <c r="G2754" s="10" t="b">
        <f>TRUE()</f>
        <v>1</v>
      </c>
      <c r="H2754" s="10">
        <v>0</v>
      </c>
      <c r="I2754" s="10">
        <v>1</v>
      </c>
      <c r="J2754" s="10">
        <v>0</v>
      </c>
      <c r="K2754" s="10">
        <v>0</v>
      </c>
      <c r="L2754" s="10">
        <v>0</v>
      </c>
      <c r="M2754" s="10">
        <v>1</v>
      </c>
      <c r="N2754" s="10">
        <v>40</v>
      </c>
      <c r="O2754" s="10">
        <v>40</v>
      </c>
    </row>
    <row r="2755" spans="1:15" x14ac:dyDescent="0.2">
      <c r="A2755" s="10" t="s">
        <v>1276</v>
      </c>
      <c r="B2755" s="10" t="s">
        <v>477</v>
      </c>
      <c r="C2755" s="10" t="s">
        <v>50</v>
      </c>
      <c r="D2755" s="10" t="s">
        <v>51</v>
      </c>
      <c r="E2755" s="10" t="s">
        <v>52</v>
      </c>
      <c r="F2755" s="10" t="s">
        <v>61</v>
      </c>
      <c r="G2755" s="10" t="b">
        <f>FALSE()</f>
        <v>0</v>
      </c>
      <c r="H2755" s="10">
        <v>0</v>
      </c>
      <c r="I2755" s="10">
        <v>1</v>
      </c>
      <c r="J2755" s="10">
        <v>0</v>
      </c>
      <c r="K2755" s="10">
        <v>0</v>
      </c>
      <c r="L2755" s="10">
        <v>0</v>
      </c>
      <c r="M2755" s="10">
        <v>1</v>
      </c>
      <c r="N2755" s="10">
        <v>40</v>
      </c>
      <c r="O2755" s="10">
        <v>40</v>
      </c>
    </row>
    <row r="2756" spans="1:15" x14ac:dyDescent="0.2">
      <c r="A2756" s="10" t="s">
        <v>1174</v>
      </c>
      <c r="B2756" s="10" t="s">
        <v>633</v>
      </c>
      <c r="C2756" s="10" t="s">
        <v>90</v>
      </c>
      <c r="D2756" s="10" t="s">
        <v>51</v>
      </c>
      <c r="E2756" s="10" t="s">
        <v>52</v>
      </c>
      <c r="F2756" s="10" t="s">
        <v>92</v>
      </c>
      <c r="G2756" s="10" t="b">
        <f>FALSE()</f>
        <v>0</v>
      </c>
      <c r="H2756" s="10">
        <v>0</v>
      </c>
      <c r="I2756" s="10">
        <v>1</v>
      </c>
      <c r="J2756" s="10">
        <v>0</v>
      </c>
      <c r="K2756" s="10">
        <v>0</v>
      </c>
      <c r="L2756" s="10">
        <v>0</v>
      </c>
      <c r="M2756" s="10">
        <v>1</v>
      </c>
      <c r="N2756" s="10">
        <v>40</v>
      </c>
      <c r="O2756" s="10">
        <v>40</v>
      </c>
    </row>
    <row r="2757" spans="1:15" x14ac:dyDescent="0.2">
      <c r="A2757" s="10" t="s">
        <v>1225</v>
      </c>
      <c r="B2757" s="10" t="s">
        <v>793</v>
      </c>
      <c r="C2757" s="10" t="s">
        <v>90</v>
      </c>
      <c r="D2757" s="10" t="s">
        <v>51</v>
      </c>
      <c r="E2757" s="10" t="s">
        <v>52</v>
      </c>
      <c r="F2757" s="10" t="s">
        <v>92</v>
      </c>
      <c r="G2757" s="10" t="b">
        <f>FALSE()</f>
        <v>0</v>
      </c>
      <c r="H2757" s="10">
        <v>0</v>
      </c>
      <c r="I2757" s="10">
        <v>1</v>
      </c>
      <c r="J2757" s="10">
        <v>0</v>
      </c>
      <c r="K2757" s="10">
        <v>0</v>
      </c>
      <c r="L2757" s="10">
        <v>0</v>
      </c>
      <c r="M2757" s="10">
        <v>1</v>
      </c>
      <c r="N2757" s="10">
        <v>40</v>
      </c>
      <c r="O2757" s="10">
        <v>40</v>
      </c>
    </row>
    <row r="2758" spans="1:15" x14ac:dyDescent="0.2">
      <c r="A2758" s="10" t="s">
        <v>1342</v>
      </c>
      <c r="B2758" s="10" t="s">
        <v>456</v>
      </c>
      <c r="C2758" s="10" t="s">
        <v>245</v>
      </c>
      <c r="D2758" s="10" t="s">
        <v>51</v>
      </c>
      <c r="E2758" s="10" t="s">
        <v>52</v>
      </c>
      <c r="F2758" s="10" t="s">
        <v>214</v>
      </c>
      <c r="G2758" s="10" t="b">
        <f>FALSE()</f>
        <v>0</v>
      </c>
      <c r="H2758" s="10">
        <v>0</v>
      </c>
      <c r="I2758" s="10">
        <v>1</v>
      </c>
      <c r="J2758" s="10">
        <v>0</v>
      </c>
      <c r="K2758" s="10">
        <v>0</v>
      </c>
      <c r="L2758" s="10">
        <v>0</v>
      </c>
      <c r="M2758" s="10">
        <v>1</v>
      </c>
      <c r="N2758" s="10">
        <v>40</v>
      </c>
      <c r="O2758" s="10">
        <v>40</v>
      </c>
    </row>
    <row r="2759" spans="1:15" x14ac:dyDescent="0.2">
      <c r="A2759" s="10" t="s">
        <v>1284</v>
      </c>
      <c r="B2759" s="10" t="s">
        <v>456</v>
      </c>
      <c r="C2759" s="10" t="s">
        <v>245</v>
      </c>
      <c r="D2759" s="10" t="s">
        <v>51</v>
      </c>
      <c r="E2759" s="10" t="s">
        <v>52</v>
      </c>
      <c r="F2759" s="10" t="s">
        <v>47</v>
      </c>
      <c r="G2759" s="10" t="b">
        <f>FALSE()</f>
        <v>0</v>
      </c>
      <c r="H2759" s="10">
        <v>0</v>
      </c>
      <c r="I2759" s="10">
        <v>1</v>
      </c>
      <c r="J2759" s="10">
        <v>0</v>
      </c>
      <c r="K2759" s="10">
        <v>0</v>
      </c>
      <c r="L2759" s="10">
        <v>0</v>
      </c>
      <c r="M2759" s="10">
        <v>1</v>
      </c>
      <c r="N2759" s="10">
        <v>41</v>
      </c>
      <c r="O2759" s="10">
        <v>40</v>
      </c>
    </row>
    <row r="2760" spans="1:15" x14ac:dyDescent="0.2">
      <c r="A2760" s="10" t="s">
        <v>1339</v>
      </c>
      <c r="B2760" s="10" t="s">
        <v>218</v>
      </c>
      <c r="C2760" s="10" t="s">
        <v>73</v>
      </c>
      <c r="D2760" s="10" t="s">
        <v>45</v>
      </c>
      <c r="E2760" s="10" t="s">
        <v>46</v>
      </c>
      <c r="F2760" s="10" t="s">
        <v>1026</v>
      </c>
      <c r="G2760" s="10" t="b">
        <f>FALSE()</f>
        <v>0</v>
      </c>
      <c r="H2760" s="10">
        <v>0</v>
      </c>
      <c r="I2760" s="10">
        <v>1</v>
      </c>
      <c r="J2760" s="10">
        <v>0</v>
      </c>
      <c r="K2760" s="10">
        <v>0</v>
      </c>
      <c r="L2760" s="10">
        <v>0</v>
      </c>
      <c r="M2760" s="10">
        <v>1</v>
      </c>
      <c r="N2760" s="10">
        <v>20</v>
      </c>
      <c r="O2760" s="10">
        <v>40</v>
      </c>
    </row>
    <row r="2761" spans="1:15" x14ac:dyDescent="0.2">
      <c r="A2761" s="10" t="s">
        <v>1247</v>
      </c>
      <c r="B2761" s="10" t="s">
        <v>72</v>
      </c>
      <c r="C2761" s="10" t="s">
        <v>73</v>
      </c>
      <c r="D2761" s="10" t="s">
        <v>45</v>
      </c>
      <c r="E2761" s="10" t="s">
        <v>46</v>
      </c>
      <c r="F2761" s="10" t="s">
        <v>660</v>
      </c>
      <c r="G2761" s="10" t="b">
        <f>FALSE()</f>
        <v>0</v>
      </c>
      <c r="H2761" s="10">
        <v>0</v>
      </c>
      <c r="I2761" s="10">
        <v>1</v>
      </c>
      <c r="J2761" s="10">
        <v>0</v>
      </c>
      <c r="K2761" s="10">
        <v>0</v>
      </c>
      <c r="L2761" s="10">
        <v>0</v>
      </c>
      <c r="M2761" s="10">
        <v>1</v>
      </c>
      <c r="N2761" s="10">
        <v>40</v>
      </c>
      <c r="O2761" s="10">
        <v>40</v>
      </c>
    </row>
    <row r="2762" spans="1:15" x14ac:dyDescent="0.2">
      <c r="A2762" s="10" t="s">
        <v>1076</v>
      </c>
      <c r="B2762" s="10" t="s">
        <v>285</v>
      </c>
      <c r="C2762" s="10" t="s">
        <v>105</v>
      </c>
      <c r="D2762" s="10" t="s">
        <v>45</v>
      </c>
      <c r="E2762" s="10" t="s">
        <v>46</v>
      </c>
      <c r="F2762" s="10" t="s">
        <v>186</v>
      </c>
      <c r="G2762" s="10" t="b">
        <f>TRUE()</f>
        <v>1</v>
      </c>
      <c r="H2762" s="10">
        <v>0</v>
      </c>
      <c r="I2762" s="10">
        <v>1</v>
      </c>
      <c r="J2762" s="10">
        <v>0</v>
      </c>
      <c r="K2762" s="10">
        <v>0</v>
      </c>
      <c r="L2762" s="10">
        <v>0</v>
      </c>
      <c r="M2762" s="10">
        <v>1</v>
      </c>
      <c r="N2762" s="10">
        <v>40</v>
      </c>
      <c r="O2762" s="10">
        <v>40</v>
      </c>
    </row>
    <row r="2763" spans="1:15" x14ac:dyDescent="0.2">
      <c r="A2763" s="10" t="s">
        <v>448</v>
      </c>
      <c r="B2763" s="10" t="s">
        <v>289</v>
      </c>
      <c r="C2763" s="10" t="s">
        <v>50</v>
      </c>
      <c r="D2763" s="10" t="s">
        <v>51</v>
      </c>
      <c r="E2763" s="10" t="s">
        <v>52</v>
      </c>
      <c r="F2763" s="10" t="s">
        <v>1198</v>
      </c>
      <c r="G2763" s="10" t="b">
        <f>FALSE()</f>
        <v>0</v>
      </c>
      <c r="H2763" s="10">
        <v>0</v>
      </c>
      <c r="I2763" s="10">
        <v>1</v>
      </c>
      <c r="J2763" s="10">
        <v>0</v>
      </c>
      <c r="K2763" s="10">
        <v>0</v>
      </c>
      <c r="L2763" s="10">
        <v>0</v>
      </c>
      <c r="M2763" s="10">
        <v>1</v>
      </c>
      <c r="N2763" s="10">
        <v>39</v>
      </c>
      <c r="O2763" s="10">
        <v>39</v>
      </c>
    </row>
    <row r="2764" spans="1:15" x14ac:dyDescent="0.2">
      <c r="A2764" s="10" t="s">
        <v>619</v>
      </c>
      <c r="B2764" s="10" t="s">
        <v>146</v>
      </c>
      <c r="C2764" s="10" t="s">
        <v>105</v>
      </c>
      <c r="D2764" s="10" t="s">
        <v>45</v>
      </c>
      <c r="E2764" s="10" t="s">
        <v>46</v>
      </c>
      <c r="F2764" s="10" t="s">
        <v>363</v>
      </c>
      <c r="G2764" s="10" t="b">
        <f>FALSE()</f>
        <v>0</v>
      </c>
      <c r="H2764" s="10">
        <v>1</v>
      </c>
      <c r="I2764" s="10">
        <v>1</v>
      </c>
      <c r="J2764" s="10">
        <v>1</v>
      </c>
      <c r="K2764" s="10">
        <v>25</v>
      </c>
      <c r="L2764" s="10">
        <v>0</v>
      </c>
      <c r="M2764" s="10">
        <v>1</v>
      </c>
      <c r="N2764" s="10">
        <v>39</v>
      </c>
      <c r="O2764" s="10">
        <v>39</v>
      </c>
    </row>
    <row r="2765" spans="1:15" x14ac:dyDescent="0.2">
      <c r="A2765" s="10" t="s">
        <v>700</v>
      </c>
      <c r="B2765" s="10" t="s">
        <v>72</v>
      </c>
      <c r="C2765" s="10" t="s">
        <v>73</v>
      </c>
      <c r="D2765" s="10" t="s">
        <v>45</v>
      </c>
      <c r="E2765" s="10" t="s">
        <v>46</v>
      </c>
      <c r="F2765" s="10" t="s">
        <v>204</v>
      </c>
      <c r="G2765" s="10" t="b">
        <f>FALSE()</f>
        <v>0</v>
      </c>
      <c r="H2765" s="10">
        <v>0</v>
      </c>
      <c r="I2765" s="10">
        <v>1</v>
      </c>
      <c r="J2765" s="10">
        <v>0</v>
      </c>
      <c r="K2765" s="10">
        <v>0</v>
      </c>
      <c r="L2765" s="10">
        <v>0</v>
      </c>
      <c r="M2765" s="10">
        <v>1</v>
      </c>
      <c r="N2765" s="10">
        <v>40</v>
      </c>
      <c r="O2765" s="10">
        <v>39</v>
      </c>
    </row>
    <row r="2766" spans="1:15" x14ac:dyDescent="0.2">
      <c r="A2766" s="10" t="s">
        <v>691</v>
      </c>
      <c r="B2766" s="10" t="s">
        <v>136</v>
      </c>
      <c r="C2766" s="10" t="s">
        <v>73</v>
      </c>
      <c r="D2766" s="10" t="s">
        <v>45</v>
      </c>
      <c r="E2766" s="10" t="s">
        <v>46</v>
      </c>
      <c r="F2766" s="10" t="s">
        <v>393</v>
      </c>
      <c r="G2766" s="10" t="b">
        <f>FALSE()</f>
        <v>0</v>
      </c>
      <c r="H2766" s="10">
        <v>0</v>
      </c>
      <c r="I2766" s="10">
        <v>1</v>
      </c>
      <c r="J2766" s="10">
        <v>0</v>
      </c>
      <c r="K2766" s="10">
        <v>0</v>
      </c>
      <c r="L2766" s="10">
        <v>0</v>
      </c>
      <c r="M2766" s="10">
        <v>1</v>
      </c>
      <c r="N2766" s="10">
        <v>39</v>
      </c>
      <c r="O2766" s="10">
        <v>39</v>
      </c>
    </row>
    <row r="2767" spans="1:15" x14ac:dyDescent="0.2">
      <c r="A2767" s="10" t="s">
        <v>1302</v>
      </c>
      <c r="B2767" s="10" t="s">
        <v>96</v>
      </c>
      <c r="C2767" s="10" t="s">
        <v>50</v>
      </c>
      <c r="D2767" s="10" t="s">
        <v>51</v>
      </c>
      <c r="E2767" s="10" t="s">
        <v>52</v>
      </c>
      <c r="F2767" s="10" t="s">
        <v>47</v>
      </c>
      <c r="G2767" s="10" t="b">
        <f>FALSE()</f>
        <v>0</v>
      </c>
      <c r="H2767" s="10">
        <v>0</v>
      </c>
      <c r="I2767" s="10">
        <v>1</v>
      </c>
      <c r="J2767" s="10">
        <v>0</v>
      </c>
      <c r="K2767" s="10">
        <v>0</v>
      </c>
      <c r="L2767" s="10">
        <v>0</v>
      </c>
      <c r="M2767" s="10">
        <v>1</v>
      </c>
      <c r="N2767" s="10">
        <v>40</v>
      </c>
      <c r="O2767" s="10">
        <v>39</v>
      </c>
    </row>
    <row r="2768" spans="1:15" x14ac:dyDescent="0.2">
      <c r="A2768" s="10" t="s">
        <v>1163</v>
      </c>
      <c r="B2768" s="10" t="s">
        <v>247</v>
      </c>
      <c r="C2768" s="10" t="s">
        <v>245</v>
      </c>
      <c r="D2768" s="10" t="s">
        <v>51</v>
      </c>
      <c r="E2768" s="10" t="s">
        <v>52</v>
      </c>
      <c r="F2768" s="10" t="s">
        <v>1198</v>
      </c>
      <c r="G2768" s="10" t="b">
        <f>FALSE()</f>
        <v>0</v>
      </c>
      <c r="H2768" s="10">
        <v>0</v>
      </c>
      <c r="I2768" s="10">
        <v>1</v>
      </c>
      <c r="J2768" s="10">
        <v>0</v>
      </c>
      <c r="K2768" s="10">
        <v>0</v>
      </c>
      <c r="L2768" s="10">
        <v>0</v>
      </c>
      <c r="M2768" s="10">
        <v>1</v>
      </c>
      <c r="N2768" s="10">
        <v>82</v>
      </c>
      <c r="O2768" s="10">
        <v>39</v>
      </c>
    </row>
    <row r="2769" spans="1:15" x14ac:dyDescent="0.2">
      <c r="A2769" s="10" t="s">
        <v>1284</v>
      </c>
      <c r="B2769" s="10" t="s">
        <v>456</v>
      </c>
      <c r="C2769" s="10" t="s">
        <v>245</v>
      </c>
      <c r="D2769" s="10" t="s">
        <v>51</v>
      </c>
      <c r="E2769" s="10" t="s">
        <v>52</v>
      </c>
      <c r="F2769" s="10" t="s">
        <v>61</v>
      </c>
      <c r="G2769" s="10" t="b">
        <f>FALSE()</f>
        <v>0</v>
      </c>
      <c r="H2769" s="10">
        <v>0</v>
      </c>
      <c r="I2769" s="10">
        <v>1</v>
      </c>
      <c r="J2769" s="10">
        <v>0</v>
      </c>
      <c r="K2769" s="10">
        <v>0</v>
      </c>
      <c r="L2769" s="10">
        <v>0</v>
      </c>
      <c r="M2769" s="10">
        <v>1</v>
      </c>
      <c r="N2769" s="10">
        <v>39</v>
      </c>
      <c r="O2769" s="10">
        <v>39</v>
      </c>
    </row>
    <row r="2770" spans="1:15" x14ac:dyDescent="0.2">
      <c r="A2770" s="10" t="s">
        <v>1043</v>
      </c>
      <c r="B2770" s="10" t="s">
        <v>218</v>
      </c>
      <c r="C2770" s="10" t="s">
        <v>73</v>
      </c>
      <c r="D2770" s="10" t="s">
        <v>45</v>
      </c>
      <c r="E2770" s="10" t="s">
        <v>46</v>
      </c>
      <c r="F2770" s="10" t="s">
        <v>530</v>
      </c>
      <c r="G2770" s="10" t="b">
        <f>TRUE()</f>
        <v>1</v>
      </c>
      <c r="H2770" s="10">
        <v>0</v>
      </c>
      <c r="I2770" s="10">
        <v>1</v>
      </c>
      <c r="J2770" s="10">
        <v>0</v>
      </c>
      <c r="K2770" s="10">
        <v>0</v>
      </c>
      <c r="L2770" s="10">
        <v>0</v>
      </c>
      <c r="M2770" s="10">
        <v>1</v>
      </c>
      <c r="N2770" s="10">
        <v>39</v>
      </c>
      <c r="O2770" s="10">
        <v>39</v>
      </c>
    </row>
    <row r="2771" spans="1:15" x14ac:dyDescent="0.2">
      <c r="A2771" s="10" t="s">
        <v>1223</v>
      </c>
      <c r="B2771" s="10" t="s">
        <v>146</v>
      </c>
      <c r="C2771" s="10" t="s">
        <v>105</v>
      </c>
      <c r="D2771" s="10" t="s">
        <v>45</v>
      </c>
      <c r="E2771" s="10" t="s">
        <v>46</v>
      </c>
      <c r="F2771" s="10" t="s">
        <v>61</v>
      </c>
      <c r="G2771" s="10" t="b">
        <f>FALSE()</f>
        <v>0</v>
      </c>
      <c r="H2771" s="10">
        <v>0</v>
      </c>
      <c r="I2771" s="10">
        <v>1</v>
      </c>
      <c r="J2771" s="10">
        <v>0</v>
      </c>
      <c r="K2771" s="10">
        <v>0</v>
      </c>
      <c r="L2771" s="10">
        <v>0</v>
      </c>
      <c r="M2771" s="10">
        <v>1</v>
      </c>
      <c r="N2771" s="10">
        <v>39</v>
      </c>
      <c r="O2771" s="10">
        <v>39</v>
      </c>
    </row>
    <row r="2772" spans="1:15" x14ac:dyDescent="0.2">
      <c r="A2772" s="10" t="s">
        <v>1028</v>
      </c>
      <c r="B2772" s="10" t="s">
        <v>262</v>
      </c>
      <c r="C2772" s="10" t="s">
        <v>105</v>
      </c>
      <c r="D2772" s="10" t="s">
        <v>45</v>
      </c>
      <c r="E2772" s="10" t="s">
        <v>46</v>
      </c>
      <c r="F2772" s="10" t="s">
        <v>183</v>
      </c>
      <c r="G2772" s="10" t="b">
        <f>FALSE()</f>
        <v>0</v>
      </c>
      <c r="H2772" s="10">
        <v>0</v>
      </c>
      <c r="I2772" s="10">
        <v>1</v>
      </c>
      <c r="J2772" s="10">
        <v>0</v>
      </c>
      <c r="K2772" s="10">
        <v>0</v>
      </c>
      <c r="L2772" s="10">
        <v>0</v>
      </c>
      <c r="M2772" s="10">
        <v>1</v>
      </c>
      <c r="N2772" s="10">
        <v>40</v>
      </c>
      <c r="O2772" s="10">
        <v>39</v>
      </c>
    </row>
    <row r="2773" spans="1:15" x14ac:dyDescent="0.2">
      <c r="A2773" s="10" t="s">
        <v>1312</v>
      </c>
      <c r="B2773" s="10" t="s">
        <v>172</v>
      </c>
      <c r="C2773" s="10" t="s">
        <v>44</v>
      </c>
      <c r="D2773" s="10" t="s">
        <v>45</v>
      </c>
      <c r="E2773" s="10" t="s">
        <v>46</v>
      </c>
      <c r="F2773" s="10" t="s">
        <v>92</v>
      </c>
      <c r="G2773" s="10" t="b">
        <f>FALSE()</f>
        <v>0</v>
      </c>
      <c r="H2773" s="10">
        <v>0</v>
      </c>
      <c r="I2773" s="10">
        <v>1</v>
      </c>
      <c r="J2773" s="10">
        <v>0</v>
      </c>
      <c r="K2773" s="10">
        <v>0</v>
      </c>
      <c r="L2773" s="10">
        <v>0</v>
      </c>
      <c r="M2773" s="10">
        <v>1</v>
      </c>
      <c r="N2773" s="10">
        <v>39</v>
      </c>
      <c r="O2773" s="10">
        <v>39</v>
      </c>
    </row>
    <row r="2774" spans="1:15" x14ac:dyDescent="0.2">
      <c r="A2774" s="10" t="s">
        <v>448</v>
      </c>
      <c r="B2774" s="10" t="s">
        <v>289</v>
      </c>
      <c r="C2774" s="10" t="s">
        <v>50</v>
      </c>
      <c r="D2774" s="10" t="s">
        <v>51</v>
      </c>
      <c r="E2774" s="10" t="s">
        <v>52</v>
      </c>
      <c r="F2774" s="10" t="s">
        <v>1343</v>
      </c>
      <c r="G2774" s="10" t="b">
        <f>FALSE()</f>
        <v>0</v>
      </c>
      <c r="H2774" s="10">
        <v>0</v>
      </c>
      <c r="I2774" s="10">
        <v>1</v>
      </c>
      <c r="J2774" s="10">
        <v>0</v>
      </c>
      <c r="K2774" s="10">
        <v>0</v>
      </c>
      <c r="L2774" s="10">
        <v>0</v>
      </c>
      <c r="M2774" s="10">
        <v>1</v>
      </c>
      <c r="N2774" s="10">
        <v>38</v>
      </c>
      <c r="O2774" s="10">
        <v>38</v>
      </c>
    </row>
    <row r="2775" spans="1:15" x14ac:dyDescent="0.2">
      <c r="A2775" s="10" t="s">
        <v>194</v>
      </c>
      <c r="B2775" s="10" t="s">
        <v>70</v>
      </c>
      <c r="C2775" s="10" t="s">
        <v>70</v>
      </c>
      <c r="D2775" s="10" t="s">
        <v>45</v>
      </c>
      <c r="E2775" s="10" t="s">
        <v>46</v>
      </c>
      <c r="F2775" s="10" t="s">
        <v>207</v>
      </c>
      <c r="G2775" s="10" t="b">
        <f>FALSE()</f>
        <v>0</v>
      </c>
      <c r="H2775" s="10">
        <v>0</v>
      </c>
      <c r="I2775" s="10">
        <v>1</v>
      </c>
      <c r="J2775" s="10">
        <v>0</v>
      </c>
      <c r="K2775" s="10">
        <v>0</v>
      </c>
      <c r="L2775" s="10">
        <v>0</v>
      </c>
      <c r="M2775" s="10">
        <v>1</v>
      </c>
      <c r="N2775" s="10">
        <v>38</v>
      </c>
      <c r="O2775" s="10">
        <v>38</v>
      </c>
    </row>
    <row r="2776" spans="1:15" x14ac:dyDescent="0.2">
      <c r="A2776" s="10" t="s">
        <v>733</v>
      </c>
      <c r="B2776" s="10" t="s">
        <v>89</v>
      </c>
      <c r="C2776" s="10" t="s">
        <v>90</v>
      </c>
      <c r="D2776" s="10" t="s">
        <v>51</v>
      </c>
      <c r="E2776" s="10" t="s">
        <v>52</v>
      </c>
      <c r="F2776" s="10" t="s">
        <v>183</v>
      </c>
      <c r="G2776" s="10" t="b">
        <f>FALSE()</f>
        <v>0</v>
      </c>
      <c r="H2776" s="10">
        <v>0</v>
      </c>
      <c r="I2776" s="10">
        <v>1</v>
      </c>
      <c r="J2776" s="10">
        <v>0</v>
      </c>
      <c r="K2776" s="10">
        <v>0</v>
      </c>
      <c r="L2776" s="10">
        <v>0</v>
      </c>
      <c r="M2776" s="10">
        <v>1</v>
      </c>
      <c r="N2776" s="10">
        <v>40</v>
      </c>
      <c r="O2776" s="10">
        <v>38</v>
      </c>
    </row>
    <row r="2777" spans="1:15" x14ac:dyDescent="0.2">
      <c r="A2777" s="10" t="s">
        <v>1085</v>
      </c>
      <c r="B2777" s="10" t="s">
        <v>139</v>
      </c>
      <c r="C2777" s="10" t="s">
        <v>64</v>
      </c>
      <c r="D2777" s="10" t="s">
        <v>45</v>
      </c>
      <c r="E2777" s="10" t="s">
        <v>46</v>
      </c>
      <c r="F2777" s="10" t="s">
        <v>107</v>
      </c>
      <c r="G2777" s="10" t="b">
        <f>FALSE()</f>
        <v>0</v>
      </c>
      <c r="H2777" s="10">
        <v>0</v>
      </c>
      <c r="I2777" s="10">
        <v>1</v>
      </c>
      <c r="J2777" s="10">
        <v>0</v>
      </c>
      <c r="K2777" s="10">
        <v>0</v>
      </c>
      <c r="L2777" s="10">
        <v>0</v>
      </c>
      <c r="M2777" s="10">
        <v>1</v>
      </c>
      <c r="N2777" s="10">
        <v>38</v>
      </c>
      <c r="O2777" s="10">
        <v>38</v>
      </c>
    </row>
    <row r="2778" spans="1:15" x14ac:dyDescent="0.2">
      <c r="A2778" s="10" t="s">
        <v>1344</v>
      </c>
      <c r="B2778" s="10" t="s">
        <v>139</v>
      </c>
      <c r="C2778" s="10" t="s">
        <v>64</v>
      </c>
      <c r="D2778" s="10" t="s">
        <v>45</v>
      </c>
      <c r="E2778" s="10" t="s">
        <v>46</v>
      </c>
      <c r="F2778" s="10" t="s">
        <v>373</v>
      </c>
      <c r="G2778" s="10" t="b">
        <f>FALSE()</f>
        <v>0</v>
      </c>
      <c r="H2778" s="10">
        <v>0</v>
      </c>
      <c r="I2778" s="10">
        <v>1</v>
      </c>
      <c r="J2778" s="10">
        <v>0</v>
      </c>
      <c r="K2778" s="10">
        <v>0</v>
      </c>
      <c r="L2778" s="10">
        <v>0</v>
      </c>
      <c r="M2778" s="10">
        <v>1</v>
      </c>
      <c r="N2778" s="10">
        <v>38</v>
      </c>
      <c r="O2778" s="10">
        <v>38</v>
      </c>
    </row>
    <row r="2779" spans="1:15" x14ac:dyDescent="0.2">
      <c r="A2779" s="10" t="s">
        <v>1112</v>
      </c>
      <c r="B2779" s="10" t="s">
        <v>262</v>
      </c>
      <c r="C2779" s="10" t="s">
        <v>105</v>
      </c>
      <c r="D2779" s="10" t="s">
        <v>45</v>
      </c>
      <c r="E2779" s="10" t="s">
        <v>46</v>
      </c>
      <c r="F2779" s="10" t="s">
        <v>153</v>
      </c>
      <c r="G2779" s="10" t="b">
        <f>FALSE()</f>
        <v>0</v>
      </c>
      <c r="H2779" s="10">
        <v>0</v>
      </c>
      <c r="I2779" s="10">
        <v>1</v>
      </c>
      <c r="J2779" s="10">
        <v>0</v>
      </c>
      <c r="K2779" s="10">
        <v>0</v>
      </c>
      <c r="L2779" s="10">
        <v>0</v>
      </c>
      <c r="M2779" s="10">
        <v>1</v>
      </c>
      <c r="N2779" s="10">
        <v>38</v>
      </c>
      <c r="O2779" s="10">
        <v>38</v>
      </c>
    </row>
    <row r="2780" spans="1:15" x14ac:dyDescent="0.2">
      <c r="A2780" s="10" t="s">
        <v>1079</v>
      </c>
      <c r="B2780" s="10" t="s">
        <v>70</v>
      </c>
      <c r="C2780" s="10" t="s">
        <v>70</v>
      </c>
      <c r="D2780" s="10" t="s">
        <v>45</v>
      </c>
      <c r="E2780" s="10" t="s">
        <v>46</v>
      </c>
      <c r="F2780" s="10" t="s">
        <v>85</v>
      </c>
      <c r="G2780" s="10" t="b">
        <f>FALSE()</f>
        <v>0</v>
      </c>
      <c r="H2780" s="10">
        <v>0</v>
      </c>
      <c r="I2780" s="10">
        <v>1</v>
      </c>
      <c r="J2780" s="10">
        <v>0</v>
      </c>
      <c r="K2780" s="10">
        <v>0</v>
      </c>
      <c r="L2780" s="10">
        <v>0</v>
      </c>
      <c r="M2780" s="10">
        <v>1</v>
      </c>
      <c r="N2780" s="10">
        <v>38</v>
      </c>
      <c r="O2780" s="10">
        <v>38</v>
      </c>
    </row>
    <row r="2781" spans="1:15" x14ac:dyDescent="0.2">
      <c r="A2781" s="10" t="s">
        <v>661</v>
      </c>
      <c r="B2781" s="10" t="s">
        <v>72</v>
      </c>
      <c r="C2781" s="10" t="s">
        <v>73</v>
      </c>
      <c r="D2781" s="10" t="s">
        <v>45</v>
      </c>
      <c r="E2781" s="10" t="s">
        <v>46</v>
      </c>
      <c r="F2781" s="10" t="s">
        <v>85</v>
      </c>
      <c r="G2781" s="10" t="b">
        <f>FALSE()</f>
        <v>0</v>
      </c>
      <c r="H2781" s="10">
        <v>0</v>
      </c>
      <c r="I2781" s="10">
        <v>1</v>
      </c>
      <c r="J2781" s="10">
        <v>0</v>
      </c>
      <c r="K2781" s="10">
        <v>0</v>
      </c>
      <c r="L2781" s="10">
        <v>0</v>
      </c>
      <c r="M2781" s="10">
        <v>1</v>
      </c>
      <c r="N2781" s="10">
        <v>37</v>
      </c>
      <c r="O2781" s="10">
        <v>37</v>
      </c>
    </row>
    <row r="2782" spans="1:15" x14ac:dyDescent="0.2">
      <c r="A2782" s="10" t="s">
        <v>1228</v>
      </c>
      <c r="B2782" s="10" t="s">
        <v>339</v>
      </c>
      <c r="C2782" s="10" t="s">
        <v>117</v>
      </c>
      <c r="D2782" s="10" t="s">
        <v>51</v>
      </c>
      <c r="E2782" s="10" t="s">
        <v>52</v>
      </c>
      <c r="F2782" s="10" t="s">
        <v>444</v>
      </c>
      <c r="G2782" s="10" t="b">
        <f>TRUE()</f>
        <v>1</v>
      </c>
      <c r="H2782" s="10">
        <v>0</v>
      </c>
      <c r="I2782" s="10">
        <v>1</v>
      </c>
      <c r="J2782" s="10">
        <v>0</v>
      </c>
      <c r="K2782" s="10">
        <v>0</v>
      </c>
      <c r="L2782" s="10">
        <v>0</v>
      </c>
      <c r="M2782" s="10">
        <v>1</v>
      </c>
      <c r="N2782" s="10">
        <v>37</v>
      </c>
      <c r="O2782" s="10">
        <v>37</v>
      </c>
    </row>
    <row r="2783" spans="1:15" x14ac:dyDescent="0.2">
      <c r="A2783" s="10" t="s">
        <v>1276</v>
      </c>
      <c r="B2783" s="10" t="s">
        <v>477</v>
      </c>
      <c r="C2783" s="10" t="s">
        <v>50</v>
      </c>
      <c r="D2783" s="10" t="s">
        <v>51</v>
      </c>
      <c r="E2783" s="10" t="s">
        <v>52</v>
      </c>
      <c r="F2783" s="10" t="s">
        <v>92</v>
      </c>
      <c r="G2783" s="10" t="b">
        <f>FALSE()</f>
        <v>0</v>
      </c>
      <c r="H2783" s="10">
        <v>0</v>
      </c>
      <c r="I2783" s="10">
        <v>1</v>
      </c>
      <c r="J2783" s="10">
        <v>0</v>
      </c>
      <c r="K2783" s="10">
        <v>0</v>
      </c>
      <c r="L2783" s="10">
        <v>0</v>
      </c>
      <c r="M2783" s="10">
        <v>1</v>
      </c>
      <c r="N2783" s="10">
        <v>37</v>
      </c>
      <c r="O2783" s="10">
        <v>37</v>
      </c>
    </row>
    <row r="2784" spans="1:15" x14ac:dyDescent="0.2">
      <c r="A2784" s="10" t="s">
        <v>1088</v>
      </c>
      <c r="B2784" s="10" t="s">
        <v>517</v>
      </c>
      <c r="C2784" s="10" t="s">
        <v>90</v>
      </c>
      <c r="D2784" s="10" t="s">
        <v>51</v>
      </c>
      <c r="E2784" s="10" t="s">
        <v>52</v>
      </c>
      <c r="F2784" s="10" t="s">
        <v>155</v>
      </c>
      <c r="G2784" s="10" t="b">
        <f>TRUE()</f>
        <v>1</v>
      </c>
      <c r="H2784" s="10">
        <v>0</v>
      </c>
      <c r="I2784" s="10">
        <v>1</v>
      </c>
      <c r="J2784" s="10">
        <v>0</v>
      </c>
      <c r="K2784" s="10">
        <v>0</v>
      </c>
      <c r="L2784" s="10">
        <v>0</v>
      </c>
      <c r="M2784" s="10">
        <v>1</v>
      </c>
      <c r="N2784" s="10">
        <v>37</v>
      </c>
      <c r="O2784" s="10">
        <v>37</v>
      </c>
    </row>
    <row r="2785" spans="1:15" x14ac:dyDescent="0.2">
      <c r="A2785" s="10" t="s">
        <v>1102</v>
      </c>
      <c r="B2785" s="10" t="s">
        <v>139</v>
      </c>
      <c r="C2785" s="10" t="s">
        <v>64</v>
      </c>
      <c r="D2785" s="10" t="s">
        <v>45</v>
      </c>
      <c r="E2785" s="10" t="s">
        <v>46</v>
      </c>
      <c r="F2785" s="10" t="s">
        <v>123</v>
      </c>
      <c r="G2785" s="10" t="b">
        <f>FALSE()</f>
        <v>0</v>
      </c>
      <c r="H2785" s="10">
        <v>0</v>
      </c>
      <c r="I2785" s="10">
        <v>1</v>
      </c>
      <c r="J2785" s="10">
        <v>0</v>
      </c>
      <c r="K2785" s="10">
        <v>0</v>
      </c>
      <c r="L2785" s="10">
        <v>0</v>
      </c>
      <c r="M2785" s="10">
        <v>1</v>
      </c>
      <c r="N2785" s="10">
        <v>38</v>
      </c>
      <c r="O2785" s="10">
        <v>37</v>
      </c>
    </row>
    <row r="2786" spans="1:15" x14ac:dyDescent="0.2">
      <c r="A2786" s="10" t="s">
        <v>1074</v>
      </c>
      <c r="B2786" s="10" t="s">
        <v>104</v>
      </c>
      <c r="C2786" s="10" t="s">
        <v>105</v>
      </c>
      <c r="D2786" s="10" t="s">
        <v>45</v>
      </c>
      <c r="E2786" s="10" t="s">
        <v>46</v>
      </c>
      <c r="F2786" s="10" t="s">
        <v>1337</v>
      </c>
      <c r="G2786" s="10" t="b">
        <f>TRUE()</f>
        <v>1</v>
      </c>
      <c r="H2786" s="10">
        <v>0</v>
      </c>
      <c r="I2786" s="10">
        <v>1</v>
      </c>
      <c r="J2786" s="10">
        <v>0</v>
      </c>
      <c r="K2786" s="10">
        <v>0</v>
      </c>
      <c r="L2786" s="10">
        <v>0</v>
      </c>
      <c r="M2786" s="10">
        <v>1</v>
      </c>
      <c r="N2786" s="10">
        <v>38</v>
      </c>
      <c r="O2786" s="10">
        <v>37</v>
      </c>
    </row>
    <row r="2787" spans="1:15" x14ac:dyDescent="0.2">
      <c r="A2787" s="10" t="s">
        <v>150</v>
      </c>
      <c r="B2787" s="10" t="s">
        <v>151</v>
      </c>
      <c r="C2787" s="10" t="s">
        <v>64</v>
      </c>
      <c r="D2787" s="10" t="s">
        <v>45</v>
      </c>
      <c r="E2787" s="10" t="s">
        <v>46</v>
      </c>
      <c r="F2787" s="10" t="s">
        <v>363</v>
      </c>
      <c r="G2787" s="10" t="b">
        <f>FALSE()</f>
        <v>0</v>
      </c>
      <c r="H2787" s="10">
        <v>0</v>
      </c>
      <c r="I2787" s="10">
        <v>1</v>
      </c>
      <c r="J2787" s="10">
        <v>0</v>
      </c>
      <c r="K2787" s="10">
        <v>0</v>
      </c>
      <c r="L2787" s="10">
        <v>0</v>
      </c>
      <c r="M2787" s="10">
        <v>1</v>
      </c>
      <c r="N2787" s="10">
        <v>36</v>
      </c>
      <c r="O2787" s="10">
        <v>36</v>
      </c>
    </row>
    <row r="2788" spans="1:15" x14ac:dyDescent="0.2">
      <c r="A2788" s="10" t="s">
        <v>1264</v>
      </c>
      <c r="B2788" s="10" t="s">
        <v>43</v>
      </c>
      <c r="C2788" s="10" t="s">
        <v>44</v>
      </c>
      <c r="D2788" s="10" t="s">
        <v>45</v>
      </c>
      <c r="E2788" s="10" t="s">
        <v>46</v>
      </c>
      <c r="F2788" s="10" t="s">
        <v>113</v>
      </c>
      <c r="G2788" s="10" t="b">
        <f>TRUE()</f>
        <v>1</v>
      </c>
      <c r="H2788" s="10">
        <v>0</v>
      </c>
      <c r="I2788" s="10">
        <v>1</v>
      </c>
      <c r="J2788" s="10">
        <v>0</v>
      </c>
      <c r="K2788" s="10">
        <v>0</v>
      </c>
      <c r="L2788" s="10">
        <v>0</v>
      </c>
      <c r="M2788" s="10">
        <v>1</v>
      </c>
      <c r="N2788" s="10">
        <v>38</v>
      </c>
      <c r="O2788" s="10">
        <v>36</v>
      </c>
    </row>
    <row r="2789" spans="1:15" x14ac:dyDescent="0.2">
      <c r="A2789" s="10" t="s">
        <v>1205</v>
      </c>
      <c r="B2789" s="10" t="s">
        <v>136</v>
      </c>
      <c r="C2789" s="10" t="s">
        <v>73</v>
      </c>
      <c r="D2789" s="10" t="s">
        <v>45</v>
      </c>
      <c r="E2789" s="10" t="s">
        <v>46</v>
      </c>
      <c r="F2789" s="10" t="s">
        <v>207</v>
      </c>
      <c r="G2789" s="10" t="b">
        <f>FALSE()</f>
        <v>0</v>
      </c>
      <c r="H2789" s="10">
        <v>0</v>
      </c>
      <c r="I2789" s="10">
        <v>1</v>
      </c>
      <c r="J2789" s="10">
        <v>0</v>
      </c>
      <c r="K2789" s="10">
        <v>0</v>
      </c>
      <c r="L2789" s="10">
        <v>0</v>
      </c>
      <c r="M2789" s="10">
        <v>1</v>
      </c>
      <c r="N2789" s="10">
        <v>36</v>
      </c>
      <c r="O2789" s="10">
        <v>36</v>
      </c>
    </row>
    <row r="2790" spans="1:15" x14ac:dyDescent="0.2">
      <c r="A2790" s="10" t="s">
        <v>1338</v>
      </c>
      <c r="B2790" s="10" t="s">
        <v>916</v>
      </c>
      <c r="C2790" s="10" t="s">
        <v>117</v>
      </c>
      <c r="D2790" s="10" t="s">
        <v>51</v>
      </c>
      <c r="E2790" s="10" t="s">
        <v>52</v>
      </c>
      <c r="F2790" s="10" t="s">
        <v>180</v>
      </c>
      <c r="G2790" s="10" t="b">
        <f>FALSE()</f>
        <v>0</v>
      </c>
      <c r="H2790" s="10">
        <v>0</v>
      </c>
      <c r="I2790" s="10">
        <v>1</v>
      </c>
      <c r="J2790" s="10">
        <v>0</v>
      </c>
      <c r="K2790" s="10">
        <v>0</v>
      </c>
      <c r="L2790" s="10">
        <v>0</v>
      </c>
      <c r="M2790" s="10">
        <v>1</v>
      </c>
      <c r="N2790" s="10">
        <v>35</v>
      </c>
      <c r="O2790" s="10">
        <v>36</v>
      </c>
    </row>
    <row r="2791" spans="1:15" x14ac:dyDescent="0.2">
      <c r="A2791" s="10" t="s">
        <v>1262</v>
      </c>
      <c r="B2791" s="10" t="s">
        <v>193</v>
      </c>
      <c r="C2791" s="10" t="s">
        <v>117</v>
      </c>
      <c r="D2791" s="10" t="s">
        <v>51</v>
      </c>
      <c r="E2791" s="10" t="s">
        <v>52</v>
      </c>
      <c r="F2791" s="10" t="s">
        <v>113</v>
      </c>
      <c r="G2791" s="10" t="b">
        <f>TRUE()</f>
        <v>1</v>
      </c>
      <c r="H2791" s="10">
        <v>0</v>
      </c>
      <c r="I2791" s="10">
        <v>1</v>
      </c>
      <c r="J2791" s="10">
        <v>0</v>
      </c>
      <c r="K2791" s="10">
        <v>0</v>
      </c>
      <c r="L2791" s="10">
        <v>0</v>
      </c>
      <c r="M2791" s="10">
        <v>1</v>
      </c>
      <c r="N2791" s="10">
        <v>37</v>
      </c>
      <c r="O2791" s="10">
        <v>36</v>
      </c>
    </row>
    <row r="2792" spans="1:15" x14ac:dyDescent="0.2">
      <c r="A2792" s="10" t="s">
        <v>1286</v>
      </c>
      <c r="B2792" s="10" t="s">
        <v>111</v>
      </c>
      <c r="C2792" s="10" t="s">
        <v>112</v>
      </c>
      <c r="D2792" s="10" t="s">
        <v>51</v>
      </c>
      <c r="E2792" s="10" t="s">
        <v>52</v>
      </c>
      <c r="F2792" s="10" t="s">
        <v>488</v>
      </c>
      <c r="G2792" s="10" t="b">
        <f>FALSE()</f>
        <v>0</v>
      </c>
      <c r="H2792" s="10">
        <v>0</v>
      </c>
      <c r="I2792" s="10">
        <v>1</v>
      </c>
      <c r="J2792" s="10">
        <v>0</v>
      </c>
      <c r="K2792" s="10">
        <v>0</v>
      </c>
      <c r="L2792" s="10">
        <v>0</v>
      </c>
      <c r="M2792" s="10">
        <v>1</v>
      </c>
      <c r="N2792" s="10">
        <v>36</v>
      </c>
      <c r="O2792" s="10">
        <v>36</v>
      </c>
    </row>
    <row r="2793" spans="1:15" x14ac:dyDescent="0.2">
      <c r="A2793" s="10" t="s">
        <v>1345</v>
      </c>
      <c r="B2793" s="10" t="s">
        <v>72</v>
      </c>
      <c r="C2793" s="10" t="s">
        <v>73</v>
      </c>
      <c r="D2793" s="10" t="s">
        <v>45</v>
      </c>
      <c r="E2793" s="10" t="s">
        <v>46</v>
      </c>
      <c r="F2793" s="10" t="s">
        <v>61</v>
      </c>
      <c r="G2793" s="10" t="b">
        <f>FALSE()</f>
        <v>0</v>
      </c>
      <c r="H2793" s="10">
        <v>0</v>
      </c>
      <c r="I2793" s="10">
        <v>1</v>
      </c>
      <c r="J2793" s="10">
        <v>0</v>
      </c>
      <c r="K2793" s="10">
        <v>0</v>
      </c>
      <c r="L2793" s="10">
        <v>0</v>
      </c>
      <c r="M2793" s="10">
        <v>1</v>
      </c>
      <c r="N2793" s="10">
        <v>36</v>
      </c>
      <c r="O2793" s="10">
        <v>36</v>
      </c>
    </row>
    <row r="2794" spans="1:15" x14ac:dyDescent="0.2">
      <c r="A2794" s="10" t="s">
        <v>1085</v>
      </c>
      <c r="B2794" s="10" t="s">
        <v>139</v>
      </c>
      <c r="C2794" s="10" t="s">
        <v>64</v>
      </c>
      <c r="D2794" s="10" t="s">
        <v>45</v>
      </c>
      <c r="E2794" s="10" t="s">
        <v>46</v>
      </c>
      <c r="F2794" s="10" t="s">
        <v>967</v>
      </c>
      <c r="G2794" s="10" t="b">
        <f>FALSE()</f>
        <v>0</v>
      </c>
      <c r="H2794" s="10">
        <v>0</v>
      </c>
      <c r="I2794" s="10">
        <v>1</v>
      </c>
      <c r="J2794" s="10">
        <v>0</v>
      </c>
      <c r="K2794" s="10">
        <v>0</v>
      </c>
      <c r="L2794" s="10">
        <v>0</v>
      </c>
      <c r="M2794" s="10">
        <v>1</v>
      </c>
      <c r="N2794" s="10">
        <v>36</v>
      </c>
      <c r="O2794" s="10">
        <v>36</v>
      </c>
    </row>
    <row r="2795" spans="1:15" x14ac:dyDescent="0.2">
      <c r="A2795" s="10" t="s">
        <v>1283</v>
      </c>
      <c r="B2795" s="10" t="s">
        <v>160</v>
      </c>
      <c r="C2795" s="10" t="s">
        <v>56</v>
      </c>
      <c r="D2795" s="10" t="s">
        <v>45</v>
      </c>
      <c r="E2795" s="10" t="s">
        <v>46</v>
      </c>
      <c r="F2795" s="10" t="s">
        <v>212</v>
      </c>
      <c r="G2795" s="10" t="b">
        <f>FALSE()</f>
        <v>0</v>
      </c>
      <c r="H2795" s="10">
        <v>0</v>
      </c>
      <c r="I2795" s="10">
        <v>1</v>
      </c>
      <c r="J2795" s="10">
        <v>0</v>
      </c>
      <c r="K2795" s="10">
        <v>0</v>
      </c>
      <c r="L2795" s="10">
        <v>0</v>
      </c>
      <c r="M2795" s="10">
        <v>1</v>
      </c>
      <c r="N2795" s="10">
        <v>51</v>
      </c>
      <c r="O2795" s="10">
        <v>36</v>
      </c>
    </row>
    <row r="2796" spans="1:15" x14ac:dyDescent="0.2">
      <c r="A2796" s="10" t="s">
        <v>1040</v>
      </c>
      <c r="B2796" s="10" t="s">
        <v>55</v>
      </c>
      <c r="C2796" s="10" t="s">
        <v>56</v>
      </c>
      <c r="D2796" s="10" t="s">
        <v>45</v>
      </c>
      <c r="E2796" s="10" t="s">
        <v>46</v>
      </c>
      <c r="F2796" s="10" t="s">
        <v>506</v>
      </c>
      <c r="G2796" s="10" t="b">
        <f>TRUE()</f>
        <v>1</v>
      </c>
      <c r="H2796" s="10">
        <v>0</v>
      </c>
      <c r="I2796" s="10">
        <v>1</v>
      </c>
      <c r="J2796" s="10">
        <v>0</v>
      </c>
      <c r="K2796" s="10">
        <v>0</v>
      </c>
      <c r="L2796" s="10">
        <v>0</v>
      </c>
      <c r="M2796" s="10">
        <v>1</v>
      </c>
      <c r="N2796" s="10">
        <v>37</v>
      </c>
      <c r="O2796" s="10">
        <v>36</v>
      </c>
    </row>
    <row r="2797" spans="1:15" x14ac:dyDescent="0.2">
      <c r="A2797" s="10" t="s">
        <v>1289</v>
      </c>
      <c r="B2797" s="10" t="s">
        <v>116</v>
      </c>
      <c r="C2797" s="10" t="s">
        <v>117</v>
      </c>
      <c r="D2797" s="10" t="s">
        <v>51</v>
      </c>
      <c r="E2797" s="10" t="s">
        <v>52</v>
      </c>
      <c r="F2797" s="10" t="s">
        <v>94</v>
      </c>
      <c r="G2797" s="10" t="b">
        <f>FALSE()</f>
        <v>0</v>
      </c>
      <c r="H2797" s="10">
        <v>0</v>
      </c>
      <c r="I2797" s="10">
        <v>1</v>
      </c>
      <c r="J2797" s="10">
        <v>0</v>
      </c>
      <c r="K2797" s="10">
        <v>0</v>
      </c>
      <c r="L2797" s="10">
        <v>0</v>
      </c>
      <c r="M2797" s="10">
        <v>1</v>
      </c>
      <c r="N2797" s="10">
        <v>35</v>
      </c>
      <c r="O2797" s="10">
        <v>35</v>
      </c>
    </row>
    <row r="2798" spans="1:15" x14ac:dyDescent="0.2">
      <c r="A2798" s="10" t="s">
        <v>1161</v>
      </c>
      <c r="B2798" s="10" t="s">
        <v>165</v>
      </c>
      <c r="C2798" s="10" t="s">
        <v>112</v>
      </c>
      <c r="D2798" s="10" t="s">
        <v>51</v>
      </c>
      <c r="E2798" s="10" t="s">
        <v>52</v>
      </c>
      <c r="F2798" s="10" t="s">
        <v>75</v>
      </c>
      <c r="G2798" s="10" t="b">
        <f>FALSE()</f>
        <v>0</v>
      </c>
      <c r="H2798" s="10">
        <v>0</v>
      </c>
      <c r="I2798" s="10">
        <v>1</v>
      </c>
      <c r="J2798" s="10">
        <v>0</v>
      </c>
      <c r="K2798" s="10">
        <v>0</v>
      </c>
      <c r="L2798" s="10">
        <v>0</v>
      </c>
      <c r="M2798" s="10">
        <v>1</v>
      </c>
      <c r="N2798" s="10">
        <v>35</v>
      </c>
      <c r="O2798" s="10">
        <v>35</v>
      </c>
    </row>
    <row r="2799" spans="1:15" x14ac:dyDescent="0.2">
      <c r="A2799" s="10" t="s">
        <v>1047</v>
      </c>
      <c r="B2799" s="10" t="s">
        <v>96</v>
      </c>
      <c r="C2799" s="10" t="s">
        <v>50</v>
      </c>
      <c r="D2799" s="10" t="s">
        <v>51</v>
      </c>
      <c r="E2799" s="10" t="s">
        <v>52</v>
      </c>
      <c r="F2799" s="10" t="s">
        <v>1346</v>
      </c>
      <c r="G2799" s="10" t="b">
        <f>TRUE()</f>
        <v>1</v>
      </c>
      <c r="H2799" s="10">
        <v>0</v>
      </c>
      <c r="I2799" s="10">
        <v>1</v>
      </c>
      <c r="J2799" s="10">
        <v>0</v>
      </c>
      <c r="K2799" s="10">
        <v>0</v>
      </c>
      <c r="L2799" s="10">
        <v>0</v>
      </c>
      <c r="M2799" s="10">
        <v>1</v>
      </c>
      <c r="N2799" s="10">
        <v>55</v>
      </c>
      <c r="O2799" s="10">
        <v>35</v>
      </c>
    </row>
    <row r="2800" spans="1:15" x14ac:dyDescent="0.2">
      <c r="A2800" s="10" t="s">
        <v>1047</v>
      </c>
      <c r="B2800" s="10" t="s">
        <v>96</v>
      </c>
      <c r="C2800" s="10" t="s">
        <v>50</v>
      </c>
      <c r="D2800" s="10" t="s">
        <v>51</v>
      </c>
      <c r="E2800" s="10" t="s">
        <v>52</v>
      </c>
      <c r="F2800" s="10" t="s">
        <v>220</v>
      </c>
      <c r="G2800" s="10" t="b">
        <f>FALSE()</f>
        <v>0</v>
      </c>
      <c r="H2800" s="10">
        <v>0</v>
      </c>
      <c r="I2800" s="10">
        <v>1</v>
      </c>
      <c r="J2800" s="10">
        <v>0</v>
      </c>
      <c r="K2800" s="10">
        <v>0</v>
      </c>
      <c r="L2800" s="10">
        <v>0</v>
      </c>
      <c r="M2800" s="10">
        <v>1</v>
      </c>
      <c r="N2800" s="10">
        <v>38</v>
      </c>
      <c r="O2800" s="10">
        <v>35</v>
      </c>
    </row>
    <row r="2801" spans="1:15" x14ac:dyDescent="0.2">
      <c r="A2801" s="10" t="s">
        <v>1088</v>
      </c>
      <c r="B2801" s="10" t="s">
        <v>517</v>
      </c>
      <c r="C2801" s="10" t="s">
        <v>90</v>
      </c>
      <c r="D2801" s="10" t="s">
        <v>51</v>
      </c>
      <c r="E2801" s="10" t="s">
        <v>52</v>
      </c>
      <c r="F2801" s="10" t="s">
        <v>558</v>
      </c>
      <c r="G2801" s="10" t="b">
        <f>TRUE()</f>
        <v>1</v>
      </c>
      <c r="H2801" s="10">
        <v>0</v>
      </c>
      <c r="I2801" s="10">
        <v>1</v>
      </c>
      <c r="J2801" s="10">
        <v>0</v>
      </c>
      <c r="K2801" s="10">
        <v>0</v>
      </c>
      <c r="L2801" s="10">
        <v>0</v>
      </c>
      <c r="M2801" s="10">
        <v>1</v>
      </c>
      <c r="N2801" s="10">
        <v>35</v>
      </c>
      <c r="O2801" s="10">
        <v>35</v>
      </c>
    </row>
    <row r="2802" spans="1:15" x14ac:dyDescent="0.2">
      <c r="A2802" s="10" t="s">
        <v>1059</v>
      </c>
      <c r="B2802" s="10" t="s">
        <v>109</v>
      </c>
      <c r="C2802" s="10" t="s">
        <v>90</v>
      </c>
      <c r="D2802" s="10" t="s">
        <v>51</v>
      </c>
      <c r="E2802" s="10" t="s">
        <v>52</v>
      </c>
      <c r="F2802" s="10" t="s">
        <v>91</v>
      </c>
      <c r="G2802" s="10" t="b">
        <f>TRUE()</f>
        <v>1</v>
      </c>
      <c r="H2802" s="10">
        <v>0</v>
      </c>
      <c r="I2802" s="10">
        <v>1</v>
      </c>
      <c r="J2802" s="10">
        <v>0</v>
      </c>
      <c r="K2802" s="10">
        <v>0</v>
      </c>
      <c r="L2802" s="10">
        <v>0</v>
      </c>
      <c r="M2802" s="10">
        <v>1</v>
      </c>
      <c r="N2802" s="10">
        <v>35</v>
      </c>
      <c r="O2802" s="10">
        <v>35</v>
      </c>
    </row>
    <row r="2803" spans="1:15" x14ac:dyDescent="0.2">
      <c r="A2803" s="10" t="s">
        <v>1069</v>
      </c>
      <c r="B2803" s="10" t="s">
        <v>89</v>
      </c>
      <c r="C2803" s="10" t="s">
        <v>90</v>
      </c>
      <c r="D2803" s="10" t="s">
        <v>51</v>
      </c>
      <c r="E2803" s="10" t="s">
        <v>52</v>
      </c>
      <c r="F2803" s="10" t="s">
        <v>363</v>
      </c>
      <c r="G2803" s="10" t="b">
        <f>FALSE()</f>
        <v>0</v>
      </c>
      <c r="H2803" s="10">
        <v>0</v>
      </c>
      <c r="I2803" s="10">
        <v>1</v>
      </c>
      <c r="J2803" s="10">
        <v>0</v>
      </c>
      <c r="K2803" s="10">
        <v>0</v>
      </c>
      <c r="L2803" s="10">
        <v>0</v>
      </c>
      <c r="M2803" s="10">
        <v>1</v>
      </c>
      <c r="N2803" s="10">
        <v>37</v>
      </c>
      <c r="O2803" s="10">
        <v>35</v>
      </c>
    </row>
    <row r="2804" spans="1:15" x14ac:dyDescent="0.2">
      <c r="A2804" s="10" t="s">
        <v>1195</v>
      </c>
      <c r="B2804" s="10" t="s">
        <v>163</v>
      </c>
      <c r="C2804" s="10" t="s">
        <v>90</v>
      </c>
      <c r="D2804" s="10" t="s">
        <v>51</v>
      </c>
      <c r="E2804" s="10" t="s">
        <v>52</v>
      </c>
      <c r="F2804" s="10" t="s">
        <v>877</v>
      </c>
      <c r="G2804" s="10" t="b">
        <f>FALSE()</f>
        <v>0</v>
      </c>
      <c r="H2804" s="10">
        <v>0</v>
      </c>
      <c r="I2804" s="10">
        <v>1</v>
      </c>
      <c r="J2804" s="10">
        <v>0</v>
      </c>
      <c r="K2804" s="10">
        <v>0</v>
      </c>
      <c r="L2804" s="10">
        <v>0</v>
      </c>
      <c r="M2804" s="10">
        <v>1</v>
      </c>
      <c r="N2804" s="10">
        <v>35</v>
      </c>
      <c r="O2804" s="10">
        <v>35</v>
      </c>
    </row>
    <row r="2805" spans="1:15" x14ac:dyDescent="0.2">
      <c r="A2805" s="10" t="s">
        <v>1172</v>
      </c>
      <c r="B2805" s="10" t="s">
        <v>280</v>
      </c>
      <c r="C2805" s="10" t="s">
        <v>64</v>
      </c>
      <c r="D2805" s="10" t="s">
        <v>45</v>
      </c>
      <c r="E2805" s="10" t="s">
        <v>46</v>
      </c>
      <c r="F2805" s="10" t="s">
        <v>251</v>
      </c>
      <c r="G2805" s="10" t="b">
        <f>FALSE()</f>
        <v>0</v>
      </c>
      <c r="H2805" s="10">
        <v>0</v>
      </c>
      <c r="I2805" s="10">
        <v>1</v>
      </c>
      <c r="J2805" s="10">
        <v>0</v>
      </c>
      <c r="K2805" s="10">
        <v>0</v>
      </c>
      <c r="L2805" s="10">
        <v>0</v>
      </c>
      <c r="M2805" s="10">
        <v>1</v>
      </c>
      <c r="N2805" s="10">
        <v>35</v>
      </c>
      <c r="O2805" s="10">
        <v>35</v>
      </c>
    </row>
    <row r="2806" spans="1:15" x14ac:dyDescent="0.2">
      <c r="A2806" s="10" t="s">
        <v>209</v>
      </c>
      <c r="B2806" s="10" t="s">
        <v>178</v>
      </c>
      <c r="C2806" s="10" t="s">
        <v>73</v>
      </c>
      <c r="D2806" s="10" t="s">
        <v>45</v>
      </c>
      <c r="E2806" s="10" t="s">
        <v>46</v>
      </c>
      <c r="F2806" s="10" t="s">
        <v>1173</v>
      </c>
      <c r="G2806" s="10" t="b">
        <f>FALSE()</f>
        <v>0</v>
      </c>
      <c r="H2806" s="10">
        <v>0</v>
      </c>
      <c r="I2806" s="10">
        <v>1</v>
      </c>
      <c r="J2806" s="10">
        <v>0</v>
      </c>
      <c r="K2806" s="10">
        <v>0</v>
      </c>
      <c r="L2806" s="10">
        <v>0</v>
      </c>
      <c r="M2806" s="10">
        <v>1</v>
      </c>
      <c r="N2806" s="10">
        <v>34</v>
      </c>
      <c r="O2806" s="10">
        <v>34</v>
      </c>
    </row>
    <row r="2807" spans="1:15" x14ac:dyDescent="0.2">
      <c r="A2807" s="10" t="s">
        <v>1073</v>
      </c>
      <c r="B2807" s="10" t="s">
        <v>193</v>
      </c>
      <c r="C2807" s="10" t="s">
        <v>117</v>
      </c>
      <c r="D2807" s="10" t="s">
        <v>51</v>
      </c>
      <c r="E2807" s="10" t="s">
        <v>52</v>
      </c>
      <c r="F2807" s="10" t="s">
        <v>393</v>
      </c>
      <c r="G2807" s="10" t="b">
        <f>FALSE()</f>
        <v>0</v>
      </c>
      <c r="H2807" s="10">
        <v>0</v>
      </c>
      <c r="I2807" s="10">
        <v>1</v>
      </c>
      <c r="J2807" s="10">
        <v>0</v>
      </c>
      <c r="K2807" s="10">
        <v>0</v>
      </c>
      <c r="L2807" s="10">
        <v>0</v>
      </c>
      <c r="M2807" s="10">
        <v>1</v>
      </c>
      <c r="N2807" s="10">
        <v>32</v>
      </c>
      <c r="O2807" s="10">
        <v>34</v>
      </c>
    </row>
    <row r="2808" spans="1:15" x14ac:dyDescent="0.2">
      <c r="A2808" s="10" t="s">
        <v>1141</v>
      </c>
      <c r="B2808" s="10" t="s">
        <v>405</v>
      </c>
      <c r="C2808" s="10" t="s">
        <v>112</v>
      </c>
      <c r="D2808" s="10" t="s">
        <v>51</v>
      </c>
      <c r="E2808" s="10" t="s">
        <v>52</v>
      </c>
      <c r="F2808" s="10" t="s">
        <v>220</v>
      </c>
      <c r="G2808" s="10" t="b">
        <f>FALSE()</f>
        <v>0</v>
      </c>
      <c r="H2808" s="10">
        <v>0</v>
      </c>
      <c r="I2808" s="10">
        <v>1</v>
      </c>
      <c r="J2808" s="10">
        <v>0</v>
      </c>
      <c r="K2808" s="10">
        <v>0</v>
      </c>
      <c r="L2808" s="10">
        <v>0</v>
      </c>
      <c r="M2808" s="10">
        <v>1</v>
      </c>
      <c r="N2808" s="10">
        <v>34</v>
      </c>
      <c r="O2808" s="10">
        <v>34</v>
      </c>
    </row>
    <row r="2809" spans="1:15" x14ac:dyDescent="0.2">
      <c r="A2809" s="10" t="s">
        <v>1324</v>
      </c>
      <c r="B2809" s="10" t="s">
        <v>419</v>
      </c>
      <c r="C2809" s="10" t="s">
        <v>50</v>
      </c>
      <c r="D2809" s="10" t="s">
        <v>51</v>
      </c>
      <c r="E2809" s="10" t="s">
        <v>52</v>
      </c>
      <c r="F2809" s="10" t="s">
        <v>180</v>
      </c>
      <c r="G2809" s="10" t="b">
        <f>FALSE()</f>
        <v>0</v>
      </c>
      <c r="H2809" s="10">
        <v>0</v>
      </c>
      <c r="I2809" s="10">
        <v>1</v>
      </c>
      <c r="J2809" s="10">
        <v>0</v>
      </c>
      <c r="K2809" s="10">
        <v>0</v>
      </c>
      <c r="L2809" s="10">
        <v>0</v>
      </c>
      <c r="M2809" s="10">
        <v>1</v>
      </c>
      <c r="N2809" s="10">
        <v>28</v>
      </c>
      <c r="O2809" s="10">
        <v>34</v>
      </c>
    </row>
    <row r="2810" spans="1:15" x14ac:dyDescent="0.2">
      <c r="A2810" s="10" t="s">
        <v>1052</v>
      </c>
      <c r="B2810" s="10" t="s">
        <v>289</v>
      </c>
      <c r="C2810" s="10" t="s">
        <v>50</v>
      </c>
      <c r="D2810" s="10" t="s">
        <v>51</v>
      </c>
      <c r="E2810" s="10" t="s">
        <v>52</v>
      </c>
      <c r="F2810" s="10" t="s">
        <v>941</v>
      </c>
      <c r="G2810" s="10" t="b">
        <f>FALSE()</f>
        <v>0</v>
      </c>
      <c r="H2810" s="10">
        <v>0</v>
      </c>
      <c r="I2810" s="10">
        <v>1</v>
      </c>
      <c r="J2810" s="10">
        <v>0</v>
      </c>
      <c r="K2810" s="10">
        <v>0</v>
      </c>
      <c r="L2810" s="10">
        <v>0</v>
      </c>
      <c r="M2810" s="10">
        <v>1</v>
      </c>
      <c r="N2810" s="10">
        <v>34</v>
      </c>
      <c r="O2810" s="10">
        <v>34</v>
      </c>
    </row>
    <row r="2811" spans="1:15" x14ac:dyDescent="0.2">
      <c r="A2811" s="10" t="s">
        <v>1120</v>
      </c>
      <c r="B2811" s="10" t="s">
        <v>265</v>
      </c>
      <c r="C2811" s="10" t="s">
        <v>245</v>
      </c>
      <c r="D2811" s="10" t="s">
        <v>51</v>
      </c>
      <c r="E2811" s="10" t="s">
        <v>52</v>
      </c>
      <c r="F2811" s="10" t="s">
        <v>183</v>
      </c>
      <c r="G2811" s="10" t="b">
        <f>FALSE()</f>
        <v>0</v>
      </c>
      <c r="H2811" s="10">
        <v>0</v>
      </c>
      <c r="I2811" s="10">
        <v>1</v>
      </c>
      <c r="J2811" s="10">
        <v>0</v>
      </c>
      <c r="K2811" s="10">
        <v>0</v>
      </c>
      <c r="L2811" s="10">
        <v>0</v>
      </c>
      <c r="M2811" s="10">
        <v>1</v>
      </c>
      <c r="N2811" s="10">
        <v>56</v>
      </c>
      <c r="O2811" s="10">
        <v>34</v>
      </c>
    </row>
    <row r="2812" spans="1:15" x14ac:dyDescent="0.2">
      <c r="A2812" s="10" t="s">
        <v>1117</v>
      </c>
      <c r="B2812" s="10" t="s">
        <v>157</v>
      </c>
      <c r="C2812" s="10" t="s">
        <v>64</v>
      </c>
      <c r="D2812" s="10" t="s">
        <v>45</v>
      </c>
      <c r="E2812" s="10" t="s">
        <v>46</v>
      </c>
      <c r="F2812" s="10" t="s">
        <v>79</v>
      </c>
      <c r="G2812" s="10" t="b">
        <f>FALSE()</f>
        <v>0</v>
      </c>
      <c r="H2812" s="10">
        <v>0</v>
      </c>
      <c r="I2812" s="10">
        <v>1</v>
      </c>
      <c r="J2812" s="10">
        <v>0</v>
      </c>
      <c r="K2812" s="10">
        <v>0</v>
      </c>
      <c r="L2812" s="10">
        <v>0</v>
      </c>
      <c r="M2812" s="10">
        <v>1</v>
      </c>
      <c r="N2812" s="10">
        <v>36</v>
      </c>
      <c r="O2812" s="10">
        <v>34</v>
      </c>
    </row>
    <row r="2813" spans="1:15" x14ac:dyDescent="0.2">
      <c r="A2813" s="10" t="s">
        <v>691</v>
      </c>
      <c r="B2813" s="10" t="s">
        <v>136</v>
      </c>
      <c r="C2813" s="10" t="s">
        <v>73</v>
      </c>
      <c r="D2813" s="10" t="s">
        <v>45</v>
      </c>
      <c r="E2813" s="10" t="s">
        <v>46</v>
      </c>
      <c r="F2813" s="10" t="s">
        <v>92</v>
      </c>
      <c r="G2813" s="10" t="b">
        <f>FALSE()</f>
        <v>0</v>
      </c>
      <c r="H2813" s="10">
        <v>0</v>
      </c>
      <c r="I2813" s="10">
        <v>1</v>
      </c>
      <c r="J2813" s="10">
        <v>0</v>
      </c>
      <c r="K2813" s="10">
        <v>0</v>
      </c>
      <c r="L2813" s="10">
        <v>0</v>
      </c>
      <c r="M2813" s="10">
        <v>1</v>
      </c>
      <c r="N2813" s="10">
        <v>33</v>
      </c>
      <c r="O2813" s="10">
        <v>33</v>
      </c>
    </row>
    <row r="2814" spans="1:15" x14ac:dyDescent="0.2">
      <c r="A2814" s="10" t="s">
        <v>1347</v>
      </c>
      <c r="B2814" s="10" t="s">
        <v>72</v>
      </c>
      <c r="C2814" s="10" t="s">
        <v>73</v>
      </c>
      <c r="D2814" s="10" t="s">
        <v>45</v>
      </c>
      <c r="E2814" s="10" t="s">
        <v>46</v>
      </c>
      <c r="F2814" s="10" t="s">
        <v>153</v>
      </c>
      <c r="G2814" s="10" t="b">
        <f>FALSE()</f>
        <v>0</v>
      </c>
      <c r="H2814" s="10">
        <v>0</v>
      </c>
      <c r="I2814" s="10">
        <v>1</v>
      </c>
      <c r="J2814" s="10">
        <v>0</v>
      </c>
      <c r="K2814" s="10">
        <v>0</v>
      </c>
      <c r="L2814" s="10">
        <v>0</v>
      </c>
      <c r="M2814" s="10">
        <v>1</v>
      </c>
      <c r="N2814" s="10">
        <v>37</v>
      </c>
      <c r="O2814" s="10">
        <v>33</v>
      </c>
    </row>
    <row r="2815" spans="1:15" x14ac:dyDescent="0.2">
      <c r="A2815" s="10" t="s">
        <v>1239</v>
      </c>
      <c r="B2815" s="10" t="s">
        <v>67</v>
      </c>
      <c r="C2815" s="10" t="s">
        <v>64</v>
      </c>
      <c r="D2815" s="10" t="s">
        <v>45</v>
      </c>
      <c r="E2815" s="10" t="s">
        <v>46</v>
      </c>
      <c r="F2815" s="10" t="s">
        <v>123</v>
      </c>
      <c r="G2815" s="10" t="b">
        <f>FALSE()</f>
        <v>0</v>
      </c>
      <c r="H2815" s="10">
        <v>0</v>
      </c>
      <c r="I2815" s="10">
        <v>1</v>
      </c>
      <c r="J2815" s="10">
        <v>0</v>
      </c>
      <c r="K2815" s="10">
        <v>0</v>
      </c>
      <c r="L2815" s="10">
        <v>0</v>
      </c>
      <c r="M2815" s="10">
        <v>1</v>
      </c>
      <c r="N2815" s="10">
        <v>35</v>
      </c>
      <c r="O2815" s="10">
        <v>33</v>
      </c>
    </row>
    <row r="2816" spans="1:15" x14ac:dyDescent="0.2">
      <c r="A2816" s="10" t="s">
        <v>1170</v>
      </c>
      <c r="B2816" s="10" t="s">
        <v>146</v>
      </c>
      <c r="C2816" s="10" t="s">
        <v>105</v>
      </c>
      <c r="D2816" s="10" t="s">
        <v>45</v>
      </c>
      <c r="E2816" s="10" t="s">
        <v>46</v>
      </c>
      <c r="F2816" s="10" t="s">
        <v>183</v>
      </c>
      <c r="G2816" s="10" t="b">
        <f>FALSE()</f>
        <v>0</v>
      </c>
      <c r="H2816" s="10">
        <v>0</v>
      </c>
      <c r="I2816" s="10">
        <v>1</v>
      </c>
      <c r="J2816" s="10">
        <v>0</v>
      </c>
      <c r="K2816" s="10">
        <v>0</v>
      </c>
      <c r="L2816" s="10">
        <v>0</v>
      </c>
      <c r="M2816" s="10">
        <v>1</v>
      </c>
      <c r="N2816" s="10">
        <v>39</v>
      </c>
      <c r="O2816" s="10">
        <v>33</v>
      </c>
    </row>
    <row r="2817" spans="1:15" x14ac:dyDescent="0.2">
      <c r="A2817" s="10" t="s">
        <v>1146</v>
      </c>
      <c r="B2817" s="10" t="s">
        <v>70</v>
      </c>
      <c r="C2817" s="10" t="s">
        <v>70</v>
      </c>
      <c r="D2817" s="10" t="s">
        <v>45</v>
      </c>
      <c r="E2817" s="10" t="s">
        <v>46</v>
      </c>
      <c r="F2817" s="10" t="s">
        <v>207</v>
      </c>
      <c r="G2817" s="10" t="b">
        <f>FALSE()</f>
        <v>0</v>
      </c>
      <c r="H2817" s="10">
        <v>0</v>
      </c>
      <c r="I2817" s="10">
        <v>1</v>
      </c>
      <c r="J2817" s="10">
        <v>0</v>
      </c>
      <c r="K2817" s="10">
        <v>0</v>
      </c>
      <c r="L2817" s="10">
        <v>0</v>
      </c>
      <c r="M2817" s="10">
        <v>1</v>
      </c>
      <c r="N2817" s="10">
        <v>33</v>
      </c>
      <c r="O2817" s="10">
        <v>33</v>
      </c>
    </row>
    <row r="2818" spans="1:15" x14ac:dyDescent="0.2">
      <c r="A2818" s="10" t="s">
        <v>1290</v>
      </c>
      <c r="B2818" s="10" t="s">
        <v>407</v>
      </c>
      <c r="C2818" s="10" t="s">
        <v>112</v>
      </c>
      <c r="D2818" s="10" t="s">
        <v>51</v>
      </c>
      <c r="E2818" s="10" t="s">
        <v>52</v>
      </c>
      <c r="F2818" s="10" t="s">
        <v>153</v>
      </c>
      <c r="G2818" s="10" t="b">
        <f>FALSE()</f>
        <v>0</v>
      </c>
      <c r="H2818" s="10">
        <v>0</v>
      </c>
      <c r="I2818" s="10">
        <v>1</v>
      </c>
      <c r="J2818" s="10">
        <v>0</v>
      </c>
      <c r="K2818" s="10">
        <v>0</v>
      </c>
      <c r="L2818" s="10">
        <v>0</v>
      </c>
      <c r="M2818" s="10">
        <v>1</v>
      </c>
      <c r="N2818" s="10">
        <v>32</v>
      </c>
      <c r="O2818" s="10">
        <v>32</v>
      </c>
    </row>
    <row r="2819" spans="1:15" x14ac:dyDescent="0.2">
      <c r="A2819" s="10" t="s">
        <v>1047</v>
      </c>
      <c r="B2819" s="10" t="s">
        <v>96</v>
      </c>
      <c r="C2819" s="10" t="s">
        <v>50</v>
      </c>
      <c r="D2819" s="10" t="s">
        <v>51</v>
      </c>
      <c r="E2819" s="10" t="s">
        <v>52</v>
      </c>
      <c r="F2819" s="10" t="s">
        <v>79</v>
      </c>
      <c r="G2819" s="10" t="b">
        <f>FALSE()</f>
        <v>0</v>
      </c>
      <c r="H2819" s="10">
        <v>0</v>
      </c>
      <c r="I2819" s="10">
        <v>1</v>
      </c>
      <c r="J2819" s="10">
        <v>0</v>
      </c>
      <c r="K2819" s="10">
        <v>0</v>
      </c>
      <c r="L2819" s="10">
        <v>0</v>
      </c>
      <c r="M2819" s="10">
        <v>1</v>
      </c>
      <c r="N2819" s="10">
        <v>32</v>
      </c>
      <c r="O2819" s="10">
        <v>32</v>
      </c>
    </row>
    <row r="2820" spans="1:15" x14ac:dyDescent="0.2">
      <c r="A2820" s="10" t="s">
        <v>1230</v>
      </c>
      <c r="B2820" s="10" t="s">
        <v>78</v>
      </c>
      <c r="C2820" s="10" t="s">
        <v>50</v>
      </c>
      <c r="D2820" s="10" t="s">
        <v>51</v>
      </c>
      <c r="E2820" s="10" t="s">
        <v>52</v>
      </c>
      <c r="F2820" s="10" t="s">
        <v>588</v>
      </c>
      <c r="G2820" s="10" t="b">
        <f>TRUE()</f>
        <v>1</v>
      </c>
      <c r="H2820" s="10">
        <v>0</v>
      </c>
      <c r="I2820" s="10">
        <v>1</v>
      </c>
      <c r="J2820" s="10">
        <v>0</v>
      </c>
      <c r="K2820" s="10">
        <v>0</v>
      </c>
      <c r="L2820" s="10">
        <v>0</v>
      </c>
      <c r="M2820" s="10">
        <v>1</v>
      </c>
      <c r="N2820" s="10">
        <v>32</v>
      </c>
      <c r="O2820" s="10">
        <v>32</v>
      </c>
    </row>
    <row r="2821" spans="1:15" x14ac:dyDescent="0.2">
      <c r="A2821" s="10" t="s">
        <v>1261</v>
      </c>
      <c r="B2821" s="10" t="s">
        <v>89</v>
      </c>
      <c r="C2821" s="10" t="s">
        <v>90</v>
      </c>
      <c r="D2821" s="10" t="s">
        <v>51</v>
      </c>
      <c r="E2821" s="10" t="s">
        <v>52</v>
      </c>
      <c r="F2821" s="10" t="s">
        <v>834</v>
      </c>
      <c r="G2821" s="10" t="b">
        <f>FALSE()</f>
        <v>0</v>
      </c>
      <c r="H2821" s="10">
        <v>0</v>
      </c>
      <c r="I2821" s="10">
        <v>1</v>
      </c>
      <c r="J2821" s="10">
        <v>0</v>
      </c>
      <c r="K2821" s="10">
        <v>0</v>
      </c>
      <c r="L2821" s="10">
        <v>0</v>
      </c>
      <c r="M2821" s="10">
        <v>1</v>
      </c>
      <c r="N2821" s="10">
        <v>40</v>
      </c>
      <c r="O2821" s="10">
        <v>32</v>
      </c>
    </row>
    <row r="2822" spans="1:15" x14ac:dyDescent="0.2">
      <c r="A2822" s="10" t="s">
        <v>1326</v>
      </c>
      <c r="B2822" s="10" t="s">
        <v>247</v>
      </c>
      <c r="C2822" s="10" t="s">
        <v>245</v>
      </c>
      <c r="D2822" s="10" t="s">
        <v>51</v>
      </c>
      <c r="E2822" s="10" t="s">
        <v>52</v>
      </c>
      <c r="F2822" s="10" t="s">
        <v>1336</v>
      </c>
      <c r="G2822" s="10" t="b">
        <f>TRUE()</f>
        <v>1</v>
      </c>
      <c r="H2822" s="10">
        <v>0</v>
      </c>
      <c r="I2822" s="10">
        <v>1</v>
      </c>
      <c r="J2822" s="10">
        <v>0</v>
      </c>
      <c r="K2822" s="10">
        <v>0</v>
      </c>
      <c r="L2822" s="10">
        <v>0</v>
      </c>
      <c r="M2822" s="10">
        <v>1</v>
      </c>
      <c r="N2822" s="10">
        <v>33</v>
      </c>
      <c r="O2822" s="10">
        <v>32</v>
      </c>
    </row>
    <row r="2823" spans="1:15" x14ac:dyDescent="0.2">
      <c r="A2823" s="10" t="s">
        <v>1077</v>
      </c>
      <c r="B2823" s="10" t="s">
        <v>606</v>
      </c>
      <c r="C2823" s="10" t="s">
        <v>64</v>
      </c>
      <c r="D2823" s="10" t="s">
        <v>45</v>
      </c>
      <c r="E2823" s="10" t="s">
        <v>46</v>
      </c>
      <c r="F2823" s="10" t="s">
        <v>61</v>
      </c>
      <c r="G2823" s="10" t="b">
        <f>FALSE()</f>
        <v>0</v>
      </c>
      <c r="H2823" s="10">
        <v>0</v>
      </c>
      <c r="I2823" s="10">
        <v>1</v>
      </c>
      <c r="J2823" s="10">
        <v>0</v>
      </c>
      <c r="K2823" s="10">
        <v>0</v>
      </c>
      <c r="L2823" s="10">
        <v>0</v>
      </c>
      <c r="M2823" s="10">
        <v>1</v>
      </c>
      <c r="N2823" s="10">
        <v>32</v>
      </c>
      <c r="O2823" s="10">
        <v>32</v>
      </c>
    </row>
    <row r="2824" spans="1:15" x14ac:dyDescent="0.2">
      <c r="A2824" s="10" t="s">
        <v>1077</v>
      </c>
      <c r="B2824" s="10" t="s">
        <v>606</v>
      </c>
      <c r="C2824" s="10" t="s">
        <v>64</v>
      </c>
      <c r="D2824" s="10" t="s">
        <v>45</v>
      </c>
      <c r="E2824" s="10" t="s">
        <v>46</v>
      </c>
      <c r="F2824" s="10" t="s">
        <v>373</v>
      </c>
      <c r="G2824" s="10" t="b">
        <f>FALSE()</f>
        <v>0</v>
      </c>
      <c r="H2824" s="10">
        <v>0</v>
      </c>
      <c r="I2824" s="10">
        <v>1</v>
      </c>
      <c r="J2824" s="10">
        <v>0</v>
      </c>
      <c r="K2824" s="10">
        <v>0</v>
      </c>
      <c r="L2824" s="10">
        <v>0</v>
      </c>
      <c r="M2824" s="10">
        <v>1</v>
      </c>
      <c r="N2824" s="10">
        <v>32</v>
      </c>
      <c r="O2824" s="10">
        <v>32</v>
      </c>
    </row>
    <row r="2825" spans="1:15" x14ac:dyDescent="0.2">
      <c r="A2825" s="10" t="s">
        <v>1048</v>
      </c>
      <c r="B2825" s="10" t="s">
        <v>1049</v>
      </c>
      <c r="C2825" s="10" t="s">
        <v>64</v>
      </c>
      <c r="D2825" s="10" t="s">
        <v>45</v>
      </c>
      <c r="E2825" s="10" t="s">
        <v>46</v>
      </c>
      <c r="F2825" s="10" t="s">
        <v>393</v>
      </c>
      <c r="G2825" s="10" t="b">
        <f>FALSE()</f>
        <v>0</v>
      </c>
      <c r="H2825" s="10">
        <v>0</v>
      </c>
      <c r="I2825" s="10">
        <v>1</v>
      </c>
      <c r="J2825" s="10">
        <v>0</v>
      </c>
      <c r="K2825" s="10">
        <v>0</v>
      </c>
      <c r="L2825" s="10">
        <v>0</v>
      </c>
      <c r="M2825" s="10">
        <v>1</v>
      </c>
      <c r="N2825" s="10">
        <v>34</v>
      </c>
      <c r="O2825" s="10">
        <v>32</v>
      </c>
    </row>
    <row r="2826" spans="1:15" x14ac:dyDescent="0.2">
      <c r="A2826" s="10" t="s">
        <v>1106</v>
      </c>
      <c r="B2826" s="10" t="s">
        <v>146</v>
      </c>
      <c r="C2826" s="10" t="s">
        <v>105</v>
      </c>
      <c r="D2826" s="10" t="s">
        <v>45</v>
      </c>
      <c r="E2826" s="10" t="s">
        <v>46</v>
      </c>
      <c r="F2826" s="10" t="s">
        <v>444</v>
      </c>
      <c r="G2826" s="10" t="b">
        <f>TRUE()</f>
        <v>1</v>
      </c>
      <c r="H2826" s="10">
        <v>0</v>
      </c>
      <c r="I2826" s="10">
        <v>1</v>
      </c>
      <c r="J2826" s="10">
        <v>0</v>
      </c>
      <c r="K2826" s="10">
        <v>0</v>
      </c>
      <c r="L2826" s="10">
        <v>0</v>
      </c>
      <c r="M2826" s="10">
        <v>1</v>
      </c>
      <c r="N2826" s="10">
        <v>32</v>
      </c>
      <c r="O2826" s="10">
        <v>32</v>
      </c>
    </row>
    <row r="2827" spans="1:15" x14ac:dyDescent="0.2">
      <c r="A2827" s="10" t="s">
        <v>1127</v>
      </c>
      <c r="B2827" s="10" t="s">
        <v>55</v>
      </c>
      <c r="C2827" s="10" t="s">
        <v>56</v>
      </c>
      <c r="D2827" s="10" t="s">
        <v>45</v>
      </c>
      <c r="E2827" s="10" t="s">
        <v>46</v>
      </c>
      <c r="F2827" s="10" t="s">
        <v>212</v>
      </c>
      <c r="G2827" s="10" t="b">
        <f>FALSE()</f>
        <v>0</v>
      </c>
      <c r="H2827" s="10">
        <v>0</v>
      </c>
      <c r="I2827" s="10">
        <v>1</v>
      </c>
      <c r="J2827" s="10">
        <v>0</v>
      </c>
      <c r="K2827" s="10">
        <v>0</v>
      </c>
      <c r="L2827" s="10">
        <v>0</v>
      </c>
      <c r="M2827" s="10">
        <v>1</v>
      </c>
      <c r="N2827" s="10">
        <v>39</v>
      </c>
      <c r="O2827" s="10">
        <v>32</v>
      </c>
    </row>
    <row r="2828" spans="1:15" x14ac:dyDescent="0.2">
      <c r="A2828" s="10" t="s">
        <v>131</v>
      </c>
      <c r="B2828" s="10" t="s">
        <v>70</v>
      </c>
      <c r="C2828" s="10" t="s">
        <v>70</v>
      </c>
      <c r="D2828" s="10" t="s">
        <v>45</v>
      </c>
      <c r="E2828" s="10" t="s">
        <v>46</v>
      </c>
      <c r="F2828" s="10" t="s">
        <v>220</v>
      </c>
      <c r="G2828" s="10" t="b">
        <f>FALSE()</f>
        <v>0</v>
      </c>
      <c r="H2828" s="10">
        <v>0</v>
      </c>
      <c r="I2828" s="10">
        <v>1</v>
      </c>
      <c r="J2828" s="10">
        <v>0</v>
      </c>
      <c r="K2828" s="10">
        <v>0</v>
      </c>
      <c r="L2828" s="10">
        <v>0</v>
      </c>
      <c r="M2828" s="10">
        <v>1</v>
      </c>
      <c r="N2828" s="10">
        <v>32</v>
      </c>
      <c r="O2828" s="10">
        <v>31</v>
      </c>
    </row>
    <row r="2829" spans="1:15" x14ac:dyDescent="0.2">
      <c r="A2829" s="10" t="s">
        <v>865</v>
      </c>
      <c r="B2829" s="10" t="s">
        <v>493</v>
      </c>
      <c r="C2829" s="10" t="s">
        <v>117</v>
      </c>
      <c r="D2829" s="10" t="s">
        <v>51</v>
      </c>
      <c r="E2829" s="10" t="s">
        <v>52</v>
      </c>
      <c r="F2829" s="10" t="s">
        <v>1337</v>
      </c>
      <c r="G2829" s="10" t="b">
        <f>TRUE()</f>
        <v>1</v>
      </c>
      <c r="H2829" s="10">
        <v>0</v>
      </c>
      <c r="I2829" s="10">
        <v>1</v>
      </c>
      <c r="J2829" s="10">
        <v>0</v>
      </c>
      <c r="K2829" s="10">
        <v>0</v>
      </c>
      <c r="L2829" s="10">
        <v>0</v>
      </c>
      <c r="M2829" s="10">
        <v>1</v>
      </c>
      <c r="N2829" s="10">
        <v>50</v>
      </c>
      <c r="O2829" s="10">
        <v>31</v>
      </c>
    </row>
    <row r="2830" spans="1:15" x14ac:dyDescent="0.2">
      <c r="A2830" s="10" t="s">
        <v>865</v>
      </c>
      <c r="B2830" s="10" t="s">
        <v>493</v>
      </c>
      <c r="C2830" s="10" t="s">
        <v>117</v>
      </c>
      <c r="D2830" s="10" t="s">
        <v>51</v>
      </c>
      <c r="E2830" s="10" t="s">
        <v>52</v>
      </c>
      <c r="F2830" s="10" t="s">
        <v>1257</v>
      </c>
      <c r="G2830" s="10" t="b">
        <f>TRUE()</f>
        <v>1</v>
      </c>
      <c r="H2830" s="10">
        <v>0</v>
      </c>
      <c r="I2830" s="10">
        <v>1</v>
      </c>
      <c r="J2830" s="10">
        <v>0</v>
      </c>
      <c r="K2830" s="10">
        <v>0</v>
      </c>
      <c r="L2830" s="10">
        <v>0</v>
      </c>
      <c r="M2830" s="10">
        <v>1</v>
      </c>
      <c r="N2830" s="10">
        <v>37</v>
      </c>
      <c r="O2830" s="10">
        <v>31</v>
      </c>
    </row>
    <row r="2831" spans="1:15" x14ac:dyDescent="0.2">
      <c r="A2831" s="10" t="s">
        <v>1304</v>
      </c>
      <c r="B2831" s="10" t="s">
        <v>169</v>
      </c>
      <c r="C2831" s="10" t="s">
        <v>117</v>
      </c>
      <c r="D2831" s="10" t="s">
        <v>51</v>
      </c>
      <c r="E2831" s="10" t="s">
        <v>52</v>
      </c>
      <c r="F2831" s="10" t="s">
        <v>91</v>
      </c>
      <c r="G2831" s="10" t="b">
        <f>TRUE()</f>
        <v>1</v>
      </c>
      <c r="H2831" s="10">
        <v>0</v>
      </c>
      <c r="I2831" s="10">
        <v>1</v>
      </c>
      <c r="J2831" s="10">
        <v>0</v>
      </c>
      <c r="K2831" s="10">
        <v>0</v>
      </c>
      <c r="L2831" s="10">
        <v>0</v>
      </c>
      <c r="M2831" s="10">
        <v>1</v>
      </c>
      <c r="N2831" s="10">
        <v>31</v>
      </c>
      <c r="O2831" s="10">
        <v>31</v>
      </c>
    </row>
    <row r="2832" spans="1:15" x14ac:dyDescent="0.2">
      <c r="A2832" s="10" t="s">
        <v>1130</v>
      </c>
      <c r="B2832" s="10" t="s">
        <v>193</v>
      </c>
      <c r="C2832" s="10" t="s">
        <v>117</v>
      </c>
      <c r="D2832" s="10" t="s">
        <v>51</v>
      </c>
      <c r="E2832" s="10" t="s">
        <v>52</v>
      </c>
      <c r="F2832" s="10" t="s">
        <v>535</v>
      </c>
      <c r="G2832" s="10" t="b">
        <f>TRUE()</f>
        <v>1</v>
      </c>
      <c r="H2832" s="10">
        <v>0</v>
      </c>
      <c r="I2832" s="10">
        <v>1</v>
      </c>
      <c r="J2832" s="10">
        <v>0</v>
      </c>
      <c r="K2832" s="10">
        <v>0</v>
      </c>
      <c r="L2832" s="10">
        <v>0</v>
      </c>
      <c r="M2832" s="10">
        <v>1</v>
      </c>
      <c r="N2832" s="10">
        <v>31</v>
      </c>
      <c r="O2832" s="10">
        <v>31</v>
      </c>
    </row>
    <row r="2833" spans="1:15" x14ac:dyDescent="0.2">
      <c r="A2833" s="10" t="s">
        <v>1294</v>
      </c>
      <c r="B2833" s="10" t="s">
        <v>456</v>
      </c>
      <c r="C2833" s="10" t="s">
        <v>245</v>
      </c>
      <c r="D2833" s="10" t="s">
        <v>51</v>
      </c>
      <c r="E2833" s="10" t="s">
        <v>52</v>
      </c>
      <c r="F2833" s="10" t="s">
        <v>61</v>
      </c>
      <c r="G2833" s="10" t="b">
        <f>FALSE()</f>
        <v>0</v>
      </c>
      <c r="H2833" s="10">
        <v>0</v>
      </c>
      <c r="I2833" s="10">
        <v>1</v>
      </c>
      <c r="J2833" s="10">
        <v>0</v>
      </c>
      <c r="K2833" s="10">
        <v>0</v>
      </c>
      <c r="L2833" s="10">
        <v>0</v>
      </c>
      <c r="M2833" s="10">
        <v>1</v>
      </c>
      <c r="N2833" s="10">
        <v>26</v>
      </c>
      <c r="O2833" s="10">
        <v>31</v>
      </c>
    </row>
    <row r="2834" spans="1:15" x14ac:dyDescent="0.2">
      <c r="A2834" s="10" t="s">
        <v>502</v>
      </c>
      <c r="B2834" s="10" t="s">
        <v>302</v>
      </c>
      <c r="C2834" s="10" t="s">
        <v>117</v>
      </c>
      <c r="D2834" s="10" t="s">
        <v>51</v>
      </c>
      <c r="E2834" s="10" t="s">
        <v>52</v>
      </c>
      <c r="F2834" s="10" t="s">
        <v>207</v>
      </c>
      <c r="G2834" s="10" t="b">
        <f>FALSE()</f>
        <v>0</v>
      </c>
      <c r="H2834" s="10">
        <v>1</v>
      </c>
      <c r="I2834" s="10">
        <v>1</v>
      </c>
      <c r="J2834" s="10">
        <v>1</v>
      </c>
      <c r="K2834" s="10">
        <v>41</v>
      </c>
      <c r="L2834" s="10">
        <v>0</v>
      </c>
      <c r="M2834" s="10">
        <v>1</v>
      </c>
      <c r="N2834" s="10">
        <v>30</v>
      </c>
      <c r="O2834" s="10">
        <v>30</v>
      </c>
    </row>
    <row r="2835" spans="1:15" x14ac:dyDescent="0.2">
      <c r="A2835" s="10" t="s">
        <v>694</v>
      </c>
      <c r="B2835" s="10" t="s">
        <v>78</v>
      </c>
      <c r="C2835" s="10" t="s">
        <v>50</v>
      </c>
      <c r="D2835" s="10" t="s">
        <v>51</v>
      </c>
      <c r="E2835" s="10" t="s">
        <v>52</v>
      </c>
      <c r="F2835" s="10" t="s">
        <v>92</v>
      </c>
      <c r="G2835" s="10" t="b">
        <f>FALSE()</f>
        <v>0</v>
      </c>
      <c r="H2835" s="10">
        <v>0</v>
      </c>
      <c r="I2835" s="10">
        <v>1</v>
      </c>
      <c r="J2835" s="10">
        <v>0</v>
      </c>
      <c r="K2835" s="10">
        <v>0</v>
      </c>
      <c r="L2835" s="10">
        <v>0</v>
      </c>
      <c r="M2835" s="10">
        <v>1</v>
      </c>
      <c r="N2835" s="10">
        <v>37</v>
      </c>
      <c r="O2835" s="10">
        <v>30</v>
      </c>
    </row>
    <row r="2836" spans="1:15" x14ac:dyDescent="0.2">
      <c r="A2836" s="10" t="s">
        <v>550</v>
      </c>
      <c r="B2836" s="10" t="s">
        <v>72</v>
      </c>
      <c r="C2836" s="10" t="s">
        <v>73</v>
      </c>
      <c r="D2836" s="10" t="s">
        <v>45</v>
      </c>
      <c r="E2836" s="10" t="s">
        <v>46</v>
      </c>
      <c r="F2836" s="10" t="s">
        <v>92</v>
      </c>
      <c r="G2836" s="10" t="b">
        <f>FALSE()</f>
        <v>0</v>
      </c>
      <c r="H2836" s="10">
        <v>0</v>
      </c>
      <c r="I2836" s="10">
        <v>1</v>
      </c>
      <c r="J2836" s="10">
        <v>0</v>
      </c>
      <c r="K2836" s="10">
        <v>0</v>
      </c>
      <c r="L2836" s="10">
        <v>0</v>
      </c>
      <c r="M2836" s="10">
        <v>1</v>
      </c>
      <c r="N2836" s="10">
        <v>30</v>
      </c>
      <c r="O2836" s="10">
        <v>30</v>
      </c>
    </row>
    <row r="2837" spans="1:15" x14ac:dyDescent="0.2">
      <c r="A2837" s="10" t="s">
        <v>697</v>
      </c>
      <c r="B2837" s="10" t="s">
        <v>157</v>
      </c>
      <c r="C2837" s="10" t="s">
        <v>64</v>
      </c>
      <c r="D2837" s="10" t="s">
        <v>45</v>
      </c>
      <c r="E2837" s="10" t="s">
        <v>46</v>
      </c>
      <c r="F2837" s="10" t="s">
        <v>153</v>
      </c>
      <c r="G2837" s="10" t="b">
        <f>FALSE()</f>
        <v>0</v>
      </c>
      <c r="H2837" s="10">
        <v>0</v>
      </c>
      <c r="I2837" s="10">
        <v>1</v>
      </c>
      <c r="J2837" s="10">
        <v>0</v>
      </c>
      <c r="K2837" s="10">
        <v>0</v>
      </c>
      <c r="L2837" s="10">
        <v>0</v>
      </c>
      <c r="M2837" s="10">
        <v>1</v>
      </c>
      <c r="N2837" s="10">
        <v>30</v>
      </c>
      <c r="O2837" s="10">
        <v>30</v>
      </c>
    </row>
    <row r="2838" spans="1:15" x14ac:dyDescent="0.2">
      <c r="A2838" s="10" t="s">
        <v>495</v>
      </c>
      <c r="B2838" s="10" t="s">
        <v>119</v>
      </c>
      <c r="C2838" s="10" t="s">
        <v>56</v>
      </c>
      <c r="D2838" s="10" t="s">
        <v>45</v>
      </c>
      <c r="E2838" s="10" t="s">
        <v>46</v>
      </c>
      <c r="F2838" s="10" t="s">
        <v>74</v>
      </c>
      <c r="G2838" s="10" t="b">
        <f>FALSE()</f>
        <v>0</v>
      </c>
      <c r="H2838" s="10">
        <v>0</v>
      </c>
      <c r="I2838" s="10">
        <v>1</v>
      </c>
      <c r="J2838" s="10">
        <v>0</v>
      </c>
      <c r="K2838" s="10">
        <v>0</v>
      </c>
      <c r="L2838" s="10">
        <v>0</v>
      </c>
      <c r="M2838" s="10">
        <v>1</v>
      </c>
      <c r="N2838" s="10">
        <v>30</v>
      </c>
      <c r="O2838" s="10">
        <v>30</v>
      </c>
    </row>
    <row r="2839" spans="1:15" x14ac:dyDescent="0.2">
      <c r="A2839" s="10" t="s">
        <v>466</v>
      </c>
      <c r="B2839" s="10" t="s">
        <v>43</v>
      </c>
      <c r="C2839" s="10" t="s">
        <v>44</v>
      </c>
      <c r="D2839" s="10" t="s">
        <v>45</v>
      </c>
      <c r="E2839" s="10" t="s">
        <v>46</v>
      </c>
      <c r="F2839" s="10" t="s">
        <v>1173</v>
      </c>
      <c r="G2839" s="10" t="b">
        <f>FALSE()</f>
        <v>0</v>
      </c>
      <c r="H2839" s="10">
        <v>0</v>
      </c>
      <c r="I2839" s="10">
        <v>1</v>
      </c>
      <c r="J2839" s="10">
        <v>0</v>
      </c>
      <c r="K2839" s="10">
        <v>0</v>
      </c>
      <c r="L2839" s="10">
        <v>0</v>
      </c>
      <c r="M2839" s="10">
        <v>1</v>
      </c>
      <c r="N2839" s="10">
        <v>48</v>
      </c>
      <c r="O2839" s="10">
        <v>30</v>
      </c>
    </row>
    <row r="2840" spans="1:15" x14ac:dyDescent="0.2">
      <c r="A2840" s="10" t="s">
        <v>1264</v>
      </c>
      <c r="B2840" s="10" t="s">
        <v>43</v>
      </c>
      <c r="C2840" s="10" t="s">
        <v>44</v>
      </c>
      <c r="D2840" s="10" t="s">
        <v>45</v>
      </c>
      <c r="E2840" s="10" t="s">
        <v>46</v>
      </c>
      <c r="F2840" s="10" t="s">
        <v>488</v>
      </c>
      <c r="G2840" s="10" t="b">
        <f>FALSE()</f>
        <v>0</v>
      </c>
      <c r="H2840" s="10">
        <v>0</v>
      </c>
      <c r="I2840" s="10">
        <v>1</v>
      </c>
      <c r="J2840" s="10">
        <v>0</v>
      </c>
      <c r="K2840" s="10">
        <v>0</v>
      </c>
      <c r="L2840" s="10">
        <v>0</v>
      </c>
      <c r="M2840" s="10">
        <v>1</v>
      </c>
      <c r="N2840" s="10">
        <v>30</v>
      </c>
      <c r="O2840" s="10">
        <v>30</v>
      </c>
    </row>
    <row r="2841" spans="1:15" x14ac:dyDescent="0.2">
      <c r="A2841" s="10" t="s">
        <v>1147</v>
      </c>
      <c r="B2841" s="10" t="s">
        <v>1148</v>
      </c>
      <c r="C2841" s="10" t="s">
        <v>50</v>
      </c>
      <c r="D2841" s="10" t="s">
        <v>51</v>
      </c>
      <c r="E2841" s="10" t="s">
        <v>52</v>
      </c>
      <c r="F2841" s="10" t="s">
        <v>183</v>
      </c>
      <c r="G2841" s="10" t="b">
        <f>FALSE()</f>
        <v>0</v>
      </c>
      <c r="H2841" s="10">
        <v>0</v>
      </c>
      <c r="I2841" s="10">
        <v>1</v>
      </c>
      <c r="J2841" s="10">
        <v>0</v>
      </c>
      <c r="K2841" s="10">
        <v>0</v>
      </c>
      <c r="L2841" s="10">
        <v>0</v>
      </c>
      <c r="M2841" s="10">
        <v>1</v>
      </c>
      <c r="N2841" s="10">
        <v>48</v>
      </c>
      <c r="O2841" s="10">
        <v>30</v>
      </c>
    </row>
    <row r="2842" spans="1:15" x14ac:dyDescent="0.2">
      <c r="A2842" s="10" t="s">
        <v>1191</v>
      </c>
      <c r="B2842" s="10" t="s">
        <v>384</v>
      </c>
      <c r="C2842" s="10" t="s">
        <v>50</v>
      </c>
      <c r="D2842" s="10" t="s">
        <v>51</v>
      </c>
      <c r="E2842" s="10" t="s">
        <v>52</v>
      </c>
      <c r="F2842" s="10" t="s">
        <v>61</v>
      </c>
      <c r="G2842" s="10" t="b">
        <f>FALSE()</f>
        <v>0</v>
      </c>
      <c r="H2842" s="10">
        <v>0</v>
      </c>
      <c r="I2842" s="10">
        <v>1</v>
      </c>
      <c r="J2842" s="10">
        <v>0</v>
      </c>
      <c r="K2842" s="10">
        <v>0</v>
      </c>
      <c r="L2842" s="10">
        <v>0</v>
      </c>
      <c r="M2842" s="10">
        <v>1</v>
      </c>
      <c r="N2842" s="10">
        <v>30</v>
      </c>
      <c r="O2842" s="10">
        <v>30</v>
      </c>
    </row>
    <row r="2843" spans="1:15" x14ac:dyDescent="0.2">
      <c r="A2843" s="10" t="s">
        <v>1243</v>
      </c>
      <c r="B2843" s="10" t="s">
        <v>234</v>
      </c>
      <c r="C2843" s="10" t="s">
        <v>90</v>
      </c>
      <c r="D2843" s="10" t="s">
        <v>51</v>
      </c>
      <c r="E2843" s="10" t="s">
        <v>52</v>
      </c>
      <c r="F2843" s="10" t="s">
        <v>535</v>
      </c>
      <c r="G2843" s="10" t="b">
        <f>TRUE()</f>
        <v>1</v>
      </c>
      <c r="H2843" s="10">
        <v>0</v>
      </c>
      <c r="I2843" s="10">
        <v>1</v>
      </c>
      <c r="J2843" s="10">
        <v>0</v>
      </c>
      <c r="K2843" s="10">
        <v>0</v>
      </c>
      <c r="L2843" s="10">
        <v>0</v>
      </c>
      <c r="M2843" s="10">
        <v>1</v>
      </c>
      <c r="N2843" s="10">
        <v>30</v>
      </c>
      <c r="O2843" s="10">
        <v>30</v>
      </c>
    </row>
    <row r="2844" spans="1:15" x14ac:dyDescent="0.2">
      <c r="A2844" s="10" t="s">
        <v>1068</v>
      </c>
      <c r="B2844" s="10" t="s">
        <v>238</v>
      </c>
      <c r="C2844" s="10" t="s">
        <v>90</v>
      </c>
      <c r="D2844" s="10" t="s">
        <v>51</v>
      </c>
      <c r="E2844" s="10" t="s">
        <v>52</v>
      </c>
      <c r="F2844" s="10" t="s">
        <v>877</v>
      </c>
      <c r="G2844" s="10" t="b">
        <f>FALSE()</f>
        <v>0</v>
      </c>
      <c r="H2844" s="10">
        <v>0</v>
      </c>
      <c r="I2844" s="10">
        <v>1</v>
      </c>
      <c r="J2844" s="10">
        <v>0</v>
      </c>
      <c r="K2844" s="10">
        <v>0</v>
      </c>
      <c r="L2844" s="10">
        <v>0</v>
      </c>
      <c r="M2844" s="10">
        <v>1</v>
      </c>
      <c r="N2844" s="10">
        <v>30</v>
      </c>
      <c r="O2844" s="10">
        <v>30</v>
      </c>
    </row>
    <row r="2845" spans="1:15" x14ac:dyDescent="0.2">
      <c r="A2845" s="10" t="s">
        <v>1342</v>
      </c>
      <c r="B2845" s="10" t="s">
        <v>456</v>
      </c>
      <c r="C2845" s="10" t="s">
        <v>245</v>
      </c>
      <c r="D2845" s="10" t="s">
        <v>51</v>
      </c>
      <c r="E2845" s="10" t="s">
        <v>52</v>
      </c>
      <c r="F2845" s="10" t="s">
        <v>1249</v>
      </c>
      <c r="G2845" s="10" t="b">
        <f>TRUE()</f>
        <v>1</v>
      </c>
      <c r="H2845" s="10">
        <v>0</v>
      </c>
      <c r="I2845" s="10">
        <v>1</v>
      </c>
      <c r="J2845" s="10">
        <v>0</v>
      </c>
      <c r="K2845" s="10">
        <v>0</v>
      </c>
      <c r="L2845" s="10">
        <v>0</v>
      </c>
      <c r="M2845" s="10">
        <v>1</v>
      </c>
      <c r="N2845" s="10">
        <v>30</v>
      </c>
      <c r="O2845" s="10">
        <v>30</v>
      </c>
    </row>
    <row r="2846" spans="1:15" x14ac:dyDescent="0.2">
      <c r="A2846" s="10" t="s">
        <v>1074</v>
      </c>
      <c r="B2846" s="10" t="s">
        <v>104</v>
      </c>
      <c r="C2846" s="10" t="s">
        <v>105</v>
      </c>
      <c r="D2846" s="10" t="s">
        <v>45</v>
      </c>
      <c r="E2846" s="10" t="s">
        <v>46</v>
      </c>
      <c r="F2846" s="10" t="s">
        <v>1348</v>
      </c>
      <c r="G2846" s="10" t="b">
        <f>TRUE()</f>
        <v>1</v>
      </c>
      <c r="H2846" s="10">
        <v>0</v>
      </c>
      <c r="I2846" s="10">
        <v>1</v>
      </c>
      <c r="J2846" s="10">
        <v>0</v>
      </c>
      <c r="K2846" s="10">
        <v>0</v>
      </c>
      <c r="L2846" s="10">
        <v>0</v>
      </c>
      <c r="M2846" s="10">
        <v>1</v>
      </c>
      <c r="N2846" s="10">
        <v>39</v>
      </c>
      <c r="O2846" s="10">
        <v>30</v>
      </c>
    </row>
    <row r="2847" spans="1:15" x14ac:dyDescent="0.2">
      <c r="A2847" s="10" t="s">
        <v>1061</v>
      </c>
      <c r="B2847" s="10" t="s">
        <v>262</v>
      </c>
      <c r="C2847" s="10" t="s">
        <v>105</v>
      </c>
      <c r="D2847" s="10" t="s">
        <v>45</v>
      </c>
      <c r="E2847" s="10" t="s">
        <v>46</v>
      </c>
      <c r="F2847" s="10" t="s">
        <v>251</v>
      </c>
      <c r="G2847" s="10" t="b">
        <f>FALSE()</f>
        <v>0</v>
      </c>
      <c r="H2847" s="10">
        <v>0</v>
      </c>
      <c r="I2847" s="10">
        <v>1</v>
      </c>
      <c r="J2847" s="10">
        <v>0</v>
      </c>
      <c r="K2847" s="10">
        <v>0</v>
      </c>
      <c r="L2847" s="10">
        <v>0</v>
      </c>
      <c r="M2847" s="10">
        <v>1</v>
      </c>
      <c r="N2847" s="10">
        <v>30</v>
      </c>
      <c r="O2847" s="10">
        <v>30</v>
      </c>
    </row>
    <row r="2848" spans="1:15" x14ac:dyDescent="0.2">
      <c r="A2848" s="10" t="s">
        <v>1349</v>
      </c>
      <c r="B2848" s="10" t="s">
        <v>119</v>
      </c>
      <c r="C2848" s="10" t="s">
        <v>56</v>
      </c>
      <c r="D2848" s="10" t="s">
        <v>45</v>
      </c>
      <c r="E2848" s="10" t="s">
        <v>46</v>
      </c>
      <c r="F2848" s="10" t="s">
        <v>113</v>
      </c>
      <c r="G2848" s="10" t="b">
        <f>TRUE()</f>
        <v>1</v>
      </c>
      <c r="H2848" s="10">
        <v>0</v>
      </c>
      <c r="I2848" s="10">
        <v>1</v>
      </c>
      <c r="J2848" s="10">
        <v>0</v>
      </c>
      <c r="K2848" s="10">
        <v>0</v>
      </c>
      <c r="L2848" s="10">
        <v>0</v>
      </c>
      <c r="M2848" s="10">
        <v>1</v>
      </c>
      <c r="N2848" s="10">
        <v>30</v>
      </c>
      <c r="O2848" s="10">
        <v>30</v>
      </c>
    </row>
    <row r="2849" spans="1:15" x14ac:dyDescent="0.2">
      <c r="A2849" s="10" t="s">
        <v>1138</v>
      </c>
      <c r="B2849" s="10" t="s">
        <v>130</v>
      </c>
      <c r="C2849" s="10" t="s">
        <v>56</v>
      </c>
      <c r="D2849" s="10" t="s">
        <v>45</v>
      </c>
      <c r="E2849" s="10" t="s">
        <v>46</v>
      </c>
      <c r="F2849" s="10" t="s">
        <v>1212</v>
      </c>
      <c r="G2849" s="10" t="b">
        <f>TRUE()</f>
        <v>1</v>
      </c>
      <c r="H2849" s="10">
        <v>0</v>
      </c>
      <c r="I2849" s="10">
        <v>1</v>
      </c>
      <c r="J2849" s="10">
        <v>0</v>
      </c>
      <c r="K2849" s="10">
        <v>0</v>
      </c>
      <c r="L2849" s="10">
        <v>0</v>
      </c>
      <c r="M2849" s="10">
        <v>1</v>
      </c>
      <c r="N2849" s="10">
        <v>30</v>
      </c>
      <c r="O2849" s="10">
        <v>30</v>
      </c>
    </row>
    <row r="2850" spans="1:15" x14ac:dyDescent="0.2">
      <c r="A2850" s="10" t="s">
        <v>1105</v>
      </c>
      <c r="B2850" s="10" t="s">
        <v>43</v>
      </c>
      <c r="C2850" s="10" t="s">
        <v>44</v>
      </c>
      <c r="D2850" s="10" t="s">
        <v>45</v>
      </c>
      <c r="E2850" s="10" t="s">
        <v>46</v>
      </c>
      <c r="F2850" s="10" t="s">
        <v>1350</v>
      </c>
      <c r="G2850" s="10" t="b">
        <f>FALSE()</f>
        <v>0</v>
      </c>
      <c r="H2850" s="10">
        <v>0</v>
      </c>
      <c r="I2850" s="10">
        <v>1</v>
      </c>
      <c r="J2850" s="10">
        <v>0</v>
      </c>
      <c r="K2850" s="10">
        <v>0</v>
      </c>
      <c r="L2850" s="10">
        <v>0</v>
      </c>
      <c r="M2850" s="10">
        <v>1</v>
      </c>
      <c r="N2850" s="10">
        <v>30</v>
      </c>
      <c r="O2850" s="10">
        <v>30</v>
      </c>
    </row>
    <row r="2851" spans="1:15" x14ac:dyDescent="0.2">
      <c r="A2851" s="10" t="s">
        <v>307</v>
      </c>
      <c r="B2851" s="10" t="s">
        <v>70</v>
      </c>
      <c r="C2851" s="10" t="s">
        <v>70</v>
      </c>
      <c r="D2851" s="10" t="s">
        <v>45</v>
      </c>
      <c r="E2851" s="10" t="s">
        <v>46</v>
      </c>
      <c r="F2851" s="10" t="s">
        <v>251</v>
      </c>
      <c r="G2851" s="10" t="b">
        <f>FALSE()</f>
        <v>0</v>
      </c>
      <c r="H2851" s="10">
        <v>0</v>
      </c>
      <c r="I2851" s="10">
        <v>1</v>
      </c>
      <c r="J2851" s="10">
        <v>0</v>
      </c>
      <c r="K2851" s="10">
        <v>0</v>
      </c>
      <c r="L2851" s="10">
        <v>0</v>
      </c>
      <c r="M2851" s="10">
        <v>1</v>
      </c>
      <c r="N2851" s="10">
        <v>30</v>
      </c>
      <c r="O2851" s="10">
        <v>30</v>
      </c>
    </row>
    <row r="2852" spans="1:15" x14ac:dyDescent="0.2">
      <c r="A2852" s="10" t="s">
        <v>453</v>
      </c>
      <c r="B2852" s="10" t="s">
        <v>136</v>
      </c>
      <c r="C2852" s="10" t="s">
        <v>73</v>
      </c>
      <c r="D2852" s="10" t="s">
        <v>45</v>
      </c>
      <c r="E2852" s="10" t="s">
        <v>46</v>
      </c>
      <c r="F2852" s="10" t="s">
        <v>365</v>
      </c>
      <c r="G2852" s="10" t="b">
        <f>TRUE()</f>
        <v>1</v>
      </c>
      <c r="H2852" s="10">
        <v>0</v>
      </c>
      <c r="I2852" s="10">
        <v>1</v>
      </c>
      <c r="J2852" s="10">
        <v>0</v>
      </c>
      <c r="K2852" s="10">
        <v>0</v>
      </c>
      <c r="L2852" s="10">
        <v>0</v>
      </c>
      <c r="M2852" s="10">
        <v>1</v>
      </c>
      <c r="N2852" s="10">
        <v>29</v>
      </c>
      <c r="O2852" s="10">
        <v>29</v>
      </c>
    </row>
    <row r="2853" spans="1:15" x14ac:dyDescent="0.2">
      <c r="A2853" s="10" t="s">
        <v>859</v>
      </c>
      <c r="B2853" s="10" t="s">
        <v>70</v>
      </c>
      <c r="C2853" s="10" t="s">
        <v>70</v>
      </c>
      <c r="D2853" s="10" t="s">
        <v>45</v>
      </c>
      <c r="E2853" s="10" t="s">
        <v>46</v>
      </c>
      <c r="F2853" s="10" t="s">
        <v>61</v>
      </c>
      <c r="G2853" s="10" t="b">
        <f>FALSE()</f>
        <v>0</v>
      </c>
      <c r="H2853" s="10">
        <v>0</v>
      </c>
      <c r="I2853" s="10">
        <v>1</v>
      </c>
      <c r="J2853" s="10">
        <v>0</v>
      </c>
      <c r="K2853" s="10">
        <v>0</v>
      </c>
      <c r="L2853" s="10">
        <v>0</v>
      </c>
      <c r="M2853" s="10">
        <v>1</v>
      </c>
      <c r="N2853" s="10">
        <v>29</v>
      </c>
      <c r="O2853" s="10">
        <v>29</v>
      </c>
    </row>
    <row r="2854" spans="1:15" x14ac:dyDescent="0.2">
      <c r="A2854" s="10" t="s">
        <v>539</v>
      </c>
      <c r="B2854" s="10" t="s">
        <v>43</v>
      </c>
      <c r="C2854" s="10" t="s">
        <v>44</v>
      </c>
      <c r="D2854" s="10" t="s">
        <v>45</v>
      </c>
      <c r="E2854" s="10" t="s">
        <v>46</v>
      </c>
      <c r="F2854" s="10" t="s">
        <v>94</v>
      </c>
      <c r="G2854" s="10" t="b">
        <f>FALSE()</f>
        <v>0</v>
      </c>
      <c r="H2854" s="10">
        <v>0</v>
      </c>
      <c r="I2854" s="10">
        <v>1</v>
      </c>
      <c r="J2854" s="10">
        <v>0</v>
      </c>
      <c r="K2854" s="10">
        <v>0</v>
      </c>
      <c r="L2854" s="10">
        <v>0</v>
      </c>
      <c r="M2854" s="10">
        <v>1</v>
      </c>
      <c r="N2854" s="10">
        <v>29</v>
      </c>
      <c r="O2854" s="10">
        <v>29</v>
      </c>
    </row>
    <row r="2855" spans="1:15" x14ac:dyDescent="0.2">
      <c r="A2855" s="10" t="s">
        <v>691</v>
      </c>
      <c r="B2855" s="10" t="s">
        <v>136</v>
      </c>
      <c r="C2855" s="10" t="s">
        <v>73</v>
      </c>
      <c r="D2855" s="10" t="s">
        <v>45</v>
      </c>
      <c r="E2855" s="10" t="s">
        <v>46</v>
      </c>
      <c r="F2855" s="10" t="s">
        <v>183</v>
      </c>
      <c r="G2855" s="10" t="b">
        <f>FALSE()</f>
        <v>0</v>
      </c>
      <c r="H2855" s="10">
        <v>0</v>
      </c>
      <c r="I2855" s="10">
        <v>1</v>
      </c>
      <c r="J2855" s="10">
        <v>0</v>
      </c>
      <c r="K2855" s="10">
        <v>0</v>
      </c>
      <c r="L2855" s="10">
        <v>0</v>
      </c>
      <c r="M2855" s="10">
        <v>1</v>
      </c>
      <c r="N2855" s="10">
        <v>81</v>
      </c>
      <c r="O2855" s="10">
        <v>29</v>
      </c>
    </row>
    <row r="2856" spans="1:15" x14ac:dyDescent="0.2">
      <c r="A2856" s="10" t="s">
        <v>414</v>
      </c>
      <c r="B2856" s="10" t="s">
        <v>96</v>
      </c>
      <c r="C2856" s="10" t="s">
        <v>50</v>
      </c>
      <c r="D2856" s="10" t="s">
        <v>51</v>
      </c>
      <c r="E2856" s="10" t="s">
        <v>52</v>
      </c>
      <c r="F2856" s="10" t="s">
        <v>1118</v>
      </c>
      <c r="G2856" s="10" t="b">
        <f>FALSE()</f>
        <v>0</v>
      </c>
      <c r="H2856" s="10">
        <v>0</v>
      </c>
      <c r="I2856" s="10">
        <v>1</v>
      </c>
      <c r="J2856" s="10">
        <v>0</v>
      </c>
      <c r="K2856" s="10">
        <v>0</v>
      </c>
      <c r="L2856" s="10">
        <v>0</v>
      </c>
      <c r="M2856" s="10">
        <v>1</v>
      </c>
      <c r="N2856" s="10">
        <v>29</v>
      </c>
      <c r="O2856" s="10">
        <v>29</v>
      </c>
    </row>
    <row r="2857" spans="1:15" x14ac:dyDescent="0.2">
      <c r="A2857" s="10" t="s">
        <v>389</v>
      </c>
      <c r="B2857" s="10" t="s">
        <v>63</v>
      </c>
      <c r="C2857" s="10" t="s">
        <v>64</v>
      </c>
      <c r="D2857" s="10" t="s">
        <v>45</v>
      </c>
      <c r="E2857" s="10" t="s">
        <v>46</v>
      </c>
      <c r="F2857" s="10" t="s">
        <v>373</v>
      </c>
      <c r="G2857" s="10" t="b">
        <f>FALSE()</f>
        <v>0</v>
      </c>
      <c r="H2857" s="10">
        <v>0</v>
      </c>
      <c r="I2857" s="10">
        <v>1</v>
      </c>
      <c r="J2857" s="10">
        <v>0</v>
      </c>
      <c r="K2857" s="10">
        <v>0</v>
      </c>
      <c r="L2857" s="10">
        <v>0</v>
      </c>
      <c r="M2857" s="10">
        <v>1</v>
      </c>
      <c r="N2857" s="10">
        <v>32</v>
      </c>
      <c r="O2857" s="10">
        <v>29</v>
      </c>
    </row>
    <row r="2858" spans="1:15" x14ac:dyDescent="0.2">
      <c r="A2858" s="10" t="s">
        <v>1295</v>
      </c>
      <c r="B2858" s="10" t="s">
        <v>193</v>
      </c>
      <c r="C2858" s="10" t="s">
        <v>117</v>
      </c>
      <c r="D2858" s="10" t="s">
        <v>51</v>
      </c>
      <c r="E2858" s="10" t="s">
        <v>52</v>
      </c>
      <c r="F2858" s="10" t="s">
        <v>1211</v>
      </c>
      <c r="G2858" s="10" t="b">
        <f>TRUE()</f>
        <v>1</v>
      </c>
      <c r="H2858" s="10">
        <v>0</v>
      </c>
      <c r="I2858" s="10">
        <v>1</v>
      </c>
      <c r="J2858" s="10">
        <v>0</v>
      </c>
      <c r="K2858" s="10">
        <v>0</v>
      </c>
      <c r="L2858" s="10">
        <v>0</v>
      </c>
      <c r="M2858" s="10">
        <v>1</v>
      </c>
      <c r="N2858" s="10">
        <v>29</v>
      </c>
      <c r="O2858" s="10">
        <v>29</v>
      </c>
    </row>
    <row r="2859" spans="1:15" x14ac:dyDescent="0.2">
      <c r="A2859" s="10" t="s">
        <v>1351</v>
      </c>
      <c r="B2859" s="10" t="s">
        <v>99</v>
      </c>
      <c r="C2859" s="10" t="s">
        <v>50</v>
      </c>
      <c r="D2859" s="10" t="s">
        <v>51</v>
      </c>
      <c r="E2859" s="10" t="s">
        <v>52</v>
      </c>
      <c r="F2859" s="10" t="s">
        <v>94</v>
      </c>
      <c r="G2859" s="10" t="b">
        <f>FALSE()</f>
        <v>0</v>
      </c>
      <c r="H2859" s="10">
        <v>0</v>
      </c>
      <c r="I2859" s="10">
        <v>1</v>
      </c>
      <c r="J2859" s="10">
        <v>0</v>
      </c>
      <c r="K2859" s="10">
        <v>0</v>
      </c>
      <c r="L2859" s="10">
        <v>0</v>
      </c>
      <c r="M2859" s="10">
        <v>1</v>
      </c>
      <c r="N2859" s="10">
        <v>29</v>
      </c>
      <c r="O2859" s="10">
        <v>29</v>
      </c>
    </row>
    <row r="2860" spans="1:15" x14ac:dyDescent="0.2">
      <c r="A2860" s="10" t="s">
        <v>1047</v>
      </c>
      <c r="B2860" s="10" t="s">
        <v>96</v>
      </c>
      <c r="C2860" s="10" t="s">
        <v>50</v>
      </c>
      <c r="D2860" s="10" t="s">
        <v>51</v>
      </c>
      <c r="E2860" s="10" t="s">
        <v>52</v>
      </c>
      <c r="F2860" s="10" t="s">
        <v>155</v>
      </c>
      <c r="G2860" s="10" t="b">
        <f>TRUE()</f>
        <v>1</v>
      </c>
      <c r="H2860" s="10">
        <v>0</v>
      </c>
      <c r="I2860" s="10">
        <v>1</v>
      </c>
      <c r="J2860" s="10">
        <v>0</v>
      </c>
      <c r="K2860" s="10">
        <v>0</v>
      </c>
      <c r="L2860" s="10">
        <v>0</v>
      </c>
      <c r="M2860" s="10">
        <v>1</v>
      </c>
      <c r="N2860" s="10">
        <v>29</v>
      </c>
      <c r="O2860" s="10">
        <v>29</v>
      </c>
    </row>
    <row r="2861" spans="1:15" x14ac:dyDescent="0.2">
      <c r="A2861" s="10" t="s">
        <v>1068</v>
      </c>
      <c r="B2861" s="10" t="s">
        <v>238</v>
      </c>
      <c r="C2861" s="10" t="s">
        <v>90</v>
      </c>
      <c r="D2861" s="10" t="s">
        <v>51</v>
      </c>
      <c r="E2861" s="10" t="s">
        <v>52</v>
      </c>
      <c r="F2861" s="10" t="s">
        <v>153</v>
      </c>
      <c r="G2861" s="10" t="b">
        <f>FALSE()</f>
        <v>0</v>
      </c>
      <c r="H2861" s="10">
        <v>0</v>
      </c>
      <c r="I2861" s="10">
        <v>1</v>
      </c>
      <c r="J2861" s="10">
        <v>0</v>
      </c>
      <c r="K2861" s="10">
        <v>0</v>
      </c>
      <c r="L2861" s="10">
        <v>0</v>
      </c>
      <c r="M2861" s="10">
        <v>1</v>
      </c>
      <c r="N2861" s="10">
        <v>29</v>
      </c>
      <c r="O2861" s="10">
        <v>29</v>
      </c>
    </row>
    <row r="2862" spans="1:15" x14ac:dyDescent="0.2">
      <c r="A2862" s="10" t="s">
        <v>1131</v>
      </c>
      <c r="B2862" s="10" t="s">
        <v>139</v>
      </c>
      <c r="C2862" s="10" t="s">
        <v>64</v>
      </c>
      <c r="D2862" s="10" t="s">
        <v>45</v>
      </c>
      <c r="E2862" s="10" t="s">
        <v>46</v>
      </c>
      <c r="F2862" s="10" t="s">
        <v>1352</v>
      </c>
      <c r="G2862" s="10" t="b">
        <f>FALSE()</f>
        <v>0</v>
      </c>
      <c r="H2862" s="10">
        <v>0</v>
      </c>
      <c r="I2862" s="10">
        <v>1</v>
      </c>
      <c r="J2862" s="10">
        <v>0</v>
      </c>
      <c r="K2862" s="10">
        <v>0</v>
      </c>
      <c r="L2862" s="10">
        <v>0</v>
      </c>
      <c r="M2862" s="10">
        <v>1</v>
      </c>
      <c r="N2862" s="10">
        <v>29</v>
      </c>
      <c r="O2862" s="10">
        <v>29</v>
      </c>
    </row>
    <row r="2863" spans="1:15" x14ac:dyDescent="0.2">
      <c r="A2863" s="10" t="s">
        <v>1131</v>
      </c>
      <c r="B2863" s="10" t="s">
        <v>139</v>
      </c>
      <c r="C2863" s="10" t="s">
        <v>64</v>
      </c>
      <c r="D2863" s="10" t="s">
        <v>45</v>
      </c>
      <c r="E2863" s="10" t="s">
        <v>46</v>
      </c>
      <c r="F2863" s="10" t="s">
        <v>393</v>
      </c>
      <c r="G2863" s="10" t="b">
        <f>FALSE()</f>
        <v>0</v>
      </c>
      <c r="H2863" s="10">
        <v>0</v>
      </c>
      <c r="I2863" s="10">
        <v>1</v>
      </c>
      <c r="J2863" s="10">
        <v>0</v>
      </c>
      <c r="K2863" s="10">
        <v>0</v>
      </c>
      <c r="L2863" s="10">
        <v>0</v>
      </c>
      <c r="M2863" s="10">
        <v>1</v>
      </c>
      <c r="N2863" s="10">
        <v>29</v>
      </c>
      <c r="O2863" s="10">
        <v>29</v>
      </c>
    </row>
    <row r="2864" spans="1:15" x14ac:dyDescent="0.2">
      <c r="A2864" s="10" t="s">
        <v>66</v>
      </c>
      <c r="B2864" s="10" t="s">
        <v>157</v>
      </c>
      <c r="C2864" s="10" t="s">
        <v>64</v>
      </c>
      <c r="D2864" s="10" t="s">
        <v>45</v>
      </c>
      <c r="E2864" s="10" t="s">
        <v>46</v>
      </c>
      <c r="F2864" s="10" t="s">
        <v>558</v>
      </c>
      <c r="G2864" s="10" t="b">
        <f>TRUE()</f>
        <v>1</v>
      </c>
      <c r="H2864" s="10">
        <v>0</v>
      </c>
      <c r="I2864" s="10">
        <v>1</v>
      </c>
      <c r="J2864" s="10">
        <v>0</v>
      </c>
      <c r="K2864" s="10">
        <v>0</v>
      </c>
      <c r="L2864" s="10">
        <v>0</v>
      </c>
      <c r="M2864" s="10">
        <v>1</v>
      </c>
      <c r="N2864" s="10">
        <v>29</v>
      </c>
      <c r="O2864" s="10">
        <v>29</v>
      </c>
    </row>
    <row r="2865" spans="1:15" x14ac:dyDescent="0.2">
      <c r="A2865" s="10" t="s">
        <v>1353</v>
      </c>
      <c r="B2865" s="10" t="s">
        <v>513</v>
      </c>
      <c r="C2865" s="10" t="s">
        <v>64</v>
      </c>
      <c r="D2865" s="10" t="s">
        <v>45</v>
      </c>
      <c r="E2865" s="10" t="s">
        <v>46</v>
      </c>
      <c r="F2865" s="10" t="s">
        <v>47</v>
      </c>
      <c r="G2865" s="10" t="b">
        <f>FALSE()</f>
        <v>0</v>
      </c>
      <c r="H2865" s="10">
        <v>0</v>
      </c>
      <c r="I2865" s="10">
        <v>1</v>
      </c>
      <c r="J2865" s="10">
        <v>0</v>
      </c>
      <c r="K2865" s="10">
        <v>0</v>
      </c>
      <c r="L2865" s="10">
        <v>0</v>
      </c>
      <c r="M2865" s="10">
        <v>1</v>
      </c>
      <c r="N2865" s="10">
        <v>29</v>
      </c>
      <c r="O2865" s="10">
        <v>29</v>
      </c>
    </row>
    <row r="2866" spans="1:15" x14ac:dyDescent="0.2">
      <c r="A2866" s="10" t="s">
        <v>1074</v>
      </c>
      <c r="B2866" s="10" t="s">
        <v>104</v>
      </c>
      <c r="C2866" s="10" t="s">
        <v>105</v>
      </c>
      <c r="D2866" s="10" t="s">
        <v>45</v>
      </c>
      <c r="E2866" s="10" t="s">
        <v>46</v>
      </c>
      <c r="F2866" s="10" t="s">
        <v>1354</v>
      </c>
      <c r="G2866" s="10" t="b">
        <f>TRUE()</f>
        <v>1</v>
      </c>
      <c r="H2866" s="10">
        <v>0</v>
      </c>
      <c r="I2866" s="10">
        <v>1</v>
      </c>
      <c r="J2866" s="10">
        <v>0</v>
      </c>
      <c r="K2866" s="10">
        <v>0</v>
      </c>
      <c r="L2866" s="10">
        <v>0</v>
      </c>
      <c r="M2866" s="10">
        <v>1</v>
      </c>
      <c r="N2866" s="10">
        <v>29</v>
      </c>
      <c r="O2866" s="10">
        <v>29</v>
      </c>
    </row>
    <row r="2867" spans="1:15" x14ac:dyDescent="0.2">
      <c r="A2867" s="10" t="s">
        <v>1122</v>
      </c>
      <c r="B2867" s="10" t="s">
        <v>285</v>
      </c>
      <c r="C2867" s="10" t="s">
        <v>105</v>
      </c>
      <c r="D2867" s="10" t="s">
        <v>45</v>
      </c>
      <c r="E2867" s="10" t="s">
        <v>46</v>
      </c>
      <c r="F2867" s="10" t="s">
        <v>1173</v>
      </c>
      <c r="G2867" s="10" t="b">
        <f>FALSE()</f>
        <v>0</v>
      </c>
      <c r="H2867" s="10">
        <v>0</v>
      </c>
      <c r="I2867" s="10">
        <v>1</v>
      </c>
      <c r="J2867" s="10">
        <v>0</v>
      </c>
      <c r="K2867" s="10">
        <v>0</v>
      </c>
      <c r="L2867" s="10">
        <v>0</v>
      </c>
      <c r="M2867" s="10">
        <v>1</v>
      </c>
      <c r="N2867" s="10">
        <v>39</v>
      </c>
      <c r="O2867" s="10">
        <v>29</v>
      </c>
    </row>
    <row r="2868" spans="1:15" x14ac:dyDescent="0.2">
      <c r="A2868" s="10" t="s">
        <v>1105</v>
      </c>
      <c r="B2868" s="10" t="s">
        <v>43</v>
      </c>
      <c r="C2868" s="10" t="s">
        <v>44</v>
      </c>
      <c r="D2868" s="10" t="s">
        <v>45</v>
      </c>
      <c r="E2868" s="10" t="s">
        <v>46</v>
      </c>
      <c r="F2868" s="10" t="s">
        <v>1118</v>
      </c>
      <c r="G2868" s="10" t="b">
        <f>FALSE()</f>
        <v>0</v>
      </c>
      <c r="H2868" s="10">
        <v>0</v>
      </c>
      <c r="I2868" s="10">
        <v>1</v>
      </c>
      <c r="J2868" s="10">
        <v>0</v>
      </c>
      <c r="K2868" s="10">
        <v>0</v>
      </c>
      <c r="L2868" s="10">
        <v>0</v>
      </c>
      <c r="M2868" s="10">
        <v>1</v>
      </c>
      <c r="N2868" s="10">
        <v>29</v>
      </c>
      <c r="O2868" s="10">
        <v>29</v>
      </c>
    </row>
    <row r="2869" spans="1:15" x14ac:dyDescent="0.2">
      <c r="A2869" s="10" t="s">
        <v>1355</v>
      </c>
      <c r="B2869" s="10" t="s">
        <v>70</v>
      </c>
      <c r="C2869" s="10" t="s">
        <v>70</v>
      </c>
      <c r="D2869" s="10" t="s">
        <v>45</v>
      </c>
      <c r="E2869" s="10" t="s">
        <v>46</v>
      </c>
      <c r="F2869" s="10" t="s">
        <v>403</v>
      </c>
      <c r="G2869" s="10" t="b">
        <f>TRUE()</f>
        <v>1</v>
      </c>
      <c r="H2869" s="10">
        <v>0</v>
      </c>
      <c r="I2869" s="10">
        <v>1</v>
      </c>
      <c r="J2869" s="10">
        <v>0</v>
      </c>
      <c r="K2869" s="10">
        <v>0</v>
      </c>
      <c r="L2869" s="10">
        <v>0</v>
      </c>
      <c r="M2869" s="10">
        <v>1</v>
      </c>
      <c r="N2869" s="10">
        <v>29</v>
      </c>
      <c r="O2869" s="10">
        <v>29</v>
      </c>
    </row>
    <row r="2870" spans="1:15" x14ac:dyDescent="0.2">
      <c r="A2870" s="10" t="s">
        <v>1142</v>
      </c>
      <c r="B2870" s="10" t="s">
        <v>70</v>
      </c>
      <c r="C2870" s="10" t="s">
        <v>70</v>
      </c>
      <c r="D2870" s="10" t="s">
        <v>45</v>
      </c>
      <c r="E2870" s="10" t="s">
        <v>46</v>
      </c>
      <c r="F2870" s="10" t="s">
        <v>183</v>
      </c>
      <c r="G2870" s="10" t="b">
        <f>FALSE()</f>
        <v>0</v>
      </c>
      <c r="H2870" s="10">
        <v>0</v>
      </c>
      <c r="I2870" s="10">
        <v>1</v>
      </c>
      <c r="J2870" s="10">
        <v>0</v>
      </c>
      <c r="K2870" s="10">
        <v>0</v>
      </c>
      <c r="L2870" s="10">
        <v>0</v>
      </c>
      <c r="M2870" s="10">
        <v>1</v>
      </c>
      <c r="N2870" s="10">
        <v>31</v>
      </c>
      <c r="O2870" s="10">
        <v>29</v>
      </c>
    </row>
    <row r="2871" spans="1:15" x14ac:dyDescent="0.2">
      <c r="A2871" s="10" t="s">
        <v>700</v>
      </c>
      <c r="B2871" s="10" t="s">
        <v>72</v>
      </c>
      <c r="C2871" s="10" t="s">
        <v>73</v>
      </c>
      <c r="D2871" s="10" t="s">
        <v>45</v>
      </c>
      <c r="E2871" s="10" t="s">
        <v>46</v>
      </c>
      <c r="F2871" s="10" t="s">
        <v>92</v>
      </c>
      <c r="G2871" s="10" t="b">
        <f>FALSE()</f>
        <v>0</v>
      </c>
      <c r="H2871" s="10">
        <v>0</v>
      </c>
      <c r="I2871" s="10">
        <v>1</v>
      </c>
      <c r="J2871" s="10">
        <v>0</v>
      </c>
      <c r="K2871" s="10">
        <v>0</v>
      </c>
      <c r="L2871" s="10">
        <v>0</v>
      </c>
      <c r="M2871" s="10">
        <v>1</v>
      </c>
      <c r="N2871" s="10">
        <v>28</v>
      </c>
      <c r="O2871" s="10">
        <v>28</v>
      </c>
    </row>
    <row r="2872" spans="1:15" x14ac:dyDescent="0.2">
      <c r="A2872" s="10" t="s">
        <v>414</v>
      </c>
      <c r="B2872" s="10" t="s">
        <v>96</v>
      </c>
      <c r="C2872" s="10" t="s">
        <v>50</v>
      </c>
      <c r="D2872" s="10" t="s">
        <v>51</v>
      </c>
      <c r="E2872" s="10" t="s">
        <v>52</v>
      </c>
      <c r="F2872" s="10" t="s">
        <v>365</v>
      </c>
      <c r="G2872" s="10" t="b">
        <f>TRUE()</f>
        <v>1</v>
      </c>
      <c r="H2872" s="10">
        <v>0</v>
      </c>
      <c r="I2872" s="10">
        <v>1</v>
      </c>
      <c r="J2872" s="10">
        <v>0</v>
      </c>
      <c r="K2872" s="10">
        <v>0</v>
      </c>
      <c r="L2872" s="10">
        <v>0</v>
      </c>
      <c r="M2872" s="10">
        <v>1</v>
      </c>
      <c r="N2872" s="10">
        <v>28</v>
      </c>
      <c r="O2872" s="10">
        <v>28</v>
      </c>
    </row>
    <row r="2873" spans="1:15" x14ac:dyDescent="0.2">
      <c r="A2873" s="10" t="s">
        <v>263</v>
      </c>
      <c r="B2873" s="10" t="s">
        <v>67</v>
      </c>
      <c r="C2873" s="10" t="s">
        <v>64</v>
      </c>
      <c r="D2873" s="10" t="s">
        <v>45</v>
      </c>
      <c r="E2873" s="10" t="s">
        <v>46</v>
      </c>
      <c r="F2873" s="10" t="s">
        <v>190</v>
      </c>
      <c r="G2873" s="10" t="b">
        <f>TRUE()</f>
        <v>1</v>
      </c>
      <c r="H2873" s="10">
        <v>0</v>
      </c>
      <c r="I2873" s="10">
        <v>1</v>
      </c>
      <c r="J2873" s="10">
        <v>0</v>
      </c>
      <c r="K2873" s="10">
        <v>0</v>
      </c>
      <c r="L2873" s="10">
        <v>0</v>
      </c>
      <c r="M2873" s="10">
        <v>1</v>
      </c>
      <c r="N2873" s="10">
        <v>28</v>
      </c>
      <c r="O2873" s="10">
        <v>28</v>
      </c>
    </row>
    <row r="2874" spans="1:15" x14ac:dyDescent="0.2">
      <c r="A2874" s="10" t="s">
        <v>703</v>
      </c>
      <c r="B2874" s="10" t="s">
        <v>167</v>
      </c>
      <c r="C2874" s="10" t="s">
        <v>64</v>
      </c>
      <c r="D2874" s="10" t="s">
        <v>45</v>
      </c>
      <c r="E2874" s="10" t="s">
        <v>46</v>
      </c>
      <c r="F2874" s="10" t="s">
        <v>1356</v>
      </c>
      <c r="G2874" s="10" t="b">
        <f>FALSE()</f>
        <v>0</v>
      </c>
      <c r="H2874" s="10">
        <v>0</v>
      </c>
      <c r="I2874" s="10">
        <v>1</v>
      </c>
      <c r="J2874" s="10">
        <v>0</v>
      </c>
      <c r="K2874" s="10">
        <v>0</v>
      </c>
      <c r="L2874" s="10">
        <v>0</v>
      </c>
      <c r="M2874" s="10">
        <v>1</v>
      </c>
      <c r="N2874" s="10">
        <v>52</v>
      </c>
      <c r="O2874" s="10">
        <v>28</v>
      </c>
    </row>
    <row r="2875" spans="1:15" x14ac:dyDescent="0.2">
      <c r="A2875" s="10" t="s">
        <v>700</v>
      </c>
      <c r="B2875" s="10" t="s">
        <v>67</v>
      </c>
      <c r="C2875" s="10" t="s">
        <v>64</v>
      </c>
      <c r="D2875" s="10" t="s">
        <v>45</v>
      </c>
      <c r="E2875" s="10" t="s">
        <v>46</v>
      </c>
      <c r="F2875" s="10" t="s">
        <v>204</v>
      </c>
      <c r="G2875" s="10" t="b">
        <f>FALSE()</f>
        <v>0</v>
      </c>
      <c r="H2875" s="10">
        <v>0</v>
      </c>
      <c r="I2875" s="10">
        <v>1</v>
      </c>
      <c r="J2875" s="10">
        <v>0</v>
      </c>
      <c r="K2875" s="10">
        <v>0</v>
      </c>
      <c r="L2875" s="10">
        <v>0</v>
      </c>
      <c r="M2875" s="10">
        <v>1</v>
      </c>
      <c r="N2875" s="10">
        <v>37</v>
      </c>
      <c r="O2875" s="10">
        <v>28</v>
      </c>
    </row>
    <row r="2876" spans="1:15" x14ac:dyDescent="0.2">
      <c r="A2876" s="10" t="s">
        <v>1357</v>
      </c>
      <c r="B2876" s="10" t="s">
        <v>160</v>
      </c>
      <c r="C2876" s="10" t="s">
        <v>56</v>
      </c>
      <c r="D2876" s="10" t="s">
        <v>45</v>
      </c>
      <c r="E2876" s="10" t="s">
        <v>46</v>
      </c>
      <c r="F2876" s="10" t="s">
        <v>1292</v>
      </c>
      <c r="G2876" s="10" t="b">
        <f>FALSE()</f>
        <v>0</v>
      </c>
      <c r="H2876" s="10">
        <v>0</v>
      </c>
      <c r="I2876" s="10">
        <v>1</v>
      </c>
      <c r="J2876" s="10">
        <v>0</v>
      </c>
      <c r="K2876" s="10">
        <v>0</v>
      </c>
      <c r="L2876" s="10">
        <v>0</v>
      </c>
      <c r="M2876" s="10">
        <v>1</v>
      </c>
      <c r="N2876" s="10">
        <v>28</v>
      </c>
      <c r="O2876" s="10">
        <v>28</v>
      </c>
    </row>
    <row r="2877" spans="1:15" x14ac:dyDescent="0.2">
      <c r="A2877" s="10" t="s">
        <v>1155</v>
      </c>
      <c r="B2877" s="10" t="s">
        <v>160</v>
      </c>
      <c r="C2877" s="10" t="s">
        <v>56</v>
      </c>
      <c r="D2877" s="10" t="s">
        <v>45</v>
      </c>
      <c r="E2877" s="10" t="s">
        <v>46</v>
      </c>
      <c r="F2877" s="10" t="s">
        <v>61</v>
      </c>
      <c r="G2877" s="10" t="b">
        <f>FALSE()</f>
        <v>0</v>
      </c>
      <c r="H2877" s="10">
        <v>0</v>
      </c>
      <c r="I2877" s="10">
        <v>1</v>
      </c>
      <c r="J2877" s="10">
        <v>0</v>
      </c>
      <c r="K2877" s="10">
        <v>0</v>
      </c>
      <c r="L2877" s="10">
        <v>0</v>
      </c>
      <c r="M2877" s="10">
        <v>1</v>
      </c>
      <c r="N2877" s="10">
        <v>28</v>
      </c>
      <c r="O2877" s="10">
        <v>28</v>
      </c>
    </row>
    <row r="2878" spans="1:15" x14ac:dyDescent="0.2">
      <c r="A2878" s="10" t="s">
        <v>1137</v>
      </c>
      <c r="B2878" s="10" t="s">
        <v>70</v>
      </c>
      <c r="C2878" s="10" t="s">
        <v>70</v>
      </c>
      <c r="D2878" s="10" t="s">
        <v>45</v>
      </c>
      <c r="E2878" s="10" t="s">
        <v>46</v>
      </c>
      <c r="F2878" s="10" t="s">
        <v>1173</v>
      </c>
      <c r="G2878" s="10" t="b">
        <f>FALSE()</f>
        <v>0</v>
      </c>
      <c r="H2878" s="10">
        <v>0</v>
      </c>
      <c r="I2878" s="10">
        <v>1</v>
      </c>
      <c r="J2878" s="10">
        <v>0</v>
      </c>
      <c r="K2878" s="10">
        <v>0</v>
      </c>
      <c r="L2878" s="10">
        <v>0</v>
      </c>
      <c r="M2878" s="10">
        <v>1</v>
      </c>
      <c r="N2878" s="10">
        <v>131</v>
      </c>
      <c r="O2878" s="10">
        <v>28</v>
      </c>
    </row>
    <row r="2879" spans="1:15" x14ac:dyDescent="0.2">
      <c r="A2879" s="10" t="s">
        <v>563</v>
      </c>
      <c r="B2879" s="10" t="s">
        <v>247</v>
      </c>
      <c r="C2879" s="10" t="s">
        <v>245</v>
      </c>
      <c r="D2879" s="10" t="s">
        <v>51</v>
      </c>
      <c r="E2879" s="10" t="s">
        <v>52</v>
      </c>
      <c r="F2879" s="10" t="s">
        <v>91</v>
      </c>
      <c r="G2879" s="10" t="b">
        <f>TRUE()</f>
        <v>1</v>
      </c>
      <c r="H2879" s="10">
        <v>0</v>
      </c>
      <c r="I2879" s="10">
        <v>1</v>
      </c>
      <c r="J2879" s="10">
        <v>0</v>
      </c>
      <c r="K2879" s="10">
        <v>0</v>
      </c>
      <c r="L2879" s="10">
        <v>0</v>
      </c>
      <c r="M2879" s="10">
        <v>1</v>
      </c>
      <c r="N2879" s="10">
        <v>27</v>
      </c>
      <c r="O2879" s="10">
        <v>27</v>
      </c>
    </row>
    <row r="2880" spans="1:15" x14ac:dyDescent="0.2">
      <c r="A2880" s="10" t="s">
        <v>288</v>
      </c>
      <c r="B2880" s="10" t="s">
        <v>289</v>
      </c>
      <c r="C2880" s="10" t="s">
        <v>50</v>
      </c>
      <c r="D2880" s="10" t="s">
        <v>51</v>
      </c>
      <c r="E2880" s="10" t="s">
        <v>52</v>
      </c>
      <c r="F2880" s="10" t="s">
        <v>92</v>
      </c>
      <c r="G2880" s="10" t="b">
        <f>FALSE()</f>
        <v>0</v>
      </c>
      <c r="H2880" s="10">
        <v>0</v>
      </c>
      <c r="I2880" s="10">
        <v>1</v>
      </c>
      <c r="J2880" s="10">
        <v>0</v>
      </c>
      <c r="K2880" s="10">
        <v>0</v>
      </c>
      <c r="L2880" s="10">
        <v>0</v>
      </c>
      <c r="M2880" s="10">
        <v>1</v>
      </c>
      <c r="N2880" s="10">
        <v>27</v>
      </c>
      <c r="O2880" s="10">
        <v>27</v>
      </c>
    </row>
    <row r="2881" spans="1:15" x14ac:dyDescent="0.2">
      <c r="A2881" s="10" t="s">
        <v>569</v>
      </c>
      <c r="B2881" s="10" t="s">
        <v>130</v>
      </c>
      <c r="C2881" s="10" t="s">
        <v>56</v>
      </c>
      <c r="D2881" s="10" t="s">
        <v>45</v>
      </c>
      <c r="E2881" s="10" t="s">
        <v>46</v>
      </c>
      <c r="F2881" s="10" t="s">
        <v>79</v>
      </c>
      <c r="G2881" s="10" t="b">
        <f>FALSE()</f>
        <v>0</v>
      </c>
      <c r="H2881" s="10">
        <v>0</v>
      </c>
      <c r="I2881" s="10">
        <v>1</v>
      </c>
      <c r="J2881" s="10">
        <v>0</v>
      </c>
      <c r="K2881" s="10">
        <v>0</v>
      </c>
      <c r="L2881" s="10">
        <v>0</v>
      </c>
      <c r="M2881" s="10">
        <v>1</v>
      </c>
      <c r="N2881" s="10">
        <v>27</v>
      </c>
      <c r="O2881" s="10">
        <v>27</v>
      </c>
    </row>
    <row r="2882" spans="1:15" x14ac:dyDescent="0.2">
      <c r="A2882" s="10" t="s">
        <v>423</v>
      </c>
      <c r="B2882" s="10" t="s">
        <v>55</v>
      </c>
      <c r="C2882" s="10" t="s">
        <v>56</v>
      </c>
      <c r="D2882" s="10" t="s">
        <v>45</v>
      </c>
      <c r="E2882" s="10" t="s">
        <v>46</v>
      </c>
      <c r="F2882" s="10" t="s">
        <v>1358</v>
      </c>
      <c r="G2882" s="10" t="b">
        <f>FALSE()</f>
        <v>0</v>
      </c>
      <c r="H2882" s="10">
        <v>0</v>
      </c>
      <c r="I2882" s="10">
        <v>1</v>
      </c>
      <c r="J2882" s="10">
        <v>0</v>
      </c>
      <c r="K2882" s="10">
        <v>0</v>
      </c>
      <c r="L2882" s="10">
        <v>0</v>
      </c>
      <c r="M2882" s="10">
        <v>1</v>
      </c>
      <c r="N2882" s="10">
        <v>27</v>
      </c>
      <c r="O2882" s="10">
        <v>27</v>
      </c>
    </row>
    <row r="2883" spans="1:15" x14ac:dyDescent="0.2">
      <c r="A2883" s="10" t="s">
        <v>495</v>
      </c>
      <c r="B2883" s="10" t="s">
        <v>119</v>
      </c>
      <c r="C2883" s="10" t="s">
        <v>56</v>
      </c>
      <c r="D2883" s="10" t="s">
        <v>45</v>
      </c>
      <c r="E2883" s="10" t="s">
        <v>46</v>
      </c>
      <c r="F2883" s="10" t="s">
        <v>1336</v>
      </c>
      <c r="G2883" s="10" t="b">
        <f>TRUE()</f>
        <v>1</v>
      </c>
      <c r="H2883" s="10">
        <v>0</v>
      </c>
      <c r="I2883" s="10">
        <v>1</v>
      </c>
      <c r="J2883" s="10">
        <v>0</v>
      </c>
      <c r="K2883" s="10">
        <v>0</v>
      </c>
      <c r="L2883" s="10">
        <v>0</v>
      </c>
      <c r="M2883" s="10">
        <v>1</v>
      </c>
      <c r="N2883" s="10">
        <v>27</v>
      </c>
      <c r="O2883" s="10">
        <v>27</v>
      </c>
    </row>
    <row r="2884" spans="1:15" x14ac:dyDescent="0.2">
      <c r="A2884" s="10" t="s">
        <v>1205</v>
      </c>
      <c r="B2884" s="10" t="s">
        <v>136</v>
      </c>
      <c r="C2884" s="10" t="s">
        <v>73</v>
      </c>
      <c r="D2884" s="10" t="s">
        <v>45</v>
      </c>
      <c r="E2884" s="10" t="s">
        <v>46</v>
      </c>
      <c r="F2884" s="10" t="s">
        <v>91</v>
      </c>
      <c r="G2884" s="10" t="b">
        <f>TRUE()</f>
        <v>1</v>
      </c>
      <c r="H2884" s="10">
        <v>0</v>
      </c>
      <c r="I2884" s="10">
        <v>1</v>
      </c>
      <c r="J2884" s="10">
        <v>0</v>
      </c>
      <c r="K2884" s="10">
        <v>0</v>
      </c>
      <c r="L2884" s="10">
        <v>0</v>
      </c>
      <c r="M2884" s="10">
        <v>1</v>
      </c>
      <c r="N2884" s="10">
        <v>27</v>
      </c>
      <c r="O2884" s="10">
        <v>27</v>
      </c>
    </row>
    <row r="2885" spans="1:15" x14ac:dyDescent="0.2">
      <c r="A2885" s="10" t="s">
        <v>1069</v>
      </c>
      <c r="B2885" s="10" t="s">
        <v>89</v>
      </c>
      <c r="C2885" s="10" t="s">
        <v>90</v>
      </c>
      <c r="D2885" s="10" t="s">
        <v>51</v>
      </c>
      <c r="E2885" s="10" t="s">
        <v>52</v>
      </c>
      <c r="F2885" s="10" t="s">
        <v>251</v>
      </c>
      <c r="G2885" s="10" t="b">
        <f>FALSE()</f>
        <v>0</v>
      </c>
      <c r="H2885" s="10">
        <v>0</v>
      </c>
      <c r="I2885" s="10">
        <v>1</v>
      </c>
      <c r="J2885" s="10">
        <v>0</v>
      </c>
      <c r="K2885" s="10">
        <v>0</v>
      </c>
      <c r="L2885" s="10">
        <v>0</v>
      </c>
      <c r="M2885" s="10">
        <v>1</v>
      </c>
      <c r="N2885" s="10">
        <v>27</v>
      </c>
      <c r="O2885" s="10">
        <v>27</v>
      </c>
    </row>
    <row r="2886" spans="1:15" x14ac:dyDescent="0.2">
      <c r="A2886" s="10" t="s">
        <v>1055</v>
      </c>
      <c r="B2886" s="10" t="s">
        <v>178</v>
      </c>
      <c r="C2886" s="10" t="s">
        <v>73</v>
      </c>
      <c r="D2886" s="10" t="s">
        <v>45</v>
      </c>
      <c r="E2886" s="10" t="s">
        <v>46</v>
      </c>
      <c r="F2886" s="10" t="s">
        <v>107</v>
      </c>
      <c r="G2886" s="10" t="b">
        <f>FALSE()</f>
        <v>0</v>
      </c>
      <c r="H2886" s="10">
        <v>0</v>
      </c>
      <c r="I2886" s="10">
        <v>1</v>
      </c>
      <c r="J2886" s="10">
        <v>0</v>
      </c>
      <c r="K2886" s="10">
        <v>0</v>
      </c>
      <c r="L2886" s="10">
        <v>0</v>
      </c>
      <c r="M2886" s="10">
        <v>1</v>
      </c>
      <c r="N2886" s="10">
        <v>27</v>
      </c>
      <c r="O2886" s="10">
        <v>27</v>
      </c>
    </row>
    <row r="2887" spans="1:15" x14ac:dyDescent="0.2">
      <c r="A2887" s="10" t="s">
        <v>1067</v>
      </c>
      <c r="B2887" s="10" t="s">
        <v>55</v>
      </c>
      <c r="C2887" s="10" t="s">
        <v>56</v>
      </c>
      <c r="D2887" s="10" t="s">
        <v>45</v>
      </c>
      <c r="E2887" s="10" t="s">
        <v>46</v>
      </c>
      <c r="F2887" s="10" t="s">
        <v>207</v>
      </c>
      <c r="G2887" s="10" t="b">
        <f>FALSE()</f>
        <v>0</v>
      </c>
      <c r="H2887" s="10">
        <v>0</v>
      </c>
      <c r="I2887" s="10">
        <v>1</v>
      </c>
      <c r="J2887" s="10">
        <v>0</v>
      </c>
      <c r="K2887" s="10">
        <v>0</v>
      </c>
      <c r="L2887" s="10">
        <v>0</v>
      </c>
      <c r="M2887" s="10">
        <v>1</v>
      </c>
      <c r="N2887" s="10">
        <v>27</v>
      </c>
      <c r="O2887" s="10">
        <v>27</v>
      </c>
    </row>
    <row r="2888" spans="1:15" x14ac:dyDescent="0.2">
      <c r="A2888" s="10" t="s">
        <v>254</v>
      </c>
      <c r="B2888" s="10" t="s">
        <v>119</v>
      </c>
      <c r="C2888" s="10" t="s">
        <v>56</v>
      </c>
      <c r="D2888" s="10" t="s">
        <v>45</v>
      </c>
      <c r="E2888" s="10" t="s">
        <v>46</v>
      </c>
      <c r="F2888" s="10" t="s">
        <v>47</v>
      </c>
      <c r="G2888" s="10" t="b">
        <f>FALSE()</f>
        <v>0</v>
      </c>
      <c r="H2888" s="10">
        <v>0</v>
      </c>
      <c r="I2888" s="10">
        <v>1</v>
      </c>
      <c r="J2888" s="10">
        <v>0</v>
      </c>
      <c r="K2888" s="10">
        <v>0</v>
      </c>
      <c r="L2888" s="10">
        <v>0</v>
      </c>
      <c r="M2888" s="10">
        <v>1</v>
      </c>
      <c r="N2888" s="10">
        <v>30</v>
      </c>
      <c r="O2888" s="10">
        <v>27</v>
      </c>
    </row>
    <row r="2889" spans="1:15" x14ac:dyDescent="0.2">
      <c r="A2889" s="10" t="s">
        <v>1359</v>
      </c>
      <c r="B2889" s="10" t="s">
        <v>70</v>
      </c>
      <c r="C2889" s="10" t="s">
        <v>70</v>
      </c>
      <c r="D2889" s="10" t="s">
        <v>45</v>
      </c>
      <c r="E2889" s="10" t="s">
        <v>46</v>
      </c>
      <c r="F2889" s="10" t="s">
        <v>190</v>
      </c>
      <c r="G2889" s="10" t="b">
        <f>TRUE()</f>
        <v>1</v>
      </c>
      <c r="H2889" s="10">
        <v>0</v>
      </c>
      <c r="I2889" s="10">
        <v>1</v>
      </c>
      <c r="J2889" s="10">
        <v>0</v>
      </c>
      <c r="K2889" s="10">
        <v>0</v>
      </c>
      <c r="L2889" s="10">
        <v>0</v>
      </c>
      <c r="M2889" s="10">
        <v>1</v>
      </c>
      <c r="N2889" s="10">
        <v>27</v>
      </c>
      <c r="O2889" s="10">
        <v>27</v>
      </c>
    </row>
    <row r="2890" spans="1:15" x14ac:dyDescent="0.2">
      <c r="A2890" s="10" t="s">
        <v>1130</v>
      </c>
      <c r="B2890" s="10" t="s">
        <v>193</v>
      </c>
      <c r="C2890" s="10" t="s">
        <v>117</v>
      </c>
      <c r="D2890" s="10" t="s">
        <v>51</v>
      </c>
      <c r="E2890" s="10" t="s">
        <v>52</v>
      </c>
      <c r="F2890" s="10" t="s">
        <v>155</v>
      </c>
      <c r="G2890" s="10" t="b">
        <f>TRUE()</f>
        <v>1</v>
      </c>
      <c r="H2890" s="10">
        <v>0</v>
      </c>
      <c r="I2890" s="10">
        <v>1</v>
      </c>
      <c r="J2890" s="10">
        <v>0</v>
      </c>
      <c r="K2890" s="10">
        <v>0</v>
      </c>
      <c r="L2890" s="10">
        <v>0</v>
      </c>
      <c r="M2890" s="10">
        <v>1</v>
      </c>
      <c r="N2890" s="10">
        <v>26</v>
      </c>
      <c r="O2890" s="10">
        <v>26</v>
      </c>
    </row>
    <row r="2891" spans="1:15" x14ac:dyDescent="0.2">
      <c r="A2891" s="10" t="s">
        <v>1130</v>
      </c>
      <c r="B2891" s="10" t="s">
        <v>193</v>
      </c>
      <c r="C2891" s="10" t="s">
        <v>117</v>
      </c>
      <c r="D2891" s="10" t="s">
        <v>51</v>
      </c>
      <c r="E2891" s="10" t="s">
        <v>52</v>
      </c>
      <c r="F2891" s="10" t="s">
        <v>588</v>
      </c>
      <c r="G2891" s="10" t="b">
        <f>TRUE()</f>
        <v>1</v>
      </c>
      <c r="H2891" s="10">
        <v>0</v>
      </c>
      <c r="I2891" s="10">
        <v>1</v>
      </c>
      <c r="J2891" s="10">
        <v>0</v>
      </c>
      <c r="K2891" s="10">
        <v>0</v>
      </c>
      <c r="L2891" s="10">
        <v>0</v>
      </c>
      <c r="M2891" s="10">
        <v>1</v>
      </c>
      <c r="N2891" s="10">
        <v>26</v>
      </c>
      <c r="O2891" s="10">
        <v>26</v>
      </c>
    </row>
    <row r="2892" spans="1:15" x14ac:dyDescent="0.2">
      <c r="A2892" s="10" t="s">
        <v>1100</v>
      </c>
      <c r="B2892" s="10" t="s">
        <v>572</v>
      </c>
      <c r="C2892" s="10" t="s">
        <v>112</v>
      </c>
      <c r="D2892" s="10" t="s">
        <v>51</v>
      </c>
      <c r="E2892" s="10" t="s">
        <v>52</v>
      </c>
      <c r="F2892" s="10" t="s">
        <v>446</v>
      </c>
      <c r="G2892" s="10" t="b">
        <f>FALSE()</f>
        <v>0</v>
      </c>
      <c r="H2892" s="10">
        <v>0</v>
      </c>
      <c r="I2892" s="10">
        <v>1</v>
      </c>
      <c r="J2892" s="10">
        <v>0</v>
      </c>
      <c r="K2892" s="10">
        <v>0</v>
      </c>
      <c r="L2892" s="10">
        <v>0</v>
      </c>
      <c r="M2892" s="10">
        <v>1</v>
      </c>
      <c r="N2892" s="10">
        <v>26</v>
      </c>
      <c r="O2892" s="10">
        <v>26</v>
      </c>
    </row>
    <row r="2893" spans="1:15" x14ac:dyDescent="0.2">
      <c r="A2893" s="10" t="s">
        <v>1055</v>
      </c>
      <c r="B2893" s="10" t="s">
        <v>178</v>
      </c>
      <c r="C2893" s="10" t="s">
        <v>73</v>
      </c>
      <c r="D2893" s="10" t="s">
        <v>45</v>
      </c>
      <c r="E2893" s="10" t="s">
        <v>46</v>
      </c>
      <c r="F2893" s="10" t="s">
        <v>1173</v>
      </c>
      <c r="G2893" s="10" t="b">
        <f>FALSE()</f>
        <v>0</v>
      </c>
      <c r="H2893" s="10">
        <v>0</v>
      </c>
      <c r="I2893" s="10">
        <v>1</v>
      </c>
      <c r="J2893" s="10">
        <v>0</v>
      </c>
      <c r="K2893" s="10">
        <v>0</v>
      </c>
      <c r="L2893" s="10">
        <v>0</v>
      </c>
      <c r="M2893" s="10">
        <v>1</v>
      </c>
      <c r="N2893" s="10">
        <v>29</v>
      </c>
      <c r="O2893" s="10">
        <v>26</v>
      </c>
    </row>
    <row r="2894" spans="1:15" x14ac:dyDescent="0.2">
      <c r="A2894" s="10" t="s">
        <v>1196</v>
      </c>
      <c r="B2894" s="10" t="s">
        <v>104</v>
      </c>
      <c r="C2894" s="10" t="s">
        <v>105</v>
      </c>
      <c r="D2894" s="10" t="s">
        <v>45</v>
      </c>
      <c r="E2894" s="10" t="s">
        <v>46</v>
      </c>
      <c r="F2894" s="10" t="s">
        <v>223</v>
      </c>
      <c r="G2894" s="10" t="b">
        <f>FALSE()</f>
        <v>0</v>
      </c>
      <c r="H2894" s="10">
        <v>0</v>
      </c>
      <c r="I2894" s="10">
        <v>1</v>
      </c>
      <c r="J2894" s="10">
        <v>0</v>
      </c>
      <c r="K2894" s="10">
        <v>0</v>
      </c>
      <c r="L2894" s="10">
        <v>0</v>
      </c>
      <c r="M2894" s="10">
        <v>1</v>
      </c>
      <c r="N2894" s="10">
        <v>26</v>
      </c>
      <c r="O2894" s="10">
        <v>26</v>
      </c>
    </row>
    <row r="2895" spans="1:15" x14ac:dyDescent="0.2">
      <c r="A2895" s="10" t="s">
        <v>1121</v>
      </c>
      <c r="B2895" s="10" t="s">
        <v>55</v>
      </c>
      <c r="C2895" s="10" t="s">
        <v>56</v>
      </c>
      <c r="D2895" s="10" t="s">
        <v>45</v>
      </c>
      <c r="E2895" s="10" t="s">
        <v>46</v>
      </c>
      <c r="F2895" s="10" t="s">
        <v>207</v>
      </c>
      <c r="G2895" s="10" t="b">
        <f>FALSE()</f>
        <v>0</v>
      </c>
      <c r="H2895" s="10">
        <v>0</v>
      </c>
      <c r="I2895" s="10">
        <v>1</v>
      </c>
      <c r="J2895" s="10">
        <v>0</v>
      </c>
      <c r="K2895" s="10">
        <v>0</v>
      </c>
      <c r="L2895" s="10">
        <v>0</v>
      </c>
      <c r="M2895" s="10">
        <v>1</v>
      </c>
      <c r="N2895" s="10">
        <v>26</v>
      </c>
      <c r="O2895" s="10">
        <v>26</v>
      </c>
    </row>
    <row r="2896" spans="1:15" x14ac:dyDescent="0.2">
      <c r="A2896" s="10" t="s">
        <v>1187</v>
      </c>
      <c r="B2896" s="10" t="s">
        <v>119</v>
      </c>
      <c r="C2896" s="10" t="s">
        <v>56</v>
      </c>
      <c r="D2896" s="10" t="s">
        <v>45</v>
      </c>
      <c r="E2896" s="10" t="s">
        <v>46</v>
      </c>
      <c r="F2896" s="10" t="s">
        <v>183</v>
      </c>
      <c r="G2896" s="10" t="b">
        <f>FALSE()</f>
        <v>0</v>
      </c>
      <c r="H2896" s="10">
        <v>0</v>
      </c>
      <c r="I2896" s="10">
        <v>1</v>
      </c>
      <c r="J2896" s="10">
        <v>0</v>
      </c>
      <c r="K2896" s="10">
        <v>0</v>
      </c>
      <c r="L2896" s="10">
        <v>0</v>
      </c>
      <c r="M2896" s="10">
        <v>1</v>
      </c>
      <c r="N2896" s="10">
        <v>61</v>
      </c>
      <c r="O2896" s="10">
        <v>26</v>
      </c>
    </row>
    <row r="2897" spans="1:15" x14ac:dyDescent="0.2">
      <c r="A2897" s="10" t="s">
        <v>1360</v>
      </c>
      <c r="B2897" s="10" t="s">
        <v>70</v>
      </c>
      <c r="C2897" s="10" t="s">
        <v>70</v>
      </c>
      <c r="D2897" s="10" t="s">
        <v>45</v>
      </c>
      <c r="E2897" s="10" t="s">
        <v>46</v>
      </c>
      <c r="F2897" s="10" t="s">
        <v>75</v>
      </c>
      <c r="G2897" s="10" t="b">
        <f>FALSE()</f>
        <v>0</v>
      </c>
      <c r="H2897" s="10">
        <v>0</v>
      </c>
      <c r="I2897" s="10">
        <v>1</v>
      </c>
      <c r="J2897" s="10">
        <v>0</v>
      </c>
      <c r="K2897" s="10">
        <v>0</v>
      </c>
      <c r="L2897" s="10">
        <v>0</v>
      </c>
      <c r="M2897" s="10">
        <v>1</v>
      </c>
      <c r="N2897" s="10">
        <v>26</v>
      </c>
      <c r="O2897" s="10">
        <v>26</v>
      </c>
    </row>
    <row r="2898" spans="1:15" x14ac:dyDescent="0.2">
      <c r="A2898" s="10" t="s">
        <v>222</v>
      </c>
      <c r="B2898" s="10" t="s">
        <v>70</v>
      </c>
      <c r="C2898" s="10" t="s">
        <v>70</v>
      </c>
      <c r="D2898" s="10" t="s">
        <v>45</v>
      </c>
      <c r="E2898" s="10" t="s">
        <v>46</v>
      </c>
      <c r="F2898" s="10" t="s">
        <v>481</v>
      </c>
      <c r="G2898" s="10" t="b">
        <f>FALSE()</f>
        <v>0</v>
      </c>
      <c r="H2898" s="10">
        <v>0</v>
      </c>
      <c r="I2898" s="10">
        <v>1</v>
      </c>
      <c r="J2898" s="10">
        <v>0</v>
      </c>
      <c r="K2898" s="10">
        <v>0</v>
      </c>
      <c r="L2898" s="10">
        <v>0</v>
      </c>
      <c r="M2898" s="10">
        <v>1</v>
      </c>
      <c r="N2898" s="10">
        <v>26</v>
      </c>
      <c r="O2898" s="10">
        <v>25</v>
      </c>
    </row>
    <row r="2899" spans="1:15" x14ac:dyDescent="0.2">
      <c r="A2899" s="10" t="s">
        <v>288</v>
      </c>
      <c r="B2899" s="10" t="s">
        <v>289</v>
      </c>
      <c r="C2899" s="10" t="s">
        <v>50</v>
      </c>
      <c r="D2899" s="10" t="s">
        <v>51</v>
      </c>
      <c r="E2899" s="10" t="s">
        <v>52</v>
      </c>
      <c r="F2899" s="10" t="s">
        <v>183</v>
      </c>
      <c r="G2899" s="10" t="b">
        <f>FALSE()</f>
        <v>0</v>
      </c>
      <c r="H2899" s="10">
        <v>0</v>
      </c>
      <c r="I2899" s="10">
        <v>1</v>
      </c>
      <c r="J2899" s="10">
        <v>0</v>
      </c>
      <c r="K2899" s="10">
        <v>0</v>
      </c>
      <c r="L2899" s="10">
        <v>0</v>
      </c>
      <c r="M2899" s="10">
        <v>1</v>
      </c>
      <c r="N2899" s="10">
        <v>95</v>
      </c>
      <c r="O2899" s="10">
        <v>25</v>
      </c>
    </row>
    <row r="2900" spans="1:15" x14ac:dyDescent="0.2">
      <c r="A2900" s="10" t="s">
        <v>230</v>
      </c>
      <c r="B2900" s="10" t="s">
        <v>128</v>
      </c>
      <c r="C2900" s="10" t="s">
        <v>50</v>
      </c>
      <c r="D2900" s="10" t="s">
        <v>51</v>
      </c>
      <c r="E2900" s="10" t="s">
        <v>52</v>
      </c>
      <c r="F2900" s="10" t="s">
        <v>79</v>
      </c>
      <c r="G2900" s="10" t="b">
        <f>FALSE()</f>
        <v>0</v>
      </c>
      <c r="H2900" s="10">
        <v>1</v>
      </c>
      <c r="I2900" s="10">
        <v>1</v>
      </c>
      <c r="J2900" s="10">
        <v>1</v>
      </c>
      <c r="K2900" s="10">
        <v>22</v>
      </c>
      <c r="L2900" s="10">
        <v>0</v>
      </c>
      <c r="M2900" s="10">
        <v>1</v>
      </c>
      <c r="N2900" s="10">
        <v>25</v>
      </c>
      <c r="O2900" s="10">
        <v>25</v>
      </c>
    </row>
    <row r="2901" spans="1:15" x14ac:dyDescent="0.2">
      <c r="A2901" s="10" t="s">
        <v>578</v>
      </c>
      <c r="B2901" s="10" t="s">
        <v>178</v>
      </c>
      <c r="C2901" s="10" t="s">
        <v>73</v>
      </c>
      <c r="D2901" s="10" t="s">
        <v>45</v>
      </c>
      <c r="E2901" s="10" t="s">
        <v>46</v>
      </c>
      <c r="F2901" s="10" t="s">
        <v>1361</v>
      </c>
      <c r="G2901" s="10" t="b">
        <f>FALSE()</f>
        <v>0</v>
      </c>
      <c r="H2901" s="10">
        <v>0</v>
      </c>
      <c r="I2901" s="10">
        <v>1</v>
      </c>
      <c r="J2901" s="10">
        <v>0</v>
      </c>
      <c r="K2901" s="10">
        <v>0</v>
      </c>
      <c r="L2901" s="10">
        <v>0</v>
      </c>
      <c r="M2901" s="10">
        <v>1</v>
      </c>
      <c r="N2901" s="10">
        <v>25</v>
      </c>
      <c r="O2901" s="10">
        <v>25</v>
      </c>
    </row>
    <row r="2902" spans="1:15" x14ac:dyDescent="0.2">
      <c r="A2902" s="10" t="s">
        <v>996</v>
      </c>
      <c r="B2902" s="10" t="s">
        <v>146</v>
      </c>
      <c r="C2902" s="10" t="s">
        <v>105</v>
      </c>
      <c r="D2902" s="10" t="s">
        <v>45</v>
      </c>
      <c r="E2902" s="10" t="s">
        <v>46</v>
      </c>
      <c r="F2902" s="10" t="s">
        <v>219</v>
      </c>
      <c r="G2902" s="10" t="b">
        <f>FALSE()</f>
        <v>0</v>
      </c>
      <c r="H2902" s="10">
        <v>0</v>
      </c>
      <c r="I2902" s="10">
        <v>1</v>
      </c>
      <c r="J2902" s="10">
        <v>0</v>
      </c>
      <c r="K2902" s="10">
        <v>0</v>
      </c>
      <c r="L2902" s="10">
        <v>0</v>
      </c>
      <c r="M2902" s="10">
        <v>1</v>
      </c>
      <c r="N2902" s="10">
        <v>25</v>
      </c>
      <c r="O2902" s="10">
        <v>25</v>
      </c>
    </row>
    <row r="2903" spans="1:15" x14ac:dyDescent="0.2">
      <c r="A2903" s="10" t="s">
        <v>1362</v>
      </c>
      <c r="B2903" s="10" t="s">
        <v>188</v>
      </c>
      <c r="C2903" s="10" t="s">
        <v>112</v>
      </c>
      <c r="D2903" s="10" t="s">
        <v>51</v>
      </c>
      <c r="E2903" s="10" t="s">
        <v>52</v>
      </c>
      <c r="F2903" s="10" t="s">
        <v>61</v>
      </c>
      <c r="G2903" s="10" t="b">
        <f>FALSE()</f>
        <v>0</v>
      </c>
      <c r="H2903" s="10">
        <v>0</v>
      </c>
      <c r="I2903" s="10">
        <v>1</v>
      </c>
      <c r="J2903" s="10">
        <v>0</v>
      </c>
      <c r="K2903" s="10">
        <v>0</v>
      </c>
      <c r="L2903" s="10">
        <v>0</v>
      </c>
      <c r="M2903" s="10">
        <v>1</v>
      </c>
      <c r="N2903" s="10">
        <v>25</v>
      </c>
      <c r="O2903" s="10">
        <v>25</v>
      </c>
    </row>
    <row r="2904" spans="1:15" x14ac:dyDescent="0.2">
      <c r="A2904" s="10" t="s">
        <v>1290</v>
      </c>
      <c r="B2904" s="10" t="s">
        <v>407</v>
      </c>
      <c r="C2904" s="10" t="s">
        <v>112</v>
      </c>
      <c r="D2904" s="10" t="s">
        <v>51</v>
      </c>
      <c r="E2904" s="10" t="s">
        <v>52</v>
      </c>
      <c r="F2904" s="10" t="s">
        <v>79</v>
      </c>
      <c r="G2904" s="10" t="b">
        <f>FALSE()</f>
        <v>0</v>
      </c>
      <c r="H2904" s="10">
        <v>0</v>
      </c>
      <c r="I2904" s="10">
        <v>1</v>
      </c>
      <c r="J2904" s="10">
        <v>0</v>
      </c>
      <c r="K2904" s="10">
        <v>0</v>
      </c>
      <c r="L2904" s="10">
        <v>0</v>
      </c>
      <c r="M2904" s="10">
        <v>1</v>
      </c>
      <c r="N2904" s="10">
        <v>25</v>
      </c>
      <c r="O2904" s="10">
        <v>25</v>
      </c>
    </row>
    <row r="2905" spans="1:15" x14ac:dyDescent="0.2">
      <c r="A2905" s="10" t="s">
        <v>1108</v>
      </c>
      <c r="B2905" s="10" t="s">
        <v>232</v>
      </c>
      <c r="C2905" s="10" t="s">
        <v>90</v>
      </c>
      <c r="D2905" s="10" t="s">
        <v>51</v>
      </c>
      <c r="E2905" s="10" t="s">
        <v>52</v>
      </c>
      <c r="F2905" s="10" t="s">
        <v>132</v>
      </c>
      <c r="G2905" s="10" t="b">
        <f>FALSE()</f>
        <v>0</v>
      </c>
      <c r="H2905" s="10">
        <v>0</v>
      </c>
      <c r="I2905" s="10">
        <v>1</v>
      </c>
      <c r="J2905" s="10">
        <v>0</v>
      </c>
      <c r="K2905" s="10">
        <v>0</v>
      </c>
      <c r="L2905" s="10">
        <v>0</v>
      </c>
      <c r="M2905" s="10">
        <v>1</v>
      </c>
      <c r="N2905" s="10">
        <v>29</v>
      </c>
      <c r="O2905" s="10">
        <v>25</v>
      </c>
    </row>
    <row r="2906" spans="1:15" x14ac:dyDescent="0.2">
      <c r="A2906" s="10" t="s">
        <v>1277</v>
      </c>
      <c r="B2906" s="10" t="s">
        <v>163</v>
      </c>
      <c r="C2906" s="10" t="s">
        <v>90</v>
      </c>
      <c r="D2906" s="10" t="s">
        <v>51</v>
      </c>
      <c r="E2906" s="10" t="s">
        <v>52</v>
      </c>
      <c r="F2906" s="10" t="s">
        <v>61</v>
      </c>
      <c r="G2906" s="10" t="b">
        <f>FALSE()</f>
        <v>0</v>
      </c>
      <c r="H2906" s="10">
        <v>0</v>
      </c>
      <c r="I2906" s="10">
        <v>1</v>
      </c>
      <c r="J2906" s="10">
        <v>0</v>
      </c>
      <c r="K2906" s="10">
        <v>0</v>
      </c>
      <c r="L2906" s="10">
        <v>0</v>
      </c>
      <c r="M2906" s="10">
        <v>1</v>
      </c>
      <c r="N2906" s="10">
        <v>25</v>
      </c>
      <c r="O2906" s="10">
        <v>25</v>
      </c>
    </row>
    <row r="2907" spans="1:15" x14ac:dyDescent="0.2">
      <c r="A2907" s="10" t="s">
        <v>1225</v>
      </c>
      <c r="B2907" s="10" t="s">
        <v>793</v>
      </c>
      <c r="C2907" s="10" t="s">
        <v>90</v>
      </c>
      <c r="D2907" s="10" t="s">
        <v>51</v>
      </c>
      <c r="E2907" s="10" t="s">
        <v>52</v>
      </c>
      <c r="F2907" s="10" t="s">
        <v>393</v>
      </c>
      <c r="G2907" s="10" t="b">
        <f>FALSE()</f>
        <v>0</v>
      </c>
      <c r="H2907" s="10">
        <v>0</v>
      </c>
      <c r="I2907" s="10">
        <v>1</v>
      </c>
      <c r="J2907" s="10">
        <v>0</v>
      </c>
      <c r="K2907" s="10">
        <v>0</v>
      </c>
      <c r="L2907" s="10">
        <v>0</v>
      </c>
      <c r="M2907" s="10">
        <v>1</v>
      </c>
      <c r="N2907" s="10">
        <v>38</v>
      </c>
      <c r="O2907" s="10">
        <v>25</v>
      </c>
    </row>
    <row r="2908" spans="1:15" x14ac:dyDescent="0.2">
      <c r="A2908" s="10" t="s">
        <v>1068</v>
      </c>
      <c r="B2908" s="10" t="s">
        <v>238</v>
      </c>
      <c r="C2908" s="10" t="s">
        <v>90</v>
      </c>
      <c r="D2908" s="10" t="s">
        <v>51</v>
      </c>
      <c r="E2908" s="10" t="s">
        <v>52</v>
      </c>
      <c r="F2908" s="10" t="s">
        <v>880</v>
      </c>
      <c r="G2908" s="10" t="b">
        <f>FALSE()</f>
        <v>0</v>
      </c>
      <c r="H2908" s="10">
        <v>0</v>
      </c>
      <c r="I2908" s="10">
        <v>1</v>
      </c>
      <c r="J2908" s="10">
        <v>0</v>
      </c>
      <c r="K2908" s="10">
        <v>0</v>
      </c>
      <c r="L2908" s="10">
        <v>0</v>
      </c>
      <c r="M2908" s="10">
        <v>1</v>
      </c>
      <c r="N2908" s="10">
        <v>25</v>
      </c>
      <c r="O2908" s="10">
        <v>25</v>
      </c>
    </row>
    <row r="2909" spans="1:15" x14ac:dyDescent="0.2">
      <c r="A2909" s="10" t="s">
        <v>1363</v>
      </c>
      <c r="B2909" s="10" t="s">
        <v>163</v>
      </c>
      <c r="C2909" s="10" t="s">
        <v>90</v>
      </c>
      <c r="D2909" s="10" t="s">
        <v>51</v>
      </c>
      <c r="E2909" s="10" t="s">
        <v>52</v>
      </c>
      <c r="F2909" s="10" t="s">
        <v>61</v>
      </c>
      <c r="G2909" s="10" t="b">
        <f>FALSE()</f>
        <v>0</v>
      </c>
      <c r="H2909" s="10">
        <v>0</v>
      </c>
      <c r="I2909" s="10">
        <v>1</v>
      </c>
      <c r="J2909" s="10">
        <v>0</v>
      </c>
      <c r="K2909" s="10">
        <v>0</v>
      </c>
      <c r="L2909" s="10">
        <v>0</v>
      </c>
      <c r="M2909" s="10">
        <v>1</v>
      </c>
      <c r="N2909" s="10">
        <v>25</v>
      </c>
      <c r="O2909" s="10">
        <v>25</v>
      </c>
    </row>
    <row r="2910" spans="1:15" x14ac:dyDescent="0.2">
      <c r="A2910" s="10" t="s">
        <v>1364</v>
      </c>
      <c r="B2910" s="10" t="s">
        <v>456</v>
      </c>
      <c r="C2910" s="10" t="s">
        <v>245</v>
      </c>
      <c r="D2910" s="10" t="s">
        <v>51</v>
      </c>
      <c r="E2910" s="10" t="s">
        <v>52</v>
      </c>
      <c r="F2910" s="10" t="s">
        <v>190</v>
      </c>
      <c r="G2910" s="10" t="b">
        <f>TRUE()</f>
        <v>1</v>
      </c>
      <c r="H2910" s="10">
        <v>0</v>
      </c>
      <c r="I2910" s="10">
        <v>1</v>
      </c>
      <c r="J2910" s="10">
        <v>0</v>
      </c>
      <c r="K2910" s="10">
        <v>0</v>
      </c>
      <c r="L2910" s="10">
        <v>0</v>
      </c>
      <c r="M2910" s="10">
        <v>1</v>
      </c>
      <c r="N2910" s="10">
        <v>25</v>
      </c>
      <c r="O2910" s="10">
        <v>25</v>
      </c>
    </row>
    <row r="2911" spans="1:15" x14ac:dyDescent="0.2">
      <c r="A2911" s="10" t="s">
        <v>1163</v>
      </c>
      <c r="B2911" s="10" t="s">
        <v>247</v>
      </c>
      <c r="C2911" s="10" t="s">
        <v>245</v>
      </c>
      <c r="D2911" s="10" t="s">
        <v>51</v>
      </c>
      <c r="E2911" s="10" t="s">
        <v>52</v>
      </c>
      <c r="F2911" s="10" t="s">
        <v>207</v>
      </c>
      <c r="G2911" s="10" t="b">
        <f>FALSE()</f>
        <v>0</v>
      </c>
      <c r="H2911" s="10">
        <v>0</v>
      </c>
      <c r="I2911" s="10">
        <v>1</v>
      </c>
      <c r="J2911" s="10">
        <v>0</v>
      </c>
      <c r="K2911" s="10">
        <v>0</v>
      </c>
      <c r="L2911" s="10">
        <v>0</v>
      </c>
      <c r="M2911" s="10">
        <v>1</v>
      </c>
      <c r="N2911" s="10">
        <v>25</v>
      </c>
      <c r="O2911" s="10">
        <v>25</v>
      </c>
    </row>
    <row r="2912" spans="1:15" x14ac:dyDescent="0.2">
      <c r="A2912" s="10" t="s">
        <v>1270</v>
      </c>
      <c r="B2912" s="10" t="s">
        <v>72</v>
      </c>
      <c r="C2912" s="10" t="s">
        <v>73</v>
      </c>
      <c r="D2912" s="10" t="s">
        <v>45</v>
      </c>
      <c r="E2912" s="10" t="s">
        <v>46</v>
      </c>
      <c r="F2912" s="10" t="s">
        <v>61</v>
      </c>
      <c r="G2912" s="10" t="b">
        <f>FALSE()</f>
        <v>0</v>
      </c>
      <c r="H2912" s="10">
        <v>0</v>
      </c>
      <c r="I2912" s="10">
        <v>1</v>
      </c>
      <c r="J2912" s="10">
        <v>0</v>
      </c>
      <c r="K2912" s="10">
        <v>0</v>
      </c>
      <c r="L2912" s="10">
        <v>0</v>
      </c>
      <c r="M2912" s="10">
        <v>1</v>
      </c>
      <c r="N2912" s="10">
        <v>25</v>
      </c>
      <c r="O2912" s="10">
        <v>25</v>
      </c>
    </row>
    <row r="2913" spans="1:15" x14ac:dyDescent="0.2">
      <c r="A2913" s="10" t="s">
        <v>1365</v>
      </c>
      <c r="B2913" s="10" t="s">
        <v>136</v>
      </c>
      <c r="C2913" s="10" t="s">
        <v>73</v>
      </c>
      <c r="D2913" s="10" t="s">
        <v>45</v>
      </c>
      <c r="E2913" s="10" t="s">
        <v>46</v>
      </c>
      <c r="F2913" s="10" t="s">
        <v>61</v>
      </c>
      <c r="G2913" s="10" t="b">
        <f>FALSE()</f>
        <v>0</v>
      </c>
      <c r="H2913" s="10">
        <v>0</v>
      </c>
      <c r="I2913" s="10">
        <v>1</v>
      </c>
      <c r="J2913" s="10">
        <v>0</v>
      </c>
      <c r="K2913" s="10">
        <v>0</v>
      </c>
      <c r="L2913" s="10">
        <v>0</v>
      </c>
      <c r="M2913" s="10">
        <v>1</v>
      </c>
      <c r="N2913" s="10">
        <v>25</v>
      </c>
      <c r="O2913" s="10">
        <v>25</v>
      </c>
    </row>
    <row r="2914" spans="1:15" x14ac:dyDescent="0.2">
      <c r="A2914" s="10" t="s">
        <v>1165</v>
      </c>
      <c r="B2914" s="10" t="s">
        <v>136</v>
      </c>
      <c r="C2914" s="10" t="s">
        <v>73</v>
      </c>
      <c r="D2914" s="10" t="s">
        <v>45</v>
      </c>
      <c r="E2914" s="10" t="s">
        <v>46</v>
      </c>
      <c r="F2914" s="10" t="s">
        <v>153</v>
      </c>
      <c r="G2914" s="10" t="b">
        <f>FALSE()</f>
        <v>0</v>
      </c>
      <c r="H2914" s="10">
        <v>0</v>
      </c>
      <c r="I2914" s="10">
        <v>1</v>
      </c>
      <c r="J2914" s="10">
        <v>0</v>
      </c>
      <c r="K2914" s="10">
        <v>0</v>
      </c>
      <c r="L2914" s="10">
        <v>0</v>
      </c>
      <c r="M2914" s="10">
        <v>1</v>
      </c>
      <c r="N2914" s="10">
        <v>25</v>
      </c>
      <c r="O2914" s="10">
        <v>25</v>
      </c>
    </row>
    <row r="2915" spans="1:15" x14ac:dyDescent="0.2">
      <c r="A2915" s="10" t="s">
        <v>1093</v>
      </c>
      <c r="B2915" s="10" t="s">
        <v>262</v>
      </c>
      <c r="C2915" s="10" t="s">
        <v>105</v>
      </c>
      <c r="D2915" s="10" t="s">
        <v>45</v>
      </c>
      <c r="E2915" s="10" t="s">
        <v>46</v>
      </c>
      <c r="F2915" s="10" t="s">
        <v>47</v>
      </c>
      <c r="G2915" s="10" t="b">
        <f>FALSE()</f>
        <v>0</v>
      </c>
      <c r="H2915" s="10">
        <v>0</v>
      </c>
      <c r="I2915" s="10">
        <v>1</v>
      </c>
      <c r="J2915" s="10">
        <v>0</v>
      </c>
      <c r="K2915" s="10">
        <v>0</v>
      </c>
      <c r="L2915" s="10">
        <v>0</v>
      </c>
      <c r="M2915" s="10">
        <v>1</v>
      </c>
      <c r="N2915" s="10">
        <v>25</v>
      </c>
      <c r="O2915" s="10">
        <v>25</v>
      </c>
    </row>
    <row r="2916" spans="1:15" x14ac:dyDescent="0.2">
      <c r="A2916" s="10" t="s">
        <v>1320</v>
      </c>
      <c r="B2916" s="10" t="s">
        <v>55</v>
      </c>
      <c r="C2916" s="10" t="s">
        <v>56</v>
      </c>
      <c r="D2916" s="10" t="s">
        <v>45</v>
      </c>
      <c r="E2916" s="10" t="s">
        <v>46</v>
      </c>
      <c r="F2916" s="10" t="s">
        <v>58</v>
      </c>
      <c r="G2916" s="10" t="b">
        <f>FALSE()</f>
        <v>0</v>
      </c>
      <c r="H2916" s="10">
        <v>0</v>
      </c>
      <c r="I2916" s="10">
        <v>1</v>
      </c>
      <c r="J2916" s="10">
        <v>0</v>
      </c>
      <c r="K2916" s="10">
        <v>0</v>
      </c>
      <c r="L2916" s="10">
        <v>0</v>
      </c>
      <c r="M2916" s="10">
        <v>1</v>
      </c>
      <c r="N2916" s="10">
        <v>25</v>
      </c>
      <c r="O2916" s="10">
        <v>25</v>
      </c>
    </row>
    <row r="2917" spans="1:15" x14ac:dyDescent="0.2">
      <c r="A2917" s="10" t="s">
        <v>1040</v>
      </c>
      <c r="B2917" s="10" t="s">
        <v>55</v>
      </c>
      <c r="C2917" s="10" t="s">
        <v>56</v>
      </c>
      <c r="D2917" s="10" t="s">
        <v>45</v>
      </c>
      <c r="E2917" s="10" t="s">
        <v>46</v>
      </c>
      <c r="F2917" s="10" t="s">
        <v>1366</v>
      </c>
      <c r="G2917" s="10" t="b">
        <f>TRUE()</f>
        <v>1</v>
      </c>
      <c r="H2917" s="10">
        <v>0</v>
      </c>
      <c r="I2917" s="10">
        <v>1</v>
      </c>
      <c r="J2917" s="10">
        <v>0</v>
      </c>
      <c r="K2917" s="10">
        <v>0</v>
      </c>
      <c r="L2917" s="10">
        <v>0</v>
      </c>
      <c r="M2917" s="10">
        <v>1</v>
      </c>
      <c r="N2917" s="10">
        <v>29</v>
      </c>
      <c r="O2917" s="10">
        <v>25</v>
      </c>
    </row>
    <row r="2918" spans="1:15" x14ac:dyDescent="0.2">
      <c r="A2918" s="10" t="s">
        <v>1367</v>
      </c>
      <c r="B2918" s="10" t="s">
        <v>70</v>
      </c>
      <c r="C2918" s="10" t="s">
        <v>70</v>
      </c>
      <c r="D2918" s="10" t="s">
        <v>45</v>
      </c>
      <c r="E2918" s="10" t="s">
        <v>46</v>
      </c>
      <c r="F2918" s="10" t="s">
        <v>488</v>
      </c>
      <c r="G2918" s="10" t="b">
        <f>FALSE()</f>
        <v>0</v>
      </c>
      <c r="H2918" s="10">
        <v>0</v>
      </c>
      <c r="I2918" s="10">
        <v>1</v>
      </c>
      <c r="J2918" s="10">
        <v>0</v>
      </c>
      <c r="K2918" s="10">
        <v>0</v>
      </c>
      <c r="L2918" s="10">
        <v>0</v>
      </c>
      <c r="M2918" s="10">
        <v>1</v>
      </c>
      <c r="N2918" s="10">
        <v>29</v>
      </c>
      <c r="O2918" s="10">
        <v>25</v>
      </c>
    </row>
    <row r="2919" spans="1:15" x14ac:dyDescent="0.2">
      <c r="A2919" s="10" t="s">
        <v>1179</v>
      </c>
      <c r="B2919" s="10" t="s">
        <v>70</v>
      </c>
      <c r="C2919" s="10" t="s">
        <v>70</v>
      </c>
      <c r="D2919" s="10" t="s">
        <v>45</v>
      </c>
      <c r="E2919" s="10" t="s">
        <v>46</v>
      </c>
      <c r="F2919" s="10" t="s">
        <v>365</v>
      </c>
      <c r="G2919" s="10" t="b">
        <f>TRUE()</f>
        <v>1</v>
      </c>
      <c r="H2919" s="10">
        <v>0</v>
      </c>
      <c r="I2919" s="10">
        <v>1</v>
      </c>
      <c r="J2919" s="10">
        <v>0</v>
      </c>
      <c r="K2919" s="10">
        <v>0</v>
      </c>
      <c r="L2919" s="10">
        <v>0</v>
      </c>
      <c r="M2919" s="10">
        <v>1</v>
      </c>
      <c r="N2919" s="10">
        <v>25</v>
      </c>
      <c r="O2919" s="10">
        <v>25</v>
      </c>
    </row>
    <row r="2920" spans="1:15" x14ac:dyDescent="0.2">
      <c r="A2920" s="10" t="s">
        <v>304</v>
      </c>
      <c r="B2920" s="10" t="s">
        <v>43</v>
      </c>
      <c r="C2920" s="10" t="s">
        <v>44</v>
      </c>
      <c r="D2920" s="10" t="s">
        <v>45</v>
      </c>
      <c r="E2920" s="10" t="s">
        <v>46</v>
      </c>
      <c r="F2920" s="10" t="s">
        <v>1335</v>
      </c>
      <c r="G2920" s="10" t="b">
        <f>FALSE()</f>
        <v>0</v>
      </c>
      <c r="H2920" s="10">
        <v>0</v>
      </c>
      <c r="I2920" s="10">
        <v>1</v>
      </c>
      <c r="J2920" s="10">
        <v>0</v>
      </c>
      <c r="K2920" s="10">
        <v>0</v>
      </c>
      <c r="L2920" s="10">
        <v>0</v>
      </c>
      <c r="M2920" s="10">
        <v>1</v>
      </c>
      <c r="N2920" s="10">
        <v>24</v>
      </c>
      <c r="O2920" s="10">
        <v>24</v>
      </c>
    </row>
    <row r="2921" spans="1:15" x14ac:dyDescent="0.2">
      <c r="A2921" s="10" t="s">
        <v>361</v>
      </c>
      <c r="B2921" s="10" t="s">
        <v>122</v>
      </c>
      <c r="C2921" s="10" t="s">
        <v>112</v>
      </c>
      <c r="D2921" s="10" t="s">
        <v>51</v>
      </c>
      <c r="E2921" s="10" t="s">
        <v>52</v>
      </c>
      <c r="F2921" s="10" t="s">
        <v>1368</v>
      </c>
      <c r="G2921" s="10" t="b">
        <f>FALSE()</f>
        <v>0</v>
      </c>
      <c r="H2921" s="10">
        <v>0</v>
      </c>
      <c r="I2921" s="10">
        <v>1</v>
      </c>
      <c r="J2921" s="10">
        <v>0</v>
      </c>
      <c r="K2921" s="10">
        <v>0</v>
      </c>
      <c r="L2921" s="10">
        <v>0</v>
      </c>
      <c r="M2921" s="10">
        <v>1</v>
      </c>
      <c r="N2921" s="10">
        <v>24</v>
      </c>
      <c r="O2921" s="10">
        <v>24</v>
      </c>
    </row>
    <row r="2922" spans="1:15" x14ac:dyDescent="0.2">
      <c r="A2922" s="10" t="s">
        <v>1047</v>
      </c>
      <c r="B2922" s="10" t="s">
        <v>96</v>
      </c>
      <c r="C2922" s="10" t="s">
        <v>50</v>
      </c>
      <c r="D2922" s="10" t="s">
        <v>51</v>
      </c>
      <c r="E2922" s="10" t="s">
        <v>52</v>
      </c>
      <c r="F2922" s="10" t="s">
        <v>1118</v>
      </c>
      <c r="G2922" s="10" t="b">
        <f>FALSE()</f>
        <v>0</v>
      </c>
      <c r="H2922" s="10">
        <v>0</v>
      </c>
      <c r="I2922" s="10">
        <v>1</v>
      </c>
      <c r="J2922" s="10">
        <v>0</v>
      </c>
      <c r="K2922" s="10">
        <v>0</v>
      </c>
      <c r="L2922" s="10">
        <v>0</v>
      </c>
      <c r="M2922" s="10">
        <v>1</v>
      </c>
      <c r="N2922" s="10">
        <v>24</v>
      </c>
      <c r="O2922" s="10">
        <v>24</v>
      </c>
    </row>
    <row r="2923" spans="1:15" x14ac:dyDescent="0.2">
      <c r="A2923" s="10" t="s">
        <v>1163</v>
      </c>
      <c r="B2923" s="10" t="s">
        <v>247</v>
      </c>
      <c r="C2923" s="10" t="s">
        <v>245</v>
      </c>
      <c r="D2923" s="10" t="s">
        <v>51</v>
      </c>
      <c r="E2923" s="10" t="s">
        <v>52</v>
      </c>
      <c r="F2923" s="10" t="s">
        <v>186</v>
      </c>
      <c r="G2923" s="10" t="b">
        <f>TRUE()</f>
        <v>1</v>
      </c>
      <c r="H2923" s="10">
        <v>0</v>
      </c>
      <c r="I2923" s="10">
        <v>1</v>
      </c>
      <c r="J2923" s="10">
        <v>0</v>
      </c>
      <c r="K2923" s="10">
        <v>0</v>
      </c>
      <c r="L2923" s="10">
        <v>0</v>
      </c>
      <c r="M2923" s="10">
        <v>1</v>
      </c>
      <c r="N2923" s="10">
        <v>24</v>
      </c>
      <c r="O2923" s="10">
        <v>24</v>
      </c>
    </row>
    <row r="2924" spans="1:15" x14ac:dyDescent="0.2">
      <c r="A2924" s="10" t="s">
        <v>1163</v>
      </c>
      <c r="B2924" s="10" t="s">
        <v>247</v>
      </c>
      <c r="C2924" s="10" t="s">
        <v>245</v>
      </c>
      <c r="D2924" s="10" t="s">
        <v>51</v>
      </c>
      <c r="E2924" s="10" t="s">
        <v>52</v>
      </c>
      <c r="F2924" s="10" t="s">
        <v>83</v>
      </c>
      <c r="G2924" s="10" t="b">
        <f>TRUE()</f>
        <v>1</v>
      </c>
      <c r="H2924" s="10">
        <v>0</v>
      </c>
      <c r="I2924" s="10">
        <v>1</v>
      </c>
      <c r="J2924" s="10">
        <v>0</v>
      </c>
      <c r="K2924" s="10">
        <v>0</v>
      </c>
      <c r="L2924" s="10">
        <v>0</v>
      </c>
      <c r="M2924" s="10">
        <v>1</v>
      </c>
      <c r="N2924" s="10">
        <v>24</v>
      </c>
      <c r="O2924" s="10">
        <v>24</v>
      </c>
    </row>
    <row r="2925" spans="1:15" x14ac:dyDescent="0.2">
      <c r="A2925" s="10" t="s">
        <v>1369</v>
      </c>
      <c r="B2925" s="10" t="s">
        <v>72</v>
      </c>
      <c r="C2925" s="10" t="s">
        <v>73</v>
      </c>
      <c r="D2925" s="10" t="s">
        <v>45</v>
      </c>
      <c r="E2925" s="10" t="s">
        <v>46</v>
      </c>
      <c r="F2925" s="10" t="s">
        <v>47</v>
      </c>
      <c r="G2925" s="10" t="b">
        <f>FALSE()</f>
        <v>0</v>
      </c>
      <c r="H2925" s="10">
        <v>0</v>
      </c>
      <c r="I2925" s="10">
        <v>1</v>
      </c>
      <c r="J2925" s="10">
        <v>0</v>
      </c>
      <c r="K2925" s="10">
        <v>0</v>
      </c>
      <c r="L2925" s="10">
        <v>0</v>
      </c>
      <c r="M2925" s="10">
        <v>1</v>
      </c>
      <c r="N2925" s="10">
        <v>24</v>
      </c>
      <c r="O2925" s="10">
        <v>24</v>
      </c>
    </row>
    <row r="2926" spans="1:15" x14ac:dyDescent="0.2">
      <c r="A2926" s="10" t="s">
        <v>1309</v>
      </c>
      <c r="B2926" s="10" t="s">
        <v>72</v>
      </c>
      <c r="C2926" s="10" t="s">
        <v>73</v>
      </c>
      <c r="D2926" s="10" t="s">
        <v>45</v>
      </c>
      <c r="E2926" s="10" t="s">
        <v>46</v>
      </c>
      <c r="F2926" s="10" t="s">
        <v>190</v>
      </c>
      <c r="G2926" s="10" t="b">
        <f>TRUE()</f>
        <v>1</v>
      </c>
      <c r="H2926" s="10">
        <v>0</v>
      </c>
      <c r="I2926" s="10">
        <v>1</v>
      </c>
      <c r="J2926" s="10">
        <v>0</v>
      </c>
      <c r="K2926" s="10">
        <v>0</v>
      </c>
      <c r="L2926" s="10">
        <v>0</v>
      </c>
      <c r="M2926" s="10">
        <v>1</v>
      </c>
      <c r="N2926" s="10">
        <v>24</v>
      </c>
      <c r="O2926" s="10">
        <v>24</v>
      </c>
    </row>
    <row r="2927" spans="1:15" x14ac:dyDescent="0.2">
      <c r="A2927" s="10" t="s">
        <v>1050</v>
      </c>
      <c r="B2927" s="10" t="s">
        <v>63</v>
      </c>
      <c r="C2927" s="10" t="s">
        <v>64</v>
      </c>
      <c r="D2927" s="10" t="s">
        <v>45</v>
      </c>
      <c r="E2927" s="10" t="s">
        <v>46</v>
      </c>
      <c r="F2927" s="10" t="s">
        <v>92</v>
      </c>
      <c r="G2927" s="10" t="b">
        <f>FALSE()</f>
        <v>0</v>
      </c>
      <c r="H2927" s="10">
        <v>0</v>
      </c>
      <c r="I2927" s="10">
        <v>1</v>
      </c>
      <c r="J2927" s="10">
        <v>0</v>
      </c>
      <c r="K2927" s="10">
        <v>0</v>
      </c>
      <c r="L2927" s="10">
        <v>0</v>
      </c>
      <c r="M2927" s="10">
        <v>1</v>
      </c>
      <c r="N2927" s="10">
        <v>24</v>
      </c>
      <c r="O2927" s="10">
        <v>24</v>
      </c>
    </row>
    <row r="2928" spans="1:15" x14ac:dyDescent="0.2">
      <c r="A2928" s="10" t="s">
        <v>1196</v>
      </c>
      <c r="B2928" s="10" t="s">
        <v>104</v>
      </c>
      <c r="C2928" s="10" t="s">
        <v>105</v>
      </c>
      <c r="D2928" s="10" t="s">
        <v>45</v>
      </c>
      <c r="E2928" s="10" t="s">
        <v>46</v>
      </c>
      <c r="F2928" s="10" t="s">
        <v>92</v>
      </c>
      <c r="G2928" s="10" t="b">
        <f>FALSE()</f>
        <v>0</v>
      </c>
      <c r="H2928" s="10">
        <v>0</v>
      </c>
      <c r="I2928" s="10">
        <v>1</v>
      </c>
      <c r="J2928" s="10">
        <v>0</v>
      </c>
      <c r="K2928" s="10">
        <v>0</v>
      </c>
      <c r="L2928" s="10">
        <v>0</v>
      </c>
      <c r="M2928" s="10">
        <v>1</v>
      </c>
      <c r="N2928" s="10">
        <v>24</v>
      </c>
      <c r="O2928" s="10">
        <v>24</v>
      </c>
    </row>
    <row r="2929" spans="1:15" x14ac:dyDescent="0.2">
      <c r="A2929" s="10" t="s">
        <v>1315</v>
      </c>
      <c r="B2929" s="10" t="s">
        <v>55</v>
      </c>
      <c r="C2929" s="10" t="s">
        <v>56</v>
      </c>
      <c r="D2929" s="10" t="s">
        <v>45</v>
      </c>
      <c r="E2929" s="10" t="s">
        <v>46</v>
      </c>
      <c r="F2929" s="10" t="s">
        <v>132</v>
      </c>
      <c r="G2929" s="10" t="b">
        <f>FALSE()</f>
        <v>0</v>
      </c>
      <c r="H2929" s="10">
        <v>0</v>
      </c>
      <c r="I2929" s="10">
        <v>1</v>
      </c>
      <c r="J2929" s="10">
        <v>0</v>
      </c>
      <c r="K2929" s="10">
        <v>0</v>
      </c>
      <c r="L2929" s="10">
        <v>0</v>
      </c>
      <c r="M2929" s="10">
        <v>1</v>
      </c>
      <c r="N2929" s="10">
        <v>24</v>
      </c>
      <c r="O2929" s="10">
        <v>24</v>
      </c>
    </row>
    <row r="2930" spans="1:15" x14ac:dyDescent="0.2">
      <c r="A2930" s="10" t="s">
        <v>1282</v>
      </c>
      <c r="B2930" s="10" t="s">
        <v>70</v>
      </c>
      <c r="C2930" s="10" t="s">
        <v>70</v>
      </c>
      <c r="D2930" s="10" t="s">
        <v>45</v>
      </c>
      <c r="E2930" s="10" t="s">
        <v>46</v>
      </c>
      <c r="F2930" s="10" t="s">
        <v>183</v>
      </c>
      <c r="G2930" s="10" t="b">
        <f>FALSE()</f>
        <v>0</v>
      </c>
      <c r="H2930" s="10">
        <v>0</v>
      </c>
      <c r="I2930" s="10">
        <v>1</v>
      </c>
      <c r="J2930" s="10">
        <v>0</v>
      </c>
      <c r="K2930" s="10">
        <v>0</v>
      </c>
      <c r="L2930" s="10">
        <v>0</v>
      </c>
      <c r="M2930" s="10">
        <v>1</v>
      </c>
      <c r="N2930" s="10">
        <v>48</v>
      </c>
      <c r="O2930" s="10">
        <v>24</v>
      </c>
    </row>
    <row r="2931" spans="1:15" x14ac:dyDescent="0.2">
      <c r="A2931" s="10" t="s">
        <v>324</v>
      </c>
      <c r="B2931" s="10" t="s">
        <v>70</v>
      </c>
      <c r="C2931" s="10" t="s">
        <v>70</v>
      </c>
      <c r="D2931" s="10" t="s">
        <v>45</v>
      </c>
      <c r="E2931" s="10" t="s">
        <v>46</v>
      </c>
      <c r="F2931" s="10" t="s">
        <v>251</v>
      </c>
      <c r="G2931" s="10" t="b">
        <f>FALSE()</f>
        <v>0</v>
      </c>
      <c r="H2931" s="10">
        <v>0</v>
      </c>
      <c r="I2931" s="10">
        <v>1</v>
      </c>
      <c r="J2931" s="10">
        <v>0</v>
      </c>
      <c r="K2931" s="10">
        <v>0</v>
      </c>
      <c r="L2931" s="10">
        <v>0</v>
      </c>
      <c r="M2931" s="10">
        <v>1</v>
      </c>
      <c r="N2931" s="10">
        <v>23</v>
      </c>
      <c r="O2931" s="10">
        <v>23</v>
      </c>
    </row>
    <row r="2932" spans="1:15" x14ac:dyDescent="0.2">
      <c r="A2932" s="10" t="s">
        <v>135</v>
      </c>
      <c r="B2932" s="10" t="s">
        <v>136</v>
      </c>
      <c r="C2932" s="10" t="s">
        <v>73</v>
      </c>
      <c r="D2932" s="10" t="s">
        <v>45</v>
      </c>
      <c r="E2932" s="10" t="s">
        <v>46</v>
      </c>
      <c r="F2932" s="10" t="s">
        <v>446</v>
      </c>
      <c r="G2932" s="10" t="b">
        <f>FALSE()</f>
        <v>0</v>
      </c>
      <c r="H2932" s="10">
        <v>0</v>
      </c>
      <c r="I2932" s="10">
        <v>1</v>
      </c>
      <c r="J2932" s="10">
        <v>0</v>
      </c>
      <c r="K2932" s="10">
        <v>0</v>
      </c>
      <c r="L2932" s="10">
        <v>0</v>
      </c>
      <c r="M2932" s="10">
        <v>1</v>
      </c>
      <c r="N2932" s="10">
        <v>30</v>
      </c>
      <c r="O2932" s="10">
        <v>23</v>
      </c>
    </row>
    <row r="2933" spans="1:15" x14ac:dyDescent="0.2">
      <c r="A2933" s="10" t="s">
        <v>376</v>
      </c>
      <c r="B2933" s="10" t="s">
        <v>377</v>
      </c>
      <c r="C2933" s="10" t="s">
        <v>50</v>
      </c>
      <c r="D2933" s="10" t="s">
        <v>51</v>
      </c>
      <c r="E2933" s="10" t="s">
        <v>52</v>
      </c>
      <c r="F2933" s="10" t="s">
        <v>183</v>
      </c>
      <c r="G2933" s="10" t="b">
        <f>FALSE()</f>
        <v>0</v>
      </c>
      <c r="H2933" s="10">
        <v>0</v>
      </c>
      <c r="I2933" s="10">
        <v>1</v>
      </c>
      <c r="J2933" s="10">
        <v>0</v>
      </c>
      <c r="K2933" s="10">
        <v>0</v>
      </c>
      <c r="L2933" s="10">
        <v>0</v>
      </c>
      <c r="M2933" s="10">
        <v>1</v>
      </c>
      <c r="N2933" s="10">
        <v>39</v>
      </c>
      <c r="O2933" s="10">
        <v>23</v>
      </c>
    </row>
    <row r="2934" spans="1:15" x14ac:dyDescent="0.2">
      <c r="A2934" s="10" t="s">
        <v>873</v>
      </c>
      <c r="B2934" s="10" t="s">
        <v>70</v>
      </c>
      <c r="C2934" s="10" t="s">
        <v>70</v>
      </c>
      <c r="D2934" s="10" t="s">
        <v>45</v>
      </c>
      <c r="E2934" s="10" t="s">
        <v>46</v>
      </c>
      <c r="F2934" s="10" t="s">
        <v>1370</v>
      </c>
      <c r="G2934" s="10" t="b">
        <f>FALSE()</f>
        <v>0</v>
      </c>
      <c r="H2934" s="10">
        <v>0</v>
      </c>
      <c r="I2934" s="10">
        <v>1</v>
      </c>
      <c r="J2934" s="10">
        <v>0</v>
      </c>
      <c r="K2934" s="10">
        <v>0</v>
      </c>
      <c r="L2934" s="10">
        <v>0</v>
      </c>
      <c r="M2934" s="10">
        <v>1</v>
      </c>
      <c r="N2934" s="10">
        <v>23</v>
      </c>
      <c r="O2934" s="10">
        <v>23</v>
      </c>
    </row>
    <row r="2935" spans="1:15" x14ac:dyDescent="0.2">
      <c r="A2935" s="10" t="s">
        <v>1130</v>
      </c>
      <c r="B2935" s="10" t="s">
        <v>193</v>
      </c>
      <c r="C2935" s="10" t="s">
        <v>117</v>
      </c>
      <c r="D2935" s="10" t="s">
        <v>51</v>
      </c>
      <c r="E2935" s="10" t="s">
        <v>52</v>
      </c>
      <c r="F2935" s="10" t="s">
        <v>791</v>
      </c>
      <c r="G2935" s="10" t="b">
        <f>FALSE()</f>
        <v>0</v>
      </c>
      <c r="H2935" s="10">
        <v>0</v>
      </c>
      <c r="I2935" s="10">
        <v>1</v>
      </c>
      <c r="J2935" s="10">
        <v>0</v>
      </c>
      <c r="K2935" s="10">
        <v>0</v>
      </c>
      <c r="L2935" s="10">
        <v>0</v>
      </c>
      <c r="M2935" s="10">
        <v>1</v>
      </c>
      <c r="N2935" s="10">
        <v>24</v>
      </c>
      <c r="O2935" s="10">
        <v>23</v>
      </c>
    </row>
    <row r="2936" spans="1:15" x14ac:dyDescent="0.2">
      <c r="A2936" s="10" t="s">
        <v>1289</v>
      </c>
      <c r="B2936" s="10" t="s">
        <v>116</v>
      </c>
      <c r="C2936" s="10" t="s">
        <v>117</v>
      </c>
      <c r="D2936" s="10" t="s">
        <v>51</v>
      </c>
      <c r="E2936" s="10" t="s">
        <v>52</v>
      </c>
      <c r="F2936" s="10" t="s">
        <v>363</v>
      </c>
      <c r="G2936" s="10" t="b">
        <f>FALSE()</f>
        <v>0</v>
      </c>
      <c r="H2936" s="10">
        <v>0</v>
      </c>
      <c r="I2936" s="10">
        <v>1</v>
      </c>
      <c r="J2936" s="10">
        <v>0</v>
      </c>
      <c r="K2936" s="10">
        <v>0</v>
      </c>
      <c r="L2936" s="10">
        <v>0</v>
      </c>
      <c r="M2936" s="10">
        <v>1</v>
      </c>
      <c r="N2936" s="10">
        <v>25</v>
      </c>
      <c r="O2936" s="10">
        <v>23</v>
      </c>
    </row>
    <row r="2937" spans="1:15" x14ac:dyDescent="0.2">
      <c r="A2937" s="10" t="s">
        <v>1371</v>
      </c>
      <c r="B2937" s="10" t="s">
        <v>111</v>
      </c>
      <c r="C2937" s="10" t="s">
        <v>112</v>
      </c>
      <c r="D2937" s="10" t="s">
        <v>51</v>
      </c>
      <c r="E2937" s="10" t="s">
        <v>52</v>
      </c>
      <c r="F2937" s="10" t="s">
        <v>91</v>
      </c>
      <c r="G2937" s="10" t="b">
        <f>TRUE()</f>
        <v>1</v>
      </c>
      <c r="H2937" s="10">
        <v>0</v>
      </c>
      <c r="I2937" s="10">
        <v>1</v>
      </c>
      <c r="J2937" s="10">
        <v>0</v>
      </c>
      <c r="K2937" s="10">
        <v>0</v>
      </c>
      <c r="L2937" s="10">
        <v>0</v>
      </c>
      <c r="M2937" s="10">
        <v>1</v>
      </c>
      <c r="N2937" s="10">
        <v>23</v>
      </c>
      <c r="O2937" s="10">
        <v>23</v>
      </c>
    </row>
    <row r="2938" spans="1:15" x14ac:dyDescent="0.2">
      <c r="A2938" s="10" t="s">
        <v>1214</v>
      </c>
      <c r="B2938" s="10" t="s">
        <v>165</v>
      </c>
      <c r="C2938" s="10" t="s">
        <v>112</v>
      </c>
      <c r="D2938" s="10" t="s">
        <v>51</v>
      </c>
      <c r="E2938" s="10" t="s">
        <v>52</v>
      </c>
      <c r="F2938" s="10" t="s">
        <v>308</v>
      </c>
      <c r="G2938" s="10" t="b">
        <f>TRUE()</f>
        <v>1</v>
      </c>
      <c r="H2938" s="10">
        <v>0</v>
      </c>
      <c r="I2938" s="10">
        <v>1</v>
      </c>
      <c r="J2938" s="10">
        <v>0</v>
      </c>
      <c r="K2938" s="10">
        <v>0</v>
      </c>
      <c r="L2938" s="10">
        <v>0</v>
      </c>
      <c r="M2938" s="10">
        <v>1</v>
      </c>
      <c r="N2938" s="10">
        <v>23</v>
      </c>
      <c r="O2938" s="10">
        <v>23</v>
      </c>
    </row>
    <row r="2939" spans="1:15" x14ac:dyDescent="0.2">
      <c r="A2939" s="10" t="s">
        <v>1088</v>
      </c>
      <c r="B2939" s="10" t="s">
        <v>517</v>
      </c>
      <c r="C2939" s="10" t="s">
        <v>90</v>
      </c>
      <c r="D2939" s="10" t="s">
        <v>51</v>
      </c>
      <c r="E2939" s="10" t="s">
        <v>52</v>
      </c>
      <c r="F2939" s="10" t="s">
        <v>535</v>
      </c>
      <c r="G2939" s="10" t="b">
        <f>TRUE()</f>
        <v>1</v>
      </c>
      <c r="H2939" s="10">
        <v>0</v>
      </c>
      <c r="I2939" s="10">
        <v>1</v>
      </c>
      <c r="J2939" s="10">
        <v>0</v>
      </c>
      <c r="K2939" s="10">
        <v>0</v>
      </c>
      <c r="L2939" s="10">
        <v>0</v>
      </c>
      <c r="M2939" s="10">
        <v>1</v>
      </c>
      <c r="N2939" s="10">
        <v>25</v>
      </c>
      <c r="O2939" s="10">
        <v>23</v>
      </c>
    </row>
    <row r="2940" spans="1:15" x14ac:dyDescent="0.2">
      <c r="A2940" s="10" t="s">
        <v>1115</v>
      </c>
      <c r="B2940" s="10" t="s">
        <v>89</v>
      </c>
      <c r="C2940" s="10" t="s">
        <v>90</v>
      </c>
      <c r="D2940" s="10" t="s">
        <v>51</v>
      </c>
      <c r="E2940" s="10" t="s">
        <v>52</v>
      </c>
      <c r="F2940" s="10" t="s">
        <v>986</v>
      </c>
      <c r="G2940" s="10" t="b">
        <f>FALSE()</f>
        <v>0</v>
      </c>
      <c r="H2940" s="10">
        <v>0</v>
      </c>
      <c r="I2940" s="10">
        <v>1</v>
      </c>
      <c r="J2940" s="10">
        <v>0</v>
      </c>
      <c r="K2940" s="10">
        <v>0</v>
      </c>
      <c r="L2940" s="10">
        <v>0</v>
      </c>
      <c r="M2940" s="10">
        <v>1</v>
      </c>
      <c r="N2940" s="10">
        <v>23</v>
      </c>
      <c r="O2940" s="10">
        <v>23</v>
      </c>
    </row>
    <row r="2941" spans="1:15" x14ac:dyDescent="0.2">
      <c r="A2941" s="10" t="s">
        <v>1364</v>
      </c>
      <c r="B2941" s="10" t="s">
        <v>456</v>
      </c>
      <c r="C2941" s="10" t="s">
        <v>245</v>
      </c>
      <c r="D2941" s="10" t="s">
        <v>51</v>
      </c>
      <c r="E2941" s="10" t="s">
        <v>52</v>
      </c>
      <c r="F2941" s="10" t="s">
        <v>91</v>
      </c>
      <c r="G2941" s="10" t="b">
        <f>TRUE()</f>
        <v>1</v>
      </c>
      <c r="H2941" s="10">
        <v>0</v>
      </c>
      <c r="I2941" s="10">
        <v>1</v>
      </c>
      <c r="J2941" s="10">
        <v>0</v>
      </c>
      <c r="K2941" s="10">
        <v>0</v>
      </c>
      <c r="L2941" s="10">
        <v>0</v>
      </c>
      <c r="M2941" s="10">
        <v>1</v>
      </c>
      <c r="N2941" s="10">
        <v>23</v>
      </c>
      <c r="O2941" s="10">
        <v>23</v>
      </c>
    </row>
    <row r="2942" spans="1:15" x14ac:dyDescent="0.2">
      <c r="A2942" s="10" t="s">
        <v>1372</v>
      </c>
      <c r="B2942" s="10" t="s">
        <v>72</v>
      </c>
      <c r="C2942" s="10" t="s">
        <v>73</v>
      </c>
      <c r="D2942" s="10" t="s">
        <v>45</v>
      </c>
      <c r="E2942" s="10" t="s">
        <v>46</v>
      </c>
      <c r="F2942" s="10" t="s">
        <v>251</v>
      </c>
      <c r="G2942" s="10" t="b">
        <f>FALSE()</f>
        <v>0</v>
      </c>
      <c r="H2942" s="10">
        <v>0</v>
      </c>
      <c r="I2942" s="10">
        <v>1</v>
      </c>
      <c r="J2942" s="10">
        <v>0</v>
      </c>
      <c r="K2942" s="10">
        <v>0</v>
      </c>
      <c r="L2942" s="10">
        <v>0</v>
      </c>
      <c r="M2942" s="10">
        <v>1</v>
      </c>
      <c r="N2942" s="10">
        <v>23</v>
      </c>
      <c r="O2942" s="10">
        <v>23</v>
      </c>
    </row>
    <row r="2943" spans="1:15" x14ac:dyDescent="0.2">
      <c r="A2943" s="10" t="s">
        <v>1028</v>
      </c>
      <c r="B2943" s="10" t="s">
        <v>262</v>
      </c>
      <c r="C2943" s="10" t="s">
        <v>105</v>
      </c>
      <c r="D2943" s="10" t="s">
        <v>45</v>
      </c>
      <c r="E2943" s="10" t="s">
        <v>46</v>
      </c>
      <c r="F2943" s="10" t="s">
        <v>1173</v>
      </c>
      <c r="G2943" s="10" t="b">
        <f>FALSE()</f>
        <v>0</v>
      </c>
      <c r="H2943" s="10">
        <v>0</v>
      </c>
      <c r="I2943" s="10">
        <v>1</v>
      </c>
      <c r="J2943" s="10">
        <v>0</v>
      </c>
      <c r="K2943" s="10">
        <v>0</v>
      </c>
      <c r="L2943" s="10">
        <v>0</v>
      </c>
      <c r="M2943" s="10">
        <v>1</v>
      </c>
      <c r="N2943" s="10">
        <v>49</v>
      </c>
      <c r="O2943" s="10">
        <v>23</v>
      </c>
    </row>
    <row r="2944" spans="1:15" x14ac:dyDescent="0.2">
      <c r="A2944" s="10" t="s">
        <v>1067</v>
      </c>
      <c r="B2944" s="10" t="s">
        <v>55</v>
      </c>
      <c r="C2944" s="10" t="s">
        <v>56</v>
      </c>
      <c r="D2944" s="10" t="s">
        <v>45</v>
      </c>
      <c r="E2944" s="10" t="s">
        <v>46</v>
      </c>
      <c r="F2944" s="10" t="s">
        <v>183</v>
      </c>
      <c r="G2944" s="10" t="b">
        <f>FALSE()</f>
        <v>0</v>
      </c>
      <c r="H2944" s="10">
        <v>0</v>
      </c>
      <c r="I2944" s="10">
        <v>1</v>
      </c>
      <c r="J2944" s="10">
        <v>0</v>
      </c>
      <c r="K2944" s="10">
        <v>0</v>
      </c>
      <c r="L2944" s="10">
        <v>0</v>
      </c>
      <c r="M2944" s="10">
        <v>1</v>
      </c>
      <c r="N2944" s="10">
        <v>87</v>
      </c>
      <c r="O2944" s="10">
        <v>23</v>
      </c>
    </row>
    <row r="2945" spans="1:15" x14ac:dyDescent="0.2">
      <c r="A2945" s="10" t="s">
        <v>1325</v>
      </c>
      <c r="B2945" s="10" t="s">
        <v>130</v>
      </c>
      <c r="C2945" s="10" t="s">
        <v>56</v>
      </c>
      <c r="D2945" s="10" t="s">
        <v>45</v>
      </c>
      <c r="E2945" s="10" t="s">
        <v>46</v>
      </c>
      <c r="F2945" s="10" t="s">
        <v>79</v>
      </c>
      <c r="G2945" s="10" t="b">
        <f>FALSE()</f>
        <v>0</v>
      </c>
      <c r="H2945" s="10">
        <v>0</v>
      </c>
      <c r="I2945" s="10">
        <v>1</v>
      </c>
      <c r="J2945" s="10">
        <v>0</v>
      </c>
      <c r="K2945" s="10">
        <v>0</v>
      </c>
      <c r="L2945" s="10">
        <v>0</v>
      </c>
      <c r="M2945" s="10">
        <v>1</v>
      </c>
      <c r="N2945" s="10">
        <v>23</v>
      </c>
      <c r="O2945" s="10">
        <v>23</v>
      </c>
    </row>
    <row r="2946" spans="1:15" x14ac:dyDescent="0.2">
      <c r="A2946" s="10" t="s">
        <v>1359</v>
      </c>
      <c r="B2946" s="10" t="s">
        <v>70</v>
      </c>
      <c r="C2946" s="10" t="s">
        <v>70</v>
      </c>
      <c r="D2946" s="10" t="s">
        <v>45</v>
      </c>
      <c r="E2946" s="10" t="s">
        <v>46</v>
      </c>
      <c r="F2946" s="10" t="s">
        <v>113</v>
      </c>
      <c r="G2946" s="10" t="b">
        <f>TRUE()</f>
        <v>1</v>
      </c>
      <c r="H2946" s="10">
        <v>0</v>
      </c>
      <c r="I2946" s="10">
        <v>1</v>
      </c>
      <c r="J2946" s="10">
        <v>0</v>
      </c>
      <c r="K2946" s="10">
        <v>0</v>
      </c>
      <c r="L2946" s="10">
        <v>0</v>
      </c>
      <c r="M2946" s="10">
        <v>1</v>
      </c>
      <c r="N2946" s="10">
        <v>23</v>
      </c>
      <c r="O2946" s="10">
        <v>23</v>
      </c>
    </row>
    <row r="2947" spans="1:15" x14ac:dyDescent="0.2">
      <c r="A2947" s="10" t="s">
        <v>1114</v>
      </c>
      <c r="B2947" s="10" t="s">
        <v>70</v>
      </c>
      <c r="C2947" s="10" t="s">
        <v>70</v>
      </c>
      <c r="D2947" s="10" t="s">
        <v>45</v>
      </c>
      <c r="E2947" s="10" t="s">
        <v>46</v>
      </c>
      <c r="F2947" s="10" t="s">
        <v>79</v>
      </c>
      <c r="G2947" s="10" t="b">
        <f>FALSE()</f>
        <v>0</v>
      </c>
      <c r="H2947" s="10">
        <v>0</v>
      </c>
      <c r="I2947" s="10">
        <v>1</v>
      </c>
      <c r="J2947" s="10">
        <v>0</v>
      </c>
      <c r="K2947" s="10">
        <v>0</v>
      </c>
      <c r="L2947" s="10">
        <v>0</v>
      </c>
      <c r="M2947" s="10">
        <v>1</v>
      </c>
      <c r="N2947" s="10">
        <v>23</v>
      </c>
      <c r="O2947" s="10">
        <v>23</v>
      </c>
    </row>
    <row r="2948" spans="1:15" x14ac:dyDescent="0.2">
      <c r="A2948" s="10" t="s">
        <v>803</v>
      </c>
      <c r="B2948" s="10" t="s">
        <v>756</v>
      </c>
      <c r="C2948" s="10" t="s">
        <v>245</v>
      </c>
      <c r="D2948" s="10" t="s">
        <v>51</v>
      </c>
      <c r="E2948" s="10" t="s">
        <v>52</v>
      </c>
      <c r="F2948" s="10" t="s">
        <v>74</v>
      </c>
      <c r="G2948" s="10" t="b">
        <f>FALSE()</f>
        <v>0</v>
      </c>
      <c r="H2948" s="10">
        <v>0</v>
      </c>
      <c r="I2948" s="10">
        <v>1</v>
      </c>
      <c r="J2948" s="10">
        <v>0</v>
      </c>
      <c r="K2948" s="10">
        <v>0</v>
      </c>
      <c r="L2948" s="10">
        <v>0</v>
      </c>
      <c r="M2948" s="10">
        <v>1</v>
      </c>
      <c r="N2948" s="10">
        <v>23</v>
      </c>
      <c r="O2948" s="10">
        <v>22</v>
      </c>
    </row>
    <row r="2949" spans="1:15" x14ac:dyDescent="0.2">
      <c r="A2949" s="10" t="s">
        <v>464</v>
      </c>
      <c r="B2949" s="10" t="s">
        <v>104</v>
      </c>
      <c r="C2949" s="10" t="s">
        <v>105</v>
      </c>
      <c r="D2949" s="10" t="s">
        <v>45</v>
      </c>
      <c r="E2949" s="10" t="s">
        <v>46</v>
      </c>
      <c r="F2949" s="10" t="s">
        <v>61</v>
      </c>
      <c r="G2949" s="10" t="b">
        <f>FALSE()</f>
        <v>0</v>
      </c>
      <c r="H2949" s="10">
        <v>0</v>
      </c>
      <c r="I2949" s="10">
        <v>1</v>
      </c>
      <c r="J2949" s="10">
        <v>0</v>
      </c>
      <c r="K2949" s="10">
        <v>0</v>
      </c>
      <c r="L2949" s="10">
        <v>0</v>
      </c>
      <c r="M2949" s="10">
        <v>1</v>
      </c>
      <c r="N2949" s="10">
        <v>22</v>
      </c>
      <c r="O2949" s="10">
        <v>22</v>
      </c>
    </row>
    <row r="2950" spans="1:15" x14ac:dyDescent="0.2">
      <c r="A2950" s="10" t="s">
        <v>323</v>
      </c>
      <c r="B2950" s="10" t="s">
        <v>172</v>
      </c>
      <c r="C2950" s="10" t="s">
        <v>44</v>
      </c>
      <c r="D2950" s="10" t="s">
        <v>45</v>
      </c>
      <c r="E2950" s="10" t="s">
        <v>46</v>
      </c>
      <c r="F2950" s="10" t="s">
        <v>393</v>
      </c>
      <c r="G2950" s="10" t="b">
        <f>FALSE()</f>
        <v>0</v>
      </c>
      <c r="H2950" s="10">
        <v>0</v>
      </c>
      <c r="I2950" s="10">
        <v>1</v>
      </c>
      <c r="J2950" s="10">
        <v>0</v>
      </c>
      <c r="K2950" s="10">
        <v>0</v>
      </c>
      <c r="L2950" s="10">
        <v>0</v>
      </c>
      <c r="M2950" s="10">
        <v>1</v>
      </c>
      <c r="N2950" s="10">
        <v>18</v>
      </c>
      <c r="O2950" s="10">
        <v>22</v>
      </c>
    </row>
    <row r="2951" spans="1:15" x14ac:dyDescent="0.2">
      <c r="A2951" s="10" t="s">
        <v>865</v>
      </c>
      <c r="B2951" s="10" t="s">
        <v>493</v>
      </c>
      <c r="C2951" s="10" t="s">
        <v>117</v>
      </c>
      <c r="D2951" s="10" t="s">
        <v>51</v>
      </c>
      <c r="E2951" s="10" t="s">
        <v>52</v>
      </c>
      <c r="F2951" s="10" t="s">
        <v>1366</v>
      </c>
      <c r="G2951" s="10" t="b">
        <f>TRUE()</f>
        <v>1</v>
      </c>
      <c r="H2951" s="10">
        <v>0</v>
      </c>
      <c r="I2951" s="10">
        <v>1</v>
      </c>
      <c r="J2951" s="10">
        <v>0</v>
      </c>
      <c r="K2951" s="10">
        <v>0</v>
      </c>
      <c r="L2951" s="10">
        <v>0</v>
      </c>
      <c r="M2951" s="10">
        <v>1</v>
      </c>
      <c r="N2951" s="10">
        <v>23</v>
      </c>
      <c r="O2951" s="10">
        <v>22</v>
      </c>
    </row>
    <row r="2952" spans="1:15" x14ac:dyDescent="0.2">
      <c r="A2952" s="10" t="s">
        <v>1205</v>
      </c>
      <c r="B2952" s="10" t="s">
        <v>136</v>
      </c>
      <c r="C2952" s="10" t="s">
        <v>73</v>
      </c>
      <c r="D2952" s="10" t="s">
        <v>45</v>
      </c>
      <c r="E2952" s="10" t="s">
        <v>46</v>
      </c>
      <c r="F2952" s="10" t="s">
        <v>94</v>
      </c>
      <c r="G2952" s="10" t="b">
        <f>FALSE()</f>
        <v>0</v>
      </c>
      <c r="H2952" s="10">
        <v>0</v>
      </c>
      <c r="I2952" s="10">
        <v>1</v>
      </c>
      <c r="J2952" s="10">
        <v>0</v>
      </c>
      <c r="K2952" s="10">
        <v>0</v>
      </c>
      <c r="L2952" s="10">
        <v>0</v>
      </c>
      <c r="M2952" s="10">
        <v>1</v>
      </c>
      <c r="N2952" s="10">
        <v>22</v>
      </c>
      <c r="O2952" s="10">
        <v>22</v>
      </c>
    </row>
    <row r="2953" spans="1:15" x14ac:dyDescent="0.2">
      <c r="A2953" s="10" t="s">
        <v>1373</v>
      </c>
      <c r="B2953" s="10" t="s">
        <v>289</v>
      </c>
      <c r="C2953" s="10" t="s">
        <v>50</v>
      </c>
      <c r="D2953" s="10" t="s">
        <v>51</v>
      </c>
      <c r="E2953" s="10" t="s">
        <v>52</v>
      </c>
      <c r="F2953" s="10" t="s">
        <v>132</v>
      </c>
      <c r="G2953" s="10" t="b">
        <f>FALSE()</f>
        <v>0</v>
      </c>
      <c r="H2953" s="10">
        <v>0</v>
      </c>
      <c r="I2953" s="10">
        <v>1</v>
      </c>
      <c r="J2953" s="10">
        <v>0</v>
      </c>
      <c r="K2953" s="10">
        <v>0</v>
      </c>
      <c r="L2953" s="10">
        <v>0</v>
      </c>
      <c r="M2953" s="10">
        <v>1</v>
      </c>
      <c r="N2953" s="10">
        <v>22</v>
      </c>
      <c r="O2953" s="10">
        <v>22</v>
      </c>
    </row>
    <row r="2954" spans="1:15" x14ac:dyDescent="0.2">
      <c r="A2954" s="10" t="s">
        <v>1174</v>
      </c>
      <c r="B2954" s="10" t="s">
        <v>633</v>
      </c>
      <c r="C2954" s="10" t="s">
        <v>90</v>
      </c>
      <c r="D2954" s="10" t="s">
        <v>51</v>
      </c>
      <c r="E2954" s="10" t="s">
        <v>52</v>
      </c>
      <c r="F2954" s="10" t="s">
        <v>74</v>
      </c>
      <c r="G2954" s="10" t="b">
        <f>FALSE()</f>
        <v>0</v>
      </c>
      <c r="H2954" s="10">
        <v>0</v>
      </c>
      <c r="I2954" s="10">
        <v>1</v>
      </c>
      <c r="J2954" s="10">
        <v>0</v>
      </c>
      <c r="K2954" s="10">
        <v>0</v>
      </c>
      <c r="L2954" s="10">
        <v>0</v>
      </c>
      <c r="M2954" s="10">
        <v>1</v>
      </c>
      <c r="N2954" s="10">
        <v>32</v>
      </c>
      <c r="O2954" s="10">
        <v>22</v>
      </c>
    </row>
    <row r="2955" spans="1:15" x14ac:dyDescent="0.2">
      <c r="A2955" s="10" t="s">
        <v>1277</v>
      </c>
      <c r="B2955" s="10" t="s">
        <v>163</v>
      </c>
      <c r="C2955" s="10" t="s">
        <v>90</v>
      </c>
      <c r="D2955" s="10" t="s">
        <v>51</v>
      </c>
      <c r="E2955" s="10" t="s">
        <v>52</v>
      </c>
      <c r="F2955" s="10" t="s">
        <v>251</v>
      </c>
      <c r="G2955" s="10" t="b">
        <f>FALSE()</f>
        <v>0</v>
      </c>
      <c r="H2955" s="10">
        <v>0</v>
      </c>
      <c r="I2955" s="10">
        <v>1</v>
      </c>
      <c r="J2955" s="10">
        <v>0</v>
      </c>
      <c r="K2955" s="10">
        <v>0</v>
      </c>
      <c r="L2955" s="10">
        <v>0</v>
      </c>
      <c r="M2955" s="10">
        <v>1</v>
      </c>
      <c r="N2955" s="10">
        <v>22</v>
      </c>
      <c r="O2955" s="10">
        <v>22</v>
      </c>
    </row>
    <row r="2956" spans="1:15" x14ac:dyDescent="0.2">
      <c r="A2956" s="10" t="s">
        <v>1068</v>
      </c>
      <c r="B2956" s="10" t="s">
        <v>238</v>
      </c>
      <c r="C2956" s="10" t="s">
        <v>90</v>
      </c>
      <c r="D2956" s="10" t="s">
        <v>51</v>
      </c>
      <c r="E2956" s="10" t="s">
        <v>52</v>
      </c>
      <c r="F2956" s="10" t="s">
        <v>207</v>
      </c>
      <c r="G2956" s="10" t="b">
        <f>FALSE()</f>
        <v>0</v>
      </c>
      <c r="H2956" s="10">
        <v>0</v>
      </c>
      <c r="I2956" s="10">
        <v>1</v>
      </c>
      <c r="J2956" s="10">
        <v>0</v>
      </c>
      <c r="K2956" s="10">
        <v>0</v>
      </c>
      <c r="L2956" s="10">
        <v>0</v>
      </c>
      <c r="M2956" s="10">
        <v>1</v>
      </c>
      <c r="N2956" s="10">
        <v>29</v>
      </c>
      <c r="O2956" s="10">
        <v>22</v>
      </c>
    </row>
    <row r="2957" spans="1:15" x14ac:dyDescent="0.2">
      <c r="A2957" s="10" t="s">
        <v>1055</v>
      </c>
      <c r="B2957" s="10" t="s">
        <v>178</v>
      </c>
      <c r="C2957" s="10" t="s">
        <v>73</v>
      </c>
      <c r="D2957" s="10" t="s">
        <v>45</v>
      </c>
      <c r="E2957" s="10" t="s">
        <v>46</v>
      </c>
      <c r="F2957" s="10" t="s">
        <v>186</v>
      </c>
      <c r="G2957" s="10" t="b">
        <f>TRUE()</f>
        <v>1</v>
      </c>
      <c r="H2957" s="10">
        <v>0</v>
      </c>
      <c r="I2957" s="10">
        <v>1</v>
      </c>
      <c r="J2957" s="10">
        <v>0</v>
      </c>
      <c r="K2957" s="10">
        <v>0</v>
      </c>
      <c r="L2957" s="10">
        <v>0</v>
      </c>
      <c r="M2957" s="10">
        <v>1</v>
      </c>
      <c r="N2957" s="10">
        <v>22</v>
      </c>
      <c r="O2957" s="10">
        <v>22</v>
      </c>
    </row>
    <row r="2958" spans="1:15" x14ac:dyDescent="0.2">
      <c r="A2958" s="10" t="s">
        <v>1374</v>
      </c>
      <c r="B2958" s="10" t="s">
        <v>55</v>
      </c>
      <c r="C2958" s="10" t="s">
        <v>56</v>
      </c>
      <c r="D2958" s="10" t="s">
        <v>45</v>
      </c>
      <c r="E2958" s="10" t="s">
        <v>46</v>
      </c>
      <c r="F2958" s="10" t="s">
        <v>102</v>
      </c>
      <c r="G2958" s="10" t="b">
        <f>TRUE()</f>
        <v>1</v>
      </c>
      <c r="H2958" s="10">
        <v>0</v>
      </c>
      <c r="I2958" s="10">
        <v>1</v>
      </c>
      <c r="J2958" s="10">
        <v>0</v>
      </c>
      <c r="K2958" s="10">
        <v>0</v>
      </c>
      <c r="L2958" s="10">
        <v>0</v>
      </c>
      <c r="M2958" s="10">
        <v>1</v>
      </c>
      <c r="N2958" s="10">
        <v>22</v>
      </c>
      <c r="O2958" s="10">
        <v>22</v>
      </c>
    </row>
    <row r="2959" spans="1:15" x14ac:dyDescent="0.2">
      <c r="A2959" s="10" t="s">
        <v>1320</v>
      </c>
      <c r="B2959" s="10" t="s">
        <v>55</v>
      </c>
      <c r="C2959" s="10" t="s">
        <v>56</v>
      </c>
      <c r="D2959" s="10" t="s">
        <v>45</v>
      </c>
      <c r="E2959" s="10" t="s">
        <v>46</v>
      </c>
      <c r="F2959" s="10" t="s">
        <v>61</v>
      </c>
      <c r="G2959" s="10" t="b">
        <f>FALSE()</f>
        <v>0</v>
      </c>
      <c r="H2959" s="10">
        <v>0</v>
      </c>
      <c r="I2959" s="10">
        <v>1</v>
      </c>
      <c r="J2959" s="10">
        <v>0</v>
      </c>
      <c r="K2959" s="10">
        <v>0</v>
      </c>
      <c r="L2959" s="10">
        <v>0</v>
      </c>
      <c r="M2959" s="10">
        <v>1</v>
      </c>
      <c r="N2959" s="10">
        <v>22</v>
      </c>
      <c r="O2959" s="10">
        <v>22</v>
      </c>
    </row>
    <row r="2960" spans="1:15" x14ac:dyDescent="0.2">
      <c r="A2960" s="10" t="s">
        <v>464</v>
      </c>
      <c r="B2960" s="10" t="s">
        <v>104</v>
      </c>
      <c r="C2960" s="10" t="s">
        <v>105</v>
      </c>
      <c r="D2960" s="10" t="s">
        <v>45</v>
      </c>
      <c r="E2960" s="10" t="s">
        <v>46</v>
      </c>
      <c r="F2960" s="10" t="s">
        <v>92</v>
      </c>
      <c r="G2960" s="10" t="b">
        <f>FALSE()</f>
        <v>0</v>
      </c>
      <c r="H2960" s="10">
        <v>0</v>
      </c>
      <c r="I2960" s="10">
        <v>1</v>
      </c>
      <c r="J2960" s="10">
        <v>0</v>
      </c>
      <c r="K2960" s="10">
        <v>0</v>
      </c>
      <c r="L2960" s="10">
        <v>0</v>
      </c>
      <c r="M2960" s="10">
        <v>1</v>
      </c>
      <c r="N2960" s="10">
        <v>21</v>
      </c>
      <c r="O2960" s="10">
        <v>21</v>
      </c>
    </row>
    <row r="2961" spans="1:15" x14ac:dyDescent="0.2">
      <c r="A2961" s="10" t="s">
        <v>1042</v>
      </c>
      <c r="B2961" s="10" t="s">
        <v>719</v>
      </c>
      <c r="C2961" s="10" t="s">
        <v>117</v>
      </c>
      <c r="D2961" s="10" t="s">
        <v>51</v>
      </c>
      <c r="E2961" s="10" t="s">
        <v>52</v>
      </c>
      <c r="F2961" s="10" t="s">
        <v>61</v>
      </c>
      <c r="G2961" s="10" t="b">
        <f>FALSE()</f>
        <v>0</v>
      </c>
      <c r="H2961" s="10">
        <v>0</v>
      </c>
      <c r="I2961" s="10">
        <v>1</v>
      </c>
      <c r="J2961" s="10">
        <v>0</v>
      </c>
      <c r="K2961" s="10">
        <v>0</v>
      </c>
      <c r="L2961" s="10">
        <v>0</v>
      </c>
      <c r="M2961" s="10">
        <v>1</v>
      </c>
      <c r="N2961" s="10">
        <v>21</v>
      </c>
      <c r="O2961" s="10">
        <v>21</v>
      </c>
    </row>
    <row r="2962" spans="1:15" x14ac:dyDescent="0.2">
      <c r="A2962" s="10" t="s">
        <v>1130</v>
      </c>
      <c r="B2962" s="10" t="s">
        <v>193</v>
      </c>
      <c r="C2962" s="10" t="s">
        <v>117</v>
      </c>
      <c r="D2962" s="10" t="s">
        <v>51</v>
      </c>
      <c r="E2962" s="10" t="s">
        <v>52</v>
      </c>
      <c r="F2962" s="10" t="s">
        <v>530</v>
      </c>
      <c r="G2962" s="10" t="b">
        <f>TRUE()</f>
        <v>1</v>
      </c>
      <c r="H2962" s="10">
        <v>0</v>
      </c>
      <c r="I2962" s="10">
        <v>1</v>
      </c>
      <c r="J2962" s="10">
        <v>0</v>
      </c>
      <c r="K2962" s="10">
        <v>0</v>
      </c>
      <c r="L2962" s="10">
        <v>0</v>
      </c>
      <c r="M2962" s="10">
        <v>1</v>
      </c>
      <c r="N2962" s="10">
        <v>21</v>
      </c>
      <c r="O2962" s="10">
        <v>21</v>
      </c>
    </row>
    <row r="2963" spans="1:15" x14ac:dyDescent="0.2">
      <c r="A2963" s="10" t="s">
        <v>1130</v>
      </c>
      <c r="B2963" s="10" t="s">
        <v>193</v>
      </c>
      <c r="C2963" s="10" t="s">
        <v>117</v>
      </c>
      <c r="D2963" s="10" t="s">
        <v>51</v>
      </c>
      <c r="E2963" s="10" t="s">
        <v>52</v>
      </c>
      <c r="F2963" s="10" t="s">
        <v>558</v>
      </c>
      <c r="G2963" s="10" t="b">
        <f>TRUE()</f>
        <v>1</v>
      </c>
      <c r="H2963" s="10">
        <v>0</v>
      </c>
      <c r="I2963" s="10">
        <v>1</v>
      </c>
      <c r="J2963" s="10">
        <v>0</v>
      </c>
      <c r="K2963" s="10">
        <v>0</v>
      </c>
      <c r="L2963" s="10">
        <v>0</v>
      </c>
      <c r="M2963" s="10">
        <v>1</v>
      </c>
      <c r="N2963" s="10">
        <v>21</v>
      </c>
      <c r="O2963" s="10">
        <v>21</v>
      </c>
    </row>
    <row r="2964" spans="1:15" x14ac:dyDescent="0.2">
      <c r="A2964" s="10" t="s">
        <v>1059</v>
      </c>
      <c r="B2964" s="10" t="s">
        <v>109</v>
      </c>
      <c r="C2964" s="10" t="s">
        <v>90</v>
      </c>
      <c r="D2964" s="10" t="s">
        <v>51</v>
      </c>
      <c r="E2964" s="10" t="s">
        <v>52</v>
      </c>
      <c r="F2964" s="10" t="s">
        <v>331</v>
      </c>
      <c r="G2964" s="10" t="b">
        <f>FALSE()</f>
        <v>0</v>
      </c>
      <c r="H2964" s="10">
        <v>0</v>
      </c>
      <c r="I2964" s="10">
        <v>1</v>
      </c>
      <c r="J2964" s="10">
        <v>0</v>
      </c>
      <c r="K2964" s="10">
        <v>0</v>
      </c>
      <c r="L2964" s="10">
        <v>0</v>
      </c>
      <c r="M2964" s="10">
        <v>1</v>
      </c>
      <c r="N2964" s="10">
        <v>21</v>
      </c>
      <c r="O2964" s="10">
        <v>21</v>
      </c>
    </row>
    <row r="2965" spans="1:15" x14ac:dyDescent="0.2">
      <c r="A2965" s="10" t="s">
        <v>1154</v>
      </c>
      <c r="B2965" s="10" t="s">
        <v>119</v>
      </c>
      <c r="C2965" s="10" t="s">
        <v>56</v>
      </c>
      <c r="D2965" s="10" t="s">
        <v>45</v>
      </c>
      <c r="E2965" s="10" t="s">
        <v>46</v>
      </c>
      <c r="F2965" s="10" t="s">
        <v>363</v>
      </c>
      <c r="G2965" s="10" t="b">
        <f>FALSE()</f>
        <v>0</v>
      </c>
      <c r="H2965" s="10">
        <v>0</v>
      </c>
      <c r="I2965" s="10">
        <v>1</v>
      </c>
      <c r="J2965" s="10">
        <v>0</v>
      </c>
      <c r="K2965" s="10">
        <v>0</v>
      </c>
      <c r="L2965" s="10">
        <v>0</v>
      </c>
      <c r="M2965" s="10">
        <v>1</v>
      </c>
      <c r="N2965" s="10">
        <v>26</v>
      </c>
      <c r="O2965" s="10">
        <v>21</v>
      </c>
    </row>
    <row r="2966" spans="1:15" x14ac:dyDescent="0.2">
      <c r="A2966" s="10" t="s">
        <v>1145</v>
      </c>
      <c r="B2966" s="10" t="s">
        <v>70</v>
      </c>
      <c r="C2966" s="10" t="s">
        <v>70</v>
      </c>
      <c r="D2966" s="10" t="s">
        <v>45</v>
      </c>
      <c r="E2966" s="10" t="s">
        <v>46</v>
      </c>
      <c r="F2966" s="10" t="s">
        <v>79</v>
      </c>
      <c r="G2966" s="10" t="b">
        <f>FALSE()</f>
        <v>0</v>
      </c>
      <c r="H2966" s="10">
        <v>0</v>
      </c>
      <c r="I2966" s="10">
        <v>1</v>
      </c>
      <c r="J2966" s="10">
        <v>0</v>
      </c>
      <c r="K2966" s="10">
        <v>0</v>
      </c>
      <c r="L2966" s="10">
        <v>0</v>
      </c>
      <c r="M2966" s="10">
        <v>1</v>
      </c>
      <c r="N2966" s="10">
        <v>21</v>
      </c>
      <c r="O2966" s="10">
        <v>21</v>
      </c>
    </row>
    <row r="2967" spans="1:15" x14ac:dyDescent="0.2">
      <c r="A2967" s="10" t="s">
        <v>1359</v>
      </c>
      <c r="B2967" s="10" t="s">
        <v>70</v>
      </c>
      <c r="C2967" s="10" t="s">
        <v>70</v>
      </c>
      <c r="D2967" s="10" t="s">
        <v>45</v>
      </c>
      <c r="E2967" s="10" t="s">
        <v>46</v>
      </c>
      <c r="F2967" s="10" t="s">
        <v>91</v>
      </c>
      <c r="G2967" s="10" t="b">
        <f>TRUE()</f>
        <v>1</v>
      </c>
      <c r="H2967" s="10">
        <v>0</v>
      </c>
      <c r="I2967" s="10">
        <v>1</v>
      </c>
      <c r="J2967" s="10">
        <v>0</v>
      </c>
      <c r="K2967" s="10">
        <v>0</v>
      </c>
      <c r="L2967" s="10">
        <v>0</v>
      </c>
      <c r="M2967" s="10">
        <v>1</v>
      </c>
      <c r="N2967" s="10">
        <v>21</v>
      </c>
      <c r="O2967" s="10">
        <v>21</v>
      </c>
    </row>
    <row r="2968" spans="1:15" x14ac:dyDescent="0.2">
      <c r="A2968" s="10" t="s">
        <v>1146</v>
      </c>
      <c r="B2968" s="10" t="s">
        <v>70</v>
      </c>
      <c r="C2968" s="10" t="s">
        <v>70</v>
      </c>
      <c r="D2968" s="10" t="s">
        <v>45</v>
      </c>
      <c r="E2968" s="10" t="s">
        <v>46</v>
      </c>
      <c r="F2968" s="10" t="s">
        <v>212</v>
      </c>
      <c r="G2968" s="10" t="b">
        <f>FALSE()</f>
        <v>0</v>
      </c>
      <c r="H2968" s="10">
        <v>0</v>
      </c>
      <c r="I2968" s="10">
        <v>1</v>
      </c>
      <c r="J2968" s="10">
        <v>0</v>
      </c>
      <c r="K2968" s="10">
        <v>0</v>
      </c>
      <c r="L2968" s="10">
        <v>0</v>
      </c>
      <c r="M2968" s="10">
        <v>1</v>
      </c>
      <c r="N2968" s="10">
        <v>29</v>
      </c>
      <c r="O2968" s="10">
        <v>21</v>
      </c>
    </row>
    <row r="2969" spans="1:15" x14ac:dyDescent="0.2">
      <c r="A2969" s="10" t="s">
        <v>392</v>
      </c>
      <c r="B2969" s="10" t="s">
        <v>151</v>
      </c>
      <c r="C2969" s="10" t="s">
        <v>64</v>
      </c>
      <c r="D2969" s="10" t="s">
        <v>45</v>
      </c>
      <c r="E2969" s="10" t="s">
        <v>46</v>
      </c>
      <c r="F2969" s="10" t="s">
        <v>204</v>
      </c>
      <c r="G2969" s="10" t="b">
        <f>FALSE()</f>
        <v>0</v>
      </c>
      <c r="H2969" s="10">
        <v>0</v>
      </c>
      <c r="I2969" s="10">
        <v>1</v>
      </c>
      <c r="J2969" s="10">
        <v>0</v>
      </c>
      <c r="K2969" s="10">
        <v>0</v>
      </c>
      <c r="L2969" s="10">
        <v>0</v>
      </c>
      <c r="M2969" s="10">
        <v>1</v>
      </c>
      <c r="N2969" s="10">
        <v>20</v>
      </c>
      <c r="O2969" s="10">
        <v>20</v>
      </c>
    </row>
    <row r="2970" spans="1:15" x14ac:dyDescent="0.2">
      <c r="A2970" s="10" t="s">
        <v>901</v>
      </c>
      <c r="B2970" s="10" t="s">
        <v>902</v>
      </c>
      <c r="C2970" s="10" t="s">
        <v>50</v>
      </c>
      <c r="D2970" s="10" t="s">
        <v>51</v>
      </c>
      <c r="E2970" s="10" t="s">
        <v>52</v>
      </c>
      <c r="F2970" s="10" t="s">
        <v>91</v>
      </c>
      <c r="G2970" s="10" t="b">
        <f>TRUE()</f>
        <v>1</v>
      </c>
      <c r="H2970" s="10">
        <v>0</v>
      </c>
      <c r="I2970" s="10">
        <v>1</v>
      </c>
      <c r="J2970" s="10">
        <v>0</v>
      </c>
      <c r="K2970" s="10">
        <v>0</v>
      </c>
      <c r="L2970" s="10">
        <v>0</v>
      </c>
      <c r="M2970" s="10">
        <v>1</v>
      </c>
      <c r="N2970" s="10">
        <v>20</v>
      </c>
      <c r="O2970" s="10">
        <v>20</v>
      </c>
    </row>
    <row r="2971" spans="1:15" x14ac:dyDescent="0.2">
      <c r="A2971" s="10" t="s">
        <v>1130</v>
      </c>
      <c r="B2971" s="10" t="s">
        <v>193</v>
      </c>
      <c r="C2971" s="10" t="s">
        <v>117</v>
      </c>
      <c r="D2971" s="10" t="s">
        <v>51</v>
      </c>
      <c r="E2971" s="10" t="s">
        <v>52</v>
      </c>
      <c r="F2971" s="10" t="s">
        <v>132</v>
      </c>
      <c r="G2971" s="10" t="b">
        <f>FALSE()</f>
        <v>0</v>
      </c>
      <c r="H2971" s="10">
        <v>0</v>
      </c>
      <c r="I2971" s="10">
        <v>1</v>
      </c>
      <c r="J2971" s="10">
        <v>0</v>
      </c>
      <c r="K2971" s="10">
        <v>0</v>
      </c>
      <c r="L2971" s="10">
        <v>0</v>
      </c>
      <c r="M2971" s="10">
        <v>1</v>
      </c>
      <c r="N2971" s="10">
        <v>23</v>
      </c>
      <c r="O2971" s="10">
        <v>20</v>
      </c>
    </row>
    <row r="2972" spans="1:15" x14ac:dyDescent="0.2">
      <c r="A2972" s="10" t="s">
        <v>1164</v>
      </c>
      <c r="B2972" s="10" t="s">
        <v>111</v>
      </c>
      <c r="C2972" s="10" t="s">
        <v>112</v>
      </c>
      <c r="D2972" s="10" t="s">
        <v>51</v>
      </c>
      <c r="E2972" s="10" t="s">
        <v>52</v>
      </c>
      <c r="F2972" s="10" t="s">
        <v>190</v>
      </c>
      <c r="G2972" s="10" t="b">
        <f>TRUE()</f>
        <v>1</v>
      </c>
      <c r="H2972" s="10">
        <v>0</v>
      </c>
      <c r="I2972" s="10">
        <v>1</v>
      </c>
      <c r="J2972" s="10">
        <v>0</v>
      </c>
      <c r="K2972" s="10">
        <v>0</v>
      </c>
      <c r="L2972" s="10">
        <v>0</v>
      </c>
      <c r="M2972" s="10">
        <v>1</v>
      </c>
      <c r="N2972" s="10">
        <v>20</v>
      </c>
      <c r="O2972" s="10">
        <v>20</v>
      </c>
    </row>
    <row r="2973" spans="1:15" x14ac:dyDescent="0.2">
      <c r="A2973" s="10" t="s">
        <v>1286</v>
      </c>
      <c r="B2973" s="10" t="s">
        <v>111</v>
      </c>
      <c r="C2973" s="10" t="s">
        <v>112</v>
      </c>
      <c r="D2973" s="10" t="s">
        <v>51</v>
      </c>
      <c r="E2973" s="10" t="s">
        <v>52</v>
      </c>
      <c r="F2973" s="10" t="s">
        <v>61</v>
      </c>
      <c r="G2973" s="10" t="b">
        <f>FALSE()</f>
        <v>0</v>
      </c>
      <c r="H2973" s="10">
        <v>0</v>
      </c>
      <c r="I2973" s="10">
        <v>1</v>
      </c>
      <c r="J2973" s="10">
        <v>0</v>
      </c>
      <c r="K2973" s="10">
        <v>0</v>
      </c>
      <c r="L2973" s="10">
        <v>0</v>
      </c>
      <c r="M2973" s="10">
        <v>1</v>
      </c>
      <c r="N2973" s="10">
        <v>20</v>
      </c>
      <c r="O2973" s="10">
        <v>20</v>
      </c>
    </row>
    <row r="2974" spans="1:15" x14ac:dyDescent="0.2">
      <c r="A2974" s="10" t="s">
        <v>1286</v>
      </c>
      <c r="B2974" s="10" t="s">
        <v>111</v>
      </c>
      <c r="C2974" s="10" t="s">
        <v>112</v>
      </c>
      <c r="D2974" s="10" t="s">
        <v>51</v>
      </c>
      <c r="E2974" s="10" t="s">
        <v>52</v>
      </c>
      <c r="F2974" s="10" t="s">
        <v>92</v>
      </c>
      <c r="G2974" s="10" t="b">
        <f>FALSE()</f>
        <v>0</v>
      </c>
      <c r="H2974" s="10">
        <v>0</v>
      </c>
      <c r="I2974" s="10">
        <v>1</v>
      </c>
      <c r="J2974" s="10">
        <v>0</v>
      </c>
      <c r="K2974" s="10">
        <v>0</v>
      </c>
      <c r="L2974" s="10">
        <v>0</v>
      </c>
      <c r="M2974" s="10">
        <v>1</v>
      </c>
      <c r="N2974" s="10">
        <v>20</v>
      </c>
      <c r="O2974" s="10">
        <v>20</v>
      </c>
    </row>
    <row r="2975" spans="1:15" x14ac:dyDescent="0.2">
      <c r="A2975" s="10" t="s">
        <v>1052</v>
      </c>
      <c r="B2975" s="10" t="s">
        <v>289</v>
      </c>
      <c r="C2975" s="10" t="s">
        <v>50</v>
      </c>
      <c r="D2975" s="10" t="s">
        <v>51</v>
      </c>
      <c r="E2975" s="10" t="s">
        <v>52</v>
      </c>
      <c r="F2975" s="10" t="s">
        <v>1350</v>
      </c>
      <c r="G2975" s="10" t="b">
        <f>FALSE()</f>
        <v>0</v>
      </c>
      <c r="H2975" s="10">
        <v>0</v>
      </c>
      <c r="I2975" s="10">
        <v>1</v>
      </c>
      <c r="J2975" s="10">
        <v>0</v>
      </c>
      <c r="K2975" s="10">
        <v>0</v>
      </c>
      <c r="L2975" s="10">
        <v>0</v>
      </c>
      <c r="M2975" s="10">
        <v>1</v>
      </c>
      <c r="N2975" s="10">
        <v>20</v>
      </c>
      <c r="O2975" s="10">
        <v>20</v>
      </c>
    </row>
    <row r="2976" spans="1:15" x14ac:dyDescent="0.2">
      <c r="A2976" s="10" t="s">
        <v>1225</v>
      </c>
      <c r="B2976" s="10" t="s">
        <v>793</v>
      </c>
      <c r="C2976" s="10" t="s">
        <v>90</v>
      </c>
      <c r="D2976" s="10" t="s">
        <v>51</v>
      </c>
      <c r="E2976" s="10" t="s">
        <v>52</v>
      </c>
      <c r="F2976" s="10" t="s">
        <v>183</v>
      </c>
      <c r="G2976" s="10" t="b">
        <f>FALSE()</f>
        <v>0</v>
      </c>
      <c r="H2976" s="10">
        <v>0</v>
      </c>
      <c r="I2976" s="10">
        <v>1</v>
      </c>
      <c r="J2976" s="10">
        <v>0</v>
      </c>
      <c r="K2976" s="10">
        <v>0</v>
      </c>
      <c r="L2976" s="10">
        <v>0</v>
      </c>
      <c r="M2976" s="10">
        <v>1</v>
      </c>
      <c r="N2976" s="10">
        <v>27</v>
      </c>
      <c r="O2976" s="10">
        <v>20</v>
      </c>
    </row>
    <row r="2977" spans="1:15" x14ac:dyDescent="0.2">
      <c r="A2977" s="10" t="s">
        <v>1194</v>
      </c>
      <c r="B2977" s="10" t="s">
        <v>89</v>
      </c>
      <c r="C2977" s="10" t="s">
        <v>90</v>
      </c>
      <c r="D2977" s="10" t="s">
        <v>51</v>
      </c>
      <c r="E2977" s="10" t="s">
        <v>52</v>
      </c>
      <c r="F2977" s="10" t="s">
        <v>1098</v>
      </c>
      <c r="G2977" s="10" t="b">
        <f>FALSE()</f>
        <v>0</v>
      </c>
      <c r="H2977" s="10">
        <v>0</v>
      </c>
      <c r="I2977" s="10">
        <v>1</v>
      </c>
      <c r="J2977" s="10">
        <v>0</v>
      </c>
      <c r="K2977" s="10">
        <v>0</v>
      </c>
      <c r="L2977" s="10">
        <v>0</v>
      </c>
      <c r="M2977" s="10">
        <v>1</v>
      </c>
      <c r="N2977" s="10">
        <v>20</v>
      </c>
      <c r="O2977" s="10">
        <v>20</v>
      </c>
    </row>
    <row r="2978" spans="1:15" x14ac:dyDescent="0.2">
      <c r="A2978" s="10" t="s">
        <v>1055</v>
      </c>
      <c r="B2978" s="10" t="s">
        <v>178</v>
      </c>
      <c r="C2978" s="10" t="s">
        <v>73</v>
      </c>
      <c r="D2978" s="10" t="s">
        <v>45</v>
      </c>
      <c r="E2978" s="10" t="s">
        <v>46</v>
      </c>
      <c r="F2978" s="10" t="s">
        <v>1118</v>
      </c>
      <c r="G2978" s="10" t="b">
        <f>FALSE()</f>
        <v>0</v>
      </c>
      <c r="H2978" s="10">
        <v>0</v>
      </c>
      <c r="I2978" s="10">
        <v>1</v>
      </c>
      <c r="J2978" s="10">
        <v>0</v>
      </c>
      <c r="K2978" s="10">
        <v>0</v>
      </c>
      <c r="L2978" s="10">
        <v>0</v>
      </c>
      <c r="M2978" s="10">
        <v>1</v>
      </c>
      <c r="N2978" s="10">
        <v>20</v>
      </c>
      <c r="O2978" s="10">
        <v>20</v>
      </c>
    </row>
    <row r="2979" spans="1:15" x14ac:dyDescent="0.2">
      <c r="A2979" s="10" t="s">
        <v>1055</v>
      </c>
      <c r="B2979" s="10" t="s">
        <v>178</v>
      </c>
      <c r="C2979" s="10" t="s">
        <v>73</v>
      </c>
      <c r="D2979" s="10" t="s">
        <v>45</v>
      </c>
      <c r="E2979" s="10" t="s">
        <v>46</v>
      </c>
      <c r="F2979" s="10" t="s">
        <v>207</v>
      </c>
      <c r="G2979" s="10" t="b">
        <f>FALSE()</f>
        <v>0</v>
      </c>
      <c r="H2979" s="10">
        <v>0</v>
      </c>
      <c r="I2979" s="10">
        <v>1</v>
      </c>
      <c r="J2979" s="10">
        <v>0</v>
      </c>
      <c r="K2979" s="10">
        <v>0</v>
      </c>
      <c r="L2979" s="10">
        <v>0</v>
      </c>
      <c r="M2979" s="10">
        <v>1</v>
      </c>
      <c r="N2979" s="10">
        <v>20</v>
      </c>
      <c r="O2979" s="10">
        <v>20</v>
      </c>
    </row>
    <row r="2980" spans="1:15" x14ac:dyDescent="0.2">
      <c r="A2980" s="10" t="s">
        <v>1309</v>
      </c>
      <c r="B2980" s="10" t="s">
        <v>72</v>
      </c>
      <c r="C2980" s="10" t="s">
        <v>73</v>
      </c>
      <c r="D2980" s="10" t="s">
        <v>45</v>
      </c>
      <c r="E2980" s="10" t="s">
        <v>46</v>
      </c>
      <c r="F2980" s="10" t="s">
        <v>153</v>
      </c>
      <c r="G2980" s="10" t="b">
        <f>FALSE()</f>
        <v>0</v>
      </c>
      <c r="H2980" s="10">
        <v>0</v>
      </c>
      <c r="I2980" s="10">
        <v>1</v>
      </c>
      <c r="J2980" s="10">
        <v>0</v>
      </c>
      <c r="K2980" s="10">
        <v>0</v>
      </c>
      <c r="L2980" s="10">
        <v>0</v>
      </c>
      <c r="M2980" s="10">
        <v>1</v>
      </c>
      <c r="N2980" s="10">
        <v>20</v>
      </c>
      <c r="O2980" s="10">
        <v>20</v>
      </c>
    </row>
    <row r="2981" spans="1:15" x14ac:dyDescent="0.2">
      <c r="A2981" s="10" t="s">
        <v>1309</v>
      </c>
      <c r="B2981" s="10" t="s">
        <v>72</v>
      </c>
      <c r="C2981" s="10" t="s">
        <v>73</v>
      </c>
      <c r="D2981" s="10" t="s">
        <v>45</v>
      </c>
      <c r="E2981" s="10" t="s">
        <v>46</v>
      </c>
      <c r="F2981" s="10" t="s">
        <v>91</v>
      </c>
      <c r="G2981" s="10" t="b">
        <f>TRUE()</f>
        <v>1</v>
      </c>
      <c r="H2981" s="10">
        <v>0</v>
      </c>
      <c r="I2981" s="10">
        <v>1</v>
      </c>
      <c r="J2981" s="10">
        <v>0</v>
      </c>
      <c r="K2981" s="10">
        <v>0</v>
      </c>
      <c r="L2981" s="10">
        <v>0</v>
      </c>
      <c r="M2981" s="10">
        <v>1</v>
      </c>
      <c r="N2981" s="10">
        <v>20</v>
      </c>
      <c r="O2981" s="10">
        <v>20</v>
      </c>
    </row>
    <row r="2982" spans="1:15" x14ac:dyDescent="0.2">
      <c r="A2982" s="10" t="s">
        <v>1074</v>
      </c>
      <c r="B2982" s="10" t="s">
        <v>104</v>
      </c>
      <c r="C2982" s="10" t="s">
        <v>105</v>
      </c>
      <c r="D2982" s="10" t="s">
        <v>45</v>
      </c>
      <c r="E2982" s="10" t="s">
        <v>46</v>
      </c>
      <c r="F2982" s="10" t="s">
        <v>83</v>
      </c>
      <c r="G2982" s="10" t="b">
        <f>TRUE()</f>
        <v>1</v>
      </c>
      <c r="H2982" s="10">
        <v>0</v>
      </c>
      <c r="I2982" s="10">
        <v>1</v>
      </c>
      <c r="J2982" s="10">
        <v>0</v>
      </c>
      <c r="K2982" s="10">
        <v>0</v>
      </c>
      <c r="L2982" s="10">
        <v>0</v>
      </c>
      <c r="M2982" s="10">
        <v>1</v>
      </c>
      <c r="N2982" s="10">
        <v>20</v>
      </c>
      <c r="O2982" s="10">
        <v>20</v>
      </c>
    </row>
    <row r="2983" spans="1:15" x14ac:dyDescent="0.2">
      <c r="A2983" s="10" t="s">
        <v>1244</v>
      </c>
      <c r="B2983" s="10" t="s">
        <v>104</v>
      </c>
      <c r="C2983" s="10" t="s">
        <v>105</v>
      </c>
      <c r="D2983" s="10" t="s">
        <v>45</v>
      </c>
      <c r="E2983" s="10" t="s">
        <v>46</v>
      </c>
      <c r="F2983" s="10" t="s">
        <v>113</v>
      </c>
      <c r="G2983" s="10" t="b">
        <f>TRUE()</f>
        <v>1</v>
      </c>
      <c r="H2983" s="10">
        <v>0</v>
      </c>
      <c r="I2983" s="10">
        <v>1</v>
      </c>
      <c r="J2983" s="10">
        <v>0</v>
      </c>
      <c r="K2983" s="10">
        <v>0</v>
      </c>
      <c r="L2983" s="10">
        <v>0</v>
      </c>
      <c r="M2983" s="10">
        <v>1</v>
      </c>
      <c r="N2983" s="10">
        <v>20</v>
      </c>
      <c r="O2983" s="10">
        <v>20</v>
      </c>
    </row>
    <row r="2984" spans="1:15" x14ac:dyDescent="0.2">
      <c r="A2984" s="10" t="s">
        <v>1357</v>
      </c>
      <c r="B2984" s="10" t="s">
        <v>160</v>
      </c>
      <c r="C2984" s="10" t="s">
        <v>56</v>
      </c>
      <c r="D2984" s="10" t="s">
        <v>45</v>
      </c>
      <c r="E2984" s="10" t="s">
        <v>46</v>
      </c>
      <c r="F2984" s="10" t="s">
        <v>1035</v>
      </c>
      <c r="G2984" s="10" t="b">
        <f>FALSE()</f>
        <v>0</v>
      </c>
      <c r="H2984" s="10">
        <v>0</v>
      </c>
      <c r="I2984" s="10">
        <v>1</v>
      </c>
      <c r="J2984" s="10">
        <v>0</v>
      </c>
      <c r="K2984" s="10">
        <v>0</v>
      </c>
      <c r="L2984" s="10">
        <v>0</v>
      </c>
      <c r="M2984" s="10">
        <v>1</v>
      </c>
      <c r="N2984" s="10">
        <v>20</v>
      </c>
      <c r="O2984" s="10">
        <v>20</v>
      </c>
    </row>
    <row r="2985" spans="1:15" x14ac:dyDescent="0.2">
      <c r="A2985" s="10" t="s">
        <v>1349</v>
      </c>
      <c r="B2985" s="10" t="s">
        <v>119</v>
      </c>
      <c r="C2985" s="10" t="s">
        <v>56</v>
      </c>
      <c r="D2985" s="10" t="s">
        <v>45</v>
      </c>
      <c r="E2985" s="10" t="s">
        <v>46</v>
      </c>
      <c r="F2985" s="10" t="s">
        <v>190</v>
      </c>
      <c r="G2985" s="10" t="b">
        <f>TRUE()</f>
        <v>1</v>
      </c>
      <c r="H2985" s="10">
        <v>0</v>
      </c>
      <c r="I2985" s="10">
        <v>1</v>
      </c>
      <c r="J2985" s="10">
        <v>0</v>
      </c>
      <c r="K2985" s="10">
        <v>0</v>
      </c>
      <c r="L2985" s="10">
        <v>0</v>
      </c>
      <c r="M2985" s="10">
        <v>1</v>
      </c>
      <c r="N2985" s="10">
        <v>20</v>
      </c>
      <c r="O2985" s="10">
        <v>20</v>
      </c>
    </row>
    <row r="2986" spans="1:15" x14ac:dyDescent="0.2">
      <c r="A2986" s="10" t="s">
        <v>1105</v>
      </c>
      <c r="B2986" s="10" t="s">
        <v>43</v>
      </c>
      <c r="C2986" s="10" t="s">
        <v>44</v>
      </c>
      <c r="D2986" s="10" t="s">
        <v>45</v>
      </c>
      <c r="E2986" s="10" t="s">
        <v>46</v>
      </c>
      <c r="F2986" s="10" t="s">
        <v>1116</v>
      </c>
      <c r="G2986" s="10" t="b">
        <f>FALSE()</f>
        <v>0</v>
      </c>
      <c r="H2986" s="10">
        <v>0</v>
      </c>
      <c r="I2986" s="10">
        <v>1</v>
      </c>
      <c r="J2986" s="10">
        <v>0</v>
      </c>
      <c r="K2986" s="10">
        <v>0</v>
      </c>
      <c r="L2986" s="10">
        <v>0</v>
      </c>
      <c r="M2986" s="10">
        <v>1</v>
      </c>
      <c r="N2986" s="10">
        <v>20</v>
      </c>
      <c r="O2986" s="10">
        <v>20</v>
      </c>
    </row>
    <row r="2987" spans="1:15" x14ac:dyDescent="0.2">
      <c r="A2987" s="10" t="s">
        <v>1105</v>
      </c>
      <c r="B2987" s="10" t="s">
        <v>43</v>
      </c>
      <c r="C2987" s="10" t="s">
        <v>44</v>
      </c>
      <c r="D2987" s="10" t="s">
        <v>45</v>
      </c>
      <c r="E2987" s="10" t="s">
        <v>46</v>
      </c>
      <c r="F2987" s="10" t="s">
        <v>214</v>
      </c>
      <c r="G2987" s="10" t="b">
        <f>FALSE()</f>
        <v>0</v>
      </c>
      <c r="H2987" s="10">
        <v>0</v>
      </c>
      <c r="I2987" s="10">
        <v>1</v>
      </c>
      <c r="J2987" s="10">
        <v>0</v>
      </c>
      <c r="K2987" s="10">
        <v>0</v>
      </c>
      <c r="L2987" s="10">
        <v>0</v>
      </c>
      <c r="M2987" s="10">
        <v>1</v>
      </c>
      <c r="N2987" s="10">
        <v>20</v>
      </c>
      <c r="O2987" s="10">
        <v>20</v>
      </c>
    </row>
    <row r="2988" spans="1:15" x14ac:dyDescent="0.2">
      <c r="A2988" s="10" t="s">
        <v>1282</v>
      </c>
      <c r="B2988" s="10" t="s">
        <v>70</v>
      </c>
      <c r="C2988" s="10" t="s">
        <v>70</v>
      </c>
      <c r="D2988" s="10" t="s">
        <v>45</v>
      </c>
      <c r="E2988" s="10" t="s">
        <v>46</v>
      </c>
      <c r="F2988" s="10" t="s">
        <v>74</v>
      </c>
      <c r="G2988" s="10" t="b">
        <f>FALSE()</f>
        <v>0</v>
      </c>
      <c r="H2988" s="10">
        <v>0</v>
      </c>
      <c r="I2988" s="10">
        <v>1</v>
      </c>
      <c r="J2988" s="10">
        <v>0</v>
      </c>
      <c r="K2988" s="10">
        <v>0</v>
      </c>
      <c r="L2988" s="10">
        <v>0</v>
      </c>
      <c r="M2988" s="10">
        <v>1</v>
      </c>
      <c r="N2988" s="10">
        <v>20</v>
      </c>
      <c r="O2988" s="10">
        <v>20</v>
      </c>
    </row>
    <row r="2989" spans="1:15" x14ac:dyDescent="0.2">
      <c r="A2989" s="10" t="s">
        <v>664</v>
      </c>
      <c r="B2989" s="10" t="s">
        <v>136</v>
      </c>
      <c r="C2989" s="10" t="s">
        <v>73</v>
      </c>
      <c r="D2989" s="10" t="s">
        <v>45</v>
      </c>
      <c r="E2989" s="10" t="s">
        <v>46</v>
      </c>
      <c r="F2989" s="10" t="s">
        <v>219</v>
      </c>
      <c r="G2989" s="10" t="b">
        <f>FALSE()</f>
        <v>0</v>
      </c>
      <c r="H2989" s="10">
        <v>0</v>
      </c>
      <c r="I2989" s="10">
        <v>1</v>
      </c>
      <c r="J2989" s="10">
        <v>0</v>
      </c>
      <c r="K2989" s="10">
        <v>0</v>
      </c>
      <c r="L2989" s="10">
        <v>0</v>
      </c>
      <c r="M2989" s="10">
        <v>1</v>
      </c>
      <c r="N2989" s="10">
        <v>19</v>
      </c>
      <c r="O2989" s="10">
        <v>19</v>
      </c>
    </row>
    <row r="2990" spans="1:15" x14ac:dyDescent="0.2">
      <c r="A2990" s="10" t="s">
        <v>550</v>
      </c>
      <c r="B2990" s="10" t="s">
        <v>72</v>
      </c>
      <c r="C2990" s="10" t="s">
        <v>73</v>
      </c>
      <c r="D2990" s="10" t="s">
        <v>45</v>
      </c>
      <c r="E2990" s="10" t="s">
        <v>46</v>
      </c>
      <c r="F2990" s="10" t="s">
        <v>91</v>
      </c>
      <c r="G2990" s="10" t="b">
        <f>TRUE()</f>
        <v>1</v>
      </c>
      <c r="H2990" s="10">
        <v>0</v>
      </c>
      <c r="I2990" s="10">
        <v>1</v>
      </c>
      <c r="J2990" s="10">
        <v>0</v>
      </c>
      <c r="K2990" s="10">
        <v>0</v>
      </c>
      <c r="L2990" s="10">
        <v>0</v>
      </c>
      <c r="M2990" s="10">
        <v>1</v>
      </c>
      <c r="N2990" s="10">
        <v>19</v>
      </c>
      <c r="O2990" s="10">
        <v>19</v>
      </c>
    </row>
    <row r="2991" spans="1:15" x14ac:dyDescent="0.2">
      <c r="A2991" s="10" t="s">
        <v>1262</v>
      </c>
      <c r="B2991" s="10" t="s">
        <v>193</v>
      </c>
      <c r="C2991" s="10" t="s">
        <v>117</v>
      </c>
      <c r="D2991" s="10" t="s">
        <v>51</v>
      </c>
      <c r="E2991" s="10" t="s">
        <v>52</v>
      </c>
      <c r="F2991" s="10" t="s">
        <v>947</v>
      </c>
      <c r="G2991" s="10" t="b">
        <f>FALSE()</f>
        <v>0</v>
      </c>
      <c r="H2991" s="10">
        <v>0</v>
      </c>
      <c r="I2991" s="10">
        <v>1</v>
      </c>
      <c r="J2991" s="10">
        <v>0</v>
      </c>
      <c r="K2991" s="10">
        <v>0</v>
      </c>
      <c r="L2991" s="10">
        <v>0</v>
      </c>
      <c r="M2991" s="10">
        <v>1</v>
      </c>
      <c r="N2991" s="10">
        <v>19</v>
      </c>
      <c r="O2991" s="10">
        <v>19</v>
      </c>
    </row>
    <row r="2992" spans="1:15" x14ac:dyDescent="0.2">
      <c r="A2992" s="10" t="s">
        <v>1362</v>
      </c>
      <c r="B2992" s="10" t="s">
        <v>188</v>
      </c>
      <c r="C2992" s="10" t="s">
        <v>112</v>
      </c>
      <c r="D2992" s="10" t="s">
        <v>51</v>
      </c>
      <c r="E2992" s="10" t="s">
        <v>52</v>
      </c>
      <c r="F2992" s="10" t="s">
        <v>79</v>
      </c>
      <c r="G2992" s="10" t="b">
        <f>FALSE()</f>
        <v>0</v>
      </c>
      <c r="H2992" s="10">
        <v>0</v>
      </c>
      <c r="I2992" s="10">
        <v>1</v>
      </c>
      <c r="J2992" s="10">
        <v>0</v>
      </c>
      <c r="K2992" s="10">
        <v>0</v>
      </c>
      <c r="L2992" s="10">
        <v>0</v>
      </c>
      <c r="M2992" s="10">
        <v>1</v>
      </c>
      <c r="N2992" s="10">
        <v>19</v>
      </c>
      <c r="O2992" s="10">
        <v>19</v>
      </c>
    </row>
    <row r="2993" spans="1:15" x14ac:dyDescent="0.2">
      <c r="A2993" s="10" t="s">
        <v>1286</v>
      </c>
      <c r="B2993" s="10" t="s">
        <v>111</v>
      </c>
      <c r="C2993" s="10" t="s">
        <v>112</v>
      </c>
      <c r="D2993" s="10" t="s">
        <v>51</v>
      </c>
      <c r="E2993" s="10" t="s">
        <v>52</v>
      </c>
      <c r="F2993" s="10" t="s">
        <v>204</v>
      </c>
      <c r="G2993" s="10" t="b">
        <f>FALSE()</f>
        <v>0</v>
      </c>
      <c r="H2993" s="10">
        <v>0</v>
      </c>
      <c r="I2993" s="10">
        <v>1</v>
      </c>
      <c r="J2993" s="10">
        <v>0</v>
      </c>
      <c r="K2993" s="10">
        <v>0</v>
      </c>
      <c r="L2993" s="10">
        <v>0</v>
      </c>
      <c r="M2993" s="10">
        <v>1</v>
      </c>
      <c r="N2993" s="10">
        <v>20</v>
      </c>
      <c r="O2993" s="10">
        <v>19</v>
      </c>
    </row>
    <row r="2994" spans="1:15" x14ac:dyDescent="0.2">
      <c r="A2994" s="10" t="s">
        <v>1293</v>
      </c>
      <c r="B2994" s="10" t="s">
        <v>289</v>
      </c>
      <c r="C2994" s="10" t="s">
        <v>50</v>
      </c>
      <c r="D2994" s="10" t="s">
        <v>51</v>
      </c>
      <c r="E2994" s="10" t="s">
        <v>52</v>
      </c>
      <c r="F2994" s="10" t="s">
        <v>251</v>
      </c>
      <c r="G2994" s="10" t="b">
        <f>FALSE()</f>
        <v>0</v>
      </c>
      <c r="H2994" s="10">
        <v>0</v>
      </c>
      <c r="I2994" s="10">
        <v>1</v>
      </c>
      <c r="J2994" s="10">
        <v>0</v>
      </c>
      <c r="K2994" s="10">
        <v>0</v>
      </c>
      <c r="L2994" s="10">
        <v>0</v>
      </c>
      <c r="M2994" s="10">
        <v>1</v>
      </c>
      <c r="N2994" s="10">
        <v>19</v>
      </c>
      <c r="O2994" s="10">
        <v>19</v>
      </c>
    </row>
    <row r="2995" spans="1:15" x14ac:dyDescent="0.2">
      <c r="A2995" s="10" t="s">
        <v>1327</v>
      </c>
      <c r="B2995" s="10" t="s">
        <v>587</v>
      </c>
      <c r="C2995" s="10" t="s">
        <v>50</v>
      </c>
      <c r="D2995" s="10" t="s">
        <v>51</v>
      </c>
      <c r="E2995" s="10" t="s">
        <v>52</v>
      </c>
      <c r="F2995" s="10" t="s">
        <v>318</v>
      </c>
      <c r="G2995" s="10" t="b">
        <f>FALSE()</f>
        <v>0</v>
      </c>
      <c r="H2995" s="10">
        <v>0</v>
      </c>
      <c r="I2995" s="10">
        <v>1</v>
      </c>
      <c r="J2995" s="10">
        <v>0</v>
      </c>
      <c r="K2995" s="10">
        <v>0</v>
      </c>
      <c r="L2995" s="10">
        <v>0</v>
      </c>
      <c r="M2995" s="10">
        <v>1</v>
      </c>
      <c r="N2995" s="10">
        <v>19</v>
      </c>
      <c r="O2995" s="10">
        <v>19</v>
      </c>
    </row>
    <row r="2996" spans="1:15" x14ac:dyDescent="0.2">
      <c r="A2996" s="10" t="s">
        <v>1174</v>
      </c>
      <c r="B2996" s="10" t="s">
        <v>633</v>
      </c>
      <c r="C2996" s="10" t="s">
        <v>90</v>
      </c>
      <c r="D2996" s="10" t="s">
        <v>51</v>
      </c>
      <c r="E2996" s="10" t="s">
        <v>52</v>
      </c>
      <c r="F2996" s="10" t="s">
        <v>183</v>
      </c>
      <c r="G2996" s="10" t="b">
        <f>FALSE()</f>
        <v>0</v>
      </c>
      <c r="H2996" s="10">
        <v>0</v>
      </c>
      <c r="I2996" s="10">
        <v>1</v>
      </c>
      <c r="J2996" s="10">
        <v>0</v>
      </c>
      <c r="K2996" s="10">
        <v>0</v>
      </c>
      <c r="L2996" s="10">
        <v>0</v>
      </c>
      <c r="M2996" s="10">
        <v>1</v>
      </c>
      <c r="N2996" s="10">
        <v>44</v>
      </c>
      <c r="O2996" s="10">
        <v>19</v>
      </c>
    </row>
    <row r="2997" spans="1:15" x14ac:dyDescent="0.2">
      <c r="A2997" s="10" t="s">
        <v>1229</v>
      </c>
      <c r="B2997" s="10" t="s">
        <v>669</v>
      </c>
      <c r="C2997" s="10" t="s">
        <v>90</v>
      </c>
      <c r="D2997" s="10" t="s">
        <v>51</v>
      </c>
      <c r="E2997" s="10" t="s">
        <v>52</v>
      </c>
      <c r="F2997" s="10" t="s">
        <v>61</v>
      </c>
      <c r="G2997" s="10" t="b">
        <f>FALSE()</f>
        <v>0</v>
      </c>
      <c r="H2997" s="10">
        <v>0</v>
      </c>
      <c r="I2997" s="10">
        <v>1</v>
      </c>
      <c r="J2997" s="10">
        <v>0</v>
      </c>
      <c r="K2997" s="10">
        <v>0</v>
      </c>
      <c r="L2997" s="10">
        <v>0</v>
      </c>
      <c r="M2997" s="10">
        <v>1</v>
      </c>
      <c r="N2997" s="10">
        <v>20</v>
      </c>
      <c r="O2997" s="10">
        <v>19</v>
      </c>
    </row>
    <row r="2998" spans="1:15" x14ac:dyDescent="0.2">
      <c r="A2998" s="10" t="s">
        <v>1229</v>
      </c>
      <c r="B2998" s="10" t="s">
        <v>669</v>
      </c>
      <c r="C2998" s="10" t="s">
        <v>90</v>
      </c>
      <c r="D2998" s="10" t="s">
        <v>51</v>
      </c>
      <c r="E2998" s="10" t="s">
        <v>52</v>
      </c>
      <c r="F2998" s="10" t="s">
        <v>74</v>
      </c>
      <c r="G2998" s="10" t="b">
        <f>FALSE()</f>
        <v>0</v>
      </c>
      <c r="H2998" s="10">
        <v>0</v>
      </c>
      <c r="I2998" s="10">
        <v>1</v>
      </c>
      <c r="J2998" s="10">
        <v>0</v>
      </c>
      <c r="K2998" s="10">
        <v>0</v>
      </c>
      <c r="L2998" s="10">
        <v>0</v>
      </c>
      <c r="M2998" s="10">
        <v>1</v>
      </c>
      <c r="N2998" s="10">
        <v>19</v>
      </c>
      <c r="O2998" s="10">
        <v>19</v>
      </c>
    </row>
    <row r="2999" spans="1:15" x14ac:dyDescent="0.2">
      <c r="A2999" s="10" t="s">
        <v>1068</v>
      </c>
      <c r="B2999" s="10" t="s">
        <v>238</v>
      </c>
      <c r="C2999" s="10" t="s">
        <v>90</v>
      </c>
      <c r="D2999" s="10" t="s">
        <v>51</v>
      </c>
      <c r="E2999" s="10" t="s">
        <v>52</v>
      </c>
      <c r="F2999" s="10" t="s">
        <v>842</v>
      </c>
      <c r="G2999" s="10" t="b">
        <f>FALSE()</f>
        <v>0</v>
      </c>
      <c r="H2999" s="10">
        <v>0</v>
      </c>
      <c r="I2999" s="10">
        <v>1</v>
      </c>
      <c r="J2999" s="10">
        <v>0</v>
      </c>
      <c r="K2999" s="10">
        <v>0</v>
      </c>
      <c r="L2999" s="10">
        <v>0</v>
      </c>
      <c r="M2999" s="10">
        <v>1</v>
      </c>
      <c r="N2999" s="10">
        <v>19</v>
      </c>
      <c r="O2999" s="10">
        <v>19</v>
      </c>
    </row>
    <row r="3000" spans="1:15" x14ac:dyDescent="0.2">
      <c r="A3000" s="10" t="s">
        <v>1218</v>
      </c>
      <c r="B3000" s="10" t="s">
        <v>72</v>
      </c>
      <c r="C3000" s="10" t="s">
        <v>73</v>
      </c>
      <c r="D3000" s="10" t="s">
        <v>45</v>
      </c>
      <c r="E3000" s="10" t="s">
        <v>46</v>
      </c>
      <c r="F3000" s="10" t="s">
        <v>74</v>
      </c>
      <c r="G3000" s="10" t="b">
        <f>FALSE()</f>
        <v>0</v>
      </c>
      <c r="H3000" s="10">
        <v>0</v>
      </c>
      <c r="I3000" s="10">
        <v>1</v>
      </c>
      <c r="J3000" s="10">
        <v>0</v>
      </c>
      <c r="K3000" s="10">
        <v>0</v>
      </c>
      <c r="L3000" s="10">
        <v>0</v>
      </c>
      <c r="M3000" s="10">
        <v>1</v>
      </c>
      <c r="N3000" s="10">
        <v>19</v>
      </c>
      <c r="O3000" s="10">
        <v>19</v>
      </c>
    </row>
    <row r="3001" spans="1:15" x14ac:dyDescent="0.2">
      <c r="A3001" s="10" t="s">
        <v>1375</v>
      </c>
      <c r="B3001" s="10" t="s">
        <v>178</v>
      </c>
      <c r="C3001" s="10" t="s">
        <v>73</v>
      </c>
      <c r="D3001" s="10" t="s">
        <v>45</v>
      </c>
      <c r="E3001" s="10" t="s">
        <v>46</v>
      </c>
      <c r="F3001" s="10" t="s">
        <v>173</v>
      </c>
      <c r="G3001" s="10" t="b">
        <f>FALSE()</f>
        <v>0</v>
      </c>
      <c r="H3001" s="10">
        <v>0</v>
      </c>
      <c r="I3001" s="10">
        <v>1</v>
      </c>
      <c r="J3001" s="10">
        <v>0</v>
      </c>
      <c r="K3001" s="10">
        <v>0</v>
      </c>
      <c r="L3001" s="10">
        <v>0</v>
      </c>
      <c r="M3001" s="10">
        <v>1</v>
      </c>
      <c r="N3001" s="10">
        <v>19</v>
      </c>
      <c r="O3001" s="10">
        <v>19</v>
      </c>
    </row>
    <row r="3002" spans="1:15" x14ac:dyDescent="0.2">
      <c r="A3002" s="10" t="s">
        <v>1043</v>
      </c>
      <c r="B3002" s="10" t="s">
        <v>218</v>
      </c>
      <c r="C3002" s="10" t="s">
        <v>73</v>
      </c>
      <c r="D3002" s="10" t="s">
        <v>45</v>
      </c>
      <c r="E3002" s="10" t="s">
        <v>46</v>
      </c>
      <c r="F3002" s="10" t="s">
        <v>558</v>
      </c>
      <c r="G3002" s="10" t="b">
        <f>TRUE()</f>
        <v>1</v>
      </c>
      <c r="H3002" s="10">
        <v>0</v>
      </c>
      <c r="I3002" s="10">
        <v>1</v>
      </c>
      <c r="J3002" s="10">
        <v>0</v>
      </c>
      <c r="K3002" s="10">
        <v>0</v>
      </c>
      <c r="L3002" s="10">
        <v>0</v>
      </c>
      <c r="M3002" s="10">
        <v>1</v>
      </c>
      <c r="N3002" s="10">
        <v>19</v>
      </c>
      <c r="O3002" s="10">
        <v>19</v>
      </c>
    </row>
    <row r="3003" spans="1:15" x14ac:dyDescent="0.2">
      <c r="A3003" s="10" t="s">
        <v>1112</v>
      </c>
      <c r="B3003" s="10" t="s">
        <v>262</v>
      </c>
      <c r="C3003" s="10" t="s">
        <v>105</v>
      </c>
      <c r="D3003" s="10" t="s">
        <v>45</v>
      </c>
      <c r="E3003" s="10" t="s">
        <v>46</v>
      </c>
      <c r="F3003" s="10" t="s">
        <v>363</v>
      </c>
      <c r="G3003" s="10" t="b">
        <f>FALSE()</f>
        <v>0</v>
      </c>
      <c r="H3003" s="10">
        <v>0</v>
      </c>
      <c r="I3003" s="10">
        <v>1</v>
      </c>
      <c r="J3003" s="10">
        <v>0</v>
      </c>
      <c r="K3003" s="10">
        <v>0</v>
      </c>
      <c r="L3003" s="10">
        <v>0</v>
      </c>
      <c r="M3003" s="10">
        <v>1</v>
      </c>
      <c r="N3003" s="10">
        <v>24</v>
      </c>
      <c r="O3003" s="10">
        <v>19</v>
      </c>
    </row>
    <row r="3004" spans="1:15" x14ac:dyDescent="0.2">
      <c r="A3004" s="10" t="s">
        <v>1132</v>
      </c>
      <c r="B3004" s="10" t="s">
        <v>262</v>
      </c>
      <c r="C3004" s="10" t="s">
        <v>105</v>
      </c>
      <c r="D3004" s="10" t="s">
        <v>45</v>
      </c>
      <c r="E3004" s="10" t="s">
        <v>46</v>
      </c>
      <c r="F3004" s="10" t="s">
        <v>183</v>
      </c>
      <c r="G3004" s="10" t="b">
        <f>FALSE()</f>
        <v>0</v>
      </c>
      <c r="H3004" s="10">
        <v>0</v>
      </c>
      <c r="I3004" s="10">
        <v>1</v>
      </c>
      <c r="J3004" s="10">
        <v>0</v>
      </c>
      <c r="K3004" s="10">
        <v>0</v>
      </c>
      <c r="L3004" s="10">
        <v>0</v>
      </c>
      <c r="M3004" s="10">
        <v>1</v>
      </c>
      <c r="N3004" s="10">
        <v>22</v>
      </c>
      <c r="O3004" s="10">
        <v>19</v>
      </c>
    </row>
    <row r="3005" spans="1:15" x14ac:dyDescent="0.2">
      <c r="A3005" s="10" t="s">
        <v>1154</v>
      </c>
      <c r="B3005" s="10" t="s">
        <v>119</v>
      </c>
      <c r="C3005" s="10" t="s">
        <v>56</v>
      </c>
      <c r="D3005" s="10" t="s">
        <v>45</v>
      </c>
      <c r="E3005" s="10" t="s">
        <v>46</v>
      </c>
      <c r="F3005" s="10" t="s">
        <v>393</v>
      </c>
      <c r="G3005" s="10" t="b">
        <f>FALSE()</f>
        <v>0</v>
      </c>
      <c r="H3005" s="10">
        <v>0</v>
      </c>
      <c r="I3005" s="10">
        <v>1</v>
      </c>
      <c r="J3005" s="10">
        <v>0</v>
      </c>
      <c r="K3005" s="10">
        <v>0</v>
      </c>
      <c r="L3005" s="10">
        <v>0</v>
      </c>
      <c r="M3005" s="10">
        <v>1</v>
      </c>
      <c r="N3005" s="10">
        <v>19</v>
      </c>
      <c r="O3005" s="10">
        <v>19</v>
      </c>
    </row>
    <row r="3006" spans="1:15" x14ac:dyDescent="0.2">
      <c r="A3006" s="10" t="s">
        <v>1374</v>
      </c>
      <c r="B3006" s="10" t="s">
        <v>55</v>
      </c>
      <c r="C3006" s="10" t="s">
        <v>56</v>
      </c>
      <c r="D3006" s="10" t="s">
        <v>45</v>
      </c>
      <c r="E3006" s="10" t="s">
        <v>46</v>
      </c>
      <c r="F3006" s="10" t="s">
        <v>1257</v>
      </c>
      <c r="G3006" s="10" t="b">
        <f>TRUE()</f>
        <v>1</v>
      </c>
      <c r="H3006" s="10">
        <v>0</v>
      </c>
      <c r="I3006" s="10">
        <v>1</v>
      </c>
      <c r="J3006" s="10">
        <v>0</v>
      </c>
      <c r="K3006" s="10">
        <v>0</v>
      </c>
      <c r="L3006" s="10">
        <v>0</v>
      </c>
      <c r="M3006" s="10">
        <v>1</v>
      </c>
      <c r="N3006" s="10">
        <v>19</v>
      </c>
      <c r="O3006" s="10">
        <v>19</v>
      </c>
    </row>
    <row r="3007" spans="1:15" x14ac:dyDescent="0.2">
      <c r="A3007" s="10" t="s">
        <v>1282</v>
      </c>
      <c r="B3007" s="10" t="s">
        <v>70</v>
      </c>
      <c r="C3007" s="10" t="s">
        <v>70</v>
      </c>
      <c r="D3007" s="10" t="s">
        <v>45</v>
      </c>
      <c r="E3007" s="10" t="s">
        <v>46</v>
      </c>
      <c r="F3007" s="10" t="s">
        <v>363</v>
      </c>
      <c r="G3007" s="10" t="b">
        <f>FALSE()</f>
        <v>0</v>
      </c>
      <c r="H3007" s="10">
        <v>0</v>
      </c>
      <c r="I3007" s="10">
        <v>1</v>
      </c>
      <c r="J3007" s="10">
        <v>0</v>
      </c>
      <c r="K3007" s="10">
        <v>0</v>
      </c>
      <c r="L3007" s="10">
        <v>0</v>
      </c>
      <c r="M3007" s="10">
        <v>1</v>
      </c>
      <c r="N3007" s="10">
        <v>19</v>
      </c>
      <c r="O3007" s="10">
        <v>19</v>
      </c>
    </row>
    <row r="3008" spans="1:15" x14ac:dyDescent="0.2">
      <c r="A3008" s="10" t="s">
        <v>453</v>
      </c>
      <c r="B3008" s="10" t="s">
        <v>136</v>
      </c>
      <c r="C3008" s="10" t="s">
        <v>73</v>
      </c>
      <c r="D3008" s="10" t="s">
        <v>45</v>
      </c>
      <c r="E3008" s="10" t="s">
        <v>46</v>
      </c>
      <c r="F3008" s="10" t="s">
        <v>588</v>
      </c>
      <c r="G3008" s="10" t="b">
        <f>TRUE()</f>
        <v>1</v>
      </c>
      <c r="H3008" s="10">
        <v>0</v>
      </c>
      <c r="I3008" s="10">
        <v>1</v>
      </c>
      <c r="J3008" s="10">
        <v>0</v>
      </c>
      <c r="K3008" s="10">
        <v>0</v>
      </c>
      <c r="L3008" s="10">
        <v>0</v>
      </c>
      <c r="M3008" s="10">
        <v>1</v>
      </c>
      <c r="N3008" s="10">
        <v>18</v>
      </c>
      <c r="O3008" s="10">
        <v>18</v>
      </c>
    </row>
    <row r="3009" spans="1:15" x14ac:dyDescent="0.2">
      <c r="A3009" s="10" t="s">
        <v>263</v>
      </c>
      <c r="B3009" s="10" t="s">
        <v>67</v>
      </c>
      <c r="C3009" s="10" t="s">
        <v>64</v>
      </c>
      <c r="D3009" s="10" t="s">
        <v>45</v>
      </c>
      <c r="E3009" s="10" t="s">
        <v>46</v>
      </c>
      <c r="F3009" s="10" t="s">
        <v>365</v>
      </c>
      <c r="G3009" s="10" t="b">
        <f>TRUE()</f>
        <v>1</v>
      </c>
      <c r="H3009" s="10">
        <v>0</v>
      </c>
      <c r="I3009" s="10">
        <v>1</v>
      </c>
      <c r="J3009" s="10">
        <v>0</v>
      </c>
      <c r="K3009" s="10">
        <v>0</v>
      </c>
      <c r="L3009" s="10">
        <v>0</v>
      </c>
      <c r="M3009" s="10">
        <v>1</v>
      </c>
      <c r="N3009" s="10">
        <v>18</v>
      </c>
      <c r="O3009" s="10">
        <v>18</v>
      </c>
    </row>
    <row r="3010" spans="1:15" x14ac:dyDescent="0.2">
      <c r="A3010" s="10" t="s">
        <v>1205</v>
      </c>
      <c r="B3010" s="10" t="s">
        <v>136</v>
      </c>
      <c r="C3010" s="10" t="s">
        <v>73</v>
      </c>
      <c r="D3010" s="10" t="s">
        <v>45</v>
      </c>
      <c r="E3010" s="10" t="s">
        <v>46</v>
      </c>
      <c r="F3010" s="10" t="s">
        <v>223</v>
      </c>
      <c r="G3010" s="10" t="b">
        <f>FALSE()</f>
        <v>0</v>
      </c>
      <c r="H3010" s="10">
        <v>0</v>
      </c>
      <c r="I3010" s="10">
        <v>1</v>
      </c>
      <c r="J3010" s="10">
        <v>0</v>
      </c>
      <c r="K3010" s="10">
        <v>0</v>
      </c>
      <c r="L3010" s="10">
        <v>0</v>
      </c>
      <c r="M3010" s="10">
        <v>1</v>
      </c>
      <c r="N3010" s="10">
        <v>18</v>
      </c>
      <c r="O3010" s="10">
        <v>18</v>
      </c>
    </row>
    <row r="3011" spans="1:15" x14ac:dyDescent="0.2">
      <c r="A3011" s="10" t="s">
        <v>1095</v>
      </c>
      <c r="B3011" s="10" t="s">
        <v>122</v>
      </c>
      <c r="C3011" s="10" t="s">
        <v>112</v>
      </c>
      <c r="D3011" s="10" t="s">
        <v>51</v>
      </c>
      <c r="E3011" s="10" t="s">
        <v>52</v>
      </c>
      <c r="F3011" s="10" t="s">
        <v>496</v>
      </c>
      <c r="G3011" s="10" t="b">
        <f>FALSE()</f>
        <v>0</v>
      </c>
      <c r="H3011" s="10">
        <v>0</v>
      </c>
      <c r="I3011" s="10">
        <v>1</v>
      </c>
      <c r="J3011" s="10">
        <v>0</v>
      </c>
      <c r="K3011" s="10">
        <v>0</v>
      </c>
      <c r="L3011" s="10">
        <v>0</v>
      </c>
      <c r="M3011" s="10">
        <v>1</v>
      </c>
      <c r="N3011" s="10">
        <v>18</v>
      </c>
      <c r="O3011" s="10">
        <v>18</v>
      </c>
    </row>
    <row r="3012" spans="1:15" x14ac:dyDescent="0.2">
      <c r="A3012" s="10" t="s">
        <v>1290</v>
      </c>
      <c r="B3012" s="10" t="s">
        <v>407</v>
      </c>
      <c r="C3012" s="10" t="s">
        <v>112</v>
      </c>
      <c r="D3012" s="10" t="s">
        <v>51</v>
      </c>
      <c r="E3012" s="10" t="s">
        <v>52</v>
      </c>
      <c r="F3012" s="10" t="s">
        <v>251</v>
      </c>
      <c r="G3012" s="10" t="b">
        <f>FALSE()</f>
        <v>0</v>
      </c>
      <c r="H3012" s="10">
        <v>0</v>
      </c>
      <c r="I3012" s="10">
        <v>1</v>
      </c>
      <c r="J3012" s="10">
        <v>0</v>
      </c>
      <c r="K3012" s="10">
        <v>0</v>
      </c>
      <c r="L3012" s="10">
        <v>0</v>
      </c>
      <c r="M3012" s="10">
        <v>1</v>
      </c>
      <c r="N3012" s="10">
        <v>18</v>
      </c>
      <c r="O3012" s="10">
        <v>18</v>
      </c>
    </row>
    <row r="3013" spans="1:15" x14ac:dyDescent="0.2">
      <c r="A3013" s="10" t="s">
        <v>1376</v>
      </c>
      <c r="B3013" s="10" t="s">
        <v>547</v>
      </c>
      <c r="C3013" s="10" t="s">
        <v>112</v>
      </c>
      <c r="D3013" s="10" t="s">
        <v>51</v>
      </c>
      <c r="E3013" s="10" t="s">
        <v>52</v>
      </c>
      <c r="F3013" s="10" t="s">
        <v>113</v>
      </c>
      <c r="G3013" s="10" t="b">
        <f>TRUE()</f>
        <v>1</v>
      </c>
      <c r="H3013" s="10">
        <v>0</v>
      </c>
      <c r="I3013" s="10">
        <v>1</v>
      </c>
      <c r="J3013" s="10">
        <v>0</v>
      </c>
      <c r="K3013" s="10">
        <v>0</v>
      </c>
      <c r="L3013" s="10">
        <v>0</v>
      </c>
      <c r="M3013" s="10">
        <v>1</v>
      </c>
      <c r="N3013" s="10">
        <v>19</v>
      </c>
      <c r="O3013" s="10">
        <v>18</v>
      </c>
    </row>
    <row r="3014" spans="1:15" x14ac:dyDescent="0.2">
      <c r="A3014" s="10" t="s">
        <v>1260</v>
      </c>
      <c r="B3014" s="10" t="s">
        <v>385</v>
      </c>
      <c r="C3014" s="10" t="s">
        <v>90</v>
      </c>
      <c r="D3014" s="10" t="s">
        <v>51</v>
      </c>
      <c r="E3014" s="10" t="s">
        <v>52</v>
      </c>
      <c r="F3014" s="10" t="s">
        <v>207</v>
      </c>
      <c r="G3014" s="10" t="b">
        <f>FALSE()</f>
        <v>0</v>
      </c>
      <c r="H3014" s="10">
        <v>0</v>
      </c>
      <c r="I3014" s="10">
        <v>1</v>
      </c>
      <c r="J3014" s="10">
        <v>0</v>
      </c>
      <c r="K3014" s="10">
        <v>0</v>
      </c>
      <c r="L3014" s="10">
        <v>0</v>
      </c>
      <c r="M3014" s="10">
        <v>1</v>
      </c>
      <c r="N3014" s="10">
        <v>18</v>
      </c>
      <c r="O3014" s="10">
        <v>18</v>
      </c>
    </row>
    <row r="3015" spans="1:15" x14ac:dyDescent="0.2">
      <c r="A3015" s="10" t="s">
        <v>1059</v>
      </c>
      <c r="B3015" s="10" t="s">
        <v>109</v>
      </c>
      <c r="C3015" s="10" t="s">
        <v>90</v>
      </c>
      <c r="D3015" s="10" t="s">
        <v>51</v>
      </c>
      <c r="E3015" s="10" t="s">
        <v>52</v>
      </c>
      <c r="F3015" s="10" t="s">
        <v>190</v>
      </c>
      <c r="G3015" s="10" t="b">
        <f>TRUE()</f>
        <v>1</v>
      </c>
      <c r="H3015" s="10">
        <v>0</v>
      </c>
      <c r="I3015" s="10">
        <v>1</v>
      </c>
      <c r="J3015" s="10">
        <v>0</v>
      </c>
      <c r="K3015" s="10">
        <v>0</v>
      </c>
      <c r="L3015" s="10">
        <v>0</v>
      </c>
      <c r="M3015" s="10">
        <v>1</v>
      </c>
      <c r="N3015" s="10">
        <v>18</v>
      </c>
      <c r="O3015" s="10">
        <v>18</v>
      </c>
    </row>
    <row r="3016" spans="1:15" x14ac:dyDescent="0.2">
      <c r="A3016" s="10" t="s">
        <v>1165</v>
      </c>
      <c r="B3016" s="10" t="s">
        <v>136</v>
      </c>
      <c r="C3016" s="10" t="s">
        <v>73</v>
      </c>
      <c r="D3016" s="10" t="s">
        <v>45</v>
      </c>
      <c r="E3016" s="10" t="s">
        <v>46</v>
      </c>
      <c r="F3016" s="10" t="s">
        <v>393</v>
      </c>
      <c r="G3016" s="10" t="b">
        <f>FALSE()</f>
        <v>0</v>
      </c>
      <c r="H3016" s="10">
        <v>0</v>
      </c>
      <c r="I3016" s="10">
        <v>1</v>
      </c>
      <c r="J3016" s="10">
        <v>0</v>
      </c>
      <c r="K3016" s="10">
        <v>0</v>
      </c>
      <c r="L3016" s="10">
        <v>0</v>
      </c>
      <c r="M3016" s="10">
        <v>1</v>
      </c>
      <c r="N3016" s="10">
        <v>18</v>
      </c>
      <c r="O3016" s="10">
        <v>18</v>
      </c>
    </row>
    <row r="3017" spans="1:15" x14ac:dyDescent="0.2">
      <c r="A3017" s="10" t="s">
        <v>1274</v>
      </c>
      <c r="B3017" s="10" t="s">
        <v>72</v>
      </c>
      <c r="C3017" s="10" t="s">
        <v>73</v>
      </c>
      <c r="D3017" s="10" t="s">
        <v>45</v>
      </c>
      <c r="E3017" s="10" t="s">
        <v>46</v>
      </c>
      <c r="F3017" s="10" t="s">
        <v>190</v>
      </c>
      <c r="G3017" s="10" t="b">
        <f>TRUE()</f>
        <v>1</v>
      </c>
      <c r="H3017" s="10">
        <v>0</v>
      </c>
      <c r="I3017" s="10">
        <v>1</v>
      </c>
      <c r="J3017" s="10">
        <v>0</v>
      </c>
      <c r="K3017" s="10">
        <v>0</v>
      </c>
      <c r="L3017" s="10">
        <v>0</v>
      </c>
      <c r="M3017" s="10">
        <v>1</v>
      </c>
      <c r="N3017" s="10">
        <v>18</v>
      </c>
      <c r="O3017" s="10">
        <v>18</v>
      </c>
    </row>
    <row r="3018" spans="1:15" x14ac:dyDescent="0.2">
      <c r="A3018" s="10" t="s">
        <v>1374</v>
      </c>
      <c r="B3018" s="10" t="s">
        <v>55</v>
      </c>
      <c r="C3018" s="10" t="s">
        <v>56</v>
      </c>
      <c r="D3018" s="10" t="s">
        <v>45</v>
      </c>
      <c r="E3018" s="10" t="s">
        <v>46</v>
      </c>
      <c r="F3018" s="10" t="s">
        <v>1311</v>
      </c>
      <c r="G3018" s="10" t="b">
        <f>TRUE()</f>
        <v>1</v>
      </c>
      <c r="H3018" s="10">
        <v>0</v>
      </c>
      <c r="I3018" s="10">
        <v>1</v>
      </c>
      <c r="J3018" s="10">
        <v>0</v>
      </c>
      <c r="K3018" s="10">
        <v>0</v>
      </c>
      <c r="L3018" s="10">
        <v>0</v>
      </c>
      <c r="M3018" s="10">
        <v>1</v>
      </c>
      <c r="N3018" s="10">
        <v>20</v>
      </c>
      <c r="O3018" s="10">
        <v>18</v>
      </c>
    </row>
    <row r="3019" spans="1:15" x14ac:dyDescent="0.2">
      <c r="A3019" s="10" t="s">
        <v>1121</v>
      </c>
      <c r="B3019" s="10" t="s">
        <v>55</v>
      </c>
      <c r="C3019" s="10" t="s">
        <v>56</v>
      </c>
      <c r="D3019" s="10" t="s">
        <v>45</v>
      </c>
      <c r="E3019" s="10" t="s">
        <v>46</v>
      </c>
      <c r="F3019" s="10" t="s">
        <v>74</v>
      </c>
      <c r="G3019" s="10" t="b">
        <f>FALSE()</f>
        <v>0</v>
      </c>
      <c r="H3019" s="10">
        <v>0</v>
      </c>
      <c r="I3019" s="10">
        <v>1</v>
      </c>
      <c r="J3019" s="10">
        <v>0</v>
      </c>
      <c r="K3019" s="10">
        <v>0</v>
      </c>
      <c r="L3019" s="10">
        <v>0</v>
      </c>
      <c r="M3019" s="10">
        <v>1</v>
      </c>
      <c r="N3019" s="10">
        <v>18</v>
      </c>
      <c r="O3019" s="10">
        <v>18</v>
      </c>
    </row>
    <row r="3020" spans="1:15" x14ac:dyDescent="0.2">
      <c r="A3020" s="10" t="s">
        <v>254</v>
      </c>
      <c r="B3020" s="10" t="s">
        <v>119</v>
      </c>
      <c r="C3020" s="10" t="s">
        <v>56</v>
      </c>
      <c r="D3020" s="10" t="s">
        <v>45</v>
      </c>
      <c r="E3020" s="10" t="s">
        <v>46</v>
      </c>
      <c r="F3020" s="10" t="s">
        <v>79</v>
      </c>
      <c r="G3020" s="10" t="b">
        <f>FALSE()</f>
        <v>0</v>
      </c>
      <c r="H3020" s="10">
        <v>0</v>
      </c>
      <c r="I3020" s="10">
        <v>1</v>
      </c>
      <c r="J3020" s="10">
        <v>0</v>
      </c>
      <c r="K3020" s="10">
        <v>0</v>
      </c>
      <c r="L3020" s="10">
        <v>0</v>
      </c>
      <c r="M3020" s="10">
        <v>1</v>
      </c>
      <c r="N3020" s="10">
        <v>18</v>
      </c>
      <c r="O3020" s="10">
        <v>18</v>
      </c>
    </row>
    <row r="3021" spans="1:15" x14ac:dyDescent="0.2">
      <c r="A3021" s="10" t="s">
        <v>853</v>
      </c>
      <c r="B3021" s="10" t="s">
        <v>456</v>
      </c>
      <c r="C3021" s="10" t="s">
        <v>245</v>
      </c>
      <c r="D3021" s="10" t="s">
        <v>51</v>
      </c>
      <c r="E3021" s="10" t="s">
        <v>52</v>
      </c>
      <c r="F3021" s="10" t="s">
        <v>1292</v>
      </c>
      <c r="G3021" s="10" t="b">
        <f>FALSE()</f>
        <v>0</v>
      </c>
      <c r="H3021" s="10">
        <v>0</v>
      </c>
      <c r="I3021" s="10">
        <v>1</v>
      </c>
      <c r="J3021" s="10">
        <v>0</v>
      </c>
      <c r="K3021" s="10">
        <v>0</v>
      </c>
      <c r="L3021" s="10">
        <v>0</v>
      </c>
      <c r="M3021" s="10">
        <v>1</v>
      </c>
      <c r="N3021" s="10">
        <v>17</v>
      </c>
      <c r="O3021" s="10">
        <v>17</v>
      </c>
    </row>
    <row r="3022" spans="1:15" x14ac:dyDescent="0.2">
      <c r="A3022" s="10" t="s">
        <v>411</v>
      </c>
      <c r="B3022" s="10" t="s">
        <v>60</v>
      </c>
      <c r="C3022" s="10" t="s">
        <v>50</v>
      </c>
      <c r="D3022" s="10" t="s">
        <v>51</v>
      </c>
      <c r="E3022" s="10" t="s">
        <v>52</v>
      </c>
      <c r="F3022" s="10" t="s">
        <v>91</v>
      </c>
      <c r="G3022" s="10" t="b">
        <f>TRUE()</f>
        <v>1</v>
      </c>
      <c r="H3022" s="10">
        <v>0</v>
      </c>
      <c r="I3022" s="10">
        <v>1</v>
      </c>
      <c r="J3022" s="10">
        <v>0</v>
      </c>
      <c r="K3022" s="10">
        <v>0</v>
      </c>
      <c r="L3022" s="10">
        <v>0</v>
      </c>
      <c r="M3022" s="10">
        <v>1</v>
      </c>
      <c r="N3022" s="10">
        <v>17</v>
      </c>
      <c r="O3022" s="10">
        <v>17</v>
      </c>
    </row>
    <row r="3023" spans="1:15" x14ac:dyDescent="0.2">
      <c r="A3023" s="10" t="s">
        <v>691</v>
      </c>
      <c r="B3023" s="10" t="s">
        <v>136</v>
      </c>
      <c r="C3023" s="10" t="s">
        <v>73</v>
      </c>
      <c r="D3023" s="10" t="s">
        <v>45</v>
      </c>
      <c r="E3023" s="10" t="s">
        <v>46</v>
      </c>
      <c r="F3023" s="10" t="s">
        <v>1118</v>
      </c>
      <c r="G3023" s="10" t="b">
        <f>FALSE()</f>
        <v>0</v>
      </c>
      <c r="H3023" s="10">
        <v>0</v>
      </c>
      <c r="I3023" s="10">
        <v>1</v>
      </c>
      <c r="J3023" s="10">
        <v>0</v>
      </c>
      <c r="K3023" s="10">
        <v>0</v>
      </c>
      <c r="L3023" s="10">
        <v>0</v>
      </c>
      <c r="M3023" s="10">
        <v>1</v>
      </c>
      <c r="N3023" s="10">
        <v>17</v>
      </c>
      <c r="O3023" s="10">
        <v>17</v>
      </c>
    </row>
    <row r="3024" spans="1:15" x14ac:dyDescent="0.2">
      <c r="A3024" s="10" t="s">
        <v>901</v>
      </c>
      <c r="B3024" s="10" t="s">
        <v>902</v>
      </c>
      <c r="C3024" s="10" t="s">
        <v>50</v>
      </c>
      <c r="D3024" s="10" t="s">
        <v>51</v>
      </c>
      <c r="E3024" s="10" t="s">
        <v>52</v>
      </c>
      <c r="F3024" s="10" t="s">
        <v>153</v>
      </c>
      <c r="G3024" s="10" t="b">
        <f>FALSE()</f>
        <v>0</v>
      </c>
      <c r="H3024" s="10">
        <v>0</v>
      </c>
      <c r="I3024" s="10">
        <v>1</v>
      </c>
      <c r="J3024" s="10">
        <v>0</v>
      </c>
      <c r="K3024" s="10">
        <v>0</v>
      </c>
      <c r="L3024" s="10">
        <v>0</v>
      </c>
      <c r="M3024" s="10">
        <v>1</v>
      </c>
      <c r="N3024" s="10">
        <v>17</v>
      </c>
      <c r="O3024" s="10">
        <v>17</v>
      </c>
    </row>
    <row r="3025" spans="1:15" x14ac:dyDescent="0.2">
      <c r="A3025" s="10" t="s">
        <v>1377</v>
      </c>
      <c r="B3025" s="10" t="s">
        <v>111</v>
      </c>
      <c r="C3025" s="10" t="s">
        <v>112</v>
      </c>
      <c r="D3025" s="10" t="s">
        <v>51</v>
      </c>
      <c r="E3025" s="10" t="s">
        <v>52</v>
      </c>
      <c r="F3025" s="10" t="s">
        <v>123</v>
      </c>
      <c r="G3025" s="10" t="b">
        <f>FALSE()</f>
        <v>0</v>
      </c>
      <c r="H3025" s="10">
        <v>0</v>
      </c>
      <c r="I3025" s="10">
        <v>1</v>
      </c>
      <c r="J3025" s="10">
        <v>0</v>
      </c>
      <c r="K3025" s="10">
        <v>0</v>
      </c>
      <c r="L3025" s="10">
        <v>0</v>
      </c>
      <c r="M3025" s="10">
        <v>1</v>
      </c>
      <c r="N3025" s="10">
        <v>17</v>
      </c>
      <c r="O3025" s="10">
        <v>17</v>
      </c>
    </row>
    <row r="3026" spans="1:15" x14ac:dyDescent="0.2">
      <c r="A3026" s="10" t="s">
        <v>1378</v>
      </c>
      <c r="B3026" s="10" t="s">
        <v>477</v>
      </c>
      <c r="C3026" s="10" t="s">
        <v>50</v>
      </c>
      <c r="D3026" s="10" t="s">
        <v>51</v>
      </c>
      <c r="E3026" s="10" t="s">
        <v>52</v>
      </c>
      <c r="F3026" s="10" t="s">
        <v>65</v>
      </c>
      <c r="G3026" s="10" t="b">
        <f>FALSE()</f>
        <v>0</v>
      </c>
      <c r="H3026" s="10">
        <v>0</v>
      </c>
      <c r="I3026" s="10">
        <v>1</v>
      </c>
      <c r="J3026" s="10">
        <v>0</v>
      </c>
      <c r="K3026" s="10">
        <v>0</v>
      </c>
      <c r="L3026" s="10">
        <v>0</v>
      </c>
      <c r="M3026" s="10">
        <v>1</v>
      </c>
      <c r="N3026" s="10">
        <v>17</v>
      </c>
      <c r="O3026" s="10">
        <v>17</v>
      </c>
    </row>
    <row r="3027" spans="1:15" x14ac:dyDescent="0.2">
      <c r="A3027" s="10" t="s">
        <v>1268</v>
      </c>
      <c r="B3027" s="10" t="s">
        <v>498</v>
      </c>
      <c r="C3027" s="10" t="s">
        <v>245</v>
      </c>
      <c r="D3027" s="10" t="s">
        <v>51</v>
      </c>
      <c r="E3027" s="10" t="s">
        <v>52</v>
      </c>
      <c r="F3027" s="10" t="s">
        <v>749</v>
      </c>
      <c r="G3027" s="10" t="b">
        <f>TRUE()</f>
        <v>1</v>
      </c>
      <c r="H3027" s="10">
        <v>0</v>
      </c>
      <c r="I3027" s="10">
        <v>1</v>
      </c>
      <c r="J3027" s="10">
        <v>0</v>
      </c>
      <c r="K3027" s="10">
        <v>0</v>
      </c>
      <c r="L3027" s="10">
        <v>0</v>
      </c>
      <c r="M3027" s="10">
        <v>1</v>
      </c>
      <c r="N3027" s="10">
        <v>17</v>
      </c>
      <c r="O3027" s="10">
        <v>17</v>
      </c>
    </row>
    <row r="3028" spans="1:15" x14ac:dyDescent="0.2">
      <c r="A3028" s="10" t="s">
        <v>1061</v>
      </c>
      <c r="B3028" s="10" t="s">
        <v>262</v>
      </c>
      <c r="C3028" s="10" t="s">
        <v>105</v>
      </c>
      <c r="D3028" s="10" t="s">
        <v>45</v>
      </c>
      <c r="E3028" s="10" t="s">
        <v>46</v>
      </c>
      <c r="F3028" s="10" t="s">
        <v>481</v>
      </c>
      <c r="G3028" s="10" t="b">
        <f>FALSE()</f>
        <v>0</v>
      </c>
      <c r="H3028" s="10">
        <v>0</v>
      </c>
      <c r="I3028" s="10">
        <v>1</v>
      </c>
      <c r="J3028" s="10">
        <v>0</v>
      </c>
      <c r="K3028" s="10">
        <v>0</v>
      </c>
      <c r="L3028" s="10">
        <v>0</v>
      </c>
      <c r="M3028" s="10">
        <v>1</v>
      </c>
      <c r="N3028" s="10">
        <v>20</v>
      </c>
      <c r="O3028" s="10">
        <v>17</v>
      </c>
    </row>
    <row r="3029" spans="1:15" x14ac:dyDescent="0.2">
      <c r="A3029" s="10" t="s">
        <v>1196</v>
      </c>
      <c r="B3029" s="10" t="s">
        <v>104</v>
      </c>
      <c r="C3029" s="10" t="s">
        <v>105</v>
      </c>
      <c r="D3029" s="10" t="s">
        <v>45</v>
      </c>
      <c r="E3029" s="10" t="s">
        <v>46</v>
      </c>
      <c r="F3029" s="10" t="s">
        <v>1335</v>
      </c>
      <c r="G3029" s="10" t="b">
        <f>FALSE()</f>
        <v>0</v>
      </c>
      <c r="H3029" s="10">
        <v>0</v>
      </c>
      <c r="I3029" s="10">
        <v>1</v>
      </c>
      <c r="J3029" s="10">
        <v>0</v>
      </c>
      <c r="K3029" s="10">
        <v>0</v>
      </c>
      <c r="L3029" s="10">
        <v>0</v>
      </c>
      <c r="M3029" s="10">
        <v>1</v>
      </c>
      <c r="N3029" s="10">
        <v>17</v>
      </c>
      <c r="O3029" s="10">
        <v>17</v>
      </c>
    </row>
    <row r="3030" spans="1:15" x14ac:dyDescent="0.2">
      <c r="A3030" s="10" t="s">
        <v>131</v>
      </c>
      <c r="B3030" s="10" t="s">
        <v>70</v>
      </c>
      <c r="C3030" s="10" t="s">
        <v>70</v>
      </c>
      <c r="D3030" s="10" t="s">
        <v>45</v>
      </c>
      <c r="E3030" s="10" t="s">
        <v>46</v>
      </c>
      <c r="F3030" s="10" t="s">
        <v>1346</v>
      </c>
      <c r="G3030" s="10" t="b">
        <f>TRUE()</f>
        <v>1</v>
      </c>
      <c r="H3030" s="10">
        <v>0</v>
      </c>
      <c r="I3030" s="10">
        <v>1</v>
      </c>
      <c r="J3030" s="10">
        <v>0</v>
      </c>
      <c r="K3030" s="10">
        <v>0</v>
      </c>
      <c r="L3030" s="10">
        <v>0</v>
      </c>
      <c r="M3030" s="10">
        <v>1</v>
      </c>
      <c r="N3030" s="10">
        <v>18</v>
      </c>
      <c r="O3030" s="10">
        <v>16</v>
      </c>
    </row>
    <row r="3031" spans="1:15" x14ac:dyDescent="0.2">
      <c r="A3031" s="10" t="s">
        <v>1262</v>
      </c>
      <c r="B3031" s="10" t="s">
        <v>193</v>
      </c>
      <c r="C3031" s="10" t="s">
        <v>117</v>
      </c>
      <c r="D3031" s="10" t="s">
        <v>51</v>
      </c>
      <c r="E3031" s="10" t="s">
        <v>52</v>
      </c>
      <c r="F3031" s="10" t="s">
        <v>660</v>
      </c>
      <c r="G3031" s="10" t="b">
        <f>FALSE()</f>
        <v>0</v>
      </c>
      <c r="H3031" s="10">
        <v>0</v>
      </c>
      <c r="I3031" s="10">
        <v>1</v>
      </c>
      <c r="J3031" s="10">
        <v>0</v>
      </c>
      <c r="K3031" s="10">
        <v>0</v>
      </c>
      <c r="L3031" s="10">
        <v>0</v>
      </c>
      <c r="M3031" s="10">
        <v>1</v>
      </c>
      <c r="N3031" s="10">
        <v>16</v>
      </c>
      <c r="O3031" s="10">
        <v>16</v>
      </c>
    </row>
    <row r="3032" spans="1:15" x14ac:dyDescent="0.2">
      <c r="A3032" s="10" t="s">
        <v>1260</v>
      </c>
      <c r="B3032" s="10" t="s">
        <v>385</v>
      </c>
      <c r="C3032" s="10" t="s">
        <v>90</v>
      </c>
      <c r="D3032" s="10" t="s">
        <v>51</v>
      </c>
      <c r="E3032" s="10" t="s">
        <v>52</v>
      </c>
      <c r="F3032" s="10" t="s">
        <v>186</v>
      </c>
      <c r="G3032" s="10" t="b">
        <f>TRUE()</f>
        <v>1</v>
      </c>
      <c r="H3032" s="10">
        <v>0</v>
      </c>
      <c r="I3032" s="10">
        <v>1</v>
      </c>
      <c r="J3032" s="10">
        <v>0</v>
      </c>
      <c r="K3032" s="10">
        <v>0</v>
      </c>
      <c r="L3032" s="10">
        <v>0</v>
      </c>
      <c r="M3032" s="10">
        <v>1</v>
      </c>
      <c r="N3032" s="10">
        <v>16</v>
      </c>
      <c r="O3032" s="10">
        <v>16</v>
      </c>
    </row>
    <row r="3033" spans="1:15" x14ac:dyDescent="0.2">
      <c r="A3033" s="10" t="s">
        <v>1190</v>
      </c>
      <c r="B3033" s="10" t="s">
        <v>321</v>
      </c>
      <c r="C3033" s="10" t="s">
        <v>245</v>
      </c>
      <c r="D3033" s="10" t="s">
        <v>51</v>
      </c>
      <c r="E3033" s="10" t="s">
        <v>52</v>
      </c>
      <c r="F3033" s="10" t="s">
        <v>1379</v>
      </c>
      <c r="G3033" s="10" t="b">
        <f>FALSE()</f>
        <v>0</v>
      </c>
      <c r="H3033" s="10">
        <v>0</v>
      </c>
      <c r="I3033" s="10">
        <v>1</v>
      </c>
      <c r="J3033" s="10">
        <v>0</v>
      </c>
      <c r="K3033" s="10">
        <v>0</v>
      </c>
      <c r="L3033" s="10">
        <v>0</v>
      </c>
      <c r="M3033" s="10">
        <v>1</v>
      </c>
      <c r="N3033" s="10">
        <v>16</v>
      </c>
      <c r="O3033" s="10">
        <v>16</v>
      </c>
    </row>
    <row r="3034" spans="1:15" x14ac:dyDescent="0.2">
      <c r="A3034" s="10" t="s">
        <v>1294</v>
      </c>
      <c r="B3034" s="10" t="s">
        <v>456</v>
      </c>
      <c r="C3034" s="10" t="s">
        <v>245</v>
      </c>
      <c r="D3034" s="10" t="s">
        <v>51</v>
      </c>
      <c r="E3034" s="10" t="s">
        <v>52</v>
      </c>
      <c r="F3034" s="10" t="s">
        <v>92</v>
      </c>
      <c r="G3034" s="10" t="b">
        <f>FALSE()</f>
        <v>0</v>
      </c>
      <c r="H3034" s="10">
        <v>0</v>
      </c>
      <c r="I3034" s="10">
        <v>1</v>
      </c>
      <c r="J3034" s="10">
        <v>0</v>
      </c>
      <c r="K3034" s="10">
        <v>0</v>
      </c>
      <c r="L3034" s="10">
        <v>0</v>
      </c>
      <c r="M3034" s="10">
        <v>1</v>
      </c>
      <c r="N3034" s="10">
        <v>15</v>
      </c>
      <c r="O3034" s="10">
        <v>16</v>
      </c>
    </row>
    <row r="3035" spans="1:15" x14ac:dyDescent="0.2">
      <c r="A3035" s="10" t="s">
        <v>1227</v>
      </c>
      <c r="B3035" s="10" t="s">
        <v>104</v>
      </c>
      <c r="C3035" s="10" t="s">
        <v>105</v>
      </c>
      <c r="D3035" s="10" t="s">
        <v>45</v>
      </c>
      <c r="E3035" s="10" t="s">
        <v>46</v>
      </c>
      <c r="F3035" s="10" t="s">
        <v>79</v>
      </c>
      <c r="G3035" s="10" t="b">
        <f>FALSE()</f>
        <v>0</v>
      </c>
      <c r="H3035" s="10">
        <v>0</v>
      </c>
      <c r="I3035" s="10">
        <v>1</v>
      </c>
      <c r="J3035" s="10">
        <v>0</v>
      </c>
      <c r="K3035" s="10">
        <v>0</v>
      </c>
      <c r="L3035" s="10">
        <v>0</v>
      </c>
      <c r="M3035" s="10">
        <v>1</v>
      </c>
      <c r="N3035" s="10">
        <v>16</v>
      </c>
      <c r="O3035" s="10">
        <v>16</v>
      </c>
    </row>
    <row r="3036" spans="1:15" x14ac:dyDescent="0.2">
      <c r="A3036" s="10" t="s">
        <v>1237</v>
      </c>
      <c r="B3036" s="10" t="s">
        <v>70</v>
      </c>
      <c r="C3036" s="10" t="s">
        <v>70</v>
      </c>
      <c r="D3036" s="10" t="s">
        <v>45</v>
      </c>
      <c r="E3036" s="10" t="s">
        <v>46</v>
      </c>
      <c r="F3036" s="10" t="s">
        <v>61</v>
      </c>
      <c r="G3036" s="10" t="b">
        <f>FALSE()</f>
        <v>0</v>
      </c>
      <c r="H3036" s="10">
        <v>0</v>
      </c>
      <c r="I3036" s="10">
        <v>1</v>
      </c>
      <c r="J3036" s="10">
        <v>0</v>
      </c>
      <c r="K3036" s="10">
        <v>0</v>
      </c>
      <c r="L3036" s="10">
        <v>0</v>
      </c>
      <c r="M3036" s="10">
        <v>1</v>
      </c>
      <c r="N3036" s="10">
        <v>16</v>
      </c>
      <c r="O3036" s="10">
        <v>16</v>
      </c>
    </row>
    <row r="3037" spans="1:15" x14ac:dyDescent="0.2">
      <c r="A3037" s="10" t="s">
        <v>1288</v>
      </c>
      <c r="B3037" s="10" t="s">
        <v>70</v>
      </c>
      <c r="C3037" s="10" t="s">
        <v>70</v>
      </c>
      <c r="D3037" s="10" t="s">
        <v>45</v>
      </c>
      <c r="E3037" s="10" t="s">
        <v>46</v>
      </c>
      <c r="F3037" s="10" t="s">
        <v>75</v>
      </c>
      <c r="G3037" s="10" t="b">
        <f>FALSE()</f>
        <v>0</v>
      </c>
      <c r="H3037" s="10">
        <v>0</v>
      </c>
      <c r="I3037" s="10">
        <v>1</v>
      </c>
      <c r="J3037" s="10">
        <v>0</v>
      </c>
      <c r="K3037" s="10">
        <v>0</v>
      </c>
      <c r="L3037" s="10">
        <v>0</v>
      </c>
      <c r="M3037" s="10">
        <v>1</v>
      </c>
      <c r="N3037" s="10">
        <v>16</v>
      </c>
      <c r="O3037" s="10">
        <v>16</v>
      </c>
    </row>
    <row r="3038" spans="1:15" x14ac:dyDescent="0.2">
      <c r="A3038" s="10" t="s">
        <v>853</v>
      </c>
      <c r="B3038" s="10" t="s">
        <v>456</v>
      </c>
      <c r="C3038" s="10" t="s">
        <v>245</v>
      </c>
      <c r="D3038" s="10" t="s">
        <v>51</v>
      </c>
      <c r="E3038" s="10" t="s">
        <v>52</v>
      </c>
      <c r="F3038" s="10" t="s">
        <v>75</v>
      </c>
      <c r="G3038" s="10" t="b">
        <f>FALSE()</f>
        <v>0</v>
      </c>
      <c r="H3038" s="10">
        <v>0</v>
      </c>
      <c r="I3038" s="10">
        <v>1</v>
      </c>
      <c r="J3038" s="10">
        <v>0</v>
      </c>
      <c r="K3038" s="10">
        <v>0</v>
      </c>
      <c r="L3038" s="10">
        <v>0</v>
      </c>
      <c r="M3038" s="10">
        <v>1</v>
      </c>
      <c r="N3038" s="10">
        <v>15</v>
      </c>
      <c r="O3038" s="10">
        <v>15</v>
      </c>
    </row>
    <row r="3039" spans="1:15" x14ac:dyDescent="0.2">
      <c r="A3039" s="10" t="s">
        <v>135</v>
      </c>
      <c r="B3039" s="10" t="s">
        <v>136</v>
      </c>
      <c r="C3039" s="10" t="s">
        <v>73</v>
      </c>
      <c r="D3039" s="10" t="s">
        <v>45</v>
      </c>
      <c r="E3039" s="10" t="s">
        <v>46</v>
      </c>
      <c r="F3039" s="10" t="s">
        <v>214</v>
      </c>
      <c r="G3039" s="10" t="b">
        <f>FALSE()</f>
        <v>0</v>
      </c>
      <c r="H3039" s="10">
        <v>0</v>
      </c>
      <c r="I3039" s="10">
        <v>1</v>
      </c>
      <c r="J3039" s="10">
        <v>0</v>
      </c>
      <c r="K3039" s="10">
        <v>0</v>
      </c>
      <c r="L3039" s="10">
        <v>0</v>
      </c>
      <c r="M3039" s="10">
        <v>1</v>
      </c>
      <c r="N3039" s="10">
        <v>15</v>
      </c>
      <c r="O3039" s="10">
        <v>15</v>
      </c>
    </row>
    <row r="3040" spans="1:15" x14ac:dyDescent="0.2">
      <c r="A3040" s="10" t="s">
        <v>796</v>
      </c>
      <c r="B3040" s="10" t="s">
        <v>72</v>
      </c>
      <c r="C3040" s="10" t="s">
        <v>73</v>
      </c>
      <c r="D3040" s="10" t="s">
        <v>45</v>
      </c>
      <c r="E3040" s="10" t="s">
        <v>46</v>
      </c>
      <c r="F3040" s="10" t="s">
        <v>91</v>
      </c>
      <c r="G3040" s="10" t="b">
        <f>TRUE()</f>
        <v>1</v>
      </c>
      <c r="H3040" s="10">
        <v>0</v>
      </c>
      <c r="I3040" s="10">
        <v>1</v>
      </c>
      <c r="J3040" s="10">
        <v>0</v>
      </c>
      <c r="K3040" s="10">
        <v>0</v>
      </c>
      <c r="L3040" s="10">
        <v>0</v>
      </c>
      <c r="M3040" s="10">
        <v>1</v>
      </c>
      <c r="N3040" s="10">
        <v>15</v>
      </c>
      <c r="O3040" s="10">
        <v>15</v>
      </c>
    </row>
    <row r="3041" spans="1:15" x14ac:dyDescent="0.2">
      <c r="A3041" s="10" t="s">
        <v>811</v>
      </c>
      <c r="B3041" s="10" t="s">
        <v>128</v>
      </c>
      <c r="C3041" s="10" t="s">
        <v>50</v>
      </c>
      <c r="D3041" s="10" t="s">
        <v>51</v>
      </c>
      <c r="E3041" s="10" t="s">
        <v>52</v>
      </c>
      <c r="F3041" s="10" t="s">
        <v>79</v>
      </c>
      <c r="G3041" s="10" t="b">
        <f>FALSE()</f>
        <v>0</v>
      </c>
      <c r="H3041" s="10">
        <v>0</v>
      </c>
      <c r="I3041" s="10">
        <v>1</v>
      </c>
      <c r="J3041" s="10">
        <v>0</v>
      </c>
      <c r="K3041" s="10">
        <v>0</v>
      </c>
      <c r="L3041" s="10">
        <v>0</v>
      </c>
      <c r="M3041" s="10">
        <v>1</v>
      </c>
      <c r="N3041" s="10">
        <v>15</v>
      </c>
      <c r="O3041" s="10">
        <v>15</v>
      </c>
    </row>
    <row r="3042" spans="1:15" x14ac:dyDescent="0.2">
      <c r="A3042" s="10" t="s">
        <v>1380</v>
      </c>
      <c r="B3042" s="10" t="s">
        <v>671</v>
      </c>
      <c r="C3042" s="10" t="s">
        <v>117</v>
      </c>
      <c r="D3042" s="10" t="s">
        <v>51</v>
      </c>
      <c r="E3042" s="10" t="s">
        <v>52</v>
      </c>
      <c r="F3042" s="10" t="s">
        <v>183</v>
      </c>
      <c r="G3042" s="10" t="b">
        <f>FALSE()</f>
        <v>0</v>
      </c>
      <c r="H3042" s="10">
        <v>0</v>
      </c>
      <c r="I3042" s="10">
        <v>1</v>
      </c>
      <c r="J3042" s="10">
        <v>0</v>
      </c>
      <c r="K3042" s="10">
        <v>0</v>
      </c>
      <c r="L3042" s="10">
        <v>0</v>
      </c>
      <c r="M3042" s="10">
        <v>1</v>
      </c>
      <c r="N3042" s="10">
        <v>42</v>
      </c>
      <c r="O3042" s="10">
        <v>15</v>
      </c>
    </row>
    <row r="3043" spans="1:15" x14ac:dyDescent="0.2">
      <c r="A3043" s="10" t="s">
        <v>1381</v>
      </c>
      <c r="B3043" s="10" t="s">
        <v>407</v>
      </c>
      <c r="C3043" s="10" t="s">
        <v>112</v>
      </c>
      <c r="D3043" s="10" t="s">
        <v>51</v>
      </c>
      <c r="E3043" s="10" t="s">
        <v>52</v>
      </c>
      <c r="F3043" s="10" t="s">
        <v>223</v>
      </c>
      <c r="G3043" s="10" t="b">
        <f>FALSE()</f>
        <v>0</v>
      </c>
      <c r="H3043" s="10">
        <v>0</v>
      </c>
      <c r="I3043" s="10">
        <v>1</v>
      </c>
      <c r="J3043" s="10">
        <v>0</v>
      </c>
      <c r="K3043" s="10">
        <v>0</v>
      </c>
      <c r="L3043" s="10">
        <v>0</v>
      </c>
      <c r="M3043" s="10">
        <v>1</v>
      </c>
      <c r="N3043" s="10">
        <v>15</v>
      </c>
      <c r="O3043" s="10">
        <v>15</v>
      </c>
    </row>
    <row r="3044" spans="1:15" x14ac:dyDescent="0.2">
      <c r="A3044" s="10" t="s">
        <v>1327</v>
      </c>
      <c r="B3044" s="10" t="s">
        <v>587</v>
      </c>
      <c r="C3044" s="10" t="s">
        <v>50</v>
      </c>
      <c r="D3044" s="10" t="s">
        <v>51</v>
      </c>
      <c r="E3044" s="10" t="s">
        <v>52</v>
      </c>
      <c r="F3044" s="10" t="s">
        <v>345</v>
      </c>
      <c r="G3044" s="10" t="b">
        <f>FALSE()</f>
        <v>0</v>
      </c>
      <c r="H3044" s="10">
        <v>0</v>
      </c>
      <c r="I3044" s="10">
        <v>1</v>
      </c>
      <c r="J3044" s="10">
        <v>0</v>
      </c>
      <c r="K3044" s="10">
        <v>0</v>
      </c>
      <c r="L3044" s="10">
        <v>0</v>
      </c>
      <c r="M3044" s="10">
        <v>1</v>
      </c>
      <c r="N3044" s="10">
        <v>15</v>
      </c>
      <c r="O3044" s="10">
        <v>15</v>
      </c>
    </row>
    <row r="3045" spans="1:15" x14ac:dyDescent="0.2">
      <c r="A3045" s="10" t="s">
        <v>1297</v>
      </c>
      <c r="B3045" s="10" t="s">
        <v>89</v>
      </c>
      <c r="C3045" s="10" t="s">
        <v>90</v>
      </c>
      <c r="D3045" s="10" t="s">
        <v>51</v>
      </c>
      <c r="E3045" s="10" t="s">
        <v>52</v>
      </c>
      <c r="F3045" s="10" t="s">
        <v>123</v>
      </c>
      <c r="G3045" s="10" t="b">
        <f>FALSE()</f>
        <v>0</v>
      </c>
      <c r="H3045" s="10">
        <v>0</v>
      </c>
      <c r="I3045" s="10">
        <v>1</v>
      </c>
      <c r="J3045" s="10">
        <v>0</v>
      </c>
      <c r="K3045" s="10">
        <v>0</v>
      </c>
      <c r="L3045" s="10">
        <v>0</v>
      </c>
      <c r="M3045" s="10">
        <v>1</v>
      </c>
      <c r="N3045" s="10">
        <v>15</v>
      </c>
      <c r="O3045" s="10">
        <v>15</v>
      </c>
    </row>
    <row r="3046" spans="1:15" x14ac:dyDescent="0.2">
      <c r="A3046" s="10" t="s">
        <v>1225</v>
      </c>
      <c r="B3046" s="10" t="s">
        <v>793</v>
      </c>
      <c r="C3046" s="10" t="s">
        <v>90</v>
      </c>
      <c r="D3046" s="10" t="s">
        <v>51</v>
      </c>
      <c r="E3046" s="10" t="s">
        <v>52</v>
      </c>
      <c r="F3046" s="10" t="s">
        <v>47</v>
      </c>
      <c r="G3046" s="10" t="b">
        <f>FALSE()</f>
        <v>0</v>
      </c>
      <c r="H3046" s="10">
        <v>0</v>
      </c>
      <c r="I3046" s="10">
        <v>1</v>
      </c>
      <c r="J3046" s="10">
        <v>0</v>
      </c>
      <c r="K3046" s="10">
        <v>0</v>
      </c>
      <c r="L3046" s="10">
        <v>0</v>
      </c>
      <c r="M3046" s="10">
        <v>1</v>
      </c>
      <c r="N3046" s="10">
        <v>27</v>
      </c>
      <c r="O3046" s="10">
        <v>15</v>
      </c>
    </row>
    <row r="3047" spans="1:15" x14ac:dyDescent="0.2">
      <c r="A3047" s="10" t="s">
        <v>1382</v>
      </c>
      <c r="B3047" s="10" t="s">
        <v>178</v>
      </c>
      <c r="C3047" s="10" t="s">
        <v>73</v>
      </c>
      <c r="D3047" s="10" t="s">
        <v>45</v>
      </c>
      <c r="E3047" s="10" t="s">
        <v>46</v>
      </c>
      <c r="F3047" s="10" t="s">
        <v>85</v>
      </c>
      <c r="G3047" s="10" t="b">
        <f>FALSE()</f>
        <v>0</v>
      </c>
      <c r="H3047" s="10">
        <v>0</v>
      </c>
      <c r="I3047" s="10">
        <v>1</v>
      </c>
      <c r="J3047" s="10">
        <v>0</v>
      </c>
      <c r="K3047" s="10">
        <v>0</v>
      </c>
      <c r="L3047" s="10">
        <v>0</v>
      </c>
      <c r="M3047" s="10">
        <v>1</v>
      </c>
      <c r="N3047" s="10">
        <v>15</v>
      </c>
      <c r="O3047" s="10">
        <v>15</v>
      </c>
    </row>
    <row r="3048" spans="1:15" x14ac:dyDescent="0.2">
      <c r="A3048" s="10" t="s">
        <v>1242</v>
      </c>
      <c r="B3048" s="10" t="s">
        <v>172</v>
      </c>
      <c r="C3048" s="10" t="s">
        <v>44</v>
      </c>
      <c r="D3048" s="10" t="s">
        <v>45</v>
      </c>
      <c r="E3048" s="10" t="s">
        <v>46</v>
      </c>
      <c r="F3048" s="10" t="s">
        <v>183</v>
      </c>
      <c r="G3048" s="10" t="b">
        <f>FALSE()</f>
        <v>0</v>
      </c>
      <c r="H3048" s="10">
        <v>0</v>
      </c>
      <c r="I3048" s="10">
        <v>1</v>
      </c>
      <c r="J3048" s="10">
        <v>0</v>
      </c>
      <c r="K3048" s="10">
        <v>0</v>
      </c>
      <c r="L3048" s="10">
        <v>0</v>
      </c>
      <c r="M3048" s="10">
        <v>1</v>
      </c>
      <c r="N3048" s="10">
        <v>42</v>
      </c>
      <c r="O3048" s="10">
        <v>15</v>
      </c>
    </row>
    <row r="3049" spans="1:15" x14ac:dyDescent="0.2">
      <c r="A3049" s="10" t="s">
        <v>1070</v>
      </c>
      <c r="B3049" s="10" t="s">
        <v>70</v>
      </c>
      <c r="C3049" s="10" t="s">
        <v>70</v>
      </c>
      <c r="D3049" s="10" t="s">
        <v>45</v>
      </c>
      <c r="E3049" s="10" t="s">
        <v>46</v>
      </c>
      <c r="F3049" s="10" t="s">
        <v>83</v>
      </c>
      <c r="G3049" s="10" t="b">
        <f>TRUE()</f>
        <v>1</v>
      </c>
      <c r="H3049" s="10">
        <v>0</v>
      </c>
      <c r="I3049" s="10">
        <v>1</v>
      </c>
      <c r="J3049" s="10">
        <v>0</v>
      </c>
      <c r="K3049" s="10">
        <v>0</v>
      </c>
      <c r="L3049" s="10">
        <v>0</v>
      </c>
      <c r="M3049" s="10">
        <v>1</v>
      </c>
      <c r="N3049" s="10">
        <v>15</v>
      </c>
      <c r="O3049" s="10">
        <v>15</v>
      </c>
    </row>
    <row r="3050" spans="1:15" x14ac:dyDescent="0.2">
      <c r="A3050" s="10" t="s">
        <v>383</v>
      </c>
      <c r="B3050" s="10" t="s">
        <v>384</v>
      </c>
      <c r="C3050" s="10" t="s">
        <v>50</v>
      </c>
      <c r="D3050" s="10" t="s">
        <v>51</v>
      </c>
      <c r="E3050" s="10" t="s">
        <v>52</v>
      </c>
      <c r="F3050" s="10" t="s">
        <v>646</v>
      </c>
      <c r="G3050" s="10" t="b">
        <f>TRUE()</f>
        <v>1</v>
      </c>
      <c r="H3050" s="10">
        <v>0</v>
      </c>
      <c r="I3050" s="10">
        <v>1</v>
      </c>
      <c r="J3050" s="10">
        <v>0</v>
      </c>
      <c r="K3050" s="10">
        <v>0</v>
      </c>
      <c r="L3050" s="10">
        <v>0</v>
      </c>
      <c r="M3050" s="10">
        <v>1</v>
      </c>
      <c r="N3050" s="10">
        <v>14</v>
      </c>
      <c r="O3050" s="10">
        <v>14</v>
      </c>
    </row>
    <row r="3051" spans="1:15" x14ac:dyDescent="0.2">
      <c r="A3051" s="10" t="s">
        <v>820</v>
      </c>
      <c r="B3051" s="10" t="s">
        <v>104</v>
      </c>
      <c r="C3051" s="10" t="s">
        <v>105</v>
      </c>
      <c r="D3051" s="10" t="s">
        <v>45</v>
      </c>
      <c r="E3051" s="10" t="s">
        <v>46</v>
      </c>
      <c r="F3051" s="10" t="s">
        <v>79</v>
      </c>
      <c r="G3051" s="10" t="b">
        <f>FALSE()</f>
        <v>0</v>
      </c>
      <c r="H3051" s="10">
        <v>0</v>
      </c>
      <c r="I3051" s="10">
        <v>1</v>
      </c>
      <c r="J3051" s="10">
        <v>0</v>
      </c>
      <c r="K3051" s="10">
        <v>0</v>
      </c>
      <c r="L3051" s="10">
        <v>0</v>
      </c>
      <c r="M3051" s="10">
        <v>1</v>
      </c>
      <c r="N3051" s="10">
        <v>14</v>
      </c>
      <c r="O3051" s="10">
        <v>14</v>
      </c>
    </row>
    <row r="3052" spans="1:15" x14ac:dyDescent="0.2">
      <c r="A3052" s="10" t="s">
        <v>323</v>
      </c>
      <c r="B3052" s="10" t="s">
        <v>172</v>
      </c>
      <c r="C3052" s="10" t="s">
        <v>44</v>
      </c>
      <c r="D3052" s="10" t="s">
        <v>45</v>
      </c>
      <c r="E3052" s="10" t="s">
        <v>46</v>
      </c>
      <c r="F3052" s="10" t="s">
        <v>1173</v>
      </c>
      <c r="G3052" s="10" t="b">
        <f>FALSE()</f>
        <v>0</v>
      </c>
      <c r="H3052" s="10">
        <v>0</v>
      </c>
      <c r="I3052" s="10">
        <v>1</v>
      </c>
      <c r="J3052" s="10">
        <v>0</v>
      </c>
      <c r="K3052" s="10">
        <v>0</v>
      </c>
      <c r="L3052" s="10">
        <v>0</v>
      </c>
      <c r="M3052" s="10">
        <v>1</v>
      </c>
      <c r="N3052" s="10">
        <v>20</v>
      </c>
      <c r="O3052" s="10">
        <v>14</v>
      </c>
    </row>
    <row r="3053" spans="1:15" x14ac:dyDescent="0.2">
      <c r="A3053" s="10" t="s">
        <v>817</v>
      </c>
      <c r="B3053" s="10" t="s">
        <v>136</v>
      </c>
      <c r="C3053" s="10" t="s">
        <v>73</v>
      </c>
      <c r="D3053" s="10" t="s">
        <v>45</v>
      </c>
      <c r="E3053" s="10" t="s">
        <v>46</v>
      </c>
      <c r="F3053" s="10" t="s">
        <v>153</v>
      </c>
      <c r="G3053" s="10" t="b">
        <f>FALSE()</f>
        <v>0</v>
      </c>
      <c r="H3053" s="10">
        <v>0</v>
      </c>
      <c r="I3053" s="10">
        <v>1</v>
      </c>
      <c r="J3053" s="10">
        <v>0</v>
      </c>
      <c r="K3053" s="10">
        <v>0</v>
      </c>
      <c r="L3053" s="10">
        <v>0</v>
      </c>
      <c r="M3053" s="10">
        <v>1</v>
      </c>
      <c r="N3053" s="10">
        <v>15</v>
      </c>
      <c r="O3053" s="10">
        <v>14</v>
      </c>
    </row>
    <row r="3054" spans="1:15" x14ac:dyDescent="0.2">
      <c r="A3054" s="10" t="s">
        <v>865</v>
      </c>
      <c r="B3054" s="10" t="s">
        <v>493</v>
      </c>
      <c r="C3054" s="10" t="s">
        <v>117</v>
      </c>
      <c r="D3054" s="10" t="s">
        <v>51</v>
      </c>
      <c r="E3054" s="10" t="s">
        <v>52</v>
      </c>
      <c r="F3054" s="10" t="s">
        <v>214</v>
      </c>
      <c r="G3054" s="10" t="b">
        <f>FALSE()</f>
        <v>0</v>
      </c>
      <c r="H3054" s="10">
        <v>0</v>
      </c>
      <c r="I3054" s="10">
        <v>1</v>
      </c>
      <c r="J3054" s="10">
        <v>0</v>
      </c>
      <c r="K3054" s="10">
        <v>0</v>
      </c>
      <c r="L3054" s="10">
        <v>0</v>
      </c>
      <c r="M3054" s="10">
        <v>1</v>
      </c>
      <c r="N3054" s="10">
        <v>14</v>
      </c>
      <c r="O3054" s="10">
        <v>14</v>
      </c>
    </row>
    <row r="3055" spans="1:15" x14ac:dyDescent="0.2">
      <c r="A3055" s="10" t="s">
        <v>991</v>
      </c>
      <c r="B3055" s="10" t="s">
        <v>321</v>
      </c>
      <c r="C3055" s="10" t="s">
        <v>245</v>
      </c>
      <c r="D3055" s="10" t="s">
        <v>51</v>
      </c>
      <c r="E3055" s="10" t="s">
        <v>52</v>
      </c>
      <c r="F3055" s="10" t="s">
        <v>1337</v>
      </c>
      <c r="G3055" s="10" t="b">
        <f>TRUE()</f>
        <v>1</v>
      </c>
      <c r="H3055" s="10">
        <v>0</v>
      </c>
      <c r="I3055" s="10">
        <v>1</v>
      </c>
      <c r="J3055" s="10">
        <v>0</v>
      </c>
      <c r="K3055" s="10">
        <v>0</v>
      </c>
      <c r="L3055" s="10">
        <v>0</v>
      </c>
      <c r="M3055" s="10">
        <v>1</v>
      </c>
      <c r="N3055" s="10">
        <v>16</v>
      </c>
      <c r="O3055" s="10">
        <v>14</v>
      </c>
    </row>
    <row r="3056" spans="1:15" x14ac:dyDescent="0.2">
      <c r="A3056" s="10" t="s">
        <v>873</v>
      </c>
      <c r="B3056" s="10" t="s">
        <v>70</v>
      </c>
      <c r="C3056" s="10" t="s">
        <v>70</v>
      </c>
      <c r="D3056" s="10" t="s">
        <v>45</v>
      </c>
      <c r="E3056" s="10" t="s">
        <v>46</v>
      </c>
      <c r="F3056" s="10" t="s">
        <v>212</v>
      </c>
      <c r="G3056" s="10" t="b">
        <f>FALSE()</f>
        <v>0</v>
      </c>
      <c r="H3056" s="10">
        <v>0</v>
      </c>
      <c r="I3056" s="10">
        <v>1</v>
      </c>
      <c r="J3056" s="10">
        <v>0</v>
      </c>
      <c r="K3056" s="10">
        <v>0</v>
      </c>
      <c r="L3056" s="10">
        <v>0</v>
      </c>
      <c r="M3056" s="10">
        <v>1</v>
      </c>
      <c r="N3056" s="10">
        <v>14</v>
      </c>
      <c r="O3056" s="10">
        <v>14</v>
      </c>
    </row>
    <row r="3057" spans="1:15" x14ac:dyDescent="0.2">
      <c r="A3057" s="10" t="s">
        <v>1380</v>
      </c>
      <c r="B3057" s="10" t="s">
        <v>671</v>
      </c>
      <c r="C3057" s="10" t="s">
        <v>117</v>
      </c>
      <c r="D3057" s="10" t="s">
        <v>51</v>
      </c>
      <c r="E3057" s="10" t="s">
        <v>52</v>
      </c>
      <c r="F3057" s="10" t="s">
        <v>79</v>
      </c>
      <c r="G3057" s="10" t="b">
        <f>FALSE()</f>
        <v>0</v>
      </c>
      <c r="H3057" s="10">
        <v>0</v>
      </c>
      <c r="I3057" s="10">
        <v>1</v>
      </c>
      <c r="J3057" s="10">
        <v>0</v>
      </c>
      <c r="K3057" s="10">
        <v>0</v>
      </c>
      <c r="L3057" s="10">
        <v>0</v>
      </c>
      <c r="M3057" s="10">
        <v>1</v>
      </c>
      <c r="N3057" s="10">
        <v>14</v>
      </c>
      <c r="O3057" s="10">
        <v>14</v>
      </c>
    </row>
    <row r="3058" spans="1:15" x14ac:dyDescent="0.2">
      <c r="A3058" s="10" t="s">
        <v>1290</v>
      </c>
      <c r="B3058" s="10" t="s">
        <v>407</v>
      </c>
      <c r="C3058" s="10" t="s">
        <v>112</v>
      </c>
      <c r="D3058" s="10" t="s">
        <v>51</v>
      </c>
      <c r="E3058" s="10" t="s">
        <v>52</v>
      </c>
      <c r="F3058" s="10" t="s">
        <v>1292</v>
      </c>
      <c r="G3058" s="10" t="b">
        <f>FALSE()</f>
        <v>0</v>
      </c>
      <c r="H3058" s="10">
        <v>0</v>
      </c>
      <c r="I3058" s="10">
        <v>1</v>
      </c>
      <c r="J3058" s="10">
        <v>0</v>
      </c>
      <c r="K3058" s="10">
        <v>0</v>
      </c>
      <c r="L3058" s="10">
        <v>0</v>
      </c>
      <c r="M3058" s="10">
        <v>1</v>
      </c>
      <c r="N3058" s="10">
        <v>12</v>
      </c>
      <c r="O3058" s="10">
        <v>14</v>
      </c>
    </row>
    <row r="3059" spans="1:15" x14ac:dyDescent="0.2">
      <c r="A3059" s="10" t="s">
        <v>1047</v>
      </c>
      <c r="B3059" s="10" t="s">
        <v>96</v>
      </c>
      <c r="C3059" s="10" t="s">
        <v>50</v>
      </c>
      <c r="D3059" s="10" t="s">
        <v>51</v>
      </c>
      <c r="E3059" s="10" t="s">
        <v>52</v>
      </c>
      <c r="F3059" s="10" t="s">
        <v>183</v>
      </c>
      <c r="G3059" s="10" t="b">
        <f>FALSE()</f>
        <v>0</v>
      </c>
      <c r="H3059" s="10">
        <v>0</v>
      </c>
      <c r="I3059" s="10">
        <v>1</v>
      </c>
      <c r="J3059" s="10">
        <v>0</v>
      </c>
      <c r="K3059" s="10">
        <v>0</v>
      </c>
      <c r="L3059" s="10">
        <v>0</v>
      </c>
      <c r="M3059" s="10">
        <v>1</v>
      </c>
      <c r="N3059" s="10">
        <v>67</v>
      </c>
      <c r="O3059" s="10">
        <v>14</v>
      </c>
    </row>
    <row r="3060" spans="1:15" x14ac:dyDescent="0.2">
      <c r="A3060" s="10" t="s">
        <v>1329</v>
      </c>
      <c r="B3060" s="10" t="s">
        <v>562</v>
      </c>
      <c r="C3060" s="10" t="s">
        <v>245</v>
      </c>
      <c r="D3060" s="10" t="s">
        <v>51</v>
      </c>
      <c r="E3060" s="10" t="s">
        <v>52</v>
      </c>
      <c r="F3060" s="10" t="s">
        <v>861</v>
      </c>
      <c r="G3060" s="10" t="b">
        <f>TRUE()</f>
        <v>1</v>
      </c>
      <c r="H3060" s="10">
        <v>0</v>
      </c>
      <c r="I3060" s="10">
        <v>1</v>
      </c>
      <c r="J3060" s="10">
        <v>0</v>
      </c>
      <c r="K3060" s="10">
        <v>0</v>
      </c>
      <c r="L3060" s="10">
        <v>0</v>
      </c>
      <c r="M3060" s="10">
        <v>1</v>
      </c>
      <c r="N3060" s="10">
        <v>15</v>
      </c>
      <c r="O3060" s="10">
        <v>14</v>
      </c>
    </row>
    <row r="3061" spans="1:15" x14ac:dyDescent="0.2">
      <c r="A3061" s="10" t="s">
        <v>1342</v>
      </c>
      <c r="B3061" s="10" t="s">
        <v>456</v>
      </c>
      <c r="C3061" s="10" t="s">
        <v>245</v>
      </c>
      <c r="D3061" s="10" t="s">
        <v>51</v>
      </c>
      <c r="E3061" s="10" t="s">
        <v>52</v>
      </c>
      <c r="F3061" s="10" t="s">
        <v>74</v>
      </c>
      <c r="G3061" s="10" t="b">
        <f>FALSE()</f>
        <v>0</v>
      </c>
      <c r="H3061" s="10">
        <v>0</v>
      </c>
      <c r="I3061" s="10">
        <v>1</v>
      </c>
      <c r="J3061" s="10">
        <v>0</v>
      </c>
      <c r="K3061" s="10">
        <v>0</v>
      </c>
      <c r="L3061" s="10">
        <v>0</v>
      </c>
      <c r="M3061" s="10">
        <v>1</v>
      </c>
      <c r="N3061" s="10">
        <v>16</v>
      </c>
      <c r="O3061" s="10">
        <v>14</v>
      </c>
    </row>
    <row r="3062" spans="1:15" x14ac:dyDescent="0.2">
      <c r="A3062" s="10" t="s">
        <v>1190</v>
      </c>
      <c r="B3062" s="10" t="s">
        <v>321</v>
      </c>
      <c r="C3062" s="10" t="s">
        <v>245</v>
      </c>
      <c r="D3062" s="10" t="s">
        <v>51</v>
      </c>
      <c r="E3062" s="10" t="s">
        <v>52</v>
      </c>
      <c r="F3062" s="10" t="s">
        <v>212</v>
      </c>
      <c r="G3062" s="10" t="b">
        <f>FALSE()</f>
        <v>0</v>
      </c>
      <c r="H3062" s="10">
        <v>0</v>
      </c>
      <c r="I3062" s="10">
        <v>1</v>
      </c>
      <c r="J3062" s="10">
        <v>0</v>
      </c>
      <c r="K3062" s="10">
        <v>0</v>
      </c>
      <c r="L3062" s="10">
        <v>0</v>
      </c>
      <c r="M3062" s="10">
        <v>1</v>
      </c>
      <c r="N3062" s="10">
        <v>19</v>
      </c>
      <c r="O3062" s="10">
        <v>14</v>
      </c>
    </row>
    <row r="3063" spans="1:15" x14ac:dyDescent="0.2">
      <c r="A3063" s="10" t="s">
        <v>1055</v>
      </c>
      <c r="B3063" s="10" t="s">
        <v>178</v>
      </c>
      <c r="C3063" s="10" t="s">
        <v>73</v>
      </c>
      <c r="D3063" s="10" t="s">
        <v>45</v>
      </c>
      <c r="E3063" s="10" t="s">
        <v>46</v>
      </c>
      <c r="F3063" s="10" t="s">
        <v>183</v>
      </c>
      <c r="G3063" s="10" t="b">
        <f>FALSE()</f>
        <v>0</v>
      </c>
      <c r="H3063" s="10">
        <v>0</v>
      </c>
      <c r="I3063" s="10">
        <v>1</v>
      </c>
      <c r="J3063" s="10">
        <v>0</v>
      </c>
      <c r="K3063" s="10">
        <v>0</v>
      </c>
      <c r="L3063" s="10">
        <v>0</v>
      </c>
      <c r="M3063" s="10">
        <v>1</v>
      </c>
      <c r="N3063" s="10">
        <v>44</v>
      </c>
      <c r="O3063" s="10">
        <v>14</v>
      </c>
    </row>
    <row r="3064" spans="1:15" x14ac:dyDescent="0.2">
      <c r="A3064" s="10" t="s">
        <v>1213</v>
      </c>
      <c r="B3064" s="10" t="s">
        <v>513</v>
      </c>
      <c r="C3064" s="10" t="s">
        <v>64</v>
      </c>
      <c r="D3064" s="10" t="s">
        <v>45</v>
      </c>
      <c r="E3064" s="10" t="s">
        <v>46</v>
      </c>
      <c r="F3064" s="10" t="s">
        <v>601</v>
      </c>
      <c r="G3064" s="10" t="b">
        <f>FALSE()</f>
        <v>0</v>
      </c>
      <c r="H3064" s="10">
        <v>0</v>
      </c>
      <c r="I3064" s="10">
        <v>1</v>
      </c>
      <c r="J3064" s="10">
        <v>0</v>
      </c>
      <c r="K3064" s="10">
        <v>0</v>
      </c>
      <c r="L3064" s="10">
        <v>0</v>
      </c>
      <c r="M3064" s="10">
        <v>1</v>
      </c>
      <c r="N3064" s="10">
        <v>42</v>
      </c>
      <c r="O3064" s="10">
        <v>14</v>
      </c>
    </row>
    <row r="3065" spans="1:15" x14ac:dyDescent="0.2">
      <c r="A3065" s="10" t="s">
        <v>1053</v>
      </c>
      <c r="B3065" s="10" t="s">
        <v>262</v>
      </c>
      <c r="C3065" s="10" t="s">
        <v>105</v>
      </c>
      <c r="D3065" s="10" t="s">
        <v>45</v>
      </c>
      <c r="E3065" s="10" t="s">
        <v>46</v>
      </c>
      <c r="F3065" s="10" t="s">
        <v>74</v>
      </c>
      <c r="G3065" s="10" t="b">
        <f>FALSE()</f>
        <v>0</v>
      </c>
      <c r="H3065" s="10">
        <v>0</v>
      </c>
      <c r="I3065" s="10">
        <v>1</v>
      </c>
      <c r="J3065" s="10">
        <v>0</v>
      </c>
      <c r="K3065" s="10">
        <v>0</v>
      </c>
      <c r="L3065" s="10">
        <v>0</v>
      </c>
      <c r="M3065" s="10">
        <v>1</v>
      </c>
      <c r="N3065" s="10">
        <v>14</v>
      </c>
      <c r="O3065" s="10">
        <v>14</v>
      </c>
    </row>
    <row r="3066" spans="1:15" x14ac:dyDescent="0.2">
      <c r="A3066" s="10" t="s">
        <v>1383</v>
      </c>
      <c r="B3066" s="10" t="s">
        <v>70</v>
      </c>
      <c r="C3066" s="10" t="s">
        <v>70</v>
      </c>
      <c r="D3066" s="10" t="s">
        <v>45</v>
      </c>
      <c r="E3066" s="10" t="s">
        <v>46</v>
      </c>
      <c r="F3066" s="10" t="s">
        <v>1358</v>
      </c>
      <c r="G3066" s="10" t="b">
        <f>FALSE()</f>
        <v>0</v>
      </c>
      <c r="H3066" s="10">
        <v>0</v>
      </c>
      <c r="I3066" s="10">
        <v>1</v>
      </c>
      <c r="J3066" s="10">
        <v>0</v>
      </c>
      <c r="K3066" s="10">
        <v>0</v>
      </c>
      <c r="L3066" s="10">
        <v>0</v>
      </c>
      <c r="M3066" s="10">
        <v>1</v>
      </c>
      <c r="N3066" s="10">
        <v>24</v>
      </c>
      <c r="O3066" s="10">
        <v>14</v>
      </c>
    </row>
    <row r="3067" spans="1:15" x14ac:dyDescent="0.2">
      <c r="A3067" s="10" t="s">
        <v>978</v>
      </c>
      <c r="B3067" s="10" t="s">
        <v>247</v>
      </c>
      <c r="C3067" s="10" t="s">
        <v>245</v>
      </c>
      <c r="D3067" s="10" t="s">
        <v>51</v>
      </c>
      <c r="E3067" s="10" t="s">
        <v>52</v>
      </c>
      <c r="F3067" s="10" t="s">
        <v>47</v>
      </c>
      <c r="G3067" s="10" t="b">
        <f>FALSE()</f>
        <v>0</v>
      </c>
      <c r="H3067" s="10">
        <v>0</v>
      </c>
      <c r="I3067" s="10">
        <v>1</v>
      </c>
      <c r="J3067" s="10">
        <v>0</v>
      </c>
      <c r="K3067" s="10">
        <v>0</v>
      </c>
      <c r="L3067" s="10">
        <v>0</v>
      </c>
      <c r="M3067" s="10">
        <v>1</v>
      </c>
      <c r="N3067" s="10">
        <v>15</v>
      </c>
      <c r="O3067" s="10">
        <v>13</v>
      </c>
    </row>
    <row r="3068" spans="1:15" x14ac:dyDescent="0.2">
      <c r="A3068" s="10" t="s">
        <v>154</v>
      </c>
      <c r="B3068" s="10" t="s">
        <v>104</v>
      </c>
      <c r="C3068" s="10" t="s">
        <v>105</v>
      </c>
      <c r="D3068" s="10" t="s">
        <v>45</v>
      </c>
      <c r="E3068" s="10" t="s">
        <v>46</v>
      </c>
      <c r="F3068" s="10" t="s">
        <v>1356</v>
      </c>
      <c r="G3068" s="10" t="b">
        <f>FALSE()</f>
        <v>0</v>
      </c>
      <c r="H3068" s="10">
        <v>0</v>
      </c>
      <c r="I3068" s="10">
        <v>1</v>
      </c>
      <c r="J3068" s="10">
        <v>0</v>
      </c>
      <c r="K3068" s="10">
        <v>0</v>
      </c>
      <c r="L3068" s="10">
        <v>0</v>
      </c>
      <c r="M3068" s="10">
        <v>1</v>
      </c>
      <c r="N3068" s="10">
        <v>15</v>
      </c>
      <c r="O3068" s="10">
        <v>13</v>
      </c>
    </row>
    <row r="3069" spans="1:15" x14ac:dyDescent="0.2">
      <c r="A3069" s="10" t="s">
        <v>1262</v>
      </c>
      <c r="B3069" s="10" t="s">
        <v>193</v>
      </c>
      <c r="C3069" s="10" t="s">
        <v>117</v>
      </c>
      <c r="D3069" s="10" t="s">
        <v>51</v>
      </c>
      <c r="E3069" s="10" t="s">
        <v>52</v>
      </c>
      <c r="F3069" s="10" t="s">
        <v>640</v>
      </c>
      <c r="G3069" s="10" t="b">
        <f>FALSE()</f>
        <v>0</v>
      </c>
      <c r="H3069" s="10">
        <v>0</v>
      </c>
      <c r="I3069" s="10">
        <v>1</v>
      </c>
      <c r="J3069" s="10">
        <v>0</v>
      </c>
      <c r="K3069" s="10">
        <v>0</v>
      </c>
      <c r="L3069" s="10">
        <v>0</v>
      </c>
      <c r="M3069" s="10">
        <v>1</v>
      </c>
      <c r="N3069" s="10">
        <v>10</v>
      </c>
      <c r="O3069" s="10">
        <v>13</v>
      </c>
    </row>
    <row r="3070" spans="1:15" x14ac:dyDescent="0.2">
      <c r="A3070" s="10" t="s">
        <v>1164</v>
      </c>
      <c r="B3070" s="10" t="s">
        <v>111</v>
      </c>
      <c r="C3070" s="10" t="s">
        <v>112</v>
      </c>
      <c r="D3070" s="10" t="s">
        <v>51</v>
      </c>
      <c r="E3070" s="10" t="s">
        <v>52</v>
      </c>
      <c r="F3070" s="10" t="s">
        <v>488</v>
      </c>
      <c r="G3070" s="10" t="b">
        <f>FALSE()</f>
        <v>0</v>
      </c>
      <c r="H3070" s="10">
        <v>0</v>
      </c>
      <c r="I3070" s="10">
        <v>1</v>
      </c>
      <c r="J3070" s="10">
        <v>0</v>
      </c>
      <c r="K3070" s="10">
        <v>0</v>
      </c>
      <c r="L3070" s="10">
        <v>0</v>
      </c>
      <c r="M3070" s="10">
        <v>1</v>
      </c>
      <c r="N3070" s="10">
        <v>14</v>
      </c>
      <c r="O3070" s="10">
        <v>13</v>
      </c>
    </row>
    <row r="3071" spans="1:15" x14ac:dyDescent="0.2">
      <c r="A3071" s="10" t="s">
        <v>1238</v>
      </c>
      <c r="B3071" s="10" t="s">
        <v>368</v>
      </c>
      <c r="C3071" s="10" t="s">
        <v>50</v>
      </c>
      <c r="D3071" s="10" t="s">
        <v>51</v>
      </c>
      <c r="E3071" s="10" t="s">
        <v>52</v>
      </c>
      <c r="F3071" s="10" t="s">
        <v>183</v>
      </c>
      <c r="G3071" s="10" t="b">
        <f>FALSE()</f>
        <v>0</v>
      </c>
      <c r="H3071" s="10">
        <v>0</v>
      </c>
      <c r="I3071" s="10">
        <v>1</v>
      </c>
      <c r="J3071" s="10">
        <v>0</v>
      </c>
      <c r="K3071" s="10">
        <v>0</v>
      </c>
      <c r="L3071" s="10">
        <v>0</v>
      </c>
      <c r="M3071" s="10">
        <v>1</v>
      </c>
      <c r="N3071" s="10">
        <v>29</v>
      </c>
      <c r="O3071" s="10">
        <v>13</v>
      </c>
    </row>
    <row r="3072" spans="1:15" x14ac:dyDescent="0.2">
      <c r="A3072" s="10" t="s">
        <v>1091</v>
      </c>
      <c r="B3072" s="10" t="s">
        <v>89</v>
      </c>
      <c r="C3072" s="10" t="s">
        <v>90</v>
      </c>
      <c r="D3072" s="10" t="s">
        <v>51</v>
      </c>
      <c r="E3072" s="10" t="s">
        <v>52</v>
      </c>
      <c r="F3072" s="10" t="s">
        <v>183</v>
      </c>
      <c r="G3072" s="10" t="b">
        <f>FALSE()</f>
        <v>0</v>
      </c>
      <c r="H3072" s="10">
        <v>0</v>
      </c>
      <c r="I3072" s="10">
        <v>1</v>
      </c>
      <c r="J3072" s="10">
        <v>0</v>
      </c>
      <c r="K3072" s="10">
        <v>0</v>
      </c>
      <c r="L3072" s="10">
        <v>0</v>
      </c>
      <c r="M3072" s="10">
        <v>1</v>
      </c>
      <c r="N3072" s="10">
        <v>25</v>
      </c>
      <c r="O3072" s="10">
        <v>13</v>
      </c>
    </row>
    <row r="3073" spans="1:15" x14ac:dyDescent="0.2">
      <c r="A3073" s="10" t="s">
        <v>1074</v>
      </c>
      <c r="B3073" s="10" t="s">
        <v>104</v>
      </c>
      <c r="C3073" s="10" t="s">
        <v>105</v>
      </c>
      <c r="D3073" s="10" t="s">
        <v>45</v>
      </c>
      <c r="E3073" s="10" t="s">
        <v>46</v>
      </c>
      <c r="F3073" s="10" t="s">
        <v>1384</v>
      </c>
      <c r="G3073" s="10" t="b">
        <f>TRUE()</f>
        <v>1</v>
      </c>
      <c r="H3073" s="10">
        <v>0</v>
      </c>
      <c r="I3073" s="10">
        <v>1</v>
      </c>
      <c r="J3073" s="10">
        <v>0</v>
      </c>
      <c r="K3073" s="10">
        <v>0</v>
      </c>
      <c r="L3073" s="10">
        <v>0</v>
      </c>
      <c r="M3073" s="10">
        <v>1</v>
      </c>
      <c r="N3073" s="10">
        <v>13</v>
      </c>
      <c r="O3073" s="10">
        <v>13</v>
      </c>
    </row>
    <row r="3074" spans="1:15" x14ac:dyDescent="0.2">
      <c r="A3074" s="10" t="s">
        <v>410</v>
      </c>
      <c r="B3074" s="10" t="s">
        <v>321</v>
      </c>
      <c r="C3074" s="10" t="s">
        <v>245</v>
      </c>
      <c r="D3074" s="10" t="s">
        <v>51</v>
      </c>
      <c r="E3074" s="10" t="s">
        <v>52</v>
      </c>
      <c r="F3074" s="10" t="s">
        <v>363</v>
      </c>
      <c r="G3074" s="10" t="b">
        <f>FALSE()</f>
        <v>0</v>
      </c>
      <c r="H3074" s="10">
        <v>0</v>
      </c>
      <c r="I3074" s="10">
        <v>1</v>
      </c>
      <c r="J3074" s="10">
        <v>0</v>
      </c>
      <c r="K3074" s="10">
        <v>0</v>
      </c>
      <c r="L3074" s="10">
        <v>0</v>
      </c>
      <c r="M3074" s="10">
        <v>1</v>
      </c>
      <c r="N3074" s="10">
        <v>26</v>
      </c>
      <c r="O3074" s="10">
        <v>12</v>
      </c>
    </row>
    <row r="3075" spans="1:15" x14ac:dyDescent="0.2">
      <c r="A3075" s="10" t="s">
        <v>1263</v>
      </c>
      <c r="B3075" s="10" t="s">
        <v>72</v>
      </c>
      <c r="C3075" s="10" t="s">
        <v>73</v>
      </c>
      <c r="D3075" s="10" t="s">
        <v>45</v>
      </c>
      <c r="E3075" s="10" t="s">
        <v>46</v>
      </c>
      <c r="F3075" s="10" t="s">
        <v>91</v>
      </c>
      <c r="G3075" s="10" t="b">
        <f>TRUE()</f>
        <v>1</v>
      </c>
      <c r="H3075" s="10">
        <v>0</v>
      </c>
      <c r="I3075" s="10">
        <v>1</v>
      </c>
      <c r="J3075" s="10">
        <v>0</v>
      </c>
      <c r="K3075" s="10">
        <v>0</v>
      </c>
      <c r="L3075" s="10">
        <v>0</v>
      </c>
      <c r="M3075" s="10">
        <v>1</v>
      </c>
      <c r="N3075" s="10">
        <v>12</v>
      </c>
      <c r="O3075" s="10">
        <v>12</v>
      </c>
    </row>
    <row r="3076" spans="1:15" x14ac:dyDescent="0.2">
      <c r="A3076" s="10" t="s">
        <v>1048</v>
      </c>
      <c r="B3076" s="10" t="s">
        <v>1049</v>
      </c>
      <c r="C3076" s="10" t="s">
        <v>64</v>
      </c>
      <c r="D3076" s="10" t="s">
        <v>45</v>
      </c>
      <c r="E3076" s="10" t="s">
        <v>46</v>
      </c>
      <c r="F3076" s="10" t="s">
        <v>468</v>
      </c>
      <c r="G3076" s="10" t="b">
        <f>FALSE()</f>
        <v>0</v>
      </c>
      <c r="H3076" s="10">
        <v>0</v>
      </c>
      <c r="I3076" s="10">
        <v>1</v>
      </c>
      <c r="J3076" s="10">
        <v>0</v>
      </c>
      <c r="K3076" s="10">
        <v>0</v>
      </c>
      <c r="L3076" s="10">
        <v>0</v>
      </c>
      <c r="M3076" s="10">
        <v>1</v>
      </c>
      <c r="N3076" s="10">
        <v>21</v>
      </c>
      <c r="O3076" s="10">
        <v>12</v>
      </c>
    </row>
    <row r="3077" spans="1:15" x14ac:dyDescent="0.2">
      <c r="A3077" s="10" t="s">
        <v>1313</v>
      </c>
      <c r="B3077" s="10" t="s">
        <v>70</v>
      </c>
      <c r="C3077" s="10" t="s">
        <v>70</v>
      </c>
      <c r="D3077" s="10" t="s">
        <v>45</v>
      </c>
      <c r="E3077" s="10" t="s">
        <v>46</v>
      </c>
      <c r="F3077" s="10" t="s">
        <v>183</v>
      </c>
      <c r="G3077" s="10" t="b">
        <f>FALSE()</f>
        <v>0</v>
      </c>
      <c r="H3077" s="10">
        <v>0</v>
      </c>
      <c r="I3077" s="10">
        <v>1</v>
      </c>
      <c r="J3077" s="10">
        <v>0</v>
      </c>
      <c r="K3077" s="10">
        <v>0</v>
      </c>
      <c r="L3077" s="10">
        <v>0</v>
      </c>
      <c r="M3077" s="10">
        <v>1</v>
      </c>
      <c r="N3077" s="10">
        <v>65</v>
      </c>
      <c r="O3077" s="10">
        <v>12</v>
      </c>
    </row>
    <row r="3078" spans="1:15" x14ac:dyDescent="0.2">
      <c r="A3078" s="10" t="s">
        <v>1137</v>
      </c>
      <c r="B3078" s="10" t="s">
        <v>70</v>
      </c>
      <c r="C3078" s="10" t="s">
        <v>70</v>
      </c>
      <c r="D3078" s="10" t="s">
        <v>45</v>
      </c>
      <c r="E3078" s="10" t="s">
        <v>46</v>
      </c>
      <c r="F3078" s="10" t="s">
        <v>1370</v>
      </c>
      <c r="G3078" s="10" t="b">
        <f>FALSE()</f>
        <v>0</v>
      </c>
      <c r="H3078" s="10">
        <v>0</v>
      </c>
      <c r="I3078" s="10">
        <v>1</v>
      </c>
      <c r="J3078" s="10">
        <v>0</v>
      </c>
      <c r="K3078" s="10">
        <v>0</v>
      </c>
      <c r="L3078" s="10">
        <v>0</v>
      </c>
      <c r="M3078" s="10">
        <v>1</v>
      </c>
      <c r="N3078" s="10">
        <v>18</v>
      </c>
      <c r="O3078" s="10">
        <v>12</v>
      </c>
    </row>
    <row r="3079" spans="1:15" x14ac:dyDescent="0.2">
      <c r="A3079" s="10" t="s">
        <v>174</v>
      </c>
      <c r="B3079" s="10" t="s">
        <v>130</v>
      </c>
      <c r="C3079" s="10" t="s">
        <v>56</v>
      </c>
      <c r="D3079" s="10" t="s">
        <v>45</v>
      </c>
      <c r="E3079" s="10" t="s">
        <v>46</v>
      </c>
      <c r="F3079" s="10" t="s">
        <v>79</v>
      </c>
      <c r="G3079" s="10" t="b">
        <f>FALSE()</f>
        <v>0</v>
      </c>
      <c r="H3079" s="10">
        <v>0</v>
      </c>
      <c r="I3079" s="10">
        <v>1</v>
      </c>
      <c r="J3079" s="10">
        <v>0</v>
      </c>
      <c r="K3079" s="10">
        <v>0</v>
      </c>
      <c r="L3079" s="10">
        <v>0</v>
      </c>
      <c r="M3079" s="10">
        <v>1</v>
      </c>
      <c r="N3079" s="10">
        <v>11</v>
      </c>
      <c r="O3079" s="10">
        <v>11</v>
      </c>
    </row>
    <row r="3080" spans="1:15" x14ac:dyDescent="0.2">
      <c r="A3080" s="10" t="s">
        <v>563</v>
      </c>
      <c r="B3080" s="10" t="s">
        <v>247</v>
      </c>
      <c r="C3080" s="10" t="s">
        <v>245</v>
      </c>
      <c r="D3080" s="10" t="s">
        <v>51</v>
      </c>
      <c r="E3080" s="10" t="s">
        <v>52</v>
      </c>
      <c r="F3080" s="10" t="s">
        <v>79</v>
      </c>
      <c r="G3080" s="10" t="b">
        <f>FALSE()</f>
        <v>0</v>
      </c>
      <c r="H3080" s="10">
        <v>0</v>
      </c>
      <c r="I3080" s="10">
        <v>1</v>
      </c>
      <c r="J3080" s="10">
        <v>0</v>
      </c>
      <c r="K3080" s="10">
        <v>0</v>
      </c>
      <c r="L3080" s="10">
        <v>0</v>
      </c>
      <c r="M3080" s="10">
        <v>1</v>
      </c>
      <c r="N3080" s="10">
        <v>11</v>
      </c>
      <c r="O3080" s="10">
        <v>11</v>
      </c>
    </row>
    <row r="3081" spans="1:15" x14ac:dyDescent="0.2">
      <c r="A3081" s="10" t="s">
        <v>150</v>
      </c>
      <c r="B3081" s="10" t="s">
        <v>151</v>
      </c>
      <c r="C3081" s="10" t="s">
        <v>64</v>
      </c>
      <c r="D3081" s="10" t="s">
        <v>45</v>
      </c>
      <c r="E3081" s="10" t="s">
        <v>46</v>
      </c>
      <c r="F3081" s="10" t="s">
        <v>183</v>
      </c>
      <c r="G3081" s="10" t="b">
        <f>FALSE()</f>
        <v>0</v>
      </c>
      <c r="H3081" s="10">
        <v>0</v>
      </c>
      <c r="I3081" s="10">
        <v>1</v>
      </c>
      <c r="J3081" s="10">
        <v>0</v>
      </c>
      <c r="K3081" s="10">
        <v>0</v>
      </c>
      <c r="L3081" s="10">
        <v>0</v>
      </c>
      <c r="M3081" s="10">
        <v>1</v>
      </c>
      <c r="N3081" s="10">
        <v>25</v>
      </c>
      <c r="O3081" s="10">
        <v>11</v>
      </c>
    </row>
    <row r="3082" spans="1:15" x14ac:dyDescent="0.2">
      <c r="A3082" s="10" t="s">
        <v>1073</v>
      </c>
      <c r="B3082" s="10" t="s">
        <v>193</v>
      </c>
      <c r="C3082" s="10" t="s">
        <v>117</v>
      </c>
      <c r="D3082" s="10" t="s">
        <v>51</v>
      </c>
      <c r="E3082" s="10" t="s">
        <v>52</v>
      </c>
      <c r="F3082" s="10" t="s">
        <v>58</v>
      </c>
      <c r="G3082" s="10" t="b">
        <f>FALSE()</f>
        <v>0</v>
      </c>
      <c r="H3082" s="10">
        <v>0</v>
      </c>
      <c r="I3082" s="10">
        <v>1</v>
      </c>
      <c r="J3082" s="10">
        <v>0</v>
      </c>
      <c r="K3082" s="10">
        <v>0</v>
      </c>
      <c r="L3082" s="10">
        <v>0</v>
      </c>
      <c r="M3082" s="10">
        <v>1</v>
      </c>
      <c r="N3082" s="10">
        <v>11</v>
      </c>
      <c r="O3082" s="10">
        <v>11</v>
      </c>
    </row>
    <row r="3083" spans="1:15" x14ac:dyDescent="0.2">
      <c r="A3083" s="10" t="s">
        <v>1196</v>
      </c>
      <c r="B3083" s="10" t="s">
        <v>104</v>
      </c>
      <c r="C3083" s="10" t="s">
        <v>105</v>
      </c>
      <c r="D3083" s="10" t="s">
        <v>45</v>
      </c>
      <c r="E3083" s="10" t="s">
        <v>46</v>
      </c>
      <c r="F3083" s="10" t="s">
        <v>212</v>
      </c>
      <c r="G3083" s="10" t="b">
        <f>FALSE()</f>
        <v>0</v>
      </c>
      <c r="H3083" s="10">
        <v>0</v>
      </c>
      <c r="I3083" s="10">
        <v>1</v>
      </c>
      <c r="J3083" s="10">
        <v>0</v>
      </c>
      <c r="K3083" s="10">
        <v>0</v>
      </c>
      <c r="L3083" s="10">
        <v>0</v>
      </c>
      <c r="M3083" s="10">
        <v>1</v>
      </c>
      <c r="N3083" s="10">
        <v>24</v>
      </c>
      <c r="O3083" s="10">
        <v>11</v>
      </c>
    </row>
    <row r="3084" spans="1:15" x14ac:dyDescent="0.2">
      <c r="A3084" s="10" t="s">
        <v>946</v>
      </c>
      <c r="B3084" s="10" t="s">
        <v>89</v>
      </c>
      <c r="C3084" s="10" t="s">
        <v>90</v>
      </c>
      <c r="D3084" s="10" t="s">
        <v>51</v>
      </c>
      <c r="E3084" s="10" t="s">
        <v>52</v>
      </c>
      <c r="F3084" s="10" t="s">
        <v>79</v>
      </c>
      <c r="G3084" s="10" t="b">
        <f>FALSE()</f>
        <v>0</v>
      </c>
      <c r="H3084" s="10">
        <v>0</v>
      </c>
      <c r="I3084" s="10">
        <v>1</v>
      </c>
      <c r="J3084" s="10">
        <v>0</v>
      </c>
      <c r="K3084" s="10">
        <v>0</v>
      </c>
      <c r="L3084" s="10">
        <v>0</v>
      </c>
      <c r="M3084" s="10">
        <v>1</v>
      </c>
      <c r="N3084" s="10">
        <v>10</v>
      </c>
      <c r="O3084" s="10">
        <v>10</v>
      </c>
    </row>
    <row r="3085" spans="1:15" x14ac:dyDescent="0.2">
      <c r="A3085" s="10" t="s">
        <v>667</v>
      </c>
      <c r="B3085" s="10" t="s">
        <v>321</v>
      </c>
      <c r="C3085" s="10" t="s">
        <v>245</v>
      </c>
      <c r="D3085" s="10" t="s">
        <v>51</v>
      </c>
      <c r="E3085" s="10" t="s">
        <v>52</v>
      </c>
      <c r="F3085" s="10" t="s">
        <v>153</v>
      </c>
      <c r="G3085" s="10" t="b">
        <f>FALSE()</f>
        <v>0</v>
      </c>
      <c r="H3085" s="10">
        <v>0</v>
      </c>
      <c r="I3085" s="10">
        <v>1</v>
      </c>
      <c r="J3085" s="10">
        <v>0</v>
      </c>
      <c r="K3085" s="10">
        <v>0</v>
      </c>
      <c r="L3085" s="10">
        <v>0</v>
      </c>
      <c r="M3085" s="10">
        <v>1</v>
      </c>
      <c r="N3085" s="10">
        <v>10</v>
      </c>
      <c r="O3085" s="10">
        <v>10</v>
      </c>
    </row>
    <row r="3086" spans="1:15" x14ac:dyDescent="0.2">
      <c r="A3086" s="10" t="s">
        <v>325</v>
      </c>
      <c r="B3086" s="10" t="s">
        <v>89</v>
      </c>
      <c r="C3086" s="10" t="s">
        <v>90</v>
      </c>
      <c r="D3086" s="10" t="s">
        <v>51</v>
      </c>
      <c r="E3086" s="10" t="s">
        <v>52</v>
      </c>
      <c r="F3086" s="10" t="s">
        <v>444</v>
      </c>
      <c r="G3086" s="10" t="b">
        <f>TRUE()</f>
        <v>1</v>
      </c>
      <c r="H3086" s="10">
        <v>0</v>
      </c>
      <c r="I3086" s="10">
        <v>1</v>
      </c>
      <c r="J3086" s="10">
        <v>0</v>
      </c>
      <c r="K3086" s="10">
        <v>0</v>
      </c>
      <c r="L3086" s="10">
        <v>0</v>
      </c>
      <c r="M3086" s="10">
        <v>1</v>
      </c>
      <c r="N3086" s="10">
        <v>10</v>
      </c>
      <c r="O3086" s="10">
        <v>10</v>
      </c>
    </row>
    <row r="3087" spans="1:15" x14ac:dyDescent="0.2">
      <c r="A3087" s="10" t="s">
        <v>217</v>
      </c>
      <c r="B3087" s="10" t="s">
        <v>218</v>
      </c>
      <c r="C3087" s="10" t="s">
        <v>73</v>
      </c>
      <c r="D3087" s="10" t="s">
        <v>45</v>
      </c>
      <c r="E3087" s="10" t="s">
        <v>46</v>
      </c>
      <c r="F3087" s="10" t="s">
        <v>123</v>
      </c>
      <c r="G3087" s="10" t="b">
        <f>FALSE()</f>
        <v>0</v>
      </c>
      <c r="H3087" s="10">
        <v>0</v>
      </c>
      <c r="I3087" s="10">
        <v>1</v>
      </c>
      <c r="J3087" s="10">
        <v>0</v>
      </c>
      <c r="K3087" s="10">
        <v>0</v>
      </c>
      <c r="L3087" s="10">
        <v>0</v>
      </c>
      <c r="M3087" s="10">
        <v>1</v>
      </c>
      <c r="N3087" s="10">
        <v>10</v>
      </c>
      <c r="O3087" s="10">
        <v>10</v>
      </c>
    </row>
    <row r="3088" spans="1:15" x14ac:dyDescent="0.2">
      <c r="A3088" s="10" t="s">
        <v>495</v>
      </c>
      <c r="B3088" s="10" t="s">
        <v>119</v>
      </c>
      <c r="C3088" s="10" t="s">
        <v>56</v>
      </c>
      <c r="D3088" s="10" t="s">
        <v>45</v>
      </c>
      <c r="E3088" s="10" t="s">
        <v>46</v>
      </c>
      <c r="F3088" s="10" t="s">
        <v>1249</v>
      </c>
      <c r="G3088" s="10" t="b">
        <f>TRUE()</f>
        <v>1</v>
      </c>
      <c r="H3088" s="10">
        <v>0</v>
      </c>
      <c r="I3088" s="10">
        <v>1</v>
      </c>
      <c r="J3088" s="10">
        <v>0</v>
      </c>
      <c r="K3088" s="10">
        <v>0</v>
      </c>
      <c r="L3088" s="10">
        <v>0</v>
      </c>
      <c r="M3088" s="10">
        <v>1</v>
      </c>
      <c r="N3088" s="10">
        <v>10</v>
      </c>
      <c r="O3088" s="10">
        <v>10</v>
      </c>
    </row>
    <row r="3089" spans="1:15" x14ac:dyDescent="0.2">
      <c r="A3089" s="10" t="s">
        <v>422</v>
      </c>
      <c r="B3089" s="10" t="s">
        <v>193</v>
      </c>
      <c r="C3089" s="10" t="s">
        <v>117</v>
      </c>
      <c r="D3089" s="10" t="s">
        <v>51</v>
      </c>
      <c r="E3089" s="10" t="s">
        <v>52</v>
      </c>
      <c r="F3089" s="10" t="s">
        <v>214</v>
      </c>
      <c r="G3089" s="10" t="b">
        <f>FALSE()</f>
        <v>0</v>
      </c>
      <c r="H3089" s="10">
        <v>0</v>
      </c>
      <c r="I3089" s="10">
        <v>1</v>
      </c>
      <c r="J3089" s="10">
        <v>0</v>
      </c>
      <c r="K3089" s="10">
        <v>0</v>
      </c>
      <c r="L3089" s="10">
        <v>0</v>
      </c>
      <c r="M3089" s="10">
        <v>1</v>
      </c>
      <c r="N3089" s="10">
        <v>10</v>
      </c>
      <c r="O3089" s="10">
        <v>10</v>
      </c>
    </row>
    <row r="3090" spans="1:15" x14ac:dyDescent="0.2">
      <c r="A3090" s="10" t="s">
        <v>659</v>
      </c>
      <c r="B3090" s="10" t="s">
        <v>172</v>
      </c>
      <c r="C3090" s="10" t="s">
        <v>44</v>
      </c>
      <c r="D3090" s="10" t="s">
        <v>45</v>
      </c>
      <c r="E3090" s="10" t="s">
        <v>46</v>
      </c>
      <c r="F3090" s="10" t="s">
        <v>1385</v>
      </c>
      <c r="G3090" s="10" t="b">
        <f>FALSE()</f>
        <v>0</v>
      </c>
      <c r="H3090" s="10">
        <v>0</v>
      </c>
      <c r="I3090" s="10">
        <v>1</v>
      </c>
      <c r="J3090" s="10">
        <v>0</v>
      </c>
      <c r="K3090" s="10">
        <v>0</v>
      </c>
      <c r="L3090" s="10">
        <v>0</v>
      </c>
      <c r="M3090" s="10">
        <v>1</v>
      </c>
      <c r="N3090" s="10">
        <v>10</v>
      </c>
      <c r="O3090" s="10">
        <v>10</v>
      </c>
    </row>
    <row r="3091" spans="1:15" x14ac:dyDescent="0.2">
      <c r="A3091" s="10" t="s">
        <v>1264</v>
      </c>
      <c r="B3091" s="10" t="s">
        <v>43</v>
      </c>
      <c r="C3091" s="10" t="s">
        <v>44</v>
      </c>
      <c r="D3091" s="10" t="s">
        <v>45</v>
      </c>
      <c r="E3091" s="10" t="s">
        <v>46</v>
      </c>
      <c r="F3091" s="10" t="s">
        <v>1118</v>
      </c>
      <c r="G3091" s="10" t="b">
        <f>FALSE()</f>
        <v>0</v>
      </c>
      <c r="H3091" s="10">
        <v>0</v>
      </c>
      <c r="I3091" s="10">
        <v>1</v>
      </c>
      <c r="J3091" s="10">
        <v>0</v>
      </c>
      <c r="K3091" s="10">
        <v>0</v>
      </c>
      <c r="L3091" s="10">
        <v>0</v>
      </c>
      <c r="M3091" s="10">
        <v>1</v>
      </c>
      <c r="N3091" s="10">
        <v>10</v>
      </c>
      <c r="O3091" s="10">
        <v>10</v>
      </c>
    </row>
    <row r="3092" spans="1:15" x14ac:dyDescent="0.2">
      <c r="A3092" s="10" t="s">
        <v>693</v>
      </c>
      <c r="B3092" s="10" t="s">
        <v>130</v>
      </c>
      <c r="C3092" s="10" t="s">
        <v>56</v>
      </c>
      <c r="D3092" s="10" t="s">
        <v>45</v>
      </c>
      <c r="E3092" s="10" t="s">
        <v>46</v>
      </c>
      <c r="F3092" s="10" t="s">
        <v>444</v>
      </c>
      <c r="G3092" s="10" t="b">
        <f>TRUE()</f>
        <v>1</v>
      </c>
      <c r="H3092" s="10">
        <v>0</v>
      </c>
      <c r="I3092" s="10">
        <v>1</v>
      </c>
      <c r="J3092" s="10">
        <v>0</v>
      </c>
      <c r="K3092" s="10">
        <v>0</v>
      </c>
      <c r="L3092" s="10">
        <v>0</v>
      </c>
      <c r="M3092" s="10">
        <v>1</v>
      </c>
      <c r="N3092" s="10">
        <v>10</v>
      </c>
      <c r="O3092" s="10">
        <v>10</v>
      </c>
    </row>
    <row r="3093" spans="1:15" x14ac:dyDescent="0.2">
      <c r="A3093" s="10" t="s">
        <v>1205</v>
      </c>
      <c r="B3093" s="10" t="s">
        <v>136</v>
      </c>
      <c r="C3093" s="10" t="s">
        <v>73</v>
      </c>
      <c r="D3093" s="10" t="s">
        <v>45</v>
      </c>
      <c r="E3093" s="10" t="s">
        <v>46</v>
      </c>
      <c r="F3093" s="10" t="s">
        <v>331</v>
      </c>
      <c r="G3093" s="10" t="b">
        <f>FALSE()</f>
        <v>0</v>
      </c>
      <c r="H3093" s="10">
        <v>0</v>
      </c>
      <c r="I3093" s="10">
        <v>1</v>
      </c>
      <c r="J3093" s="10">
        <v>0</v>
      </c>
      <c r="K3093" s="10">
        <v>0</v>
      </c>
      <c r="L3093" s="10">
        <v>0</v>
      </c>
      <c r="M3093" s="10">
        <v>1</v>
      </c>
      <c r="N3093" s="10">
        <v>10</v>
      </c>
      <c r="O3093" s="10">
        <v>10</v>
      </c>
    </row>
    <row r="3094" spans="1:15" x14ac:dyDescent="0.2">
      <c r="A3094" s="10" t="s">
        <v>1386</v>
      </c>
      <c r="B3094" s="10" t="s">
        <v>622</v>
      </c>
      <c r="C3094" s="10" t="s">
        <v>117</v>
      </c>
      <c r="D3094" s="10" t="s">
        <v>51</v>
      </c>
      <c r="E3094" s="10" t="s">
        <v>52</v>
      </c>
      <c r="F3094" s="10" t="s">
        <v>74</v>
      </c>
      <c r="G3094" s="10" t="b">
        <f>FALSE()</f>
        <v>0</v>
      </c>
      <c r="H3094" s="10">
        <v>0</v>
      </c>
      <c r="I3094" s="10">
        <v>1</v>
      </c>
      <c r="J3094" s="10">
        <v>0</v>
      </c>
      <c r="K3094" s="10">
        <v>0</v>
      </c>
      <c r="L3094" s="10">
        <v>0</v>
      </c>
      <c r="M3094" s="10">
        <v>1</v>
      </c>
      <c r="N3094" s="10">
        <v>10</v>
      </c>
      <c r="O3094" s="10">
        <v>10</v>
      </c>
    </row>
    <row r="3095" spans="1:15" x14ac:dyDescent="0.2">
      <c r="A3095" s="10" t="s">
        <v>1130</v>
      </c>
      <c r="B3095" s="10" t="s">
        <v>193</v>
      </c>
      <c r="C3095" s="10" t="s">
        <v>117</v>
      </c>
      <c r="D3095" s="10" t="s">
        <v>51</v>
      </c>
      <c r="E3095" s="10" t="s">
        <v>52</v>
      </c>
      <c r="F3095" s="10" t="s">
        <v>1116</v>
      </c>
      <c r="G3095" s="10" t="b">
        <f>FALSE()</f>
        <v>0</v>
      </c>
      <c r="H3095" s="10">
        <v>0</v>
      </c>
      <c r="I3095" s="10">
        <v>1</v>
      </c>
      <c r="J3095" s="10">
        <v>0</v>
      </c>
      <c r="K3095" s="10">
        <v>0</v>
      </c>
      <c r="L3095" s="10">
        <v>0</v>
      </c>
      <c r="M3095" s="10">
        <v>1</v>
      </c>
      <c r="N3095" s="10">
        <v>10</v>
      </c>
      <c r="O3095" s="10">
        <v>10</v>
      </c>
    </row>
    <row r="3096" spans="1:15" x14ac:dyDescent="0.2">
      <c r="A3096" s="10" t="s">
        <v>1130</v>
      </c>
      <c r="B3096" s="10" t="s">
        <v>193</v>
      </c>
      <c r="C3096" s="10" t="s">
        <v>117</v>
      </c>
      <c r="D3096" s="10" t="s">
        <v>51</v>
      </c>
      <c r="E3096" s="10" t="s">
        <v>52</v>
      </c>
      <c r="F3096" s="10" t="s">
        <v>212</v>
      </c>
      <c r="G3096" s="10" t="b">
        <f>FALSE()</f>
        <v>0</v>
      </c>
      <c r="H3096" s="10">
        <v>0</v>
      </c>
      <c r="I3096" s="10">
        <v>1</v>
      </c>
      <c r="J3096" s="10">
        <v>0</v>
      </c>
      <c r="K3096" s="10">
        <v>0</v>
      </c>
      <c r="L3096" s="10">
        <v>0</v>
      </c>
      <c r="M3096" s="10">
        <v>1</v>
      </c>
      <c r="N3096" s="10">
        <v>11</v>
      </c>
      <c r="O3096" s="10">
        <v>10</v>
      </c>
    </row>
    <row r="3097" spans="1:15" x14ac:dyDescent="0.2">
      <c r="A3097" s="10" t="s">
        <v>1295</v>
      </c>
      <c r="B3097" s="10" t="s">
        <v>193</v>
      </c>
      <c r="C3097" s="10" t="s">
        <v>117</v>
      </c>
      <c r="D3097" s="10" t="s">
        <v>51</v>
      </c>
      <c r="E3097" s="10" t="s">
        <v>52</v>
      </c>
      <c r="F3097" s="10" t="s">
        <v>1216</v>
      </c>
      <c r="G3097" s="10" t="b">
        <f>TRUE()</f>
        <v>1</v>
      </c>
      <c r="H3097" s="10">
        <v>0</v>
      </c>
      <c r="I3097" s="10">
        <v>1</v>
      </c>
      <c r="J3097" s="10">
        <v>0</v>
      </c>
      <c r="K3097" s="10">
        <v>0</v>
      </c>
      <c r="L3097" s="10">
        <v>0</v>
      </c>
      <c r="M3097" s="10">
        <v>1</v>
      </c>
      <c r="N3097" s="10">
        <v>10</v>
      </c>
      <c r="O3097" s="10">
        <v>10</v>
      </c>
    </row>
    <row r="3098" spans="1:15" x14ac:dyDescent="0.2">
      <c r="A3098" s="10" t="s">
        <v>1262</v>
      </c>
      <c r="B3098" s="10" t="s">
        <v>193</v>
      </c>
      <c r="C3098" s="10" t="s">
        <v>117</v>
      </c>
      <c r="D3098" s="10" t="s">
        <v>51</v>
      </c>
      <c r="E3098" s="10" t="s">
        <v>52</v>
      </c>
      <c r="F3098" s="10" t="s">
        <v>1118</v>
      </c>
      <c r="G3098" s="10" t="b">
        <f>FALSE()</f>
        <v>0</v>
      </c>
      <c r="H3098" s="10">
        <v>0</v>
      </c>
      <c r="I3098" s="10">
        <v>1</v>
      </c>
      <c r="J3098" s="10">
        <v>0</v>
      </c>
      <c r="K3098" s="10">
        <v>0</v>
      </c>
      <c r="L3098" s="10">
        <v>0</v>
      </c>
      <c r="M3098" s="10">
        <v>1</v>
      </c>
      <c r="N3098" s="10">
        <v>10</v>
      </c>
      <c r="O3098" s="10">
        <v>10</v>
      </c>
    </row>
    <row r="3099" spans="1:15" x14ac:dyDescent="0.2">
      <c r="A3099" s="10" t="s">
        <v>1262</v>
      </c>
      <c r="B3099" s="10" t="s">
        <v>193</v>
      </c>
      <c r="C3099" s="10" t="s">
        <v>117</v>
      </c>
      <c r="D3099" s="10" t="s">
        <v>51</v>
      </c>
      <c r="E3099" s="10" t="s">
        <v>52</v>
      </c>
      <c r="F3099" s="10" t="s">
        <v>434</v>
      </c>
      <c r="G3099" s="10" t="b">
        <f>FALSE()</f>
        <v>0</v>
      </c>
      <c r="H3099" s="10">
        <v>0</v>
      </c>
      <c r="I3099" s="10">
        <v>1</v>
      </c>
      <c r="J3099" s="10">
        <v>0</v>
      </c>
      <c r="K3099" s="10">
        <v>0</v>
      </c>
      <c r="L3099" s="10">
        <v>0</v>
      </c>
      <c r="M3099" s="10">
        <v>1</v>
      </c>
      <c r="N3099" s="10">
        <v>10</v>
      </c>
      <c r="O3099" s="10">
        <v>10</v>
      </c>
    </row>
    <row r="3100" spans="1:15" x14ac:dyDescent="0.2">
      <c r="A3100" s="10" t="s">
        <v>1032</v>
      </c>
      <c r="B3100" s="10" t="s">
        <v>96</v>
      </c>
      <c r="C3100" s="10" t="s">
        <v>50</v>
      </c>
      <c r="D3100" s="10" t="s">
        <v>51</v>
      </c>
      <c r="E3100" s="10" t="s">
        <v>52</v>
      </c>
      <c r="F3100" s="10" t="s">
        <v>123</v>
      </c>
      <c r="G3100" s="10" t="b">
        <f>FALSE()</f>
        <v>0</v>
      </c>
      <c r="H3100" s="10">
        <v>0</v>
      </c>
      <c r="I3100" s="10">
        <v>1</v>
      </c>
      <c r="J3100" s="10">
        <v>0</v>
      </c>
      <c r="K3100" s="10">
        <v>0</v>
      </c>
      <c r="L3100" s="10">
        <v>0</v>
      </c>
      <c r="M3100" s="10">
        <v>1</v>
      </c>
      <c r="N3100" s="10">
        <v>20</v>
      </c>
      <c r="O3100" s="10">
        <v>10</v>
      </c>
    </row>
    <row r="3101" spans="1:15" x14ac:dyDescent="0.2">
      <c r="A3101" s="10" t="s">
        <v>1215</v>
      </c>
      <c r="B3101" s="10" t="s">
        <v>477</v>
      </c>
      <c r="C3101" s="10" t="s">
        <v>50</v>
      </c>
      <c r="D3101" s="10" t="s">
        <v>51</v>
      </c>
      <c r="E3101" s="10" t="s">
        <v>52</v>
      </c>
      <c r="F3101" s="10" t="s">
        <v>79</v>
      </c>
      <c r="G3101" s="10" t="b">
        <f>FALSE()</f>
        <v>0</v>
      </c>
      <c r="H3101" s="10">
        <v>0</v>
      </c>
      <c r="I3101" s="10">
        <v>1</v>
      </c>
      <c r="J3101" s="10">
        <v>0</v>
      </c>
      <c r="K3101" s="10">
        <v>0</v>
      </c>
      <c r="L3101" s="10">
        <v>0</v>
      </c>
      <c r="M3101" s="10">
        <v>1</v>
      </c>
      <c r="N3101" s="10">
        <v>10</v>
      </c>
      <c r="O3101" s="10">
        <v>10</v>
      </c>
    </row>
    <row r="3102" spans="1:15" x14ac:dyDescent="0.2">
      <c r="A3102" s="10" t="s">
        <v>1293</v>
      </c>
      <c r="B3102" s="10" t="s">
        <v>289</v>
      </c>
      <c r="C3102" s="10" t="s">
        <v>50</v>
      </c>
      <c r="D3102" s="10" t="s">
        <v>51</v>
      </c>
      <c r="E3102" s="10" t="s">
        <v>52</v>
      </c>
      <c r="F3102" s="10" t="s">
        <v>61</v>
      </c>
      <c r="G3102" s="10" t="b">
        <f>FALSE()</f>
        <v>0</v>
      </c>
      <c r="H3102" s="10">
        <v>0</v>
      </c>
      <c r="I3102" s="10">
        <v>1</v>
      </c>
      <c r="J3102" s="10">
        <v>0</v>
      </c>
      <c r="K3102" s="10">
        <v>0</v>
      </c>
      <c r="L3102" s="10">
        <v>0</v>
      </c>
      <c r="M3102" s="10">
        <v>1</v>
      </c>
      <c r="N3102" s="10">
        <v>10</v>
      </c>
      <c r="O3102" s="10">
        <v>10</v>
      </c>
    </row>
    <row r="3103" spans="1:15" x14ac:dyDescent="0.2">
      <c r="A3103" s="10" t="s">
        <v>1387</v>
      </c>
      <c r="B3103" s="10" t="s">
        <v>128</v>
      </c>
      <c r="C3103" s="10" t="s">
        <v>50</v>
      </c>
      <c r="D3103" s="10" t="s">
        <v>51</v>
      </c>
      <c r="E3103" s="10" t="s">
        <v>52</v>
      </c>
      <c r="F3103" s="10" t="s">
        <v>393</v>
      </c>
      <c r="G3103" s="10" t="b">
        <f>FALSE()</f>
        <v>0</v>
      </c>
      <c r="H3103" s="10">
        <v>0</v>
      </c>
      <c r="I3103" s="10">
        <v>1</v>
      </c>
      <c r="J3103" s="10">
        <v>0</v>
      </c>
      <c r="K3103" s="10">
        <v>0</v>
      </c>
      <c r="L3103" s="10">
        <v>0</v>
      </c>
      <c r="M3103" s="10">
        <v>1</v>
      </c>
      <c r="N3103" s="10">
        <v>19</v>
      </c>
      <c r="O3103" s="10">
        <v>10</v>
      </c>
    </row>
    <row r="3104" spans="1:15" x14ac:dyDescent="0.2">
      <c r="A3104" s="10" t="s">
        <v>1191</v>
      </c>
      <c r="B3104" s="10" t="s">
        <v>384</v>
      </c>
      <c r="C3104" s="10" t="s">
        <v>50</v>
      </c>
      <c r="D3104" s="10" t="s">
        <v>51</v>
      </c>
      <c r="E3104" s="10" t="s">
        <v>52</v>
      </c>
      <c r="F3104" s="10" t="s">
        <v>79</v>
      </c>
      <c r="G3104" s="10" t="b">
        <f>FALSE()</f>
        <v>0</v>
      </c>
      <c r="H3104" s="10">
        <v>0</v>
      </c>
      <c r="I3104" s="10">
        <v>1</v>
      </c>
      <c r="J3104" s="10">
        <v>0</v>
      </c>
      <c r="K3104" s="10">
        <v>0</v>
      </c>
      <c r="L3104" s="10">
        <v>0</v>
      </c>
      <c r="M3104" s="10">
        <v>1</v>
      </c>
      <c r="N3104" s="10">
        <v>10</v>
      </c>
      <c r="O3104" s="10">
        <v>10</v>
      </c>
    </row>
    <row r="3105" spans="1:15" x14ac:dyDescent="0.2">
      <c r="A3105" s="10" t="s">
        <v>1302</v>
      </c>
      <c r="B3105" s="10" t="s">
        <v>96</v>
      </c>
      <c r="C3105" s="10" t="s">
        <v>50</v>
      </c>
      <c r="D3105" s="10" t="s">
        <v>51</v>
      </c>
      <c r="E3105" s="10" t="s">
        <v>52</v>
      </c>
      <c r="F3105" s="10" t="s">
        <v>94</v>
      </c>
      <c r="G3105" s="10" t="b">
        <f>FALSE()</f>
        <v>0</v>
      </c>
      <c r="H3105" s="10">
        <v>0</v>
      </c>
      <c r="I3105" s="10">
        <v>1</v>
      </c>
      <c r="J3105" s="10">
        <v>0</v>
      </c>
      <c r="K3105" s="10">
        <v>0</v>
      </c>
      <c r="L3105" s="10">
        <v>0</v>
      </c>
      <c r="M3105" s="10">
        <v>1</v>
      </c>
      <c r="N3105" s="10">
        <v>10</v>
      </c>
      <c r="O3105" s="10">
        <v>10</v>
      </c>
    </row>
    <row r="3106" spans="1:15" x14ac:dyDescent="0.2">
      <c r="A3106" s="10" t="s">
        <v>1297</v>
      </c>
      <c r="B3106" s="10" t="s">
        <v>89</v>
      </c>
      <c r="C3106" s="10" t="s">
        <v>90</v>
      </c>
      <c r="D3106" s="10" t="s">
        <v>51</v>
      </c>
      <c r="E3106" s="10" t="s">
        <v>52</v>
      </c>
      <c r="F3106" s="10" t="s">
        <v>1388</v>
      </c>
      <c r="G3106" s="10" t="b">
        <f>FALSE()</f>
        <v>0</v>
      </c>
      <c r="H3106" s="10">
        <v>0</v>
      </c>
      <c r="I3106" s="10">
        <v>1</v>
      </c>
      <c r="J3106" s="10">
        <v>0</v>
      </c>
      <c r="K3106" s="10">
        <v>0</v>
      </c>
      <c r="L3106" s="10">
        <v>0</v>
      </c>
      <c r="M3106" s="10">
        <v>1</v>
      </c>
      <c r="N3106" s="10">
        <v>10</v>
      </c>
      <c r="O3106" s="10">
        <v>10</v>
      </c>
    </row>
    <row r="3107" spans="1:15" x14ac:dyDescent="0.2">
      <c r="A3107" s="10" t="s">
        <v>1037</v>
      </c>
      <c r="B3107" s="10" t="s">
        <v>238</v>
      </c>
      <c r="C3107" s="10" t="s">
        <v>90</v>
      </c>
      <c r="D3107" s="10" t="s">
        <v>51</v>
      </c>
      <c r="E3107" s="10" t="s">
        <v>52</v>
      </c>
      <c r="F3107" s="10" t="s">
        <v>877</v>
      </c>
      <c r="G3107" s="10" t="b">
        <f>FALSE()</f>
        <v>0</v>
      </c>
      <c r="H3107" s="10">
        <v>0</v>
      </c>
      <c r="I3107" s="10">
        <v>1</v>
      </c>
      <c r="J3107" s="10">
        <v>0</v>
      </c>
      <c r="K3107" s="10">
        <v>0</v>
      </c>
      <c r="L3107" s="10">
        <v>0</v>
      </c>
      <c r="M3107" s="10">
        <v>1</v>
      </c>
      <c r="N3107" s="10">
        <v>10</v>
      </c>
      <c r="O3107" s="10">
        <v>10</v>
      </c>
    </row>
    <row r="3108" spans="1:15" x14ac:dyDescent="0.2">
      <c r="A3108" s="10" t="s">
        <v>1261</v>
      </c>
      <c r="B3108" s="10" t="s">
        <v>89</v>
      </c>
      <c r="C3108" s="10" t="s">
        <v>90</v>
      </c>
      <c r="D3108" s="10" t="s">
        <v>51</v>
      </c>
      <c r="E3108" s="10" t="s">
        <v>52</v>
      </c>
      <c r="F3108" s="10" t="s">
        <v>107</v>
      </c>
      <c r="G3108" s="10" t="b">
        <f>FALSE()</f>
        <v>0</v>
      </c>
      <c r="H3108" s="10">
        <v>0</v>
      </c>
      <c r="I3108" s="10">
        <v>1</v>
      </c>
      <c r="J3108" s="10">
        <v>0</v>
      </c>
      <c r="K3108" s="10">
        <v>0</v>
      </c>
      <c r="L3108" s="10">
        <v>0</v>
      </c>
      <c r="M3108" s="10">
        <v>1</v>
      </c>
      <c r="N3108" s="10">
        <v>10</v>
      </c>
      <c r="O3108" s="10">
        <v>10</v>
      </c>
    </row>
    <row r="3109" spans="1:15" x14ac:dyDescent="0.2">
      <c r="A3109" s="10" t="s">
        <v>1326</v>
      </c>
      <c r="B3109" s="10" t="s">
        <v>247</v>
      </c>
      <c r="C3109" s="10" t="s">
        <v>245</v>
      </c>
      <c r="D3109" s="10" t="s">
        <v>51</v>
      </c>
      <c r="E3109" s="10" t="s">
        <v>52</v>
      </c>
      <c r="F3109" s="10" t="s">
        <v>1337</v>
      </c>
      <c r="G3109" s="10" t="b">
        <f>TRUE()</f>
        <v>1</v>
      </c>
      <c r="H3109" s="10">
        <v>0</v>
      </c>
      <c r="I3109" s="10">
        <v>1</v>
      </c>
      <c r="J3109" s="10">
        <v>0</v>
      </c>
      <c r="K3109" s="10">
        <v>0</v>
      </c>
      <c r="L3109" s="10">
        <v>0</v>
      </c>
      <c r="M3109" s="10">
        <v>1</v>
      </c>
      <c r="N3109" s="10">
        <v>10</v>
      </c>
      <c r="O3109" s="10">
        <v>10</v>
      </c>
    </row>
    <row r="3110" spans="1:15" x14ac:dyDescent="0.2">
      <c r="A3110" s="10" t="s">
        <v>1342</v>
      </c>
      <c r="B3110" s="10" t="s">
        <v>456</v>
      </c>
      <c r="C3110" s="10" t="s">
        <v>245</v>
      </c>
      <c r="D3110" s="10" t="s">
        <v>51</v>
      </c>
      <c r="E3110" s="10" t="s">
        <v>52</v>
      </c>
      <c r="F3110" s="10" t="s">
        <v>102</v>
      </c>
      <c r="G3110" s="10" t="b">
        <f>TRUE()</f>
        <v>1</v>
      </c>
      <c r="H3110" s="10">
        <v>0</v>
      </c>
      <c r="I3110" s="10">
        <v>1</v>
      </c>
      <c r="J3110" s="10">
        <v>0</v>
      </c>
      <c r="K3110" s="10">
        <v>0</v>
      </c>
      <c r="L3110" s="10">
        <v>0</v>
      </c>
      <c r="M3110" s="10">
        <v>1</v>
      </c>
      <c r="N3110" s="10">
        <v>10</v>
      </c>
      <c r="O3110" s="10">
        <v>10</v>
      </c>
    </row>
    <row r="3111" spans="1:15" x14ac:dyDescent="0.2">
      <c r="A3111" s="10" t="s">
        <v>1319</v>
      </c>
      <c r="B3111" s="10" t="s">
        <v>72</v>
      </c>
      <c r="C3111" s="10" t="s">
        <v>73</v>
      </c>
      <c r="D3111" s="10" t="s">
        <v>45</v>
      </c>
      <c r="E3111" s="10" t="s">
        <v>46</v>
      </c>
      <c r="F3111" s="10" t="s">
        <v>660</v>
      </c>
      <c r="G3111" s="10" t="b">
        <f>FALSE()</f>
        <v>0</v>
      </c>
      <c r="H3111" s="10">
        <v>0</v>
      </c>
      <c r="I3111" s="10">
        <v>1</v>
      </c>
      <c r="J3111" s="10">
        <v>0</v>
      </c>
      <c r="K3111" s="10">
        <v>0</v>
      </c>
      <c r="L3111" s="10">
        <v>0</v>
      </c>
      <c r="M3111" s="10">
        <v>1</v>
      </c>
      <c r="N3111" s="10">
        <v>10</v>
      </c>
      <c r="O3111" s="10">
        <v>10</v>
      </c>
    </row>
    <row r="3112" spans="1:15" x14ac:dyDescent="0.2">
      <c r="A3112" s="10" t="s">
        <v>1048</v>
      </c>
      <c r="B3112" s="10" t="s">
        <v>1049</v>
      </c>
      <c r="C3112" s="10" t="s">
        <v>64</v>
      </c>
      <c r="D3112" s="10" t="s">
        <v>45</v>
      </c>
      <c r="E3112" s="10" t="s">
        <v>46</v>
      </c>
      <c r="F3112" s="10" t="s">
        <v>1173</v>
      </c>
      <c r="G3112" s="10" t="b">
        <f>FALSE()</f>
        <v>0</v>
      </c>
      <c r="H3112" s="10">
        <v>0</v>
      </c>
      <c r="I3112" s="10">
        <v>1</v>
      </c>
      <c r="J3112" s="10">
        <v>0</v>
      </c>
      <c r="K3112" s="10">
        <v>0</v>
      </c>
      <c r="L3112" s="10">
        <v>0</v>
      </c>
      <c r="M3112" s="10">
        <v>1</v>
      </c>
      <c r="N3112" s="10">
        <v>10</v>
      </c>
      <c r="O3112" s="10">
        <v>10</v>
      </c>
    </row>
    <row r="3113" spans="1:15" x14ac:dyDescent="0.2">
      <c r="A3113" s="10" t="s">
        <v>1093</v>
      </c>
      <c r="B3113" s="10" t="s">
        <v>262</v>
      </c>
      <c r="C3113" s="10" t="s">
        <v>105</v>
      </c>
      <c r="D3113" s="10" t="s">
        <v>45</v>
      </c>
      <c r="E3113" s="10" t="s">
        <v>46</v>
      </c>
      <c r="F3113" s="10" t="s">
        <v>91</v>
      </c>
      <c r="G3113" s="10" t="b">
        <f>TRUE()</f>
        <v>1</v>
      </c>
      <c r="H3113" s="10">
        <v>0</v>
      </c>
      <c r="I3113" s="10">
        <v>1</v>
      </c>
      <c r="J3113" s="10">
        <v>0</v>
      </c>
      <c r="K3113" s="10">
        <v>0</v>
      </c>
      <c r="L3113" s="10">
        <v>0</v>
      </c>
      <c r="M3113" s="10">
        <v>1</v>
      </c>
      <c r="N3113" s="10">
        <v>10</v>
      </c>
      <c r="O3113" s="10">
        <v>10</v>
      </c>
    </row>
    <row r="3114" spans="1:15" x14ac:dyDescent="0.2">
      <c r="A3114" s="10" t="s">
        <v>1106</v>
      </c>
      <c r="B3114" s="10" t="s">
        <v>146</v>
      </c>
      <c r="C3114" s="10" t="s">
        <v>105</v>
      </c>
      <c r="D3114" s="10" t="s">
        <v>45</v>
      </c>
      <c r="E3114" s="10" t="s">
        <v>46</v>
      </c>
      <c r="F3114" s="10" t="s">
        <v>403</v>
      </c>
      <c r="G3114" s="10" t="b">
        <f>TRUE()</f>
        <v>1</v>
      </c>
      <c r="H3114" s="10">
        <v>0</v>
      </c>
      <c r="I3114" s="10">
        <v>1</v>
      </c>
      <c r="J3114" s="10">
        <v>0</v>
      </c>
      <c r="K3114" s="10">
        <v>0</v>
      </c>
      <c r="L3114" s="10">
        <v>0</v>
      </c>
      <c r="M3114" s="10">
        <v>1</v>
      </c>
      <c r="N3114" s="10">
        <v>10</v>
      </c>
      <c r="O3114" s="10">
        <v>10</v>
      </c>
    </row>
    <row r="3115" spans="1:15" x14ac:dyDescent="0.2">
      <c r="A3115" s="10" t="s">
        <v>1325</v>
      </c>
      <c r="B3115" s="10" t="s">
        <v>130</v>
      </c>
      <c r="C3115" s="10" t="s">
        <v>56</v>
      </c>
      <c r="D3115" s="10" t="s">
        <v>45</v>
      </c>
      <c r="E3115" s="10" t="s">
        <v>46</v>
      </c>
      <c r="F3115" s="10" t="s">
        <v>183</v>
      </c>
      <c r="G3115" s="10" t="b">
        <f>FALSE()</f>
        <v>0</v>
      </c>
      <c r="H3115" s="10">
        <v>0</v>
      </c>
      <c r="I3115" s="10">
        <v>1</v>
      </c>
      <c r="J3115" s="10">
        <v>0</v>
      </c>
      <c r="K3115" s="10">
        <v>0</v>
      </c>
      <c r="L3115" s="10">
        <v>0</v>
      </c>
      <c r="M3115" s="10">
        <v>1</v>
      </c>
      <c r="N3115" s="10">
        <v>14</v>
      </c>
      <c r="O3115" s="10">
        <v>10</v>
      </c>
    </row>
    <row r="3116" spans="1:15" x14ac:dyDescent="0.2">
      <c r="A3116" s="10" t="s">
        <v>1325</v>
      </c>
      <c r="B3116" s="10" t="s">
        <v>130</v>
      </c>
      <c r="C3116" s="10" t="s">
        <v>56</v>
      </c>
      <c r="D3116" s="10" t="s">
        <v>45</v>
      </c>
      <c r="E3116" s="10" t="s">
        <v>46</v>
      </c>
      <c r="F3116" s="10" t="s">
        <v>153</v>
      </c>
      <c r="G3116" s="10" t="b">
        <f>FALSE()</f>
        <v>0</v>
      </c>
      <c r="H3116" s="10">
        <v>0</v>
      </c>
      <c r="I3116" s="10">
        <v>1</v>
      </c>
      <c r="J3116" s="10">
        <v>0</v>
      </c>
      <c r="K3116" s="10">
        <v>0</v>
      </c>
      <c r="L3116" s="10">
        <v>0</v>
      </c>
      <c r="M3116" s="10">
        <v>1</v>
      </c>
      <c r="N3116" s="10">
        <v>10</v>
      </c>
      <c r="O3116" s="10">
        <v>10</v>
      </c>
    </row>
    <row r="3117" spans="1:15" x14ac:dyDescent="0.2">
      <c r="A3117" s="10" t="s">
        <v>1389</v>
      </c>
      <c r="B3117" s="10" t="s">
        <v>130</v>
      </c>
      <c r="C3117" s="10" t="s">
        <v>56</v>
      </c>
      <c r="D3117" s="10" t="s">
        <v>45</v>
      </c>
      <c r="E3117" s="10" t="s">
        <v>46</v>
      </c>
      <c r="F3117" s="10" t="s">
        <v>814</v>
      </c>
      <c r="G3117" s="10" t="b">
        <f>FALSE()</f>
        <v>0</v>
      </c>
      <c r="H3117" s="10">
        <v>0</v>
      </c>
      <c r="I3117" s="10">
        <v>1</v>
      </c>
      <c r="J3117" s="10">
        <v>0</v>
      </c>
      <c r="K3117" s="10">
        <v>0</v>
      </c>
      <c r="L3117" s="10">
        <v>0</v>
      </c>
      <c r="M3117" s="10">
        <v>1</v>
      </c>
      <c r="N3117" s="10">
        <v>10</v>
      </c>
      <c r="O3117" s="10">
        <v>10</v>
      </c>
    </row>
    <row r="3118" spans="1:15" x14ac:dyDescent="0.2">
      <c r="A3118" s="10" t="s">
        <v>1310</v>
      </c>
      <c r="B3118" s="10" t="s">
        <v>130</v>
      </c>
      <c r="C3118" s="10" t="s">
        <v>56</v>
      </c>
      <c r="D3118" s="10" t="s">
        <v>45</v>
      </c>
      <c r="E3118" s="10" t="s">
        <v>46</v>
      </c>
      <c r="F3118" s="10" t="s">
        <v>1249</v>
      </c>
      <c r="G3118" s="10" t="b">
        <f>TRUE()</f>
        <v>1</v>
      </c>
      <c r="H3118" s="10">
        <v>0</v>
      </c>
      <c r="I3118" s="10">
        <v>1</v>
      </c>
      <c r="J3118" s="10">
        <v>0</v>
      </c>
      <c r="K3118" s="10">
        <v>0</v>
      </c>
      <c r="L3118" s="10">
        <v>0</v>
      </c>
      <c r="M3118" s="10">
        <v>1</v>
      </c>
      <c r="N3118" s="10">
        <v>10</v>
      </c>
      <c r="O3118" s="10">
        <v>10</v>
      </c>
    </row>
    <row r="3119" spans="1:15" x14ac:dyDescent="0.2">
      <c r="A3119" s="10" t="s">
        <v>1111</v>
      </c>
      <c r="B3119" s="10" t="s">
        <v>70</v>
      </c>
      <c r="C3119" s="10" t="s">
        <v>70</v>
      </c>
      <c r="D3119" s="10" t="s">
        <v>45</v>
      </c>
      <c r="E3119" s="10" t="s">
        <v>46</v>
      </c>
      <c r="F3119" s="10" t="s">
        <v>967</v>
      </c>
      <c r="G3119" s="10" t="b">
        <f>FALSE()</f>
        <v>0</v>
      </c>
      <c r="H3119" s="10">
        <v>0</v>
      </c>
      <c r="I3119" s="10">
        <v>1</v>
      </c>
      <c r="J3119" s="10">
        <v>0</v>
      </c>
      <c r="K3119" s="10">
        <v>0</v>
      </c>
      <c r="L3119" s="10">
        <v>0</v>
      </c>
      <c r="M3119" s="10">
        <v>1</v>
      </c>
      <c r="N3119" s="10">
        <v>10</v>
      </c>
      <c r="O3119" s="10">
        <v>10</v>
      </c>
    </row>
    <row r="3120" spans="1:15" x14ac:dyDescent="0.2">
      <c r="A3120" s="10" t="s">
        <v>1282</v>
      </c>
      <c r="B3120" s="10" t="s">
        <v>70</v>
      </c>
      <c r="C3120" s="10" t="s">
        <v>70</v>
      </c>
      <c r="D3120" s="10" t="s">
        <v>45</v>
      </c>
      <c r="E3120" s="10" t="s">
        <v>46</v>
      </c>
      <c r="F3120" s="10" t="s">
        <v>79</v>
      </c>
      <c r="G3120" s="10" t="b">
        <f>FALSE()</f>
        <v>0</v>
      </c>
      <c r="H3120" s="10">
        <v>0</v>
      </c>
      <c r="I3120" s="10">
        <v>1</v>
      </c>
      <c r="J3120" s="10">
        <v>0</v>
      </c>
      <c r="K3120" s="10">
        <v>0</v>
      </c>
      <c r="L3120" s="10">
        <v>0</v>
      </c>
      <c r="M3120" s="10">
        <v>1</v>
      </c>
      <c r="N3120" s="10">
        <v>10</v>
      </c>
      <c r="O3120" s="10">
        <v>10</v>
      </c>
    </row>
    <row r="3121" spans="1:15" x14ac:dyDescent="0.2">
      <c r="A3121" s="10" t="s">
        <v>177</v>
      </c>
      <c r="B3121" s="10" t="s">
        <v>178</v>
      </c>
      <c r="C3121" s="10" t="s">
        <v>73</v>
      </c>
      <c r="D3121" s="10" t="s">
        <v>45</v>
      </c>
      <c r="E3121" s="10" t="s">
        <v>46</v>
      </c>
      <c r="F3121" s="10" t="s">
        <v>393</v>
      </c>
      <c r="G3121" s="10" t="b">
        <f>FALSE()</f>
        <v>0</v>
      </c>
      <c r="H3121" s="10">
        <v>0</v>
      </c>
      <c r="I3121" s="10">
        <v>1</v>
      </c>
      <c r="J3121" s="10">
        <v>0</v>
      </c>
      <c r="K3121" s="10">
        <v>0</v>
      </c>
      <c r="L3121" s="10">
        <v>0</v>
      </c>
      <c r="M3121" s="10">
        <v>1</v>
      </c>
      <c r="N3121" s="10">
        <v>9</v>
      </c>
      <c r="O3121" s="10">
        <v>9</v>
      </c>
    </row>
    <row r="3122" spans="1:15" x14ac:dyDescent="0.2">
      <c r="A3122" s="10" t="s">
        <v>217</v>
      </c>
      <c r="B3122" s="10" t="s">
        <v>218</v>
      </c>
      <c r="C3122" s="10" t="s">
        <v>73</v>
      </c>
      <c r="D3122" s="10" t="s">
        <v>45</v>
      </c>
      <c r="E3122" s="10" t="s">
        <v>46</v>
      </c>
      <c r="F3122" s="10" t="s">
        <v>1390</v>
      </c>
      <c r="G3122" s="10" t="b">
        <f>FALSE()</f>
        <v>0</v>
      </c>
      <c r="H3122" s="10">
        <v>0</v>
      </c>
      <c r="I3122" s="10">
        <v>1</v>
      </c>
      <c r="J3122" s="10">
        <v>0</v>
      </c>
      <c r="K3122" s="10">
        <v>0</v>
      </c>
      <c r="L3122" s="10">
        <v>0</v>
      </c>
      <c r="M3122" s="10">
        <v>1</v>
      </c>
      <c r="N3122" s="10">
        <v>9</v>
      </c>
      <c r="O3122" s="10">
        <v>9</v>
      </c>
    </row>
    <row r="3123" spans="1:15" x14ac:dyDescent="0.2">
      <c r="A3123" s="10" t="s">
        <v>569</v>
      </c>
      <c r="B3123" s="10" t="s">
        <v>130</v>
      </c>
      <c r="C3123" s="10" t="s">
        <v>56</v>
      </c>
      <c r="D3123" s="10" t="s">
        <v>45</v>
      </c>
      <c r="E3123" s="10" t="s">
        <v>46</v>
      </c>
      <c r="F3123" s="10" t="s">
        <v>61</v>
      </c>
      <c r="G3123" s="10" t="b">
        <f>FALSE()</f>
        <v>0</v>
      </c>
      <c r="H3123" s="10">
        <v>0</v>
      </c>
      <c r="I3123" s="10">
        <v>1</v>
      </c>
      <c r="J3123" s="10">
        <v>0</v>
      </c>
      <c r="K3123" s="10">
        <v>0</v>
      </c>
      <c r="L3123" s="10">
        <v>0</v>
      </c>
      <c r="M3123" s="10">
        <v>1</v>
      </c>
      <c r="N3123" s="10">
        <v>9</v>
      </c>
      <c r="O3123" s="10">
        <v>9</v>
      </c>
    </row>
    <row r="3124" spans="1:15" x14ac:dyDescent="0.2">
      <c r="A3124" s="10" t="s">
        <v>817</v>
      </c>
      <c r="B3124" s="10" t="s">
        <v>136</v>
      </c>
      <c r="C3124" s="10" t="s">
        <v>73</v>
      </c>
      <c r="D3124" s="10" t="s">
        <v>45</v>
      </c>
      <c r="E3124" s="10" t="s">
        <v>46</v>
      </c>
      <c r="F3124" s="10" t="s">
        <v>47</v>
      </c>
      <c r="G3124" s="10" t="b">
        <f>FALSE()</f>
        <v>0</v>
      </c>
      <c r="H3124" s="10">
        <v>0</v>
      </c>
      <c r="I3124" s="10">
        <v>1</v>
      </c>
      <c r="J3124" s="10">
        <v>0</v>
      </c>
      <c r="K3124" s="10">
        <v>0</v>
      </c>
      <c r="L3124" s="10">
        <v>0</v>
      </c>
      <c r="M3124" s="10">
        <v>1</v>
      </c>
      <c r="N3124" s="10">
        <v>9</v>
      </c>
      <c r="O3124" s="10">
        <v>9</v>
      </c>
    </row>
    <row r="3125" spans="1:15" x14ac:dyDescent="0.2">
      <c r="A3125" s="10" t="s">
        <v>303</v>
      </c>
      <c r="B3125" s="10" t="s">
        <v>172</v>
      </c>
      <c r="C3125" s="10" t="s">
        <v>44</v>
      </c>
      <c r="D3125" s="10" t="s">
        <v>45</v>
      </c>
      <c r="E3125" s="10" t="s">
        <v>46</v>
      </c>
      <c r="F3125" s="10" t="s">
        <v>1292</v>
      </c>
      <c r="G3125" s="10" t="b">
        <f>FALSE()</f>
        <v>0</v>
      </c>
      <c r="H3125" s="10">
        <v>0</v>
      </c>
      <c r="I3125" s="10">
        <v>1</v>
      </c>
      <c r="J3125" s="10">
        <v>0</v>
      </c>
      <c r="K3125" s="10">
        <v>0</v>
      </c>
      <c r="L3125" s="10">
        <v>0</v>
      </c>
      <c r="M3125" s="10">
        <v>1</v>
      </c>
      <c r="N3125" s="10">
        <v>9</v>
      </c>
      <c r="O3125" s="10">
        <v>9</v>
      </c>
    </row>
    <row r="3126" spans="1:15" x14ac:dyDescent="0.2">
      <c r="A3126" s="10" t="s">
        <v>991</v>
      </c>
      <c r="B3126" s="10" t="s">
        <v>321</v>
      </c>
      <c r="C3126" s="10" t="s">
        <v>245</v>
      </c>
      <c r="D3126" s="10" t="s">
        <v>51</v>
      </c>
      <c r="E3126" s="10" t="s">
        <v>52</v>
      </c>
      <c r="F3126" s="10" t="s">
        <v>506</v>
      </c>
      <c r="G3126" s="10" t="b">
        <f>TRUE()</f>
        <v>1</v>
      </c>
      <c r="H3126" s="10">
        <v>0</v>
      </c>
      <c r="I3126" s="10">
        <v>1</v>
      </c>
      <c r="J3126" s="10">
        <v>0</v>
      </c>
      <c r="K3126" s="10">
        <v>0</v>
      </c>
      <c r="L3126" s="10">
        <v>0</v>
      </c>
      <c r="M3126" s="10">
        <v>1</v>
      </c>
      <c r="N3126" s="10">
        <v>10</v>
      </c>
      <c r="O3126" s="10">
        <v>9</v>
      </c>
    </row>
    <row r="3127" spans="1:15" x14ac:dyDescent="0.2">
      <c r="A3127" s="10" t="s">
        <v>1264</v>
      </c>
      <c r="B3127" s="10" t="s">
        <v>43</v>
      </c>
      <c r="C3127" s="10" t="s">
        <v>44</v>
      </c>
      <c r="D3127" s="10" t="s">
        <v>45</v>
      </c>
      <c r="E3127" s="10" t="s">
        <v>46</v>
      </c>
      <c r="F3127" s="10" t="s">
        <v>481</v>
      </c>
      <c r="G3127" s="10" t="b">
        <f>FALSE()</f>
        <v>0</v>
      </c>
      <c r="H3127" s="10">
        <v>0</v>
      </c>
      <c r="I3127" s="10">
        <v>1</v>
      </c>
      <c r="J3127" s="10">
        <v>0</v>
      </c>
      <c r="K3127" s="10">
        <v>0</v>
      </c>
      <c r="L3127" s="10">
        <v>0</v>
      </c>
      <c r="M3127" s="10">
        <v>1</v>
      </c>
      <c r="N3127" s="10">
        <v>9</v>
      </c>
      <c r="O3127" s="10">
        <v>9</v>
      </c>
    </row>
    <row r="3128" spans="1:15" x14ac:dyDescent="0.2">
      <c r="A3128" s="10" t="s">
        <v>1130</v>
      </c>
      <c r="B3128" s="10" t="s">
        <v>193</v>
      </c>
      <c r="C3128" s="10" t="s">
        <v>117</v>
      </c>
      <c r="D3128" s="10" t="s">
        <v>51</v>
      </c>
      <c r="E3128" s="10" t="s">
        <v>52</v>
      </c>
      <c r="F3128" s="10" t="s">
        <v>1118</v>
      </c>
      <c r="G3128" s="10" t="b">
        <f>FALSE()</f>
        <v>0</v>
      </c>
      <c r="H3128" s="10">
        <v>0</v>
      </c>
      <c r="I3128" s="10">
        <v>1</v>
      </c>
      <c r="J3128" s="10">
        <v>0</v>
      </c>
      <c r="K3128" s="10">
        <v>0</v>
      </c>
      <c r="L3128" s="10">
        <v>0</v>
      </c>
      <c r="M3128" s="10">
        <v>1</v>
      </c>
      <c r="N3128" s="10">
        <v>10</v>
      </c>
      <c r="O3128" s="10">
        <v>9</v>
      </c>
    </row>
    <row r="3129" spans="1:15" x14ac:dyDescent="0.2">
      <c r="A3129" s="10" t="s">
        <v>1213</v>
      </c>
      <c r="B3129" s="10" t="s">
        <v>122</v>
      </c>
      <c r="C3129" s="10" t="s">
        <v>112</v>
      </c>
      <c r="D3129" s="10" t="s">
        <v>51</v>
      </c>
      <c r="E3129" s="10" t="s">
        <v>52</v>
      </c>
      <c r="F3129" s="10" t="s">
        <v>1391</v>
      </c>
      <c r="G3129" s="10" t="b">
        <f>FALSE()</f>
        <v>0</v>
      </c>
      <c r="H3129" s="10">
        <v>0</v>
      </c>
      <c r="I3129" s="10">
        <v>1</v>
      </c>
      <c r="J3129" s="10">
        <v>0</v>
      </c>
      <c r="K3129" s="10">
        <v>0</v>
      </c>
      <c r="L3129" s="10">
        <v>0</v>
      </c>
      <c r="M3129" s="10">
        <v>1</v>
      </c>
      <c r="N3129" s="10">
        <v>9</v>
      </c>
      <c r="O3129" s="10">
        <v>9</v>
      </c>
    </row>
    <row r="3130" spans="1:15" x14ac:dyDescent="0.2">
      <c r="A3130" s="10" t="s">
        <v>1213</v>
      </c>
      <c r="B3130" s="10" t="s">
        <v>122</v>
      </c>
      <c r="C3130" s="10" t="s">
        <v>112</v>
      </c>
      <c r="D3130" s="10" t="s">
        <v>51</v>
      </c>
      <c r="E3130" s="10" t="s">
        <v>52</v>
      </c>
      <c r="F3130" s="10" t="s">
        <v>393</v>
      </c>
      <c r="G3130" s="10" t="b">
        <f>FALSE()</f>
        <v>0</v>
      </c>
      <c r="H3130" s="10">
        <v>0</v>
      </c>
      <c r="I3130" s="10">
        <v>1</v>
      </c>
      <c r="J3130" s="10">
        <v>0</v>
      </c>
      <c r="K3130" s="10">
        <v>0</v>
      </c>
      <c r="L3130" s="10">
        <v>0</v>
      </c>
      <c r="M3130" s="10">
        <v>1</v>
      </c>
      <c r="N3130" s="10">
        <v>9</v>
      </c>
      <c r="O3130" s="10">
        <v>9</v>
      </c>
    </row>
    <row r="3131" spans="1:15" x14ac:dyDescent="0.2">
      <c r="A3131" s="10" t="s">
        <v>1362</v>
      </c>
      <c r="B3131" s="10" t="s">
        <v>188</v>
      </c>
      <c r="C3131" s="10" t="s">
        <v>112</v>
      </c>
      <c r="D3131" s="10" t="s">
        <v>51</v>
      </c>
      <c r="E3131" s="10" t="s">
        <v>52</v>
      </c>
      <c r="F3131" s="10" t="s">
        <v>183</v>
      </c>
      <c r="G3131" s="10" t="b">
        <f>FALSE()</f>
        <v>0</v>
      </c>
      <c r="H3131" s="10">
        <v>0</v>
      </c>
      <c r="I3131" s="10">
        <v>1</v>
      </c>
      <c r="J3131" s="10">
        <v>0</v>
      </c>
      <c r="K3131" s="10">
        <v>0</v>
      </c>
      <c r="L3131" s="10">
        <v>0</v>
      </c>
      <c r="M3131" s="10">
        <v>1</v>
      </c>
      <c r="N3131" s="10">
        <v>65</v>
      </c>
      <c r="O3131" s="10">
        <v>9</v>
      </c>
    </row>
    <row r="3132" spans="1:15" x14ac:dyDescent="0.2">
      <c r="A3132" s="10" t="s">
        <v>1392</v>
      </c>
      <c r="B3132" s="10" t="s">
        <v>78</v>
      </c>
      <c r="C3132" s="10" t="s">
        <v>50</v>
      </c>
      <c r="D3132" s="10" t="s">
        <v>51</v>
      </c>
      <c r="E3132" s="10" t="s">
        <v>52</v>
      </c>
      <c r="F3132" s="10" t="s">
        <v>79</v>
      </c>
      <c r="G3132" s="10" t="b">
        <f>FALSE()</f>
        <v>0</v>
      </c>
      <c r="H3132" s="10">
        <v>0</v>
      </c>
      <c r="I3132" s="10">
        <v>1</v>
      </c>
      <c r="J3132" s="10">
        <v>0</v>
      </c>
      <c r="K3132" s="10">
        <v>0</v>
      </c>
      <c r="L3132" s="10">
        <v>0</v>
      </c>
      <c r="M3132" s="10">
        <v>1</v>
      </c>
      <c r="N3132" s="10">
        <v>9</v>
      </c>
      <c r="O3132" s="10">
        <v>9</v>
      </c>
    </row>
    <row r="3133" spans="1:15" x14ac:dyDescent="0.2">
      <c r="A3133" s="10" t="s">
        <v>1261</v>
      </c>
      <c r="B3133" s="10" t="s">
        <v>89</v>
      </c>
      <c r="C3133" s="10" t="s">
        <v>90</v>
      </c>
      <c r="D3133" s="10" t="s">
        <v>51</v>
      </c>
      <c r="E3133" s="10" t="s">
        <v>52</v>
      </c>
      <c r="F3133" s="10" t="s">
        <v>393</v>
      </c>
      <c r="G3133" s="10" t="b">
        <f>FALSE()</f>
        <v>0</v>
      </c>
      <c r="H3133" s="10">
        <v>0</v>
      </c>
      <c r="I3133" s="10">
        <v>1</v>
      </c>
      <c r="J3133" s="10">
        <v>0</v>
      </c>
      <c r="K3133" s="10">
        <v>0</v>
      </c>
      <c r="L3133" s="10">
        <v>0</v>
      </c>
      <c r="M3133" s="10">
        <v>1</v>
      </c>
      <c r="N3133" s="10">
        <v>10</v>
      </c>
      <c r="O3133" s="10">
        <v>9</v>
      </c>
    </row>
    <row r="3134" spans="1:15" x14ac:dyDescent="0.2">
      <c r="A3134" s="10" t="s">
        <v>1163</v>
      </c>
      <c r="B3134" s="10" t="s">
        <v>247</v>
      </c>
      <c r="C3134" s="10" t="s">
        <v>245</v>
      </c>
      <c r="D3134" s="10" t="s">
        <v>51</v>
      </c>
      <c r="E3134" s="10" t="s">
        <v>52</v>
      </c>
      <c r="F3134" s="10" t="s">
        <v>1390</v>
      </c>
      <c r="G3134" s="10" t="b">
        <f>FALSE()</f>
        <v>0</v>
      </c>
      <c r="H3134" s="10">
        <v>0</v>
      </c>
      <c r="I3134" s="10">
        <v>1</v>
      </c>
      <c r="J3134" s="10">
        <v>0</v>
      </c>
      <c r="K3134" s="10">
        <v>0</v>
      </c>
      <c r="L3134" s="10">
        <v>0</v>
      </c>
      <c r="M3134" s="10">
        <v>1</v>
      </c>
      <c r="N3134" s="10">
        <v>9</v>
      </c>
      <c r="O3134" s="10">
        <v>9</v>
      </c>
    </row>
    <row r="3135" spans="1:15" x14ac:dyDescent="0.2">
      <c r="A3135" s="10" t="s">
        <v>1393</v>
      </c>
      <c r="B3135" s="10" t="s">
        <v>67</v>
      </c>
      <c r="C3135" s="10" t="s">
        <v>64</v>
      </c>
      <c r="D3135" s="10" t="s">
        <v>45</v>
      </c>
      <c r="E3135" s="10" t="s">
        <v>46</v>
      </c>
      <c r="F3135" s="10" t="s">
        <v>58</v>
      </c>
      <c r="G3135" s="10" t="b">
        <f>FALSE()</f>
        <v>0</v>
      </c>
      <c r="H3135" s="10">
        <v>0</v>
      </c>
      <c r="I3135" s="10">
        <v>1</v>
      </c>
      <c r="J3135" s="10">
        <v>0</v>
      </c>
      <c r="K3135" s="10">
        <v>0</v>
      </c>
      <c r="L3135" s="10">
        <v>0</v>
      </c>
      <c r="M3135" s="10">
        <v>1</v>
      </c>
      <c r="N3135" s="10">
        <v>9</v>
      </c>
      <c r="O3135" s="10">
        <v>9</v>
      </c>
    </row>
    <row r="3136" spans="1:15" x14ac:dyDescent="0.2">
      <c r="A3136" s="10" t="s">
        <v>1061</v>
      </c>
      <c r="B3136" s="10" t="s">
        <v>262</v>
      </c>
      <c r="C3136" s="10" t="s">
        <v>105</v>
      </c>
      <c r="D3136" s="10" t="s">
        <v>45</v>
      </c>
      <c r="E3136" s="10" t="s">
        <v>46</v>
      </c>
      <c r="F3136" s="10" t="s">
        <v>74</v>
      </c>
      <c r="G3136" s="10" t="b">
        <f>FALSE()</f>
        <v>0</v>
      </c>
      <c r="H3136" s="10">
        <v>0</v>
      </c>
      <c r="I3136" s="10">
        <v>1</v>
      </c>
      <c r="J3136" s="10">
        <v>0</v>
      </c>
      <c r="K3136" s="10">
        <v>0</v>
      </c>
      <c r="L3136" s="10">
        <v>0</v>
      </c>
      <c r="M3136" s="10">
        <v>1</v>
      </c>
      <c r="N3136" s="10">
        <v>9</v>
      </c>
      <c r="O3136" s="10">
        <v>9</v>
      </c>
    </row>
    <row r="3137" spans="1:15" x14ac:dyDescent="0.2">
      <c r="A3137" s="10" t="s">
        <v>1132</v>
      </c>
      <c r="B3137" s="10" t="s">
        <v>262</v>
      </c>
      <c r="C3137" s="10" t="s">
        <v>105</v>
      </c>
      <c r="D3137" s="10" t="s">
        <v>45</v>
      </c>
      <c r="E3137" s="10" t="s">
        <v>46</v>
      </c>
      <c r="F3137" s="10" t="s">
        <v>212</v>
      </c>
      <c r="G3137" s="10" t="b">
        <f>FALSE()</f>
        <v>0</v>
      </c>
      <c r="H3137" s="10">
        <v>0</v>
      </c>
      <c r="I3137" s="10">
        <v>1</v>
      </c>
      <c r="J3137" s="10">
        <v>0</v>
      </c>
      <c r="K3137" s="10">
        <v>0</v>
      </c>
      <c r="L3137" s="10">
        <v>0</v>
      </c>
      <c r="M3137" s="10">
        <v>1</v>
      </c>
      <c r="N3137" s="10">
        <v>10</v>
      </c>
      <c r="O3137" s="10">
        <v>9</v>
      </c>
    </row>
    <row r="3138" spans="1:15" x14ac:dyDescent="0.2">
      <c r="A3138" s="10" t="s">
        <v>1106</v>
      </c>
      <c r="B3138" s="10" t="s">
        <v>146</v>
      </c>
      <c r="C3138" s="10" t="s">
        <v>105</v>
      </c>
      <c r="D3138" s="10" t="s">
        <v>45</v>
      </c>
      <c r="E3138" s="10" t="s">
        <v>46</v>
      </c>
      <c r="F3138" s="10" t="s">
        <v>190</v>
      </c>
      <c r="G3138" s="10" t="b">
        <f>TRUE()</f>
        <v>1</v>
      </c>
      <c r="H3138" s="10">
        <v>0</v>
      </c>
      <c r="I3138" s="10">
        <v>1</v>
      </c>
      <c r="J3138" s="10">
        <v>0</v>
      </c>
      <c r="K3138" s="10">
        <v>0</v>
      </c>
      <c r="L3138" s="10">
        <v>0</v>
      </c>
      <c r="M3138" s="10">
        <v>1</v>
      </c>
      <c r="N3138" s="10">
        <v>9</v>
      </c>
      <c r="O3138" s="10">
        <v>9</v>
      </c>
    </row>
    <row r="3139" spans="1:15" x14ac:dyDescent="0.2">
      <c r="A3139" s="10" t="s">
        <v>1394</v>
      </c>
      <c r="B3139" s="10" t="s">
        <v>285</v>
      </c>
      <c r="C3139" s="10" t="s">
        <v>105</v>
      </c>
      <c r="D3139" s="10" t="s">
        <v>45</v>
      </c>
      <c r="E3139" s="10" t="s">
        <v>46</v>
      </c>
      <c r="F3139" s="10" t="s">
        <v>1173</v>
      </c>
      <c r="G3139" s="10" t="b">
        <f>FALSE()</f>
        <v>0</v>
      </c>
      <c r="H3139" s="10">
        <v>0</v>
      </c>
      <c r="I3139" s="10">
        <v>1</v>
      </c>
      <c r="J3139" s="10">
        <v>0</v>
      </c>
      <c r="K3139" s="10">
        <v>0</v>
      </c>
      <c r="L3139" s="10">
        <v>0</v>
      </c>
      <c r="M3139" s="10">
        <v>1</v>
      </c>
      <c r="N3139" s="10">
        <v>28</v>
      </c>
      <c r="O3139" s="10">
        <v>9</v>
      </c>
    </row>
    <row r="3140" spans="1:15" x14ac:dyDescent="0.2">
      <c r="A3140" s="10" t="s">
        <v>1241</v>
      </c>
      <c r="B3140" s="10" t="s">
        <v>262</v>
      </c>
      <c r="C3140" s="10" t="s">
        <v>105</v>
      </c>
      <c r="D3140" s="10" t="s">
        <v>45</v>
      </c>
      <c r="E3140" s="10" t="s">
        <v>46</v>
      </c>
      <c r="F3140" s="10" t="s">
        <v>153</v>
      </c>
      <c r="G3140" s="10" t="b">
        <f>FALSE()</f>
        <v>0</v>
      </c>
      <c r="H3140" s="10">
        <v>0</v>
      </c>
      <c r="I3140" s="10">
        <v>1</v>
      </c>
      <c r="J3140" s="10">
        <v>0</v>
      </c>
      <c r="K3140" s="10">
        <v>0</v>
      </c>
      <c r="L3140" s="10">
        <v>0</v>
      </c>
      <c r="M3140" s="10">
        <v>1</v>
      </c>
      <c r="N3140" s="10">
        <v>9</v>
      </c>
      <c r="O3140" s="10">
        <v>9</v>
      </c>
    </row>
    <row r="3141" spans="1:15" x14ac:dyDescent="0.2">
      <c r="A3141" s="10" t="s">
        <v>1127</v>
      </c>
      <c r="B3141" s="10" t="s">
        <v>55</v>
      </c>
      <c r="C3141" s="10" t="s">
        <v>56</v>
      </c>
      <c r="D3141" s="10" t="s">
        <v>45</v>
      </c>
      <c r="E3141" s="10" t="s">
        <v>46</v>
      </c>
      <c r="F3141" s="10" t="s">
        <v>1356</v>
      </c>
      <c r="G3141" s="10" t="b">
        <f>FALSE()</f>
        <v>0</v>
      </c>
      <c r="H3141" s="10">
        <v>0</v>
      </c>
      <c r="I3141" s="10">
        <v>1</v>
      </c>
      <c r="J3141" s="10">
        <v>0</v>
      </c>
      <c r="K3141" s="10">
        <v>0</v>
      </c>
      <c r="L3141" s="10">
        <v>0</v>
      </c>
      <c r="M3141" s="10">
        <v>1</v>
      </c>
      <c r="N3141" s="10">
        <v>13</v>
      </c>
      <c r="O3141" s="10">
        <v>9</v>
      </c>
    </row>
    <row r="3142" spans="1:15" x14ac:dyDescent="0.2">
      <c r="A3142" s="10" t="s">
        <v>1310</v>
      </c>
      <c r="B3142" s="10" t="s">
        <v>130</v>
      </c>
      <c r="C3142" s="10" t="s">
        <v>56</v>
      </c>
      <c r="D3142" s="10" t="s">
        <v>45</v>
      </c>
      <c r="E3142" s="10" t="s">
        <v>46</v>
      </c>
      <c r="F3142" s="10" t="s">
        <v>97</v>
      </c>
      <c r="G3142" s="10" t="b">
        <f>TRUE()</f>
        <v>1</v>
      </c>
      <c r="H3142" s="10">
        <v>0</v>
      </c>
      <c r="I3142" s="10">
        <v>1</v>
      </c>
      <c r="J3142" s="10">
        <v>0</v>
      </c>
      <c r="K3142" s="10">
        <v>0</v>
      </c>
      <c r="L3142" s="10">
        <v>0</v>
      </c>
      <c r="M3142" s="10">
        <v>1</v>
      </c>
      <c r="N3142" s="10">
        <v>9</v>
      </c>
      <c r="O3142" s="10">
        <v>9</v>
      </c>
    </row>
    <row r="3143" spans="1:15" x14ac:dyDescent="0.2">
      <c r="A3143" s="10" t="s">
        <v>1242</v>
      </c>
      <c r="B3143" s="10" t="s">
        <v>172</v>
      </c>
      <c r="C3143" s="10" t="s">
        <v>44</v>
      </c>
      <c r="D3143" s="10" t="s">
        <v>45</v>
      </c>
      <c r="E3143" s="10" t="s">
        <v>46</v>
      </c>
      <c r="F3143" s="10" t="s">
        <v>1224</v>
      </c>
      <c r="G3143" s="10" t="b">
        <f>FALSE()</f>
        <v>0</v>
      </c>
      <c r="H3143" s="10">
        <v>0</v>
      </c>
      <c r="I3143" s="10">
        <v>1</v>
      </c>
      <c r="J3143" s="10">
        <v>0</v>
      </c>
      <c r="K3143" s="10">
        <v>0</v>
      </c>
      <c r="L3143" s="10">
        <v>0</v>
      </c>
      <c r="M3143" s="10">
        <v>1</v>
      </c>
      <c r="N3143" s="10">
        <v>9</v>
      </c>
      <c r="O3143" s="10">
        <v>9</v>
      </c>
    </row>
    <row r="3144" spans="1:15" x14ac:dyDescent="0.2">
      <c r="A3144" s="10" t="s">
        <v>1075</v>
      </c>
      <c r="B3144" s="10" t="s">
        <v>172</v>
      </c>
      <c r="C3144" s="10" t="s">
        <v>44</v>
      </c>
      <c r="D3144" s="10" t="s">
        <v>45</v>
      </c>
      <c r="E3144" s="10" t="s">
        <v>46</v>
      </c>
      <c r="F3144" s="10" t="s">
        <v>1098</v>
      </c>
      <c r="G3144" s="10" t="b">
        <f>FALSE()</f>
        <v>0</v>
      </c>
      <c r="H3144" s="10">
        <v>0</v>
      </c>
      <c r="I3144" s="10">
        <v>1</v>
      </c>
      <c r="J3144" s="10">
        <v>0</v>
      </c>
      <c r="K3144" s="10">
        <v>0</v>
      </c>
      <c r="L3144" s="10">
        <v>0</v>
      </c>
      <c r="M3144" s="10">
        <v>1</v>
      </c>
      <c r="N3144" s="10">
        <v>9</v>
      </c>
      <c r="O3144" s="10">
        <v>9</v>
      </c>
    </row>
    <row r="3145" spans="1:15" x14ac:dyDescent="0.2">
      <c r="A3145" s="10" t="s">
        <v>707</v>
      </c>
      <c r="B3145" s="10" t="s">
        <v>136</v>
      </c>
      <c r="C3145" s="10" t="s">
        <v>73</v>
      </c>
      <c r="D3145" s="10" t="s">
        <v>45</v>
      </c>
      <c r="E3145" s="10" t="s">
        <v>46</v>
      </c>
      <c r="F3145" s="10" t="s">
        <v>183</v>
      </c>
      <c r="G3145" s="10" t="b">
        <f>FALSE()</f>
        <v>0</v>
      </c>
      <c r="H3145" s="10">
        <v>0</v>
      </c>
      <c r="I3145" s="10">
        <v>1</v>
      </c>
      <c r="J3145" s="10">
        <v>0</v>
      </c>
      <c r="K3145" s="10">
        <v>0</v>
      </c>
      <c r="L3145" s="10">
        <v>0</v>
      </c>
      <c r="M3145" s="10">
        <v>1</v>
      </c>
      <c r="N3145" s="10">
        <v>28</v>
      </c>
      <c r="O3145" s="10">
        <v>8</v>
      </c>
    </row>
    <row r="3146" spans="1:15" x14ac:dyDescent="0.2">
      <c r="A3146" s="10" t="s">
        <v>144</v>
      </c>
      <c r="B3146" s="10" t="s">
        <v>72</v>
      </c>
      <c r="C3146" s="10" t="s">
        <v>73</v>
      </c>
      <c r="D3146" s="10" t="s">
        <v>45</v>
      </c>
      <c r="E3146" s="10" t="s">
        <v>46</v>
      </c>
      <c r="F3146" s="10" t="s">
        <v>1395</v>
      </c>
      <c r="G3146" s="10" t="b">
        <f>FALSE()</f>
        <v>0</v>
      </c>
      <c r="H3146" s="10">
        <v>0</v>
      </c>
      <c r="I3146" s="10">
        <v>1</v>
      </c>
      <c r="J3146" s="10">
        <v>0</v>
      </c>
      <c r="K3146" s="10">
        <v>0</v>
      </c>
      <c r="L3146" s="10">
        <v>0</v>
      </c>
      <c r="M3146" s="10">
        <v>1</v>
      </c>
      <c r="N3146" s="10">
        <v>8</v>
      </c>
      <c r="O3146" s="10">
        <v>8</v>
      </c>
    </row>
    <row r="3147" spans="1:15" x14ac:dyDescent="0.2">
      <c r="A3147" s="10" t="s">
        <v>991</v>
      </c>
      <c r="B3147" s="10" t="s">
        <v>321</v>
      </c>
      <c r="C3147" s="10" t="s">
        <v>245</v>
      </c>
      <c r="D3147" s="10" t="s">
        <v>51</v>
      </c>
      <c r="E3147" s="10" t="s">
        <v>52</v>
      </c>
      <c r="F3147" s="10" t="s">
        <v>446</v>
      </c>
      <c r="G3147" s="10" t="b">
        <f>FALSE()</f>
        <v>0</v>
      </c>
      <c r="H3147" s="10">
        <v>0</v>
      </c>
      <c r="I3147" s="10">
        <v>1</v>
      </c>
      <c r="J3147" s="10">
        <v>0</v>
      </c>
      <c r="K3147" s="10">
        <v>0</v>
      </c>
      <c r="L3147" s="10">
        <v>0</v>
      </c>
      <c r="M3147" s="10">
        <v>1</v>
      </c>
      <c r="N3147" s="10">
        <v>8</v>
      </c>
      <c r="O3147" s="10">
        <v>8</v>
      </c>
    </row>
    <row r="3148" spans="1:15" x14ac:dyDescent="0.2">
      <c r="A3148" s="10" t="s">
        <v>1264</v>
      </c>
      <c r="B3148" s="10" t="s">
        <v>43</v>
      </c>
      <c r="C3148" s="10" t="s">
        <v>44</v>
      </c>
      <c r="D3148" s="10" t="s">
        <v>45</v>
      </c>
      <c r="E3148" s="10" t="s">
        <v>46</v>
      </c>
      <c r="F3148" s="10" t="s">
        <v>1116</v>
      </c>
      <c r="G3148" s="10" t="b">
        <f>FALSE()</f>
        <v>0</v>
      </c>
      <c r="H3148" s="10">
        <v>0</v>
      </c>
      <c r="I3148" s="10">
        <v>1</v>
      </c>
      <c r="J3148" s="10">
        <v>0</v>
      </c>
      <c r="K3148" s="10">
        <v>0</v>
      </c>
      <c r="L3148" s="10">
        <v>0</v>
      </c>
      <c r="M3148" s="10">
        <v>1</v>
      </c>
      <c r="N3148" s="10">
        <v>8</v>
      </c>
      <c r="O3148" s="10">
        <v>8</v>
      </c>
    </row>
    <row r="3149" spans="1:15" x14ac:dyDescent="0.2">
      <c r="A3149" s="10" t="s">
        <v>1289</v>
      </c>
      <c r="B3149" s="10" t="s">
        <v>116</v>
      </c>
      <c r="C3149" s="10" t="s">
        <v>117</v>
      </c>
      <c r="D3149" s="10" t="s">
        <v>51</v>
      </c>
      <c r="E3149" s="10" t="s">
        <v>52</v>
      </c>
      <c r="F3149" s="10" t="s">
        <v>123</v>
      </c>
      <c r="G3149" s="10" t="b">
        <f>FALSE()</f>
        <v>0</v>
      </c>
      <c r="H3149" s="10">
        <v>0</v>
      </c>
      <c r="I3149" s="10">
        <v>1</v>
      </c>
      <c r="J3149" s="10">
        <v>0</v>
      </c>
      <c r="K3149" s="10">
        <v>0</v>
      </c>
      <c r="L3149" s="10">
        <v>0</v>
      </c>
      <c r="M3149" s="10">
        <v>1</v>
      </c>
      <c r="N3149" s="10">
        <v>9</v>
      </c>
      <c r="O3149" s="10">
        <v>8</v>
      </c>
    </row>
    <row r="3150" spans="1:15" x14ac:dyDescent="0.2">
      <c r="A3150" s="10" t="s">
        <v>1396</v>
      </c>
      <c r="B3150" s="10" t="s">
        <v>165</v>
      </c>
      <c r="C3150" s="10" t="s">
        <v>112</v>
      </c>
      <c r="D3150" s="10" t="s">
        <v>51</v>
      </c>
      <c r="E3150" s="10" t="s">
        <v>52</v>
      </c>
      <c r="F3150" s="10" t="s">
        <v>97</v>
      </c>
      <c r="G3150" s="10" t="b">
        <f>TRUE()</f>
        <v>1</v>
      </c>
      <c r="H3150" s="10">
        <v>0</v>
      </c>
      <c r="I3150" s="10">
        <v>1</v>
      </c>
      <c r="J3150" s="10">
        <v>0</v>
      </c>
      <c r="K3150" s="10">
        <v>0</v>
      </c>
      <c r="L3150" s="10">
        <v>0</v>
      </c>
      <c r="M3150" s="10">
        <v>1</v>
      </c>
      <c r="N3150" s="10">
        <v>10</v>
      </c>
      <c r="O3150" s="10">
        <v>8</v>
      </c>
    </row>
    <row r="3151" spans="1:15" x14ac:dyDescent="0.2">
      <c r="A3151" s="10" t="s">
        <v>1162</v>
      </c>
      <c r="B3151" s="10" t="s">
        <v>759</v>
      </c>
      <c r="C3151" s="10" t="s">
        <v>112</v>
      </c>
      <c r="D3151" s="10" t="s">
        <v>51</v>
      </c>
      <c r="E3151" s="10" t="s">
        <v>52</v>
      </c>
      <c r="F3151" s="10" t="s">
        <v>1388</v>
      </c>
      <c r="G3151" s="10" t="b">
        <f>FALSE()</f>
        <v>0</v>
      </c>
      <c r="H3151" s="10">
        <v>0</v>
      </c>
      <c r="I3151" s="10">
        <v>1</v>
      </c>
      <c r="J3151" s="10">
        <v>0</v>
      </c>
      <c r="K3151" s="10">
        <v>0</v>
      </c>
      <c r="L3151" s="10">
        <v>0</v>
      </c>
      <c r="M3151" s="10">
        <v>1</v>
      </c>
      <c r="N3151" s="10">
        <v>10</v>
      </c>
      <c r="O3151" s="10">
        <v>8</v>
      </c>
    </row>
    <row r="3152" spans="1:15" x14ac:dyDescent="0.2">
      <c r="A3152" s="10" t="s">
        <v>1047</v>
      </c>
      <c r="B3152" s="10" t="s">
        <v>96</v>
      </c>
      <c r="C3152" s="10" t="s">
        <v>50</v>
      </c>
      <c r="D3152" s="10" t="s">
        <v>51</v>
      </c>
      <c r="E3152" s="10" t="s">
        <v>52</v>
      </c>
      <c r="F3152" s="10" t="s">
        <v>1356</v>
      </c>
      <c r="G3152" s="10" t="b">
        <f>FALSE()</f>
        <v>0</v>
      </c>
      <c r="H3152" s="10">
        <v>0</v>
      </c>
      <c r="I3152" s="10">
        <v>1</v>
      </c>
      <c r="J3152" s="10">
        <v>0</v>
      </c>
      <c r="K3152" s="10">
        <v>0</v>
      </c>
      <c r="L3152" s="10">
        <v>0</v>
      </c>
      <c r="M3152" s="10">
        <v>1</v>
      </c>
      <c r="N3152" s="10">
        <v>9</v>
      </c>
      <c r="O3152" s="10">
        <v>8</v>
      </c>
    </row>
    <row r="3153" spans="1:15" x14ac:dyDescent="0.2">
      <c r="A3153" s="10" t="s">
        <v>1243</v>
      </c>
      <c r="B3153" s="10" t="s">
        <v>234</v>
      </c>
      <c r="C3153" s="10" t="s">
        <v>90</v>
      </c>
      <c r="D3153" s="10" t="s">
        <v>51</v>
      </c>
      <c r="E3153" s="10" t="s">
        <v>52</v>
      </c>
      <c r="F3153" s="10" t="s">
        <v>1366</v>
      </c>
      <c r="G3153" s="10" t="b">
        <f>TRUE()</f>
        <v>1</v>
      </c>
      <c r="H3153" s="10">
        <v>0</v>
      </c>
      <c r="I3153" s="10">
        <v>1</v>
      </c>
      <c r="J3153" s="10">
        <v>0</v>
      </c>
      <c r="K3153" s="10">
        <v>0</v>
      </c>
      <c r="L3153" s="10">
        <v>0</v>
      </c>
      <c r="M3153" s="10">
        <v>1</v>
      </c>
      <c r="N3153" s="10">
        <v>8</v>
      </c>
      <c r="O3153" s="10">
        <v>8</v>
      </c>
    </row>
    <row r="3154" spans="1:15" x14ac:dyDescent="0.2">
      <c r="A3154" s="10" t="s">
        <v>1068</v>
      </c>
      <c r="B3154" s="10" t="s">
        <v>238</v>
      </c>
      <c r="C3154" s="10" t="s">
        <v>90</v>
      </c>
      <c r="D3154" s="10" t="s">
        <v>51</v>
      </c>
      <c r="E3154" s="10" t="s">
        <v>52</v>
      </c>
      <c r="F3154" s="10" t="s">
        <v>183</v>
      </c>
      <c r="G3154" s="10" t="b">
        <f>FALSE()</f>
        <v>0</v>
      </c>
      <c r="H3154" s="10">
        <v>0</v>
      </c>
      <c r="I3154" s="10">
        <v>1</v>
      </c>
      <c r="J3154" s="10">
        <v>0</v>
      </c>
      <c r="K3154" s="10">
        <v>0</v>
      </c>
      <c r="L3154" s="10">
        <v>0</v>
      </c>
      <c r="M3154" s="10">
        <v>1</v>
      </c>
      <c r="N3154" s="10">
        <v>11</v>
      </c>
      <c r="O3154" s="10">
        <v>8</v>
      </c>
    </row>
    <row r="3155" spans="1:15" x14ac:dyDescent="0.2">
      <c r="A3155" s="10" t="s">
        <v>1077</v>
      </c>
      <c r="B3155" s="10" t="s">
        <v>606</v>
      </c>
      <c r="C3155" s="10" t="s">
        <v>64</v>
      </c>
      <c r="D3155" s="10" t="s">
        <v>45</v>
      </c>
      <c r="E3155" s="10" t="s">
        <v>46</v>
      </c>
      <c r="F3155" s="10" t="s">
        <v>153</v>
      </c>
      <c r="G3155" s="10" t="b">
        <f>FALSE()</f>
        <v>0</v>
      </c>
      <c r="H3155" s="10">
        <v>0</v>
      </c>
      <c r="I3155" s="10">
        <v>1</v>
      </c>
      <c r="J3155" s="10">
        <v>0</v>
      </c>
      <c r="K3155" s="10">
        <v>0</v>
      </c>
      <c r="L3155" s="10">
        <v>0</v>
      </c>
      <c r="M3155" s="10">
        <v>1</v>
      </c>
      <c r="N3155" s="10">
        <v>8</v>
      </c>
      <c r="O3155" s="10">
        <v>8</v>
      </c>
    </row>
    <row r="3156" spans="1:15" x14ac:dyDescent="0.2">
      <c r="A3156" s="10" t="s">
        <v>1397</v>
      </c>
      <c r="B3156" s="10" t="s">
        <v>157</v>
      </c>
      <c r="C3156" s="10" t="s">
        <v>64</v>
      </c>
      <c r="D3156" s="10" t="s">
        <v>45</v>
      </c>
      <c r="E3156" s="10" t="s">
        <v>46</v>
      </c>
      <c r="F3156" s="10" t="s">
        <v>132</v>
      </c>
      <c r="G3156" s="10" t="b">
        <f>FALSE()</f>
        <v>0</v>
      </c>
      <c r="H3156" s="10">
        <v>0</v>
      </c>
      <c r="I3156" s="10">
        <v>1</v>
      </c>
      <c r="J3156" s="10">
        <v>0</v>
      </c>
      <c r="K3156" s="10">
        <v>0</v>
      </c>
      <c r="L3156" s="10">
        <v>0</v>
      </c>
      <c r="M3156" s="10">
        <v>1</v>
      </c>
      <c r="N3156" s="10">
        <v>10</v>
      </c>
      <c r="O3156" s="10">
        <v>8</v>
      </c>
    </row>
    <row r="3157" spans="1:15" x14ac:dyDescent="0.2">
      <c r="A3157" s="10" t="s">
        <v>1236</v>
      </c>
      <c r="B3157" s="10" t="s">
        <v>104</v>
      </c>
      <c r="C3157" s="10" t="s">
        <v>105</v>
      </c>
      <c r="D3157" s="10" t="s">
        <v>45</v>
      </c>
      <c r="E3157" s="10" t="s">
        <v>46</v>
      </c>
      <c r="F3157" s="10" t="s">
        <v>914</v>
      </c>
      <c r="G3157" s="10" t="b">
        <f>FALSE()</f>
        <v>0</v>
      </c>
      <c r="H3157" s="10">
        <v>0</v>
      </c>
      <c r="I3157" s="10">
        <v>1</v>
      </c>
      <c r="J3157" s="10">
        <v>0</v>
      </c>
      <c r="K3157" s="10">
        <v>0</v>
      </c>
      <c r="L3157" s="10">
        <v>0</v>
      </c>
      <c r="M3157" s="10">
        <v>1</v>
      </c>
      <c r="N3157" s="10">
        <v>8</v>
      </c>
      <c r="O3157" s="10">
        <v>8</v>
      </c>
    </row>
    <row r="3158" spans="1:15" x14ac:dyDescent="0.2">
      <c r="A3158" s="10" t="s">
        <v>1112</v>
      </c>
      <c r="B3158" s="10" t="s">
        <v>262</v>
      </c>
      <c r="C3158" s="10" t="s">
        <v>105</v>
      </c>
      <c r="D3158" s="10" t="s">
        <v>45</v>
      </c>
      <c r="E3158" s="10" t="s">
        <v>46</v>
      </c>
      <c r="F3158" s="10" t="s">
        <v>434</v>
      </c>
      <c r="G3158" s="10" t="b">
        <f>FALSE()</f>
        <v>0</v>
      </c>
      <c r="H3158" s="10">
        <v>0</v>
      </c>
      <c r="I3158" s="10">
        <v>1</v>
      </c>
      <c r="J3158" s="10">
        <v>0</v>
      </c>
      <c r="K3158" s="10">
        <v>0</v>
      </c>
      <c r="L3158" s="10">
        <v>0</v>
      </c>
      <c r="M3158" s="10">
        <v>1</v>
      </c>
      <c r="N3158" s="10">
        <v>8</v>
      </c>
      <c r="O3158" s="10">
        <v>8</v>
      </c>
    </row>
    <row r="3159" spans="1:15" x14ac:dyDescent="0.2">
      <c r="A3159" s="10" t="s">
        <v>1127</v>
      </c>
      <c r="B3159" s="10" t="s">
        <v>55</v>
      </c>
      <c r="C3159" s="10" t="s">
        <v>56</v>
      </c>
      <c r="D3159" s="10" t="s">
        <v>45</v>
      </c>
      <c r="E3159" s="10" t="s">
        <v>46</v>
      </c>
      <c r="F3159" s="10" t="s">
        <v>183</v>
      </c>
      <c r="G3159" s="10" t="b">
        <f>FALSE()</f>
        <v>0</v>
      </c>
      <c r="H3159" s="10">
        <v>0</v>
      </c>
      <c r="I3159" s="10">
        <v>1</v>
      </c>
      <c r="J3159" s="10">
        <v>0</v>
      </c>
      <c r="K3159" s="10">
        <v>0</v>
      </c>
      <c r="L3159" s="10">
        <v>0</v>
      </c>
      <c r="M3159" s="10">
        <v>1</v>
      </c>
      <c r="N3159" s="10">
        <v>39</v>
      </c>
      <c r="O3159" s="10">
        <v>8</v>
      </c>
    </row>
    <row r="3160" spans="1:15" x14ac:dyDescent="0.2">
      <c r="A3160" s="10" t="s">
        <v>771</v>
      </c>
      <c r="B3160" s="10" t="s">
        <v>116</v>
      </c>
      <c r="C3160" s="10" t="s">
        <v>117</v>
      </c>
      <c r="D3160" s="10" t="s">
        <v>51</v>
      </c>
      <c r="E3160" s="10" t="s">
        <v>52</v>
      </c>
      <c r="F3160" s="10" t="s">
        <v>123</v>
      </c>
      <c r="G3160" s="10" t="b">
        <f>FALSE()</f>
        <v>0</v>
      </c>
      <c r="H3160" s="10">
        <v>0</v>
      </c>
      <c r="I3160" s="10">
        <v>1</v>
      </c>
      <c r="J3160" s="10">
        <v>0</v>
      </c>
      <c r="K3160" s="10">
        <v>0</v>
      </c>
      <c r="L3160" s="10">
        <v>0</v>
      </c>
      <c r="M3160" s="10">
        <v>1</v>
      </c>
      <c r="N3160" s="10">
        <v>7</v>
      </c>
      <c r="O3160" s="10">
        <v>7</v>
      </c>
    </row>
    <row r="3161" spans="1:15" x14ac:dyDescent="0.2">
      <c r="A3161" s="10" t="s">
        <v>865</v>
      </c>
      <c r="B3161" s="10" t="s">
        <v>493</v>
      </c>
      <c r="C3161" s="10" t="s">
        <v>117</v>
      </c>
      <c r="D3161" s="10" t="s">
        <v>51</v>
      </c>
      <c r="E3161" s="10" t="s">
        <v>52</v>
      </c>
      <c r="F3161" s="10" t="s">
        <v>1384</v>
      </c>
      <c r="G3161" s="10" t="b">
        <f>TRUE()</f>
        <v>1</v>
      </c>
      <c r="H3161" s="10">
        <v>0</v>
      </c>
      <c r="I3161" s="10">
        <v>1</v>
      </c>
      <c r="J3161" s="10">
        <v>0</v>
      </c>
      <c r="K3161" s="10">
        <v>0</v>
      </c>
      <c r="L3161" s="10">
        <v>0</v>
      </c>
      <c r="M3161" s="10">
        <v>1</v>
      </c>
      <c r="N3161" s="10">
        <v>7</v>
      </c>
      <c r="O3161" s="10">
        <v>7</v>
      </c>
    </row>
    <row r="3162" spans="1:15" x14ac:dyDescent="0.2">
      <c r="A3162" s="10" t="s">
        <v>1164</v>
      </c>
      <c r="B3162" s="10" t="s">
        <v>111</v>
      </c>
      <c r="C3162" s="10" t="s">
        <v>112</v>
      </c>
      <c r="D3162" s="10" t="s">
        <v>51</v>
      </c>
      <c r="E3162" s="10" t="s">
        <v>52</v>
      </c>
      <c r="F3162" s="10" t="s">
        <v>183</v>
      </c>
      <c r="G3162" s="10" t="b">
        <f>FALSE()</f>
        <v>0</v>
      </c>
      <c r="H3162" s="10">
        <v>0</v>
      </c>
      <c r="I3162" s="10">
        <v>1</v>
      </c>
      <c r="J3162" s="10">
        <v>0</v>
      </c>
      <c r="K3162" s="10">
        <v>0</v>
      </c>
      <c r="L3162" s="10">
        <v>0</v>
      </c>
      <c r="M3162" s="10">
        <v>1</v>
      </c>
      <c r="N3162" s="10">
        <v>25</v>
      </c>
      <c r="O3162" s="10">
        <v>7</v>
      </c>
    </row>
    <row r="3163" spans="1:15" x14ac:dyDescent="0.2">
      <c r="A3163" s="10" t="s">
        <v>1084</v>
      </c>
      <c r="B3163" s="10" t="s">
        <v>89</v>
      </c>
      <c r="C3163" s="10" t="s">
        <v>90</v>
      </c>
      <c r="D3163" s="10" t="s">
        <v>51</v>
      </c>
      <c r="E3163" s="10" t="s">
        <v>52</v>
      </c>
      <c r="F3163" s="10" t="s">
        <v>132</v>
      </c>
      <c r="G3163" s="10" t="b">
        <f>FALSE()</f>
        <v>0</v>
      </c>
      <c r="H3163" s="10">
        <v>0</v>
      </c>
      <c r="I3163" s="10">
        <v>1</v>
      </c>
      <c r="J3163" s="10">
        <v>0</v>
      </c>
      <c r="K3163" s="10">
        <v>0</v>
      </c>
      <c r="L3163" s="10">
        <v>0</v>
      </c>
      <c r="M3163" s="10">
        <v>1</v>
      </c>
      <c r="N3163" s="10">
        <v>7</v>
      </c>
      <c r="O3163" s="10">
        <v>7</v>
      </c>
    </row>
    <row r="3164" spans="1:15" x14ac:dyDescent="0.2">
      <c r="A3164" s="10" t="s">
        <v>1055</v>
      </c>
      <c r="B3164" s="10" t="s">
        <v>178</v>
      </c>
      <c r="C3164" s="10" t="s">
        <v>73</v>
      </c>
      <c r="D3164" s="10" t="s">
        <v>45</v>
      </c>
      <c r="E3164" s="10" t="s">
        <v>46</v>
      </c>
      <c r="F3164" s="10" t="s">
        <v>967</v>
      </c>
      <c r="G3164" s="10" t="b">
        <f>FALSE()</f>
        <v>0</v>
      </c>
      <c r="H3164" s="10">
        <v>0</v>
      </c>
      <c r="I3164" s="10">
        <v>1</v>
      </c>
      <c r="J3164" s="10">
        <v>0</v>
      </c>
      <c r="K3164" s="10">
        <v>0</v>
      </c>
      <c r="L3164" s="10">
        <v>0</v>
      </c>
      <c r="M3164" s="10">
        <v>1</v>
      </c>
      <c r="N3164" s="10">
        <v>7</v>
      </c>
      <c r="O3164" s="10">
        <v>7</v>
      </c>
    </row>
    <row r="3165" spans="1:15" x14ac:dyDescent="0.2">
      <c r="A3165" s="10" t="s">
        <v>1061</v>
      </c>
      <c r="B3165" s="10" t="s">
        <v>262</v>
      </c>
      <c r="C3165" s="10" t="s">
        <v>105</v>
      </c>
      <c r="D3165" s="10" t="s">
        <v>45</v>
      </c>
      <c r="E3165" s="10" t="s">
        <v>46</v>
      </c>
      <c r="F3165" s="10" t="s">
        <v>212</v>
      </c>
      <c r="G3165" s="10" t="b">
        <f>FALSE()</f>
        <v>0</v>
      </c>
      <c r="H3165" s="10">
        <v>0</v>
      </c>
      <c r="I3165" s="10">
        <v>1</v>
      </c>
      <c r="J3165" s="10">
        <v>0</v>
      </c>
      <c r="K3165" s="10">
        <v>0</v>
      </c>
      <c r="L3165" s="10">
        <v>0</v>
      </c>
      <c r="M3165" s="10">
        <v>1</v>
      </c>
      <c r="N3165" s="10">
        <v>12</v>
      </c>
      <c r="O3165" s="10">
        <v>7</v>
      </c>
    </row>
    <row r="3166" spans="1:15" x14ac:dyDescent="0.2">
      <c r="A3166" s="10" t="s">
        <v>383</v>
      </c>
      <c r="B3166" s="10" t="s">
        <v>384</v>
      </c>
      <c r="C3166" s="10" t="s">
        <v>50</v>
      </c>
      <c r="D3166" s="10" t="s">
        <v>51</v>
      </c>
      <c r="E3166" s="10" t="s">
        <v>52</v>
      </c>
      <c r="F3166" s="10" t="s">
        <v>183</v>
      </c>
      <c r="G3166" s="10" t="b">
        <f>FALSE()</f>
        <v>0</v>
      </c>
      <c r="H3166" s="10">
        <v>0</v>
      </c>
      <c r="I3166" s="10">
        <v>1</v>
      </c>
      <c r="J3166" s="10">
        <v>0</v>
      </c>
      <c r="K3166" s="10">
        <v>0</v>
      </c>
      <c r="L3166" s="10">
        <v>0</v>
      </c>
      <c r="M3166" s="10">
        <v>1</v>
      </c>
      <c r="N3166" s="10">
        <v>47</v>
      </c>
      <c r="O3166" s="10">
        <v>6</v>
      </c>
    </row>
    <row r="3167" spans="1:15" x14ac:dyDescent="0.2">
      <c r="A3167" s="10" t="s">
        <v>445</v>
      </c>
      <c r="B3167" s="10" t="s">
        <v>104</v>
      </c>
      <c r="C3167" s="10" t="s">
        <v>105</v>
      </c>
      <c r="D3167" s="10" t="s">
        <v>45</v>
      </c>
      <c r="E3167" s="10" t="s">
        <v>46</v>
      </c>
      <c r="F3167" s="10" t="s">
        <v>373</v>
      </c>
      <c r="G3167" s="10" t="b">
        <f>FALSE()</f>
        <v>0</v>
      </c>
      <c r="H3167" s="10">
        <v>0</v>
      </c>
      <c r="I3167" s="10">
        <v>1</v>
      </c>
      <c r="J3167" s="10">
        <v>0</v>
      </c>
      <c r="K3167" s="10">
        <v>0</v>
      </c>
      <c r="L3167" s="10">
        <v>0</v>
      </c>
      <c r="M3167" s="10">
        <v>1</v>
      </c>
      <c r="N3167" s="10">
        <v>6</v>
      </c>
      <c r="O3167" s="10">
        <v>6</v>
      </c>
    </row>
    <row r="3168" spans="1:15" x14ac:dyDescent="0.2">
      <c r="A3168" s="10" t="s">
        <v>179</v>
      </c>
      <c r="B3168" s="10" t="s">
        <v>55</v>
      </c>
      <c r="C3168" s="10" t="s">
        <v>56</v>
      </c>
      <c r="D3168" s="10" t="s">
        <v>45</v>
      </c>
      <c r="E3168" s="10" t="s">
        <v>46</v>
      </c>
      <c r="F3168" s="10" t="s">
        <v>212</v>
      </c>
      <c r="G3168" s="10" t="b">
        <f>FALSE()</f>
        <v>0</v>
      </c>
      <c r="H3168" s="10">
        <v>0</v>
      </c>
      <c r="I3168" s="10">
        <v>1</v>
      </c>
      <c r="J3168" s="10">
        <v>0</v>
      </c>
      <c r="K3168" s="10">
        <v>0</v>
      </c>
      <c r="L3168" s="10">
        <v>0</v>
      </c>
      <c r="M3168" s="10">
        <v>1</v>
      </c>
      <c r="N3168" s="10">
        <v>10</v>
      </c>
      <c r="O3168" s="10">
        <v>6</v>
      </c>
    </row>
    <row r="3169" spans="1:15" x14ac:dyDescent="0.2">
      <c r="A3169" s="10" t="s">
        <v>1238</v>
      </c>
      <c r="B3169" s="10" t="s">
        <v>368</v>
      </c>
      <c r="C3169" s="10" t="s">
        <v>50</v>
      </c>
      <c r="D3169" s="10" t="s">
        <v>51</v>
      </c>
      <c r="E3169" s="10" t="s">
        <v>52</v>
      </c>
      <c r="F3169" s="10" t="s">
        <v>393</v>
      </c>
      <c r="G3169" s="10" t="b">
        <f>FALSE()</f>
        <v>0</v>
      </c>
      <c r="H3169" s="10">
        <v>0</v>
      </c>
      <c r="I3169" s="10">
        <v>1</v>
      </c>
      <c r="J3169" s="10">
        <v>0</v>
      </c>
      <c r="K3169" s="10">
        <v>0</v>
      </c>
      <c r="L3169" s="10">
        <v>0</v>
      </c>
      <c r="M3169" s="10">
        <v>1</v>
      </c>
      <c r="N3169" s="10">
        <v>10</v>
      </c>
      <c r="O3169" s="10">
        <v>6</v>
      </c>
    </row>
    <row r="3170" spans="1:15" x14ac:dyDescent="0.2">
      <c r="A3170" s="10" t="s">
        <v>1097</v>
      </c>
      <c r="B3170" s="10" t="s">
        <v>109</v>
      </c>
      <c r="C3170" s="10" t="s">
        <v>90</v>
      </c>
      <c r="D3170" s="10" t="s">
        <v>51</v>
      </c>
      <c r="E3170" s="10" t="s">
        <v>52</v>
      </c>
      <c r="F3170" s="10" t="s">
        <v>212</v>
      </c>
      <c r="G3170" s="10" t="b">
        <f>FALSE()</f>
        <v>0</v>
      </c>
      <c r="H3170" s="10">
        <v>0</v>
      </c>
      <c r="I3170" s="10">
        <v>1</v>
      </c>
      <c r="J3170" s="10">
        <v>0</v>
      </c>
      <c r="K3170" s="10">
        <v>0</v>
      </c>
      <c r="L3170" s="10">
        <v>0</v>
      </c>
      <c r="M3170" s="10">
        <v>1</v>
      </c>
      <c r="N3170" s="10">
        <v>6</v>
      </c>
      <c r="O3170" s="10">
        <v>6</v>
      </c>
    </row>
    <row r="3171" spans="1:15" x14ac:dyDescent="0.2">
      <c r="A3171" s="10" t="s">
        <v>1243</v>
      </c>
      <c r="B3171" s="10" t="s">
        <v>234</v>
      </c>
      <c r="C3171" s="10" t="s">
        <v>90</v>
      </c>
      <c r="D3171" s="10" t="s">
        <v>51</v>
      </c>
      <c r="E3171" s="10" t="s">
        <v>52</v>
      </c>
      <c r="F3171" s="10" t="s">
        <v>1384</v>
      </c>
      <c r="G3171" s="10" t="b">
        <f>TRUE()</f>
        <v>1</v>
      </c>
      <c r="H3171" s="10">
        <v>0</v>
      </c>
      <c r="I3171" s="10">
        <v>1</v>
      </c>
      <c r="J3171" s="10">
        <v>0</v>
      </c>
      <c r="K3171" s="10">
        <v>0</v>
      </c>
      <c r="L3171" s="10">
        <v>0</v>
      </c>
      <c r="M3171" s="10">
        <v>1</v>
      </c>
      <c r="N3171" s="10">
        <v>6</v>
      </c>
      <c r="O3171" s="10">
        <v>6</v>
      </c>
    </row>
    <row r="3172" spans="1:15" x14ac:dyDescent="0.2">
      <c r="A3172" s="10" t="s">
        <v>1068</v>
      </c>
      <c r="B3172" s="10" t="s">
        <v>238</v>
      </c>
      <c r="C3172" s="10" t="s">
        <v>90</v>
      </c>
      <c r="D3172" s="10" t="s">
        <v>51</v>
      </c>
      <c r="E3172" s="10" t="s">
        <v>52</v>
      </c>
      <c r="F3172" s="10" t="s">
        <v>220</v>
      </c>
      <c r="G3172" s="10" t="b">
        <f>FALSE()</f>
        <v>0</v>
      </c>
      <c r="H3172" s="10">
        <v>0</v>
      </c>
      <c r="I3172" s="10">
        <v>1</v>
      </c>
      <c r="J3172" s="10">
        <v>0</v>
      </c>
      <c r="K3172" s="10">
        <v>0</v>
      </c>
      <c r="L3172" s="10">
        <v>0</v>
      </c>
      <c r="M3172" s="10">
        <v>1</v>
      </c>
      <c r="N3172" s="10">
        <v>6</v>
      </c>
      <c r="O3172" s="10">
        <v>6</v>
      </c>
    </row>
    <row r="3173" spans="1:15" x14ac:dyDescent="0.2">
      <c r="A3173" s="10" t="s">
        <v>1195</v>
      </c>
      <c r="B3173" s="10" t="s">
        <v>163</v>
      </c>
      <c r="C3173" s="10" t="s">
        <v>90</v>
      </c>
      <c r="D3173" s="10" t="s">
        <v>51</v>
      </c>
      <c r="E3173" s="10" t="s">
        <v>52</v>
      </c>
      <c r="F3173" s="10" t="s">
        <v>1398</v>
      </c>
      <c r="G3173" s="10" t="b">
        <f>FALSE()</f>
        <v>0</v>
      </c>
      <c r="H3173" s="10">
        <v>0</v>
      </c>
      <c r="I3173" s="10">
        <v>1</v>
      </c>
      <c r="J3173" s="10">
        <v>0</v>
      </c>
      <c r="K3173" s="10">
        <v>0</v>
      </c>
      <c r="L3173" s="10">
        <v>0</v>
      </c>
      <c r="M3173" s="10">
        <v>1</v>
      </c>
      <c r="N3173" s="10">
        <v>6</v>
      </c>
      <c r="O3173" s="10">
        <v>6</v>
      </c>
    </row>
    <row r="3174" spans="1:15" x14ac:dyDescent="0.2">
      <c r="A3174" s="10" t="s">
        <v>1309</v>
      </c>
      <c r="B3174" s="10" t="s">
        <v>72</v>
      </c>
      <c r="C3174" s="10" t="s">
        <v>73</v>
      </c>
      <c r="D3174" s="10" t="s">
        <v>45</v>
      </c>
      <c r="E3174" s="10" t="s">
        <v>46</v>
      </c>
      <c r="F3174" s="10" t="s">
        <v>183</v>
      </c>
      <c r="G3174" s="10" t="b">
        <f>FALSE()</f>
        <v>0</v>
      </c>
      <c r="H3174" s="10">
        <v>0</v>
      </c>
      <c r="I3174" s="10">
        <v>1</v>
      </c>
      <c r="J3174" s="10">
        <v>0</v>
      </c>
      <c r="K3174" s="10">
        <v>0</v>
      </c>
      <c r="L3174" s="10">
        <v>0</v>
      </c>
      <c r="M3174" s="10">
        <v>1</v>
      </c>
      <c r="N3174" s="10">
        <v>10</v>
      </c>
      <c r="O3174" s="10">
        <v>6</v>
      </c>
    </row>
    <row r="3175" spans="1:15" x14ac:dyDescent="0.2">
      <c r="A3175" s="10" t="s">
        <v>1085</v>
      </c>
      <c r="B3175" s="10" t="s">
        <v>139</v>
      </c>
      <c r="C3175" s="10" t="s">
        <v>64</v>
      </c>
      <c r="D3175" s="10" t="s">
        <v>45</v>
      </c>
      <c r="E3175" s="10" t="s">
        <v>46</v>
      </c>
      <c r="F3175" s="10" t="s">
        <v>183</v>
      </c>
      <c r="G3175" s="10" t="b">
        <f>FALSE()</f>
        <v>0</v>
      </c>
      <c r="H3175" s="10">
        <v>0</v>
      </c>
      <c r="I3175" s="10">
        <v>1</v>
      </c>
      <c r="J3175" s="10">
        <v>0</v>
      </c>
      <c r="K3175" s="10">
        <v>0</v>
      </c>
      <c r="L3175" s="10">
        <v>0</v>
      </c>
      <c r="M3175" s="10">
        <v>1</v>
      </c>
      <c r="N3175" s="10">
        <v>55</v>
      </c>
      <c r="O3175" s="10">
        <v>6</v>
      </c>
    </row>
    <row r="3176" spans="1:15" x14ac:dyDescent="0.2">
      <c r="A3176" s="10" t="s">
        <v>1307</v>
      </c>
      <c r="B3176" s="10" t="s">
        <v>70</v>
      </c>
      <c r="C3176" s="10" t="s">
        <v>70</v>
      </c>
      <c r="D3176" s="10" t="s">
        <v>45</v>
      </c>
      <c r="E3176" s="10" t="s">
        <v>46</v>
      </c>
      <c r="F3176" s="10" t="s">
        <v>660</v>
      </c>
      <c r="G3176" s="10" t="b">
        <f>FALSE()</f>
        <v>0</v>
      </c>
      <c r="H3176" s="10">
        <v>0</v>
      </c>
      <c r="I3176" s="10">
        <v>1</v>
      </c>
      <c r="J3176" s="10">
        <v>0</v>
      </c>
      <c r="K3176" s="10">
        <v>0</v>
      </c>
      <c r="L3176" s="10">
        <v>0</v>
      </c>
      <c r="M3176" s="10">
        <v>1</v>
      </c>
      <c r="N3176" s="10">
        <v>6</v>
      </c>
      <c r="O3176" s="10">
        <v>6</v>
      </c>
    </row>
    <row r="3177" spans="1:15" x14ac:dyDescent="0.2">
      <c r="A3177" s="10" t="s">
        <v>304</v>
      </c>
      <c r="B3177" s="10" t="s">
        <v>43</v>
      </c>
      <c r="C3177" s="10" t="s">
        <v>44</v>
      </c>
      <c r="D3177" s="10" t="s">
        <v>45</v>
      </c>
      <c r="E3177" s="10" t="s">
        <v>46</v>
      </c>
      <c r="F3177" s="10" t="s">
        <v>183</v>
      </c>
      <c r="G3177" s="10" t="b">
        <f>FALSE()</f>
        <v>0</v>
      </c>
      <c r="H3177" s="10">
        <v>0</v>
      </c>
      <c r="I3177" s="10">
        <v>1</v>
      </c>
      <c r="J3177" s="10">
        <v>0</v>
      </c>
      <c r="K3177" s="10">
        <v>0</v>
      </c>
      <c r="L3177" s="10">
        <v>0</v>
      </c>
      <c r="M3177" s="10">
        <v>1</v>
      </c>
      <c r="N3177" s="10">
        <v>17</v>
      </c>
      <c r="O3177" s="10">
        <v>5</v>
      </c>
    </row>
    <row r="3178" spans="1:15" x14ac:dyDescent="0.2">
      <c r="A3178" s="10" t="s">
        <v>1290</v>
      </c>
      <c r="B3178" s="10" t="s">
        <v>407</v>
      </c>
      <c r="C3178" s="10" t="s">
        <v>112</v>
      </c>
      <c r="D3178" s="10" t="s">
        <v>51</v>
      </c>
      <c r="E3178" s="10" t="s">
        <v>52</v>
      </c>
      <c r="F3178" s="10" t="s">
        <v>1026</v>
      </c>
      <c r="G3178" s="10" t="b">
        <f>FALSE()</f>
        <v>0</v>
      </c>
      <c r="H3178" s="10">
        <v>0</v>
      </c>
      <c r="I3178" s="10">
        <v>1</v>
      </c>
      <c r="J3178" s="10">
        <v>0</v>
      </c>
      <c r="K3178" s="10">
        <v>0</v>
      </c>
      <c r="L3178" s="10">
        <v>0</v>
      </c>
      <c r="M3178" s="10">
        <v>1</v>
      </c>
      <c r="N3178" s="10">
        <v>5</v>
      </c>
      <c r="O3178" s="10">
        <v>5</v>
      </c>
    </row>
    <row r="3179" spans="1:15" x14ac:dyDescent="0.2">
      <c r="A3179" s="10" t="s">
        <v>325</v>
      </c>
      <c r="B3179" s="10" t="s">
        <v>89</v>
      </c>
      <c r="C3179" s="10" t="s">
        <v>90</v>
      </c>
      <c r="D3179" s="10" t="s">
        <v>51</v>
      </c>
      <c r="E3179" s="10" t="s">
        <v>52</v>
      </c>
      <c r="F3179" s="10" t="s">
        <v>92</v>
      </c>
      <c r="G3179" s="10" t="b">
        <f>FALSE()</f>
        <v>0</v>
      </c>
      <c r="H3179" s="10">
        <v>0</v>
      </c>
      <c r="I3179" s="10">
        <v>1</v>
      </c>
      <c r="J3179" s="10">
        <v>0</v>
      </c>
      <c r="K3179" s="10">
        <v>0</v>
      </c>
      <c r="L3179" s="10">
        <v>0</v>
      </c>
      <c r="M3179" s="10">
        <v>1</v>
      </c>
      <c r="N3179" s="10">
        <v>6</v>
      </c>
      <c r="O3179" s="10">
        <v>4</v>
      </c>
    </row>
    <row r="3180" spans="1:15" x14ac:dyDescent="0.2">
      <c r="A3180" s="10" t="s">
        <v>217</v>
      </c>
      <c r="B3180" s="10" t="s">
        <v>218</v>
      </c>
      <c r="C3180" s="10" t="s">
        <v>73</v>
      </c>
      <c r="D3180" s="10" t="s">
        <v>45</v>
      </c>
      <c r="E3180" s="10" t="s">
        <v>46</v>
      </c>
      <c r="F3180" s="10" t="s">
        <v>212</v>
      </c>
      <c r="G3180" s="10" t="b">
        <f>FALSE()</f>
        <v>0</v>
      </c>
      <c r="H3180" s="10">
        <v>1</v>
      </c>
      <c r="I3180" s="10">
        <v>1</v>
      </c>
      <c r="J3180" s="10">
        <v>1</v>
      </c>
      <c r="K3180" s="10">
        <v>19</v>
      </c>
      <c r="L3180" s="10">
        <v>0</v>
      </c>
      <c r="M3180" s="10">
        <v>1</v>
      </c>
      <c r="N3180" s="10">
        <v>7</v>
      </c>
      <c r="O3180" s="10">
        <v>4</v>
      </c>
    </row>
    <row r="3181" spans="1:15" x14ac:dyDescent="0.2">
      <c r="A3181" s="10" t="s">
        <v>430</v>
      </c>
      <c r="B3181" s="10" t="s">
        <v>70</v>
      </c>
      <c r="C3181" s="10" t="s">
        <v>70</v>
      </c>
      <c r="D3181" s="10" t="s">
        <v>45</v>
      </c>
      <c r="E3181" s="10" t="s">
        <v>46</v>
      </c>
      <c r="F3181" s="10" t="s">
        <v>183</v>
      </c>
      <c r="G3181" s="10" t="b">
        <f>FALSE()</f>
        <v>0</v>
      </c>
      <c r="H3181" s="10">
        <v>0</v>
      </c>
      <c r="I3181" s="10">
        <v>1</v>
      </c>
      <c r="J3181" s="10">
        <v>0</v>
      </c>
      <c r="K3181" s="10">
        <v>0</v>
      </c>
      <c r="L3181" s="10">
        <v>0</v>
      </c>
      <c r="M3181" s="10">
        <v>1</v>
      </c>
      <c r="N3181" s="10">
        <v>36</v>
      </c>
      <c r="O3181" s="10">
        <v>4</v>
      </c>
    </row>
    <row r="3182" spans="1:15" x14ac:dyDescent="0.2">
      <c r="A3182" s="10" t="s">
        <v>479</v>
      </c>
      <c r="B3182" s="10" t="s">
        <v>480</v>
      </c>
      <c r="C3182" s="10" t="s">
        <v>245</v>
      </c>
      <c r="D3182" s="10" t="s">
        <v>51</v>
      </c>
      <c r="E3182" s="10" t="s">
        <v>52</v>
      </c>
      <c r="F3182" s="10" t="s">
        <v>1337</v>
      </c>
      <c r="G3182" s="10" t="b">
        <f>TRUE()</f>
        <v>1</v>
      </c>
      <c r="H3182" s="10">
        <v>0</v>
      </c>
      <c r="I3182" s="10">
        <v>1</v>
      </c>
      <c r="J3182" s="10">
        <v>0</v>
      </c>
      <c r="K3182" s="10">
        <v>0</v>
      </c>
      <c r="L3182" s="10">
        <v>0</v>
      </c>
      <c r="M3182" s="10">
        <v>1</v>
      </c>
      <c r="N3182" s="10">
        <v>9</v>
      </c>
      <c r="O3182" s="10">
        <v>4</v>
      </c>
    </row>
    <row r="3183" spans="1:15" x14ac:dyDescent="0.2">
      <c r="A3183" s="10" t="s">
        <v>1399</v>
      </c>
      <c r="B3183" s="10" t="s">
        <v>165</v>
      </c>
      <c r="C3183" s="10" t="s">
        <v>112</v>
      </c>
      <c r="D3183" s="10" t="s">
        <v>51</v>
      </c>
      <c r="E3183" s="10" t="s">
        <v>52</v>
      </c>
      <c r="F3183" s="10" t="s">
        <v>155</v>
      </c>
      <c r="G3183" s="10" t="b">
        <f>TRUE()</f>
        <v>1</v>
      </c>
      <c r="H3183" s="10">
        <v>0</v>
      </c>
      <c r="I3183" s="10">
        <v>1</v>
      </c>
      <c r="J3183" s="10">
        <v>0</v>
      </c>
      <c r="K3183" s="10">
        <v>0</v>
      </c>
      <c r="L3183" s="10">
        <v>0</v>
      </c>
      <c r="M3183" s="10">
        <v>1</v>
      </c>
      <c r="N3183" s="10">
        <v>4</v>
      </c>
      <c r="O3183" s="10">
        <v>4</v>
      </c>
    </row>
    <row r="3184" spans="1:15" x14ac:dyDescent="0.2">
      <c r="A3184" s="10" t="s">
        <v>1047</v>
      </c>
      <c r="B3184" s="10" t="s">
        <v>96</v>
      </c>
      <c r="C3184" s="10" t="s">
        <v>50</v>
      </c>
      <c r="D3184" s="10" t="s">
        <v>51</v>
      </c>
      <c r="E3184" s="10" t="s">
        <v>52</v>
      </c>
      <c r="F3184" s="10" t="s">
        <v>1116</v>
      </c>
      <c r="G3184" s="10" t="b">
        <f>FALSE()</f>
        <v>0</v>
      </c>
      <c r="H3184" s="10">
        <v>0</v>
      </c>
      <c r="I3184" s="10">
        <v>1</v>
      </c>
      <c r="J3184" s="10">
        <v>0</v>
      </c>
      <c r="K3184" s="10">
        <v>0</v>
      </c>
      <c r="L3184" s="10">
        <v>0</v>
      </c>
      <c r="M3184" s="10">
        <v>1</v>
      </c>
      <c r="N3184" s="10">
        <v>4</v>
      </c>
      <c r="O3184" s="10">
        <v>4</v>
      </c>
    </row>
    <row r="3185" spans="1:15" x14ac:dyDescent="0.2">
      <c r="A3185" s="10" t="s">
        <v>1276</v>
      </c>
      <c r="B3185" s="10" t="s">
        <v>477</v>
      </c>
      <c r="C3185" s="10" t="s">
        <v>50</v>
      </c>
      <c r="D3185" s="10" t="s">
        <v>51</v>
      </c>
      <c r="E3185" s="10" t="s">
        <v>52</v>
      </c>
      <c r="F3185" s="10" t="s">
        <v>640</v>
      </c>
      <c r="G3185" s="10" t="b">
        <f>FALSE()</f>
        <v>0</v>
      </c>
      <c r="H3185" s="10">
        <v>0</v>
      </c>
      <c r="I3185" s="10">
        <v>1</v>
      </c>
      <c r="J3185" s="10">
        <v>0</v>
      </c>
      <c r="K3185" s="10">
        <v>0</v>
      </c>
      <c r="L3185" s="10">
        <v>0</v>
      </c>
      <c r="M3185" s="10">
        <v>1</v>
      </c>
      <c r="N3185" s="10">
        <v>7</v>
      </c>
      <c r="O3185" s="10">
        <v>4</v>
      </c>
    </row>
    <row r="3186" spans="1:15" x14ac:dyDescent="0.2">
      <c r="A3186" s="10" t="s">
        <v>1250</v>
      </c>
      <c r="B3186" s="10" t="s">
        <v>456</v>
      </c>
      <c r="C3186" s="10" t="s">
        <v>245</v>
      </c>
      <c r="D3186" s="10" t="s">
        <v>51</v>
      </c>
      <c r="E3186" s="10" t="s">
        <v>52</v>
      </c>
      <c r="F3186" s="10" t="s">
        <v>183</v>
      </c>
      <c r="G3186" s="10" t="b">
        <f>FALSE()</f>
        <v>0</v>
      </c>
      <c r="H3186" s="10">
        <v>0</v>
      </c>
      <c r="I3186" s="10">
        <v>1</v>
      </c>
      <c r="J3186" s="10">
        <v>0</v>
      </c>
      <c r="K3186" s="10">
        <v>0</v>
      </c>
      <c r="L3186" s="10">
        <v>0</v>
      </c>
      <c r="M3186" s="10">
        <v>1</v>
      </c>
      <c r="N3186" s="10">
        <v>93</v>
      </c>
      <c r="O3186" s="10">
        <v>4</v>
      </c>
    </row>
    <row r="3187" spans="1:15" x14ac:dyDescent="0.2">
      <c r="A3187" s="10" t="s">
        <v>946</v>
      </c>
      <c r="B3187" s="10" t="s">
        <v>89</v>
      </c>
      <c r="C3187" s="10" t="s">
        <v>90</v>
      </c>
      <c r="D3187" s="10" t="s">
        <v>51</v>
      </c>
      <c r="E3187" s="10" t="s">
        <v>52</v>
      </c>
      <c r="F3187" s="10" t="s">
        <v>393</v>
      </c>
      <c r="G3187" s="10" t="b">
        <f>FALSE()</f>
        <v>0</v>
      </c>
      <c r="H3187" s="10">
        <v>0</v>
      </c>
      <c r="I3187" s="10">
        <v>1</v>
      </c>
      <c r="J3187" s="10">
        <v>0</v>
      </c>
      <c r="K3187" s="10">
        <v>0</v>
      </c>
      <c r="L3187" s="10">
        <v>0</v>
      </c>
      <c r="M3187" s="10">
        <v>1</v>
      </c>
      <c r="N3187" s="10">
        <v>10</v>
      </c>
      <c r="O3187" s="10">
        <v>3</v>
      </c>
    </row>
    <row r="3188" spans="1:15" x14ac:dyDescent="0.2">
      <c r="A3188" s="10" t="s">
        <v>735</v>
      </c>
      <c r="B3188" s="10" t="s">
        <v>172</v>
      </c>
      <c r="C3188" s="10" t="s">
        <v>44</v>
      </c>
      <c r="D3188" s="10" t="s">
        <v>45</v>
      </c>
      <c r="E3188" s="10" t="s">
        <v>46</v>
      </c>
      <c r="F3188" s="10" t="s">
        <v>424</v>
      </c>
      <c r="G3188" s="10" t="b">
        <f>FALSE()</f>
        <v>0</v>
      </c>
      <c r="H3188" s="10">
        <v>0</v>
      </c>
      <c r="I3188" s="10">
        <v>1</v>
      </c>
      <c r="J3188" s="10">
        <v>0</v>
      </c>
      <c r="K3188" s="10">
        <v>0</v>
      </c>
      <c r="L3188" s="10">
        <v>0</v>
      </c>
      <c r="M3188" s="10">
        <v>1</v>
      </c>
      <c r="N3188" s="10">
        <v>10</v>
      </c>
      <c r="O3188" s="10">
        <v>3</v>
      </c>
    </row>
    <row r="3189" spans="1:15" x14ac:dyDescent="0.2">
      <c r="A3189" s="10" t="s">
        <v>1252</v>
      </c>
      <c r="B3189" s="10" t="s">
        <v>405</v>
      </c>
      <c r="C3189" s="10" t="s">
        <v>117</v>
      </c>
      <c r="D3189" s="10" t="s">
        <v>51</v>
      </c>
      <c r="E3189" s="10" t="s">
        <v>52</v>
      </c>
      <c r="F3189" s="10" t="s">
        <v>153</v>
      </c>
      <c r="G3189" s="10" t="b">
        <f>FALSE()</f>
        <v>0</v>
      </c>
      <c r="H3189" s="10">
        <v>0</v>
      </c>
      <c r="I3189" s="10">
        <v>1</v>
      </c>
      <c r="J3189" s="10">
        <v>0</v>
      </c>
      <c r="K3189" s="10">
        <v>0</v>
      </c>
      <c r="L3189" s="10">
        <v>0</v>
      </c>
      <c r="M3189" s="10">
        <v>1</v>
      </c>
      <c r="N3189" s="10">
        <v>3</v>
      </c>
      <c r="O3189" s="10">
        <v>3</v>
      </c>
    </row>
    <row r="3190" spans="1:15" x14ac:dyDescent="0.2">
      <c r="A3190" s="10" t="s">
        <v>1130</v>
      </c>
      <c r="B3190" s="10" t="s">
        <v>193</v>
      </c>
      <c r="C3190" s="10" t="s">
        <v>117</v>
      </c>
      <c r="D3190" s="10" t="s">
        <v>51</v>
      </c>
      <c r="E3190" s="10" t="s">
        <v>52</v>
      </c>
      <c r="F3190" s="10" t="s">
        <v>1400</v>
      </c>
      <c r="G3190" s="10" t="b">
        <f>TRUE()</f>
        <v>1</v>
      </c>
      <c r="H3190" s="10">
        <v>0</v>
      </c>
      <c r="I3190" s="10">
        <v>1</v>
      </c>
      <c r="J3190" s="10">
        <v>0</v>
      </c>
      <c r="K3190" s="10">
        <v>0</v>
      </c>
      <c r="L3190" s="10">
        <v>0</v>
      </c>
      <c r="M3190" s="10">
        <v>1</v>
      </c>
      <c r="N3190" s="10">
        <v>3</v>
      </c>
      <c r="O3190" s="10">
        <v>3</v>
      </c>
    </row>
    <row r="3191" spans="1:15" x14ac:dyDescent="0.2">
      <c r="A3191" s="10" t="s">
        <v>1059</v>
      </c>
      <c r="B3191" s="10" t="s">
        <v>109</v>
      </c>
      <c r="C3191" s="10" t="s">
        <v>90</v>
      </c>
      <c r="D3191" s="10" t="s">
        <v>51</v>
      </c>
      <c r="E3191" s="10" t="s">
        <v>52</v>
      </c>
      <c r="F3191" s="10" t="s">
        <v>79</v>
      </c>
      <c r="G3191" s="10" t="b">
        <f>FALSE()</f>
        <v>0</v>
      </c>
      <c r="H3191" s="10">
        <v>0</v>
      </c>
      <c r="I3191" s="10">
        <v>1</v>
      </c>
      <c r="J3191" s="10">
        <v>0</v>
      </c>
      <c r="K3191" s="10">
        <v>0</v>
      </c>
      <c r="L3191" s="10">
        <v>0</v>
      </c>
      <c r="M3191" s="10">
        <v>1</v>
      </c>
      <c r="N3191" s="10">
        <v>3</v>
      </c>
      <c r="O3191" s="10">
        <v>3</v>
      </c>
    </row>
    <row r="3192" spans="1:15" x14ac:dyDescent="0.2">
      <c r="A3192" s="10" t="s">
        <v>1068</v>
      </c>
      <c r="B3192" s="10" t="s">
        <v>238</v>
      </c>
      <c r="C3192" s="10" t="s">
        <v>90</v>
      </c>
      <c r="D3192" s="10" t="s">
        <v>51</v>
      </c>
      <c r="E3192" s="10" t="s">
        <v>52</v>
      </c>
      <c r="F3192" s="10" t="s">
        <v>251</v>
      </c>
      <c r="G3192" s="10" t="b">
        <f>FALSE()</f>
        <v>0</v>
      </c>
      <c r="H3192" s="10">
        <v>0</v>
      </c>
      <c r="I3192" s="10">
        <v>1</v>
      </c>
      <c r="J3192" s="10">
        <v>0</v>
      </c>
      <c r="K3192" s="10">
        <v>0</v>
      </c>
      <c r="L3192" s="10">
        <v>0</v>
      </c>
      <c r="M3192" s="10">
        <v>1</v>
      </c>
      <c r="N3192" s="10">
        <v>1</v>
      </c>
      <c r="O3192" s="10">
        <v>3</v>
      </c>
    </row>
    <row r="3193" spans="1:15" x14ac:dyDescent="0.2">
      <c r="A3193" s="10" t="s">
        <v>1305</v>
      </c>
      <c r="B3193" s="10" t="s">
        <v>285</v>
      </c>
      <c r="C3193" s="10" t="s">
        <v>105</v>
      </c>
      <c r="D3193" s="10" t="s">
        <v>45</v>
      </c>
      <c r="E3193" s="10" t="s">
        <v>46</v>
      </c>
      <c r="F3193" s="10" t="s">
        <v>183</v>
      </c>
      <c r="G3193" s="10" t="b">
        <f>FALSE()</f>
        <v>0</v>
      </c>
      <c r="H3193" s="10">
        <v>0</v>
      </c>
      <c r="I3193" s="10">
        <v>1</v>
      </c>
      <c r="J3193" s="10">
        <v>0</v>
      </c>
      <c r="K3193" s="10">
        <v>0</v>
      </c>
      <c r="L3193" s="10">
        <v>0</v>
      </c>
      <c r="M3193" s="10">
        <v>1</v>
      </c>
      <c r="N3193" s="10">
        <v>3</v>
      </c>
      <c r="O3193" s="10">
        <v>3</v>
      </c>
    </row>
    <row r="3194" spans="1:15" x14ac:dyDescent="0.2">
      <c r="A3194" s="10" t="s">
        <v>1374</v>
      </c>
      <c r="B3194" s="10" t="s">
        <v>55</v>
      </c>
      <c r="C3194" s="10" t="s">
        <v>56</v>
      </c>
      <c r="D3194" s="10" t="s">
        <v>45</v>
      </c>
      <c r="E3194" s="10" t="s">
        <v>46</v>
      </c>
      <c r="F3194" s="10" t="s">
        <v>1211</v>
      </c>
      <c r="G3194" s="10" t="b">
        <f>TRUE()</f>
        <v>1</v>
      </c>
      <c r="H3194" s="10">
        <v>0</v>
      </c>
      <c r="I3194" s="10">
        <v>1</v>
      </c>
      <c r="J3194" s="10">
        <v>0</v>
      </c>
      <c r="K3194" s="10">
        <v>0</v>
      </c>
      <c r="L3194" s="10">
        <v>0</v>
      </c>
      <c r="M3194" s="10">
        <v>1</v>
      </c>
      <c r="N3194" s="10">
        <v>3</v>
      </c>
      <c r="O3194" s="10">
        <v>3</v>
      </c>
    </row>
    <row r="3195" spans="1:15" x14ac:dyDescent="0.2">
      <c r="A3195" s="10" t="s">
        <v>466</v>
      </c>
      <c r="B3195" s="10" t="s">
        <v>43</v>
      </c>
      <c r="C3195" s="10" t="s">
        <v>44</v>
      </c>
      <c r="D3195" s="10" t="s">
        <v>45</v>
      </c>
      <c r="E3195" s="10" t="s">
        <v>46</v>
      </c>
      <c r="F3195" s="10" t="s">
        <v>1370</v>
      </c>
      <c r="G3195" s="10" t="b">
        <f>FALSE()</f>
        <v>0</v>
      </c>
      <c r="H3195" s="10">
        <v>0</v>
      </c>
      <c r="I3195" s="10">
        <v>1</v>
      </c>
      <c r="J3195" s="10">
        <v>0</v>
      </c>
      <c r="K3195" s="10">
        <v>0</v>
      </c>
      <c r="L3195" s="10">
        <v>0</v>
      </c>
      <c r="M3195" s="10">
        <v>1</v>
      </c>
      <c r="N3195" s="10">
        <v>4</v>
      </c>
      <c r="O3195" s="10">
        <v>2</v>
      </c>
    </row>
    <row r="3196" spans="1:15" x14ac:dyDescent="0.2">
      <c r="A3196" s="10" t="s">
        <v>502</v>
      </c>
      <c r="B3196" s="10" t="s">
        <v>302</v>
      </c>
      <c r="C3196" s="10" t="s">
        <v>117</v>
      </c>
      <c r="D3196" s="10" t="s">
        <v>51</v>
      </c>
      <c r="E3196" s="10" t="s">
        <v>52</v>
      </c>
      <c r="F3196" s="10" t="s">
        <v>183</v>
      </c>
      <c r="G3196" s="10" t="b">
        <f>FALSE()</f>
        <v>0</v>
      </c>
      <c r="H3196" s="10">
        <v>0</v>
      </c>
      <c r="I3196" s="10">
        <v>1</v>
      </c>
      <c r="J3196" s="10">
        <v>0</v>
      </c>
      <c r="K3196" s="10">
        <v>0</v>
      </c>
      <c r="L3196" s="10">
        <v>0</v>
      </c>
      <c r="M3196" s="10">
        <v>1</v>
      </c>
      <c r="N3196" s="10">
        <v>37</v>
      </c>
      <c r="O3196" s="10">
        <v>1</v>
      </c>
    </row>
    <row r="3197" spans="1:15" x14ac:dyDescent="0.2">
      <c r="A3197" s="10" t="s">
        <v>325</v>
      </c>
      <c r="B3197" s="10" t="s">
        <v>89</v>
      </c>
      <c r="C3197" s="10" t="s">
        <v>90</v>
      </c>
      <c r="D3197" s="10" t="s">
        <v>51</v>
      </c>
      <c r="E3197" s="10" t="s">
        <v>52</v>
      </c>
      <c r="F3197" s="10" t="s">
        <v>1400</v>
      </c>
      <c r="G3197" s="10" t="b">
        <f>TRUE()</f>
        <v>1</v>
      </c>
      <c r="H3197" s="10">
        <v>0</v>
      </c>
      <c r="I3197" s="10">
        <v>1</v>
      </c>
      <c r="J3197" s="10">
        <v>0</v>
      </c>
      <c r="K3197" s="10">
        <v>0</v>
      </c>
      <c r="L3197" s="10">
        <v>0</v>
      </c>
      <c r="M3197" s="10">
        <v>1</v>
      </c>
      <c r="N3197" s="10">
        <v>1</v>
      </c>
      <c r="O3197" s="10">
        <v>1</v>
      </c>
    </row>
    <row r="3198" spans="1:15" x14ac:dyDescent="0.2">
      <c r="A3198" s="10" t="s">
        <v>1068</v>
      </c>
      <c r="B3198" s="10" t="s">
        <v>238</v>
      </c>
      <c r="C3198" s="10" t="s">
        <v>90</v>
      </c>
      <c r="D3198" s="10" t="s">
        <v>51</v>
      </c>
      <c r="E3198" s="10" t="s">
        <v>52</v>
      </c>
      <c r="F3198" s="10" t="s">
        <v>1398</v>
      </c>
      <c r="G3198" s="10" t="b">
        <f>FALSE()</f>
        <v>0</v>
      </c>
      <c r="H3198" s="10">
        <v>0</v>
      </c>
      <c r="I3198" s="10">
        <v>1</v>
      </c>
      <c r="J3198" s="10">
        <v>0</v>
      </c>
      <c r="K3198" s="10">
        <v>0</v>
      </c>
      <c r="L3198" s="10">
        <v>0</v>
      </c>
      <c r="M3198" s="10">
        <v>1</v>
      </c>
      <c r="N3198" s="10">
        <v>1</v>
      </c>
      <c r="O3198" s="10">
        <v>1</v>
      </c>
    </row>
    <row r="3199" spans="1:15" x14ac:dyDescent="0.2">
      <c r="A3199" s="10" t="s">
        <v>1263</v>
      </c>
      <c r="B3199" s="10" t="s">
        <v>72</v>
      </c>
      <c r="C3199" s="10" t="s">
        <v>73</v>
      </c>
      <c r="D3199" s="10" t="s">
        <v>45</v>
      </c>
      <c r="E3199" s="10" t="s">
        <v>46</v>
      </c>
      <c r="F3199" s="10" t="s">
        <v>1173</v>
      </c>
      <c r="G3199" s="10" t="b">
        <f>FALSE()</f>
        <v>0</v>
      </c>
      <c r="H3199" s="10">
        <v>0</v>
      </c>
      <c r="I3199" s="10">
        <v>1</v>
      </c>
      <c r="J3199" s="10">
        <v>0</v>
      </c>
      <c r="K3199" s="10">
        <v>0</v>
      </c>
      <c r="L3199" s="10">
        <v>0</v>
      </c>
      <c r="M3199" s="10">
        <v>1</v>
      </c>
      <c r="N3199" s="10">
        <v>1</v>
      </c>
      <c r="O3199" s="10">
        <v>1</v>
      </c>
    </row>
    <row r="3200" spans="1:15" x14ac:dyDescent="0.2">
      <c r="A3200" s="10" t="s">
        <v>1394</v>
      </c>
      <c r="B3200" s="10" t="s">
        <v>285</v>
      </c>
      <c r="C3200" s="10" t="s">
        <v>105</v>
      </c>
      <c r="D3200" s="10" t="s">
        <v>45</v>
      </c>
      <c r="E3200" s="10" t="s">
        <v>46</v>
      </c>
      <c r="F3200" s="10" t="s">
        <v>1401</v>
      </c>
      <c r="G3200" s="10" t="b">
        <f>FALSE()</f>
        <v>0</v>
      </c>
      <c r="H3200" s="10">
        <v>0</v>
      </c>
      <c r="I3200" s="10">
        <v>1</v>
      </c>
      <c r="J3200" s="10">
        <v>0</v>
      </c>
      <c r="K3200" s="10">
        <v>0</v>
      </c>
      <c r="L3200" s="10">
        <v>0</v>
      </c>
      <c r="M3200" s="10">
        <v>1</v>
      </c>
      <c r="N3200" s="10">
        <v>2</v>
      </c>
      <c r="O3200" s="10">
        <v>1</v>
      </c>
    </row>
    <row r="3201" spans="1:15" x14ac:dyDescent="0.2">
      <c r="A3201" s="10" t="s">
        <v>1058</v>
      </c>
      <c r="B3201" s="10" t="s">
        <v>43</v>
      </c>
      <c r="C3201" s="10" t="s">
        <v>44</v>
      </c>
      <c r="D3201" s="10" t="s">
        <v>45</v>
      </c>
      <c r="E3201" s="10" t="s">
        <v>46</v>
      </c>
      <c r="F3201" s="10" t="s">
        <v>123</v>
      </c>
      <c r="G3201" s="10" t="b">
        <f>FALSE()</f>
        <v>0</v>
      </c>
      <c r="H3201" s="10">
        <v>0</v>
      </c>
      <c r="I3201" s="10">
        <v>1</v>
      </c>
      <c r="J3201" s="10">
        <v>0</v>
      </c>
      <c r="K3201" s="10">
        <v>0</v>
      </c>
      <c r="L3201" s="10">
        <v>0</v>
      </c>
      <c r="M3201" s="10">
        <v>1</v>
      </c>
      <c r="N3201" s="10">
        <v>1</v>
      </c>
      <c r="O3201" s="10">
        <v>1</v>
      </c>
    </row>
    <row r="3202" spans="1:15" x14ac:dyDescent="0.2">
      <c r="A3202" s="10" t="s">
        <v>514</v>
      </c>
      <c r="B3202" s="10" t="s">
        <v>238</v>
      </c>
      <c r="C3202" s="10" t="s">
        <v>90</v>
      </c>
      <c r="D3202" s="10" t="s">
        <v>51</v>
      </c>
      <c r="E3202" s="10" t="s">
        <v>52</v>
      </c>
      <c r="F3202" s="10" t="s">
        <v>207</v>
      </c>
      <c r="G3202" s="10" t="b">
        <f>FALSE()</f>
        <v>0</v>
      </c>
      <c r="H3202" s="10">
        <v>1</v>
      </c>
      <c r="I3202" s="10">
        <v>0</v>
      </c>
      <c r="J3202" s="10">
        <v>1</v>
      </c>
      <c r="K3202" s="10">
        <v>25</v>
      </c>
      <c r="L3202" s="10">
        <v>0</v>
      </c>
      <c r="M3202" s="10">
        <v>0</v>
      </c>
      <c r="N3202" s="10">
        <v>0</v>
      </c>
      <c r="O3202" s="10">
        <v>0</v>
      </c>
    </row>
    <row r="3203" spans="1:15" x14ac:dyDescent="0.2">
      <c r="A3203" s="10" t="s">
        <v>816</v>
      </c>
      <c r="B3203" s="10" t="s">
        <v>538</v>
      </c>
      <c r="C3203" s="10" t="s">
        <v>90</v>
      </c>
      <c r="D3203" s="10" t="s">
        <v>51</v>
      </c>
      <c r="E3203" s="10" t="s">
        <v>52</v>
      </c>
      <c r="F3203" s="10" t="s">
        <v>880</v>
      </c>
      <c r="G3203" s="10" t="b">
        <f>FALSE()</f>
        <v>0</v>
      </c>
      <c r="H3203" s="10">
        <v>1</v>
      </c>
      <c r="I3203" s="10">
        <v>0</v>
      </c>
      <c r="J3203" s="10">
        <v>1</v>
      </c>
      <c r="K3203" s="10">
        <v>30</v>
      </c>
      <c r="L3203" s="10">
        <v>0</v>
      </c>
      <c r="M3203" s="10">
        <v>0</v>
      </c>
      <c r="N3203" s="10">
        <v>0</v>
      </c>
      <c r="O3203" s="10">
        <v>0</v>
      </c>
    </row>
    <row r="3204" spans="1:15" x14ac:dyDescent="0.2">
      <c r="A3204" s="10" t="s">
        <v>816</v>
      </c>
      <c r="B3204" s="10" t="s">
        <v>538</v>
      </c>
      <c r="C3204" s="10" t="s">
        <v>90</v>
      </c>
      <c r="D3204" s="10" t="s">
        <v>51</v>
      </c>
      <c r="E3204" s="10" t="s">
        <v>52</v>
      </c>
      <c r="F3204" s="10" t="s">
        <v>61</v>
      </c>
      <c r="G3204" s="10" t="b">
        <f>FALSE()</f>
        <v>0</v>
      </c>
      <c r="H3204" s="10">
        <v>1</v>
      </c>
      <c r="I3204" s="10">
        <v>0</v>
      </c>
      <c r="J3204" s="10">
        <v>1</v>
      </c>
      <c r="K3204" s="10">
        <v>36</v>
      </c>
      <c r="L3204" s="10">
        <v>0</v>
      </c>
      <c r="M3204" s="10">
        <v>0</v>
      </c>
      <c r="N3204" s="10">
        <v>0</v>
      </c>
      <c r="O3204" s="10">
        <v>0</v>
      </c>
    </row>
    <row r="3205" spans="1:15" x14ac:dyDescent="0.2">
      <c r="A3205" s="10" t="s">
        <v>816</v>
      </c>
      <c r="B3205" s="10" t="s">
        <v>538</v>
      </c>
      <c r="C3205" s="10" t="s">
        <v>90</v>
      </c>
      <c r="D3205" s="10" t="s">
        <v>51</v>
      </c>
      <c r="E3205" s="10" t="s">
        <v>52</v>
      </c>
      <c r="F3205" s="10" t="s">
        <v>153</v>
      </c>
      <c r="G3205" s="10" t="b">
        <f>FALSE()</f>
        <v>0</v>
      </c>
      <c r="H3205" s="10">
        <v>1</v>
      </c>
      <c r="I3205" s="10">
        <v>0</v>
      </c>
      <c r="J3205" s="10">
        <v>1</v>
      </c>
      <c r="K3205" s="10">
        <v>37</v>
      </c>
      <c r="L3205" s="10">
        <v>0</v>
      </c>
      <c r="M3205" s="10">
        <v>0</v>
      </c>
      <c r="N3205" s="10">
        <v>0</v>
      </c>
      <c r="O3205" s="10">
        <v>0</v>
      </c>
    </row>
    <row r="3206" spans="1:15" x14ac:dyDescent="0.2">
      <c r="A3206" s="10" t="s">
        <v>816</v>
      </c>
      <c r="B3206" s="10" t="s">
        <v>538</v>
      </c>
      <c r="C3206" s="10" t="s">
        <v>90</v>
      </c>
      <c r="D3206" s="10" t="s">
        <v>51</v>
      </c>
      <c r="E3206" s="10" t="s">
        <v>52</v>
      </c>
      <c r="F3206" s="10" t="s">
        <v>251</v>
      </c>
      <c r="G3206" s="10" t="b">
        <f>FALSE()</f>
        <v>0</v>
      </c>
      <c r="H3206" s="10">
        <v>1</v>
      </c>
      <c r="I3206" s="10">
        <v>0</v>
      </c>
      <c r="J3206" s="10">
        <v>1</v>
      </c>
      <c r="K3206" s="10">
        <v>40</v>
      </c>
      <c r="L3206" s="10">
        <v>0</v>
      </c>
      <c r="M3206" s="10">
        <v>0</v>
      </c>
      <c r="N3206" s="10">
        <v>0</v>
      </c>
      <c r="O3206" s="10">
        <v>0</v>
      </c>
    </row>
    <row r="3207" spans="1:15" x14ac:dyDescent="0.2">
      <c r="A3207" s="10" t="s">
        <v>668</v>
      </c>
      <c r="B3207" s="10" t="s">
        <v>669</v>
      </c>
      <c r="C3207" s="10" t="s">
        <v>90</v>
      </c>
      <c r="D3207" s="10" t="s">
        <v>51</v>
      </c>
      <c r="E3207" s="10" t="s">
        <v>52</v>
      </c>
      <c r="F3207" s="10" t="s">
        <v>61</v>
      </c>
      <c r="G3207" s="10" t="b">
        <f>FALSE()</f>
        <v>0</v>
      </c>
      <c r="H3207" s="10">
        <v>1</v>
      </c>
      <c r="I3207" s="10">
        <v>0</v>
      </c>
      <c r="J3207" s="10">
        <v>2</v>
      </c>
      <c r="K3207" s="10">
        <v>40</v>
      </c>
      <c r="L3207" s="10">
        <v>0</v>
      </c>
      <c r="M3207" s="10">
        <v>0</v>
      </c>
      <c r="N3207" s="10">
        <v>0</v>
      </c>
      <c r="O3207" s="10">
        <v>0</v>
      </c>
    </row>
    <row r="3208" spans="1:15" x14ac:dyDescent="0.2">
      <c r="A3208" s="10" t="s">
        <v>939</v>
      </c>
      <c r="B3208" s="10" t="s">
        <v>289</v>
      </c>
      <c r="C3208" s="10" t="s">
        <v>50</v>
      </c>
      <c r="D3208" s="10" t="s">
        <v>51</v>
      </c>
      <c r="E3208" s="10" t="s">
        <v>52</v>
      </c>
      <c r="F3208" s="10" t="s">
        <v>1116</v>
      </c>
      <c r="G3208" s="10" t="b">
        <f>FALSE()</f>
        <v>0</v>
      </c>
      <c r="H3208" s="10">
        <v>1</v>
      </c>
      <c r="I3208" s="10">
        <v>0</v>
      </c>
      <c r="J3208" s="10">
        <v>5</v>
      </c>
      <c r="K3208" s="10">
        <v>144</v>
      </c>
      <c r="L3208" s="10">
        <v>0</v>
      </c>
      <c r="M3208" s="10">
        <v>0</v>
      </c>
      <c r="N3208" s="10">
        <v>0</v>
      </c>
      <c r="O3208" s="10">
        <v>0</v>
      </c>
    </row>
    <row r="3209" spans="1:15" x14ac:dyDescent="0.2">
      <c r="A3209" s="10" t="s">
        <v>939</v>
      </c>
      <c r="B3209" s="10" t="s">
        <v>289</v>
      </c>
      <c r="C3209" s="10" t="s">
        <v>50</v>
      </c>
      <c r="D3209" s="10" t="s">
        <v>51</v>
      </c>
      <c r="E3209" s="10" t="s">
        <v>52</v>
      </c>
      <c r="F3209" s="10" t="s">
        <v>1118</v>
      </c>
      <c r="G3209" s="10" t="b">
        <f>FALSE()</f>
        <v>0</v>
      </c>
      <c r="H3209" s="10">
        <v>1</v>
      </c>
      <c r="I3209" s="10">
        <v>0</v>
      </c>
      <c r="J3209" s="10">
        <v>3</v>
      </c>
      <c r="K3209" s="10">
        <v>99</v>
      </c>
      <c r="L3209" s="10">
        <v>0</v>
      </c>
      <c r="M3209" s="10">
        <v>0</v>
      </c>
      <c r="N3209" s="10">
        <v>0</v>
      </c>
      <c r="O3209" s="10">
        <v>0</v>
      </c>
    </row>
    <row r="3210" spans="1:15" x14ac:dyDescent="0.2">
      <c r="A3210" s="10" t="s">
        <v>939</v>
      </c>
      <c r="B3210" s="10" t="s">
        <v>289</v>
      </c>
      <c r="C3210" s="10" t="s">
        <v>50</v>
      </c>
      <c r="D3210" s="10" t="s">
        <v>51</v>
      </c>
      <c r="E3210" s="10" t="s">
        <v>52</v>
      </c>
      <c r="F3210" s="10" t="s">
        <v>481</v>
      </c>
      <c r="G3210" s="10" t="b">
        <f>FALSE()</f>
        <v>0</v>
      </c>
      <c r="H3210" s="10">
        <v>1</v>
      </c>
      <c r="I3210" s="10">
        <v>0</v>
      </c>
      <c r="J3210" s="10">
        <v>4</v>
      </c>
      <c r="K3210" s="10">
        <v>118</v>
      </c>
      <c r="L3210" s="10">
        <v>0</v>
      </c>
      <c r="M3210" s="10">
        <v>0</v>
      </c>
      <c r="N3210" s="10">
        <v>0</v>
      </c>
      <c r="O3210" s="10">
        <v>0</v>
      </c>
    </row>
    <row r="3211" spans="1:15" x14ac:dyDescent="0.2">
      <c r="A3211" s="10" t="s">
        <v>939</v>
      </c>
      <c r="B3211" s="10" t="s">
        <v>289</v>
      </c>
      <c r="C3211" s="10" t="s">
        <v>50</v>
      </c>
      <c r="D3211" s="10" t="s">
        <v>51</v>
      </c>
      <c r="E3211" s="10" t="s">
        <v>52</v>
      </c>
      <c r="F3211" s="10" t="s">
        <v>223</v>
      </c>
      <c r="G3211" s="10" t="b">
        <f>FALSE()</f>
        <v>0</v>
      </c>
      <c r="H3211" s="10">
        <v>1</v>
      </c>
      <c r="I3211" s="10">
        <v>0</v>
      </c>
      <c r="J3211" s="10">
        <v>4</v>
      </c>
      <c r="K3211" s="10">
        <v>88</v>
      </c>
      <c r="L3211" s="10">
        <v>0</v>
      </c>
      <c r="M3211" s="10">
        <v>0</v>
      </c>
      <c r="N3211" s="10">
        <v>0</v>
      </c>
      <c r="O3211" s="10">
        <v>0</v>
      </c>
    </row>
    <row r="3212" spans="1:15" x14ac:dyDescent="0.2">
      <c r="A3212" s="10" t="s">
        <v>715</v>
      </c>
      <c r="B3212" s="10" t="s">
        <v>193</v>
      </c>
      <c r="C3212" s="10" t="s">
        <v>117</v>
      </c>
      <c r="D3212" s="10" t="s">
        <v>51</v>
      </c>
      <c r="E3212" s="10" t="s">
        <v>52</v>
      </c>
      <c r="F3212" s="10" t="s">
        <v>1118</v>
      </c>
      <c r="G3212" s="10" t="b">
        <f>FALSE()</f>
        <v>0</v>
      </c>
      <c r="H3212" s="10">
        <v>1</v>
      </c>
      <c r="I3212" s="10">
        <v>0</v>
      </c>
      <c r="J3212" s="10">
        <v>1</v>
      </c>
      <c r="K3212" s="10">
        <v>84</v>
      </c>
      <c r="L3212" s="10">
        <v>0</v>
      </c>
      <c r="M3212" s="10">
        <v>0</v>
      </c>
      <c r="N3212" s="10">
        <v>0</v>
      </c>
      <c r="O3212" s="10">
        <v>0</v>
      </c>
    </row>
    <row r="3213" spans="1:15" x14ac:dyDescent="0.2">
      <c r="A3213" s="10" t="s">
        <v>715</v>
      </c>
      <c r="B3213" s="10" t="s">
        <v>193</v>
      </c>
      <c r="C3213" s="10" t="s">
        <v>117</v>
      </c>
      <c r="D3213" s="10" t="s">
        <v>51</v>
      </c>
      <c r="E3213" s="10" t="s">
        <v>52</v>
      </c>
      <c r="F3213" s="10" t="s">
        <v>601</v>
      </c>
      <c r="G3213" s="10" t="b">
        <f>FALSE()</f>
        <v>0</v>
      </c>
      <c r="H3213" s="10">
        <v>1</v>
      </c>
      <c r="I3213" s="10">
        <v>0</v>
      </c>
      <c r="J3213" s="10">
        <v>1</v>
      </c>
      <c r="K3213" s="10">
        <v>52</v>
      </c>
      <c r="L3213" s="10">
        <v>0</v>
      </c>
      <c r="M3213" s="10">
        <v>0</v>
      </c>
      <c r="N3213" s="10">
        <v>0</v>
      </c>
      <c r="O3213" s="10">
        <v>0</v>
      </c>
    </row>
    <row r="3214" spans="1:15" x14ac:dyDescent="0.2">
      <c r="A3214" s="10" t="s">
        <v>560</v>
      </c>
      <c r="B3214" s="10" t="s">
        <v>96</v>
      </c>
      <c r="C3214" s="10" t="s">
        <v>50</v>
      </c>
      <c r="D3214" s="10" t="s">
        <v>51</v>
      </c>
      <c r="E3214" s="10" t="s">
        <v>52</v>
      </c>
      <c r="F3214" s="10" t="s">
        <v>132</v>
      </c>
      <c r="G3214" s="10" t="b">
        <f>FALSE()</f>
        <v>0</v>
      </c>
      <c r="H3214" s="10">
        <v>1</v>
      </c>
      <c r="I3214" s="10">
        <v>0</v>
      </c>
      <c r="J3214" s="10">
        <v>1</v>
      </c>
      <c r="K3214" s="10">
        <v>40</v>
      </c>
      <c r="L3214" s="10">
        <v>0</v>
      </c>
      <c r="M3214" s="10">
        <v>0</v>
      </c>
      <c r="N3214" s="10">
        <v>0</v>
      </c>
      <c r="O3214" s="10">
        <v>0</v>
      </c>
    </row>
    <row r="3215" spans="1:15" x14ac:dyDescent="0.2">
      <c r="A3215" s="10" t="s">
        <v>560</v>
      </c>
      <c r="B3215" s="10" t="s">
        <v>96</v>
      </c>
      <c r="C3215" s="10" t="s">
        <v>50</v>
      </c>
      <c r="D3215" s="10" t="s">
        <v>51</v>
      </c>
      <c r="E3215" s="10" t="s">
        <v>52</v>
      </c>
      <c r="F3215" s="10" t="s">
        <v>791</v>
      </c>
      <c r="G3215" s="10" t="b">
        <f>FALSE()</f>
        <v>0</v>
      </c>
      <c r="H3215" s="10">
        <v>1</v>
      </c>
      <c r="I3215" s="10">
        <v>0</v>
      </c>
      <c r="J3215" s="10">
        <v>1</v>
      </c>
      <c r="K3215" s="10">
        <v>20</v>
      </c>
      <c r="L3215" s="10">
        <v>0</v>
      </c>
      <c r="M3215" s="10">
        <v>0</v>
      </c>
      <c r="N3215" s="10">
        <v>0</v>
      </c>
      <c r="O3215" s="10">
        <v>0</v>
      </c>
    </row>
    <row r="3216" spans="1:15" x14ac:dyDescent="0.2">
      <c r="A3216" s="10" t="s">
        <v>448</v>
      </c>
      <c r="B3216" s="10" t="s">
        <v>289</v>
      </c>
      <c r="C3216" s="10" t="s">
        <v>50</v>
      </c>
      <c r="D3216" s="10" t="s">
        <v>51</v>
      </c>
      <c r="E3216" s="10" t="s">
        <v>52</v>
      </c>
      <c r="F3216" s="10" t="s">
        <v>481</v>
      </c>
      <c r="G3216" s="10" t="b">
        <f>FALSE()</f>
        <v>0</v>
      </c>
      <c r="H3216" s="10">
        <v>1</v>
      </c>
      <c r="I3216" s="10">
        <v>0</v>
      </c>
      <c r="J3216" s="10">
        <v>1</v>
      </c>
      <c r="K3216" s="10">
        <v>26</v>
      </c>
      <c r="L3216" s="10">
        <v>0</v>
      </c>
      <c r="M3216" s="10">
        <v>0</v>
      </c>
      <c r="N3216" s="10">
        <v>0</v>
      </c>
      <c r="O3216" s="10">
        <v>0</v>
      </c>
    </row>
    <row r="3217" spans="1:15" x14ac:dyDescent="0.2">
      <c r="A3217" s="10" t="s">
        <v>934</v>
      </c>
      <c r="B3217" s="10" t="s">
        <v>477</v>
      </c>
      <c r="C3217" s="10" t="s">
        <v>50</v>
      </c>
      <c r="D3217" s="10" t="s">
        <v>51</v>
      </c>
      <c r="E3217" s="10" t="s">
        <v>52</v>
      </c>
      <c r="F3217" s="10" t="s">
        <v>223</v>
      </c>
      <c r="G3217" s="10" t="b">
        <f>FALSE()</f>
        <v>0</v>
      </c>
      <c r="H3217" s="10">
        <v>1</v>
      </c>
      <c r="I3217" s="10">
        <v>0</v>
      </c>
      <c r="J3217" s="10">
        <v>1</v>
      </c>
      <c r="K3217" s="10">
        <v>69</v>
      </c>
      <c r="L3217" s="10">
        <v>0</v>
      </c>
      <c r="M3217" s="10">
        <v>0</v>
      </c>
      <c r="N3217" s="10">
        <v>0</v>
      </c>
      <c r="O3217" s="10">
        <v>0</v>
      </c>
    </row>
    <row r="3218" spans="1:15" x14ac:dyDescent="0.2">
      <c r="A3218" s="10" t="s">
        <v>934</v>
      </c>
      <c r="B3218" s="10" t="s">
        <v>477</v>
      </c>
      <c r="C3218" s="10" t="s">
        <v>50</v>
      </c>
      <c r="D3218" s="10" t="s">
        <v>51</v>
      </c>
      <c r="E3218" s="10" t="s">
        <v>52</v>
      </c>
      <c r="F3218" s="10" t="s">
        <v>970</v>
      </c>
      <c r="G3218" s="10" t="b">
        <f>FALSE()</f>
        <v>0</v>
      </c>
      <c r="H3218" s="10">
        <v>1</v>
      </c>
      <c r="I3218" s="10">
        <v>0</v>
      </c>
      <c r="J3218" s="10">
        <v>1</v>
      </c>
      <c r="K3218" s="10">
        <v>36</v>
      </c>
      <c r="L3218" s="10">
        <v>0</v>
      </c>
      <c r="M3218" s="10">
        <v>0</v>
      </c>
      <c r="N3218" s="10">
        <v>0</v>
      </c>
      <c r="O3218" s="10">
        <v>0</v>
      </c>
    </row>
    <row r="3219" spans="1:15" x14ac:dyDescent="0.2">
      <c r="A3219" s="10" t="s">
        <v>934</v>
      </c>
      <c r="B3219" s="10" t="s">
        <v>477</v>
      </c>
      <c r="C3219" s="10" t="s">
        <v>50</v>
      </c>
      <c r="D3219" s="10" t="s">
        <v>51</v>
      </c>
      <c r="E3219" s="10" t="s">
        <v>52</v>
      </c>
      <c r="F3219" s="10" t="s">
        <v>113</v>
      </c>
      <c r="G3219" s="10" t="b">
        <f>TRUE()</f>
        <v>1</v>
      </c>
      <c r="H3219" s="10">
        <v>1</v>
      </c>
      <c r="I3219" s="10">
        <v>0</v>
      </c>
      <c r="J3219" s="10">
        <v>1</v>
      </c>
      <c r="K3219" s="10">
        <v>28</v>
      </c>
      <c r="L3219" s="10">
        <v>0</v>
      </c>
      <c r="M3219" s="10">
        <v>0</v>
      </c>
      <c r="N3219" s="10">
        <v>0</v>
      </c>
      <c r="O3219" s="10">
        <v>0</v>
      </c>
    </row>
    <row r="3220" spans="1:15" x14ac:dyDescent="0.2">
      <c r="A3220" s="10" t="s">
        <v>934</v>
      </c>
      <c r="B3220" s="10" t="s">
        <v>477</v>
      </c>
      <c r="C3220" s="10" t="s">
        <v>50</v>
      </c>
      <c r="D3220" s="10" t="s">
        <v>51</v>
      </c>
      <c r="E3220" s="10" t="s">
        <v>52</v>
      </c>
      <c r="F3220" s="10" t="s">
        <v>132</v>
      </c>
      <c r="G3220" s="10" t="b">
        <f>FALSE()</f>
        <v>0</v>
      </c>
      <c r="H3220" s="10">
        <v>1</v>
      </c>
      <c r="I3220" s="10">
        <v>0</v>
      </c>
      <c r="J3220" s="10">
        <v>1</v>
      </c>
      <c r="K3220" s="10">
        <v>49</v>
      </c>
      <c r="L3220" s="10">
        <v>0</v>
      </c>
      <c r="M3220" s="10">
        <v>0</v>
      </c>
      <c r="N3220" s="10">
        <v>0</v>
      </c>
      <c r="O3220" s="10">
        <v>0</v>
      </c>
    </row>
    <row r="3221" spans="1:15" x14ac:dyDescent="0.2">
      <c r="A3221" s="10" t="s">
        <v>934</v>
      </c>
      <c r="B3221" s="10" t="s">
        <v>477</v>
      </c>
      <c r="C3221" s="10" t="s">
        <v>50</v>
      </c>
      <c r="D3221" s="10" t="s">
        <v>51</v>
      </c>
      <c r="E3221" s="10" t="s">
        <v>52</v>
      </c>
      <c r="F3221" s="10" t="s">
        <v>190</v>
      </c>
      <c r="G3221" s="10" t="b">
        <f>TRUE()</f>
        <v>1</v>
      </c>
      <c r="H3221" s="10">
        <v>1</v>
      </c>
      <c r="I3221" s="10">
        <v>0</v>
      </c>
      <c r="J3221" s="10">
        <v>1</v>
      </c>
      <c r="K3221" s="10">
        <v>40</v>
      </c>
      <c r="L3221" s="10">
        <v>0</v>
      </c>
      <c r="M3221" s="10">
        <v>0</v>
      </c>
      <c r="N3221" s="10">
        <v>0</v>
      </c>
      <c r="O3221" s="10">
        <v>0</v>
      </c>
    </row>
    <row r="3222" spans="1:15" x14ac:dyDescent="0.2">
      <c r="A3222" s="10" t="s">
        <v>934</v>
      </c>
      <c r="B3222" s="10" t="s">
        <v>477</v>
      </c>
      <c r="C3222" s="10" t="s">
        <v>50</v>
      </c>
      <c r="D3222" s="10" t="s">
        <v>51</v>
      </c>
      <c r="E3222" s="10" t="s">
        <v>52</v>
      </c>
      <c r="F3222" s="10" t="s">
        <v>91</v>
      </c>
      <c r="G3222" s="10" t="b">
        <f>TRUE()</f>
        <v>1</v>
      </c>
      <c r="H3222" s="10">
        <v>1</v>
      </c>
      <c r="I3222" s="10">
        <v>0</v>
      </c>
      <c r="J3222" s="10">
        <v>1</v>
      </c>
      <c r="K3222" s="10">
        <v>18</v>
      </c>
      <c r="L3222" s="10">
        <v>0</v>
      </c>
      <c r="M3222" s="10">
        <v>0</v>
      </c>
      <c r="N3222" s="10">
        <v>0</v>
      </c>
      <c r="O3222" s="10">
        <v>0</v>
      </c>
    </row>
    <row r="3223" spans="1:15" x14ac:dyDescent="0.2">
      <c r="A3223" s="10" t="s">
        <v>882</v>
      </c>
      <c r="B3223" s="10" t="s">
        <v>384</v>
      </c>
      <c r="C3223" s="10" t="s">
        <v>50</v>
      </c>
      <c r="D3223" s="10" t="s">
        <v>51</v>
      </c>
      <c r="E3223" s="10" t="s">
        <v>52</v>
      </c>
      <c r="F3223" s="10" t="s">
        <v>223</v>
      </c>
      <c r="G3223" s="10" t="b">
        <f>FALSE()</f>
        <v>0</v>
      </c>
      <c r="H3223" s="10">
        <v>1</v>
      </c>
      <c r="I3223" s="10">
        <v>0</v>
      </c>
      <c r="J3223" s="10">
        <v>1</v>
      </c>
      <c r="K3223" s="10">
        <v>23</v>
      </c>
      <c r="L3223" s="10">
        <v>0</v>
      </c>
      <c r="M3223" s="10">
        <v>0</v>
      </c>
      <c r="N3223" s="10">
        <v>0</v>
      </c>
      <c r="O3223" s="10">
        <v>0</v>
      </c>
    </row>
    <row r="3224" spans="1:15" x14ac:dyDescent="0.2">
      <c r="A3224" s="10" t="s">
        <v>250</v>
      </c>
      <c r="B3224" s="10" t="s">
        <v>193</v>
      </c>
      <c r="C3224" s="10" t="s">
        <v>117</v>
      </c>
      <c r="D3224" s="10" t="s">
        <v>51</v>
      </c>
      <c r="E3224" s="10" t="s">
        <v>52</v>
      </c>
      <c r="F3224" s="10" t="s">
        <v>212</v>
      </c>
      <c r="G3224" s="10" t="b">
        <f>FALSE()</f>
        <v>0</v>
      </c>
      <c r="H3224" s="10">
        <v>1</v>
      </c>
      <c r="I3224" s="10">
        <v>0</v>
      </c>
      <c r="J3224" s="10">
        <v>1</v>
      </c>
      <c r="K3224" s="10">
        <v>12</v>
      </c>
      <c r="L3224" s="10">
        <v>0</v>
      </c>
      <c r="M3224" s="10">
        <v>0</v>
      </c>
      <c r="N3224" s="10">
        <v>0</v>
      </c>
      <c r="O3224" s="10">
        <v>0</v>
      </c>
    </row>
    <row r="3225" spans="1:15" x14ac:dyDescent="0.2">
      <c r="A3225" s="10" t="s">
        <v>867</v>
      </c>
      <c r="B3225" s="10" t="s">
        <v>111</v>
      </c>
      <c r="C3225" s="10" t="s">
        <v>112</v>
      </c>
      <c r="D3225" s="10" t="s">
        <v>51</v>
      </c>
      <c r="E3225" s="10" t="s">
        <v>52</v>
      </c>
      <c r="F3225" s="10" t="s">
        <v>223</v>
      </c>
      <c r="G3225" s="10" t="b">
        <f>FALSE()</f>
        <v>0</v>
      </c>
      <c r="H3225" s="10">
        <v>1</v>
      </c>
      <c r="I3225" s="10">
        <v>0</v>
      </c>
      <c r="J3225" s="10">
        <v>0</v>
      </c>
      <c r="K3225" s="10">
        <v>0</v>
      </c>
      <c r="L3225" s="10">
        <v>0</v>
      </c>
      <c r="M3225" s="10">
        <v>0</v>
      </c>
      <c r="N3225" s="10">
        <v>0</v>
      </c>
      <c r="O3225" s="10">
        <v>0</v>
      </c>
    </row>
    <row r="3226" spans="1:15" x14ac:dyDescent="0.2">
      <c r="A3226" s="10" t="s">
        <v>867</v>
      </c>
      <c r="B3226" s="10" t="s">
        <v>111</v>
      </c>
      <c r="C3226" s="10" t="s">
        <v>112</v>
      </c>
      <c r="D3226" s="10" t="s">
        <v>51</v>
      </c>
      <c r="E3226" s="10" t="s">
        <v>52</v>
      </c>
      <c r="F3226" s="10" t="s">
        <v>61</v>
      </c>
      <c r="G3226" s="10" t="b">
        <f>FALSE()</f>
        <v>0</v>
      </c>
      <c r="H3226" s="10">
        <v>1</v>
      </c>
      <c r="I3226" s="10">
        <v>0</v>
      </c>
      <c r="J3226" s="10">
        <v>1</v>
      </c>
      <c r="K3226" s="10">
        <v>19</v>
      </c>
      <c r="L3226" s="10">
        <v>0</v>
      </c>
      <c r="M3226" s="10">
        <v>0</v>
      </c>
      <c r="N3226" s="10">
        <v>0</v>
      </c>
      <c r="O3226" s="10">
        <v>0</v>
      </c>
    </row>
    <row r="3227" spans="1:15" x14ac:dyDescent="0.2">
      <c r="A3227" s="10" t="s">
        <v>867</v>
      </c>
      <c r="B3227" s="10" t="s">
        <v>111</v>
      </c>
      <c r="C3227" s="10" t="s">
        <v>112</v>
      </c>
      <c r="D3227" s="10" t="s">
        <v>51</v>
      </c>
      <c r="E3227" s="10" t="s">
        <v>52</v>
      </c>
      <c r="F3227" s="10" t="s">
        <v>74</v>
      </c>
      <c r="G3227" s="10" t="b">
        <f>FALSE()</f>
        <v>0</v>
      </c>
      <c r="H3227" s="10">
        <v>1</v>
      </c>
      <c r="I3227" s="10">
        <v>0</v>
      </c>
      <c r="J3227" s="10">
        <v>1</v>
      </c>
      <c r="K3227" s="10">
        <v>25</v>
      </c>
      <c r="L3227" s="10">
        <v>0</v>
      </c>
      <c r="M3227" s="10">
        <v>0</v>
      </c>
      <c r="N3227" s="10">
        <v>0</v>
      </c>
      <c r="O3227" s="10">
        <v>0</v>
      </c>
    </row>
    <row r="3228" spans="1:15" x14ac:dyDescent="0.2">
      <c r="A3228" s="10" t="s">
        <v>182</v>
      </c>
      <c r="B3228" s="10" t="s">
        <v>104</v>
      </c>
      <c r="C3228" s="10" t="s">
        <v>105</v>
      </c>
      <c r="D3228" s="10" t="s">
        <v>45</v>
      </c>
      <c r="E3228" s="10" t="s">
        <v>46</v>
      </c>
      <c r="F3228" s="10" t="s">
        <v>558</v>
      </c>
      <c r="G3228" s="10" t="b">
        <f>TRUE()</f>
        <v>1</v>
      </c>
      <c r="H3228" s="10">
        <v>1</v>
      </c>
      <c r="I3228" s="10">
        <v>0</v>
      </c>
      <c r="J3228" s="10">
        <v>1</v>
      </c>
      <c r="K3228" s="10">
        <v>25</v>
      </c>
      <c r="L3228" s="10">
        <v>0</v>
      </c>
      <c r="M3228" s="10">
        <v>0</v>
      </c>
      <c r="N3228" s="10">
        <v>0</v>
      </c>
      <c r="O3228" s="10">
        <v>0</v>
      </c>
    </row>
    <row r="3229" spans="1:15" x14ac:dyDescent="0.2">
      <c r="A3229" s="10" t="s">
        <v>664</v>
      </c>
      <c r="B3229" s="10" t="s">
        <v>136</v>
      </c>
      <c r="C3229" s="10" t="s">
        <v>73</v>
      </c>
      <c r="D3229" s="10" t="s">
        <v>45</v>
      </c>
      <c r="E3229" s="10" t="s">
        <v>46</v>
      </c>
      <c r="F3229" s="10" t="s">
        <v>155</v>
      </c>
      <c r="G3229" s="10" t="b">
        <f>TRUE()</f>
        <v>1</v>
      </c>
      <c r="H3229" s="10">
        <v>1</v>
      </c>
      <c r="I3229" s="10">
        <v>0</v>
      </c>
      <c r="J3229" s="10">
        <v>1</v>
      </c>
      <c r="K3229" s="10">
        <v>25</v>
      </c>
      <c r="L3229" s="10">
        <v>0</v>
      </c>
      <c r="M3229" s="10">
        <v>0</v>
      </c>
      <c r="N3229" s="10">
        <v>0</v>
      </c>
      <c r="O3229" s="10">
        <v>0</v>
      </c>
    </row>
    <row r="3230" spans="1:15" x14ac:dyDescent="0.2">
      <c r="A3230" s="10" t="s">
        <v>664</v>
      </c>
      <c r="B3230" s="10" t="s">
        <v>136</v>
      </c>
      <c r="C3230" s="10" t="s">
        <v>73</v>
      </c>
      <c r="D3230" s="10" t="s">
        <v>45</v>
      </c>
      <c r="E3230" s="10" t="s">
        <v>46</v>
      </c>
      <c r="F3230" s="10" t="s">
        <v>331</v>
      </c>
      <c r="G3230" s="10" t="b">
        <f>FALSE()</f>
        <v>0</v>
      </c>
      <c r="H3230" s="10">
        <v>1</v>
      </c>
      <c r="I3230" s="10">
        <v>0</v>
      </c>
      <c r="J3230" s="10">
        <v>1</v>
      </c>
      <c r="K3230" s="10">
        <v>25</v>
      </c>
      <c r="L3230" s="10">
        <v>0</v>
      </c>
      <c r="M3230" s="10">
        <v>0</v>
      </c>
      <c r="N3230" s="10">
        <v>0</v>
      </c>
      <c r="O3230" s="10">
        <v>0</v>
      </c>
    </row>
    <row r="3231" spans="1:15" x14ac:dyDescent="0.2">
      <c r="A3231" s="10" t="s">
        <v>790</v>
      </c>
      <c r="B3231" s="10" t="s">
        <v>405</v>
      </c>
      <c r="C3231" s="10" t="s">
        <v>112</v>
      </c>
      <c r="D3231" s="10" t="s">
        <v>51</v>
      </c>
      <c r="E3231" s="10" t="s">
        <v>52</v>
      </c>
      <c r="F3231" s="10" t="s">
        <v>186</v>
      </c>
      <c r="G3231" s="10" t="b">
        <f>TRUE()</f>
        <v>1</v>
      </c>
      <c r="H3231" s="10">
        <v>1</v>
      </c>
      <c r="I3231" s="10">
        <v>0</v>
      </c>
      <c r="J3231" s="10">
        <v>1</v>
      </c>
      <c r="K3231" s="10">
        <v>3</v>
      </c>
      <c r="L3231" s="10">
        <v>0</v>
      </c>
      <c r="M3231" s="10">
        <v>0</v>
      </c>
      <c r="N3231" s="10">
        <v>0</v>
      </c>
      <c r="O3231" s="10">
        <v>0</v>
      </c>
    </row>
    <row r="3232" spans="1:15" x14ac:dyDescent="0.2">
      <c r="A3232" s="10" t="s">
        <v>545</v>
      </c>
      <c r="B3232" s="10" t="s">
        <v>146</v>
      </c>
      <c r="C3232" s="10" t="s">
        <v>105</v>
      </c>
      <c r="D3232" s="10" t="s">
        <v>45</v>
      </c>
      <c r="E3232" s="10" t="s">
        <v>46</v>
      </c>
      <c r="F3232" s="10" t="s">
        <v>58</v>
      </c>
      <c r="G3232" s="10" t="b">
        <f>FALSE()</f>
        <v>0</v>
      </c>
      <c r="H3232" s="10">
        <v>1</v>
      </c>
      <c r="I3232" s="10">
        <v>0</v>
      </c>
      <c r="J3232" s="10">
        <v>1</v>
      </c>
      <c r="K3232" s="10">
        <v>25</v>
      </c>
      <c r="L3232" s="10">
        <v>0</v>
      </c>
      <c r="M3232" s="10">
        <v>0</v>
      </c>
      <c r="N3232" s="10">
        <v>0</v>
      </c>
      <c r="O3232" s="10">
        <v>0</v>
      </c>
    </row>
    <row r="3233" spans="1:15" x14ac:dyDescent="0.2">
      <c r="A3233" s="10" t="s">
        <v>1402</v>
      </c>
      <c r="B3233" s="10" t="s">
        <v>172</v>
      </c>
      <c r="C3233" s="10" t="s">
        <v>44</v>
      </c>
      <c r="D3233" s="10" t="s">
        <v>45</v>
      </c>
      <c r="E3233" s="10" t="s">
        <v>46</v>
      </c>
      <c r="F3233" s="10" t="s">
        <v>58</v>
      </c>
      <c r="G3233" s="10" t="b">
        <f>FALSE()</f>
        <v>0</v>
      </c>
      <c r="H3233" s="10">
        <v>1</v>
      </c>
      <c r="I3233" s="10">
        <v>0</v>
      </c>
      <c r="J3233" s="10">
        <v>4</v>
      </c>
      <c r="K3233" s="10">
        <v>123</v>
      </c>
      <c r="L3233" s="10">
        <v>0</v>
      </c>
      <c r="M3233" s="10">
        <v>0</v>
      </c>
      <c r="N3233" s="10">
        <v>0</v>
      </c>
      <c r="O3233" s="10">
        <v>0</v>
      </c>
    </row>
    <row r="3234" spans="1:15" x14ac:dyDescent="0.2">
      <c r="A3234" s="10" t="s">
        <v>1402</v>
      </c>
      <c r="B3234" s="10" t="s">
        <v>172</v>
      </c>
      <c r="C3234" s="10" t="s">
        <v>44</v>
      </c>
      <c r="D3234" s="10" t="s">
        <v>45</v>
      </c>
      <c r="E3234" s="10" t="s">
        <v>46</v>
      </c>
      <c r="F3234" s="10" t="s">
        <v>363</v>
      </c>
      <c r="G3234" s="10" t="b">
        <f>FALSE()</f>
        <v>0</v>
      </c>
      <c r="H3234" s="10">
        <v>1</v>
      </c>
      <c r="I3234" s="10">
        <v>0</v>
      </c>
      <c r="J3234" s="10">
        <v>1</v>
      </c>
      <c r="K3234" s="10">
        <v>25</v>
      </c>
      <c r="L3234" s="10">
        <v>0</v>
      </c>
      <c r="M3234" s="10">
        <v>0</v>
      </c>
      <c r="N3234" s="10">
        <v>0</v>
      </c>
      <c r="O3234" s="10">
        <v>0</v>
      </c>
    </row>
    <row r="3235" spans="1:15" x14ac:dyDescent="0.2">
      <c r="A3235" s="10" t="s">
        <v>1402</v>
      </c>
      <c r="B3235" s="10" t="s">
        <v>172</v>
      </c>
      <c r="C3235" s="10" t="s">
        <v>44</v>
      </c>
      <c r="D3235" s="10" t="s">
        <v>45</v>
      </c>
      <c r="E3235" s="10" t="s">
        <v>46</v>
      </c>
      <c r="F3235" s="10" t="s">
        <v>47</v>
      </c>
      <c r="G3235" s="10" t="b">
        <f>FALSE()</f>
        <v>0</v>
      </c>
      <c r="H3235" s="10">
        <v>1</v>
      </c>
      <c r="I3235" s="10">
        <v>0</v>
      </c>
      <c r="J3235" s="10">
        <v>2</v>
      </c>
      <c r="K3235" s="10">
        <v>50</v>
      </c>
      <c r="L3235" s="10">
        <v>0</v>
      </c>
      <c r="M3235" s="10">
        <v>0</v>
      </c>
      <c r="N3235" s="10">
        <v>0</v>
      </c>
      <c r="O3235" s="10">
        <v>0</v>
      </c>
    </row>
    <row r="3236" spans="1:15" x14ac:dyDescent="0.2">
      <c r="A3236" s="10" t="s">
        <v>1402</v>
      </c>
      <c r="B3236" s="10" t="s">
        <v>172</v>
      </c>
      <c r="C3236" s="10" t="s">
        <v>44</v>
      </c>
      <c r="D3236" s="10" t="s">
        <v>45</v>
      </c>
      <c r="E3236" s="10" t="s">
        <v>46</v>
      </c>
      <c r="F3236" s="10" t="s">
        <v>75</v>
      </c>
      <c r="G3236" s="10" t="b">
        <f>FALSE()</f>
        <v>0</v>
      </c>
      <c r="H3236" s="10">
        <v>1</v>
      </c>
      <c r="I3236" s="10">
        <v>0</v>
      </c>
      <c r="J3236" s="10">
        <v>2</v>
      </c>
      <c r="K3236" s="10">
        <v>89</v>
      </c>
      <c r="L3236" s="10">
        <v>0</v>
      </c>
      <c r="M3236" s="10">
        <v>0</v>
      </c>
      <c r="N3236" s="10">
        <v>0</v>
      </c>
      <c r="O3236" s="10">
        <v>0</v>
      </c>
    </row>
    <row r="3237" spans="1:15" x14ac:dyDescent="0.2">
      <c r="A3237" s="10" t="s">
        <v>134</v>
      </c>
      <c r="B3237" s="10" t="s">
        <v>63</v>
      </c>
      <c r="C3237" s="10" t="s">
        <v>64</v>
      </c>
      <c r="D3237" s="10" t="s">
        <v>45</v>
      </c>
      <c r="E3237" s="10" t="s">
        <v>46</v>
      </c>
      <c r="F3237" s="10" t="s">
        <v>61</v>
      </c>
      <c r="G3237" s="10" t="b">
        <f>FALSE()</f>
        <v>0</v>
      </c>
      <c r="H3237" s="10">
        <v>1</v>
      </c>
      <c r="I3237" s="10">
        <v>0</v>
      </c>
      <c r="J3237" s="10">
        <v>1</v>
      </c>
      <c r="K3237" s="10">
        <v>25</v>
      </c>
      <c r="L3237" s="10">
        <v>0</v>
      </c>
      <c r="M3237" s="10">
        <v>0</v>
      </c>
      <c r="N3237" s="10">
        <v>0</v>
      </c>
      <c r="O3237" s="10">
        <v>0</v>
      </c>
    </row>
    <row r="3238" spans="1:15" x14ac:dyDescent="0.2">
      <c r="A3238" s="10" t="s">
        <v>134</v>
      </c>
      <c r="B3238" s="10" t="s">
        <v>63</v>
      </c>
      <c r="C3238" s="10" t="s">
        <v>64</v>
      </c>
      <c r="D3238" s="10" t="s">
        <v>45</v>
      </c>
      <c r="E3238" s="10" t="s">
        <v>46</v>
      </c>
      <c r="F3238" s="10" t="s">
        <v>251</v>
      </c>
      <c r="G3238" s="10" t="b">
        <f>FALSE()</f>
        <v>0</v>
      </c>
      <c r="H3238" s="10">
        <v>1</v>
      </c>
      <c r="I3238" s="10">
        <v>0</v>
      </c>
      <c r="J3238" s="10">
        <v>1</v>
      </c>
      <c r="K3238" s="10">
        <v>24</v>
      </c>
      <c r="L3238" s="10">
        <v>0</v>
      </c>
      <c r="M3238" s="10">
        <v>0</v>
      </c>
      <c r="N3238" s="10">
        <v>0</v>
      </c>
      <c r="O3238" s="10">
        <v>0</v>
      </c>
    </row>
    <row r="3239" spans="1:15" x14ac:dyDescent="0.2">
      <c r="A3239" s="10" t="s">
        <v>203</v>
      </c>
      <c r="B3239" s="10" t="s">
        <v>178</v>
      </c>
      <c r="C3239" s="10" t="s">
        <v>73</v>
      </c>
      <c r="D3239" s="10" t="s">
        <v>45</v>
      </c>
      <c r="E3239" s="10" t="s">
        <v>46</v>
      </c>
      <c r="F3239" s="10" t="s">
        <v>207</v>
      </c>
      <c r="G3239" s="10" t="b">
        <f>FALSE()</f>
        <v>0</v>
      </c>
      <c r="H3239" s="10">
        <v>1</v>
      </c>
      <c r="I3239" s="10">
        <v>0</v>
      </c>
      <c r="J3239" s="10">
        <v>1</v>
      </c>
      <c r="K3239" s="10">
        <v>25</v>
      </c>
      <c r="L3239" s="10">
        <v>0</v>
      </c>
      <c r="M3239" s="10">
        <v>0</v>
      </c>
      <c r="N3239" s="10">
        <v>0</v>
      </c>
      <c r="O3239" s="10">
        <v>0</v>
      </c>
    </row>
    <row r="3240" spans="1:15" x14ac:dyDescent="0.2">
      <c r="A3240" s="10" t="s">
        <v>203</v>
      </c>
      <c r="B3240" s="10" t="s">
        <v>178</v>
      </c>
      <c r="C3240" s="10" t="s">
        <v>73</v>
      </c>
      <c r="D3240" s="10" t="s">
        <v>45</v>
      </c>
      <c r="E3240" s="10" t="s">
        <v>46</v>
      </c>
      <c r="F3240" s="10" t="s">
        <v>365</v>
      </c>
      <c r="G3240" s="10" t="b">
        <f>TRUE()</f>
        <v>1</v>
      </c>
      <c r="H3240" s="10">
        <v>1</v>
      </c>
      <c r="I3240" s="10">
        <v>0</v>
      </c>
      <c r="J3240" s="10">
        <v>1</v>
      </c>
      <c r="K3240" s="10">
        <v>25</v>
      </c>
      <c r="L3240" s="10">
        <v>0</v>
      </c>
      <c r="M3240" s="10">
        <v>0</v>
      </c>
      <c r="N3240" s="10">
        <v>0</v>
      </c>
      <c r="O3240" s="10">
        <v>0</v>
      </c>
    </row>
    <row r="3241" spans="1:15" x14ac:dyDescent="0.2">
      <c r="A3241" s="10" t="s">
        <v>203</v>
      </c>
      <c r="B3241" s="10" t="s">
        <v>178</v>
      </c>
      <c r="C3241" s="10" t="s">
        <v>73</v>
      </c>
      <c r="D3241" s="10" t="s">
        <v>45</v>
      </c>
      <c r="E3241" s="10" t="s">
        <v>46</v>
      </c>
      <c r="F3241" s="10" t="s">
        <v>91</v>
      </c>
      <c r="G3241" s="10" t="b">
        <f>TRUE()</f>
        <v>1</v>
      </c>
      <c r="H3241" s="10">
        <v>1</v>
      </c>
      <c r="I3241" s="10">
        <v>0</v>
      </c>
      <c r="J3241" s="10">
        <v>1</v>
      </c>
      <c r="K3241" s="10">
        <v>25</v>
      </c>
      <c r="L3241" s="10">
        <v>0</v>
      </c>
      <c r="M3241" s="10">
        <v>0</v>
      </c>
      <c r="N3241" s="10">
        <v>0</v>
      </c>
      <c r="O3241" s="10">
        <v>0</v>
      </c>
    </row>
    <row r="3242" spans="1:15" x14ac:dyDescent="0.2">
      <c r="A3242" s="10" t="s">
        <v>596</v>
      </c>
      <c r="B3242" s="10" t="s">
        <v>262</v>
      </c>
      <c r="C3242" s="10" t="s">
        <v>105</v>
      </c>
      <c r="D3242" s="10" t="s">
        <v>45</v>
      </c>
      <c r="E3242" s="10" t="s">
        <v>46</v>
      </c>
      <c r="F3242" s="10" t="s">
        <v>153</v>
      </c>
      <c r="G3242" s="10" t="b">
        <f>FALSE()</f>
        <v>0</v>
      </c>
      <c r="H3242" s="10">
        <v>1</v>
      </c>
      <c r="I3242" s="10">
        <v>0</v>
      </c>
      <c r="J3242" s="10">
        <v>1</v>
      </c>
      <c r="K3242" s="10">
        <v>26</v>
      </c>
      <c r="L3242" s="10">
        <v>0</v>
      </c>
      <c r="M3242" s="10">
        <v>0</v>
      </c>
      <c r="N3242" s="10">
        <v>0</v>
      </c>
      <c r="O3242" s="10">
        <v>0</v>
      </c>
    </row>
    <row r="3243" spans="1:15" x14ac:dyDescent="0.2">
      <c r="A3243" s="10" t="s">
        <v>620</v>
      </c>
      <c r="B3243" s="10" t="s">
        <v>116</v>
      </c>
      <c r="C3243" s="10" t="s">
        <v>117</v>
      </c>
      <c r="D3243" s="10" t="s">
        <v>51</v>
      </c>
      <c r="E3243" s="10" t="s">
        <v>52</v>
      </c>
      <c r="F3243" s="10" t="s">
        <v>363</v>
      </c>
      <c r="G3243" s="10" t="b">
        <f>FALSE()</f>
        <v>0</v>
      </c>
      <c r="H3243" s="10">
        <v>1</v>
      </c>
      <c r="I3243" s="10">
        <v>0</v>
      </c>
      <c r="J3243" s="10">
        <v>1</v>
      </c>
      <c r="K3243" s="10">
        <v>25</v>
      </c>
      <c r="L3243" s="10">
        <v>0</v>
      </c>
      <c r="M3243" s="10">
        <v>0</v>
      </c>
      <c r="N3243" s="10">
        <v>0</v>
      </c>
      <c r="O3243" s="10">
        <v>0</v>
      </c>
    </row>
    <row r="3244" spans="1:15" x14ac:dyDescent="0.2">
      <c r="A3244" s="10" t="s">
        <v>620</v>
      </c>
      <c r="B3244" s="10" t="s">
        <v>116</v>
      </c>
      <c r="C3244" s="10" t="s">
        <v>117</v>
      </c>
      <c r="D3244" s="10" t="s">
        <v>51</v>
      </c>
      <c r="E3244" s="10" t="s">
        <v>52</v>
      </c>
      <c r="F3244" s="10" t="s">
        <v>94</v>
      </c>
      <c r="G3244" s="10" t="b">
        <f>FALSE()</f>
        <v>0</v>
      </c>
      <c r="H3244" s="10">
        <v>1</v>
      </c>
      <c r="I3244" s="10">
        <v>0</v>
      </c>
      <c r="J3244" s="10">
        <v>2</v>
      </c>
      <c r="K3244" s="10">
        <v>45</v>
      </c>
      <c r="L3244" s="10">
        <v>0</v>
      </c>
      <c r="M3244" s="10">
        <v>0</v>
      </c>
      <c r="N3244" s="10">
        <v>0</v>
      </c>
      <c r="O3244" s="10">
        <v>0</v>
      </c>
    </row>
    <row r="3245" spans="1:15" x14ac:dyDescent="0.2">
      <c r="A3245" s="10" t="s">
        <v>306</v>
      </c>
      <c r="B3245" s="10" t="s">
        <v>55</v>
      </c>
      <c r="C3245" s="10" t="s">
        <v>56</v>
      </c>
      <c r="D3245" s="10" t="s">
        <v>45</v>
      </c>
      <c r="E3245" s="10" t="s">
        <v>46</v>
      </c>
      <c r="F3245" s="10" t="s">
        <v>1403</v>
      </c>
      <c r="G3245" s="10" t="b">
        <f>FALSE()</f>
        <v>0</v>
      </c>
      <c r="H3245" s="10">
        <v>1</v>
      </c>
      <c r="I3245" s="10">
        <v>0</v>
      </c>
      <c r="J3245" s="10">
        <v>1</v>
      </c>
      <c r="K3245" s="10">
        <v>3</v>
      </c>
      <c r="L3245" s="10">
        <v>0</v>
      </c>
      <c r="M3245" s="10">
        <v>0</v>
      </c>
      <c r="N3245" s="10">
        <v>0</v>
      </c>
      <c r="O3245" s="10">
        <v>0</v>
      </c>
    </row>
    <row r="3246" spans="1:15" x14ac:dyDescent="0.2">
      <c r="A3246" s="10" t="s">
        <v>670</v>
      </c>
      <c r="B3246" s="10" t="s">
        <v>671</v>
      </c>
      <c r="C3246" s="10" t="s">
        <v>117</v>
      </c>
      <c r="D3246" s="10" t="s">
        <v>51</v>
      </c>
      <c r="E3246" s="10" t="s">
        <v>52</v>
      </c>
      <c r="F3246" s="10" t="s">
        <v>917</v>
      </c>
      <c r="G3246" s="10" t="b">
        <f>FALSE()</f>
        <v>0</v>
      </c>
      <c r="H3246" s="10">
        <v>1</v>
      </c>
      <c r="I3246" s="10">
        <v>0</v>
      </c>
      <c r="J3246" s="10">
        <v>1</v>
      </c>
      <c r="K3246" s="10">
        <v>12</v>
      </c>
      <c r="L3246" s="10">
        <v>0</v>
      </c>
      <c r="M3246" s="10">
        <v>0</v>
      </c>
      <c r="N3246" s="10">
        <v>0</v>
      </c>
      <c r="O3246" s="10">
        <v>0</v>
      </c>
    </row>
    <row r="3247" spans="1:15" x14ac:dyDescent="0.2">
      <c r="A3247" s="10" t="s">
        <v>1404</v>
      </c>
      <c r="B3247" s="10" t="s">
        <v>1148</v>
      </c>
      <c r="C3247" s="10" t="s">
        <v>50</v>
      </c>
      <c r="D3247" s="10" t="s">
        <v>51</v>
      </c>
      <c r="E3247" s="10" t="s">
        <v>52</v>
      </c>
      <c r="F3247" s="10" t="s">
        <v>183</v>
      </c>
      <c r="G3247" s="10" t="b">
        <f>FALSE()</f>
        <v>0</v>
      </c>
      <c r="H3247" s="10">
        <v>1</v>
      </c>
      <c r="I3247" s="10">
        <v>0</v>
      </c>
      <c r="J3247" s="10">
        <v>1</v>
      </c>
      <c r="K3247" s="10">
        <v>12</v>
      </c>
      <c r="L3247" s="10">
        <v>0</v>
      </c>
      <c r="M3247" s="10">
        <v>0</v>
      </c>
      <c r="N3247" s="10">
        <v>0</v>
      </c>
      <c r="O3247" s="10">
        <v>0</v>
      </c>
    </row>
    <row r="3248" spans="1:15" x14ac:dyDescent="0.2">
      <c r="A3248" s="10" t="s">
        <v>1404</v>
      </c>
      <c r="B3248" s="10" t="s">
        <v>1148</v>
      </c>
      <c r="C3248" s="10" t="s">
        <v>50</v>
      </c>
      <c r="D3248" s="10" t="s">
        <v>51</v>
      </c>
      <c r="E3248" s="10" t="s">
        <v>52</v>
      </c>
      <c r="F3248" s="10" t="s">
        <v>75</v>
      </c>
      <c r="G3248" s="10" t="b">
        <f>FALSE()</f>
        <v>0</v>
      </c>
      <c r="H3248" s="10">
        <v>1</v>
      </c>
      <c r="I3248" s="10">
        <v>0</v>
      </c>
      <c r="J3248" s="10">
        <v>1</v>
      </c>
      <c r="K3248" s="10">
        <v>25</v>
      </c>
      <c r="L3248" s="10">
        <v>0</v>
      </c>
      <c r="M3248" s="10">
        <v>0</v>
      </c>
      <c r="N3248" s="10">
        <v>0</v>
      </c>
      <c r="O3248" s="10">
        <v>0</v>
      </c>
    </row>
    <row r="3249" spans="1:15" x14ac:dyDescent="0.2">
      <c r="A3249" s="10" t="s">
        <v>1404</v>
      </c>
      <c r="B3249" s="10" t="s">
        <v>1148</v>
      </c>
      <c r="C3249" s="10" t="s">
        <v>50</v>
      </c>
      <c r="D3249" s="10" t="s">
        <v>51</v>
      </c>
      <c r="E3249" s="10" t="s">
        <v>52</v>
      </c>
      <c r="F3249" s="10" t="s">
        <v>1149</v>
      </c>
      <c r="G3249" s="10" t="b">
        <f>FALSE()</f>
        <v>0</v>
      </c>
      <c r="H3249" s="10">
        <v>1</v>
      </c>
      <c r="I3249" s="10">
        <v>0</v>
      </c>
      <c r="J3249" s="10">
        <v>1</v>
      </c>
      <c r="K3249" s="10">
        <v>16</v>
      </c>
      <c r="L3249" s="10">
        <v>0</v>
      </c>
      <c r="M3249" s="10">
        <v>0</v>
      </c>
      <c r="N3249" s="10">
        <v>0</v>
      </c>
      <c r="O3249" s="10">
        <v>0</v>
      </c>
    </row>
    <row r="3250" spans="1:15" x14ac:dyDescent="0.2">
      <c r="A3250" s="10" t="s">
        <v>1404</v>
      </c>
      <c r="B3250" s="10" t="s">
        <v>1148</v>
      </c>
      <c r="C3250" s="10" t="s">
        <v>50</v>
      </c>
      <c r="D3250" s="10" t="s">
        <v>51</v>
      </c>
      <c r="E3250" s="10" t="s">
        <v>52</v>
      </c>
      <c r="F3250" s="10" t="s">
        <v>834</v>
      </c>
      <c r="G3250" s="10" t="b">
        <f>FALSE()</f>
        <v>0</v>
      </c>
      <c r="H3250" s="10">
        <v>1</v>
      </c>
      <c r="I3250" s="10">
        <v>0</v>
      </c>
      <c r="J3250" s="10">
        <v>1</v>
      </c>
      <c r="K3250" s="10">
        <v>25</v>
      </c>
      <c r="L3250" s="10">
        <v>0</v>
      </c>
      <c r="M3250" s="10">
        <v>0</v>
      </c>
      <c r="N3250" s="10">
        <v>0</v>
      </c>
      <c r="O3250" s="10">
        <v>0</v>
      </c>
    </row>
    <row r="3251" spans="1:15" x14ac:dyDescent="0.2">
      <c r="A3251" s="10" t="s">
        <v>581</v>
      </c>
      <c r="B3251" s="10" t="s">
        <v>172</v>
      </c>
      <c r="C3251" s="10" t="s">
        <v>44</v>
      </c>
      <c r="D3251" s="10" t="s">
        <v>45</v>
      </c>
      <c r="E3251" s="10" t="s">
        <v>46</v>
      </c>
      <c r="F3251" s="10" t="s">
        <v>183</v>
      </c>
      <c r="G3251" s="10" t="b">
        <f>FALSE()</f>
        <v>0</v>
      </c>
      <c r="H3251" s="10">
        <v>1</v>
      </c>
      <c r="I3251" s="10">
        <v>0</v>
      </c>
      <c r="J3251" s="10">
        <v>1</v>
      </c>
      <c r="K3251" s="10">
        <v>50</v>
      </c>
      <c r="L3251" s="10">
        <v>0</v>
      </c>
      <c r="M3251" s="10">
        <v>0</v>
      </c>
      <c r="N3251" s="10">
        <v>0</v>
      </c>
      <c r="O3251" s="10">
        <v>0</v>
      </c>
    </row>
    <row r="3252" spans="1:15" x14ac:dyDescent="0.2">
      <c r="A3252" s="10" t="s">
        <v>781</v>
      </c>
      <c r="B3252" s="10" t="s">
        <v>146</v>
      </c>
      <c r="C3252" s="10" t="s">
        <v>105</v>
      </c>
      <c r="D3252" s="10" t="s">
        <v>45</v>
      </c>
      <c r="E3252" s="10" t="s">
        <v>46</v>
      </c>
      <c r="F3252" s="10" t="s">
        <v>251</v>
      </c>
      <c r="G3252" s="10" t="b">
        <f>FALSE()</f>
        <v>0</v>
      </c>
      <c r="H3252" s="10">
        <v>1</v>
      </c>
      <c r="I3252" s="10">
        <v>0</v>
      </c>
      <c r="J3252" s="10">
        <v>1</v>
      </c>
      <c r="K3252" s="10">
        <v>12</v>
      </c>
      <c r="L3252" s="10">
        <v>0</v>
      </c>
      <c r="M3252" s="10">
        <v>0</v>
      </c>
      <c r="N3252" s="10">
        <v>0</v>
      </c>
      <c r="O3252" s="10">
        <v>0</v>
      </c>
    </row>
    <row r="3253" spans="1:15" x14ac:dyDescent="0.2">
      <c r="A3253" s="10" t="s">
        <v>655</v>
      </c>
      <c r="B3253" s="10" t="s">
        <v>146</v>
      </c>
      <c r="C3253" s="10" t="s">
        <v>105</v>
      </c>
      <c r="D3253" s="10" t="s">
        <v>45</v>
      </c>
      <c r="E3253" s="10" t="s">
        <v>46</v>
      </c>
      <c r="F3253" s="10" t="s">
        <v>92</v>
      </c>
      <c r="G3253" s="10" t="b">
        <f>FALSE()</f>
        <v>0</v>
      </c>
      <c r="H3253" s="10">
        <v>1</v>
      </c>
      <c r="I3253" s="10">
        <v>0</v>
      </c>
      <c r="J3253" s="10">
        <v>1</v>
      </c>
      <c r="K3253" s="10">
        <v>25</v>
      </c>
      <c r="L3253" s="10">
        <v>0</v>
      </c>
      <c r="M3253" s="10">
        <v>0</v>
      </c>
      <c r="N3253" s="10">
        <v>0</v>
      </c>
      <c r="O3253" s="10">
        <v>0</v>
      </c>
    </row>
    <row r="3254" spans="1:15" x14ac:dyDescent="0.2">
      <c r="A3254" s="10" t="s">
        <v>753</v>
      </c>
      <c r="B3254" s="10" t="s">
        <v>262</v>
      </c>
      <c r="C3254" s="10" t="s">
        <v>105</v>
      </c>
      <c r="D3254" s="10" t="s">
        <v>45</v>
      </c>
      <c r="E3254" s="10" t="s">
        <v>46</v>
      </c>
      <c r="F3254" s="10" t="s">
        <v>74</v>
      </c>
      <c r="G3254" s="10" t="b">
        <f>FALSE()</f>
        <v>0</v>
      </c>
      <c r="H3254" s="10">
        <v>1</v>
      </c>
      <c r="I3254" s="10">
        <v>0</v>
      </c>
      <c r="J3254" s="10">
        <v>1</v>
      </c>
      <c r="K3254" s="10">
        <v>19</v>
      </c>
      <c r="L3254" s="10">
        <v>0</v>
      </c>
      <c r="M3254" s="10">
        <v>0</v>
      </c>
      <c r="N3254" s="10">
        <v>0</v>
      </c>
      <c r="O3254" s="10">
        <v>0</v>
      </c>
    </row>
    <row r="3255" spans="1:15" x14ac:dyDescent="0.2">
      <c r="A3255" s="10" t="s">
        <v>1405</v>
      </c>
      <c r="B3255" s="10" t="s">
        <v>104</v>
      </c>
      <c r="C3255" s="10" t="s">
        <v>105</v>
      </c>
      <c r="D3255" s="10" t="s">
        <v>45</v>
      </c>
      <c r="E3255" s="10" t="s">
        <v>46</v>
      </c>
      <c r="F3255" s="10" t="s">
        <v>183</v>
      </c>
      <c r="G3255" s="10" t="b">
        <f>FALSE()</f>
        <v>0</v>
      </c>
      <c r="H3255" s="10">
        <v>1</v>
      </c>
      <c r="I3255" s="10">
        <v>0</v>
      </c>
      <c r="J3255" s="10">
        <v>1</v>
      </c>
      <c r="K3255" s="10">
        <v>1</v>
      </c>
      <c r="L3255" s="10">
        <v>0</v>
      </c>
      <c r="M3255" s="10">
        <v>0</v>
      </c>
      <c r="N3255" s="10">
        <v>0</v>
      </c>
      <c r="O3255" s="10">
        <v>0</v>
      </c>
    </row>
    <row r="3256" spans="1:15" x14ac:dyDescent="0.2">
      <c r="A3256" s="10" t="s">
        <v>257</v>
      </c>
      <c r="B3256" s="10" t="s">
        <v>258</v>
      </c>
      <c r="C3256" s="10" t="s">
        <v>90</v>
      </c>
      <c r="D3256" s="10" t="s">
        <v>51</v>
      </c>
      <c r="E3256" s="10" t="s">
        <v>52</v>
      </c>
      <c r="F3256" s="10" t="s">
        <v>183</v>
      </c>
      <c r="G3256" s="10" t="b">
        <f>FALSE()</f>
        <v>0</v>
      </c>
      <c r="H3256" s="10">
        <v>1</v>
      </c>
      <c r="I3256" s="10">
        <v>0</v>
      </c>
      <c r="J3256" s="10">
        <v>1</v>
      </c>
      <c r="K3256" s="10">
        <v>25</v>
      </c>
      <c r="L3256" s="10">
        <v>0</v>
      </c>
      <c r="M3256" s="10">
        <v>0</v>
      </c>
      <c r="N3256" s="10">
        <v>0</v>
      </c>
      <c r="O3256" s="10">
        <v>0</v>
      </c>
    </row>
    <row r="3257" spans="1:15" x14ac:dyDescent="0.2">
      <c r="A3257" s="10" t="s">
        <v>507</v>
      </c>
      <c r="B3257" s="10" t="s">
        <v>508</v>
      </c>
      <c r="C3257" s="10" t="s">
        <v>90</v>
      </c>
      <c r="D3257" s="10" t="s">
        <v>51</v>
      </c>
      <c r="E3257" s="10" t="s">
        <v>52</v>
      </c>
      <c r="F3257" s="10" t="s">
        <v>183</v>
      </c>
      <c r="G3257" s="10" t="b">
        <f>FALSE()</f>
        <v>0</v>
      </c>
      <c r="H3257" s="10">
        <v>1</v>
      </c>
      <c r="I3257" s="10">
        <v>0</v>
      </c>
      <c r="J3257" s="10">
        <v>1</v>
      </c>
      <c r="K3257" s="10">
        <v>25</v>
      </c>
      <c r="L3257" s="10">
        <v>0</v>
      </c>
      <c r="M3257" s="10">
        <v>0</v>
      </c>
      <c r="N3257" s="10">
        <v>0</v>
      </c>
      <c r="O3257" s="10">
        <v>0</v>
      </c>
    </row>
    <row r="3258" spans="1:15" x14ac:dyDescent="0.2">
      <c r="A3258" s="10" t="s">
        <v>507</v>
      </c>
      <c r="B3258" s="10" t="s">
        <v>508</v>
      </c>
      <c r="C3258" s="10" t="s">
        <v>90</v>
      </c>
      <c r="D3258" s="10" t="s">
        <v>51</v>
      </c>
      <c r="E3258" s="10" t="s">
        <v>52</v>
      </c>
      <c r="F3258" s="10" t="s">
        <v>47</v>
      </c>
      <c r="G3258" s="10" t="b">
        <f>FALSE()</f>
        <v>0</v>
      </c>
      <c r="H3258" s="10">
        <v>1</v>
      </c>
      <c r="I3258" s="10">
        <v>0</v>
      </c>
      <c r="J3258" s="10">
        <v>1</v>
      </c>
      <c r="K3258" s="10">
        <v>29</v>
      </c>
      <c r="L3258" s="10">
        <v>0</v>
      </c>
      <c r="M3258" s="10">
        <v>0</v>
      </c>
      <c r="N3258" s="10">
        <v>0</v>
      </c>
      <c r="O3258" s="10">
        <v>0</v>
      </c>
    </row>
    <row r="3259" spans="1:15" x14ac:dyDescent="0.2">
      <c r="A3259" s="10" t="s">
        <v>629</v>
      </c>
      <c r="B3259" s="10" t="s">
        <v>96</v>
      </c>
      <c r="C3259" s="10" t="s">
        <v>50</v>
      </c>
      <c r="D3259" s="10" t="s">
        <v>51</v>
      </c>
      <c r="E3259" s="10" t="s">
        <v>52</v>
      </c>
      <c r="F3259" s="10" t="s">
        <v>660</v>
      </c>
      <c r="G3259" s="10" t="b">
        <f>FALSE()</f>
        <v>0</v>
      </c>
      <c r="H3259" s="10">
        <v>1</v>
      </c>
      <c r="I3259" s="10">
        <v>0</v>
      </c>
      <c r="J3259" s="10">
        <v>1</v>
      </c>
      <c r="K3259" s="10">
        <v>28</v>
      </c>
      <c r="L3259" s="10">
        <v>0</v>
      </c>
      <c r="M3259" s="10">
        <v>0</v>
      </c>
      <c r="N3259" s="10">
        <v>0</v>
      </c>
      <c r="O3259" s="10">
        <v>0</v>
      </c>
    </row>
    <row r="3260" spans="1:15" x14ac:dyDescent="0.2">
      <c r="A3260" s="10" t="s">
        <v>242</v>
      </c>
      <c r="B3260" s="10" t="s">
        <v>146</v>
      </c>
      <c r="C3260" s="10" t="s">
        <v>105</v>
      </c>
      <c r="D3260" s="10" t="s">
        <v>45</v>
      </c>
      <c r="E3260" s="10" t="s">
        <v>46</v>
      </c>
      <c r="F3260" s="10" t="s">
        <v>183</v>
      </c>
      <c r="G3260" s="10" t="b">
        <f>FALSE()</f>
        <v>0</v>
      </c>
      <c r="H3260" s="10">
        <v>1</v>
      </c>
      <c r="I3260" s="10">
        <v>0</v>
      </c>
      <c r="J3260" s="10">
        <v>1</v>
      </c>
      <c r="K3260" s="10">
        <v>25</v>
      </c>
      <c r="L3260" s="10">
        <v>0</v>
      </c>
      <c r="M3260" s="10">
        <v>0</v>
      </c>
      <c r="N3260" s="10">
        <v>0</v>
      </c>
      <c r="O3260" s="10">
        <v>0</v>
      </c>
    </row>
    <row r="3261" spans="1:15" x14ac:dyDescent="0.2">
      <c r="A3261" s="10" t="s">
        <v>242</v>
      </c>
      <c r="B3261" s="10" t="s">
        <v>146</v>
      </c>
      <c r="C3261" s="10" t="s">
        <v>105</v>
      </c>
      <c r="D3261" s="10" t="s">
        <v>45</v>
      </c>
      <c r="E3261" s="10" t="s">
        <v>46</v>
      </c>
      <c r="F3261" s="10" t="s">
        <v>1401</v>
      </c>
      <c r="G3261" s="10" t="b">
        <f>FALSE()</f>
        <v>0</v>
      </c>
      <c r="H3261" s="10">
        <v>1</v>
      </c>
      <c r="I3261" s="10">
        <v>0</v>
      </c>
      <c r="J3261" s="10">
        <v>1</v>
      </c>
      <c r="K3261" s="10">
        <v>25</v>
      </c>
      <c r="L3261" s="10">
        <v>0</v>
      </c>
      <c r="M3261" s="10">
        <v>0</v>
      </c>
      <c r="N3261" s="10">
        <v>0</v>
      </c>
      <c r="O3261" s="10">
        <v>0</v>
      </c>
    </row>
    <row r="3262" spans="1:15" x14ac:dyDescent="0.2">
      <c r="A3262" s="10" t="s">
        <v>143</v>
      </c>
      <c r="B3262" s="10" t="s">
        <v>55</v>
      </c>
      <c r="C3262" s="10" t="s">
        <v>56</v>
      </c>
      <c r="D3262" s="10" t="s">
        <v>45</v>
      </c>
      <c r="E3262" s="10" t="s">
        <v>46</v>
      </c>
      <c r="F3262" s="10" t="s">
        <v>640</v>
      </c>
      <c r="G3262" s="10" t="b">
        <f>FALSE()</f>
        <v>0</v>
      </c>
      <c r="H3262" s="10">
        <v>1</v>
      </c>
      <c r="I3262" s="10">
        <v>0</v>
      </c>
      <c r="J3262" s="10">
        <v>1</v>
      </c>
      <c r="K3262" s="10">
        <v>15</v>
      </c>
      <c r="L3262" s="10">
        <v>0</v>
      </c>
      <c r="M3262" s="10">
        <v>0</v>
      </c>
      <c r="N3262" s="10">
        <v>0</v>
      </c>
      <c r="O3262" s="10">
        <v>0</v>
      </c>
    </row>
    <row r="3263" spans="1:15" x14ac:dyDescent="0.2">
      <c r="A3263" s="10" t="s">
        <v>904</v>
      </c>
      <c r="B3263" s="10" t="s">
        <v>498</v>
      </c>
      <c r="C3263" s="10" t="s">
        <v>245</v>
      </c>
      <c r="D3263" s="10" t="s">
        <v>51</v>
      </c>
      <c r="E3263" s="10" t="s">
        <v>52</v>
      </c>
      <c r="F3263" s="10" t="s">
        <v>47</v>
      </c>
      <c r="G3263" s="10" t="b">
        <f>FALSE()</f>
        <v>0</v>
      </c>
      <c r="H3263" s="10">
        <v>1</v>
      </c>
      <c r="I3263" s="10">
        <v>0</v>
      </c>
      <c r="J3263" s="10">
        <v>1</v>
      </c>
      <c r="K3263" s="10">
        <v>27</v>
      </c>
      <c r="L3263" s="10">
        <v>0</v>
      </c>
      <c r="M3263" s="10">
        <v>0</v>
      </c>
      <c r="N3263" s="10">
        <v>0</v>
      </c>
      <c r="O3263" s="10">
        <v>0</v>
      </c>
    </row>
    <row r="3264" spans="1:15" x14ac:dyDescent="0.2">
      <c r="A3264" s="10" t="s">
        <v>356</v>
      </c>
      <c r="B3264" s="10" t="s">
        <v>72</v>
      </c>
      <c r="C3264" s="10" t="s">
        <v>73</v>
      </c>
      <c r="D3264" s="10" t="s">
        <v>45</v>
      </c>
      <c r="E3264" s="10" t="s">
        <v>46</v>
      </c>
      <c r="F3264" s="10" t="s">
        <v>61</v>
      </c>
      <c r="G3264" s="10" t="b">
        <f>FALSE()</f>
        <v>0</v>
      </c>
      <c r="H3264" s="10">
        <v>1</v>
      </c>
      <c r="I3264" s="10">
        <v>0</v>
      </c>
      <c r="J3264" s="10">
        <v>1</v>
      </c>
      <c r="K3264" s="10">
        <v>5</v>
      </c>
      <c r="L3264" s="10">
        <v>0</v>
      </c>
      <c r="M3264" s="10">
        <v>0</v>
      </c>
      <c r="N3264" s="10">
        <v>0</v>
      </c>
      <c r="O3264" s="10">
        <v>0</v>
      </c>
    </row>
    <row r="3265" spans="1:15" x14ac:dyDescent="0.2">
      <c r="A3265" s="10" t="s">
        <v>356</v>
      </c>
      <c r="B3265" s="10" t="s">
        <v>72</v>
      </c>
      <c r="C3265" s="10" t="s">
        <v>73</v>
      </c>
      <c r="D3265" s="10" t="s">
        <v>45</v>
      </c>
      <c r="E3265" s="10" t="s">
        <v>46</v>
      </c>
      <c r="F3265" s="10" t="s">
        <v>153</v>
      </c>
      <c r="G3265" s="10" t="b">
        <f>FALSE()</f>
        <v>0</v>
      </c>
      <c r="H3265" s="10">
        <v>1</v>
      </c>
      <c r="I3265" s="10">
        <v>0</v>
      </c>
      <c r="J3265" s="10">
        <v>0</v>
      </c>
      <c r="K3265" s="10">
        <v>0</v>
      </c>
      <c r="L3265" s="10">
        <v>0</v>
      </c>
      <c r="M3265" s="10">
        <v>0</v>
      </c>
      <c r="N3265" s="10">
        <v>0</v>
      </c>
      <c r="O3265" s="10">
        <v>0</v>
      </c>
    </row>
    <row r="3266" spans="1:15" x14ac:dyDescent="0.2">
      <c r="A3266" s="10" t="s">
        <v>356</v>
      </c>
      <c r="B3266" s="10" t="s">
        <v>72</v>
      </c>
      <c r="C3266" s="10" t="s">
        <v>73</v>
      </c>
      <c r="D3266" s="10" t="s">
        <v>45</v>
      </c>
      <c r="E3266" s="10" t="s">
        <v>46</v>
      </c>
      <c r="F3266" s="10" t="s">
        <v>660</v>
      </c>
      <c r="G3266" s="10" t="b">
        <f>FALSE()</f>
        <v>0</v>
      </c>
      <c r="H3266" s="10">
        <v>1</v>
      </c>
      <c r="I3266" s="10">
        <v>0</v>
      </c>
      <c r="J3266" s="10">
        <v>1</v>
      </c>
      <c r="K3266" s="10">
        <v>13</v>
      </c>
      <c r="L3266" s="10">
        <v>0</v>
      </c>
      <c r="M3266" s="10">
        <v>0</v>
      </c>
      <c r="N3266" s="10">
        <v>0</v>
      </c>
      <c r="O3266" s="10">
        <v>0</v>
      </c>
    </row>
    <row r="3267" spans="1:15" x14ac:dyDescent="0.2">
      <c r="A3267" s="10" t="s">
        <v>356</v>
      </c>
      <c r="B3267" s="10" t="s">
        <v>72</v>
      </c>
      <c r="C3267" s="10" t="s">
        <v>73</v>
      </c>
      <c r="D3267" s="10" t="s">
        <v>45</v>
      </c>
      <c r="E3267" s="10" t="s">
        <v>46</v>
      </c>
      <c r="F3267" s="10" t="s">
        <v>251</v>
      </c>
      <c r="G3267" s="10" t="b">
        <f>FALSE()</f>
        <v>0</v>
      </c>
      <c r="H3267" s="10">
        <v>1</v>
      </c>
      <c r="I3267" s="10">
        <v>0</v>
      </c>
      <c r="J3267" s="10">
        <v>1</v>
      </c>
      <c r="K3267" s="10">
        <v>7</v>
      </c>
      <c r="L3267" s="10">
        <v>0</v>
      </c>
      <c r="M3267" s="10">
        <v>0</v>
      </c>
      <c r="N3267" s="10">
        <v>0</v>
      </c>
      <c r="O3267" s="10">
        <v>0</v>
      </c>
    </row>
    <row r="3268" spans="1:15" x14ac:dyDescent="0.2">
      <c r="A3268" s="10" t="s">
        <v>684</v>
      </c>
      <c r="B3268" s="10" t="s">
        <v>633</v>
      </c>
      <c r="C3268" s="10" t="s">
        <v>90</v>
      </c>
      <c r="D3268" s="10" t="s">
        <v>51</v>
      </c>
      <c r="E3268" s="10" t="s">
        <v>52</v>
      </c>
      <c r="F3268" s="10" t="s">
        <v>61</v>
      </c>
      <c r="G3268" s="10" t="b">
        <f>FALSE()</f>
        <v>0</v>
      </c>
      <c r="H3268" s="10">
        <v>1</v>
      </c>
      <c r="I3268" s="10">
        <v>0</v>
      </c>
      <c r="J3268" s="10">
        <v>1</v>
      </c>
      <c r="K3268" s="10">
        <v>1</v>
      </c>
      <c r="L3268" s="10">
        <v>0</v>
      </c>
      <c r="M3268" s="10">
        <v>0</v>
      </c>
      <c r="N3268" s="10">
        <v>0</v>
      </c>
      <c r="O3268" s="10">
        <v>0</v>
      </c>
    </row>
    <row r="3269" spans="1:15" x14ac:dyDescent="0.2">
      <c r="A3269" s="10" t="s">
        <v>346</v>
      </c>
      <c r="B3269" s="10" t="s">
        <v>70</v>
      </c>
      <c r="C3269" s="10" t="s">
        <v>70</v>
      </c>
      <c r="D3269" s="10" t="s">
        <v>45</v>
      </c>
      <c r="E3269" s="10" t="s">
        <v>46</v>
      </c>
      <c r="F3269" s="10" t="s">
        <v>61</v>
      </c>
      <c r="G3269" s="10" t="b">
        <f>FALSE()</f>
        <v>0</v>
      </c>
      <c r="H3269" s="10">
        <v>1</v>
      </c>
      <c r="I3269" s="10">
        <v>0</v>
      </c>
      <c r="J3269" s="10">
        <v>1</v>
      </c>
      <c r="K3269" s="10">
        <v>3</v>
      </c>
      <c r="L3269" s="10">
        <v>0</v>
      </c>
      <c r="M3269" s="10">
        <v>0</v>
      </c>
      <c r="N3269" s="10">
        <v>0</v>
      </c>
      <c r="O3269" s="10">
        <v>0</v>
      </c>
    </row>
    <row r="3270" spans="1:15" x14ac:dyDescent="0.2">
      <c r="A3270" s="10" t="s">
        <v>1406</v>
      </c>
      <c r="B3270" s="10" t="s">
        <v>104</v>
      </c>
      <c r="C3270" s="10" t="s">
        <v>105</v>
      </c>
      <c r="D3270" s="10" t="s">
        <v>45</v>
      </c>
      <c r="E3270" s="10" t="s">
        <v>46</v>
      </c>
      <c r="F3270" s="10" t="s">
        <v>61</v>
      </c>
      <c r="G3270" s="10" t="b">
        <f>FALSE()</f>
        <v>0</v>
      </c>
      <c r="H3270" s="10">
        <v>1</v>
      </c>
      <c r="I3270" s="10">
        <v>0</v>
      </c>
      <c r="J3270" s="10">
        <v>1</v>
      </c>
      <c r="K3270" s="10">
        <v>26</v>
      </c>
      <c r="L3270" s="10">
        <v>0</v>
      </c>
      <c r="M3270" s="10">
        <v>0</v>
      </c>
      <c r="N3270" s="10">
        <v>0</v>
      </c>
      <c r="O3270" s="10">
        <v>0</v>
      </c>
    </row>
    <row r="3271" spans="1:15" x14ac:dyDescent="0.2">
      <c r="A3271" s="10" t="s">
        <v>987</v>
      </c>
      <c r="B3271" s="10" t="s">
        <v>122</v>
      </c>
      <c r="C3271" s="10" t="s">
        <v>112</v>
      </c>
      <c r="D3271" s="10" t="s">
        <v>51</v>
      </c>
      <c r="E3271" s="10" t="s">
        <v>52</v>
      </c>
      <c r="F3271" s="10" t="s">
        <v>61</v>
      </c>
      <c r="G3271" s="10" t="b">
        <f>FALSE()</f>
        <v>0</v>
      </c>
      <c r="H3271" s="10">
        <v>1</v>
      </c>
      <c r="I3271" s="10">
        <v>0</v>
      </c>
      <c r="J3271" s="10">
        <v>1</v>
      </c>
      <c r="K3271" s="10">
        <v>8</v>
      </c>
      <c r="L3271" s="10">
        <v>0</v>
      </c>
      <c r="M3271" s="10">
        <v>0</v>
      </c>
      <c r="N3271" s="10">
        <v>0</v>
      </c>
      <c r="O3271" s="10">
        <v>0</v>
      </c>
    </row>
    <row r="3272" spans="1:15" x14ac:dyDescent="0.2">
      <c r="A3272" s="10" t="s">
        <v>342</v>
      </c>
      <c r="B3272" s="10" t="s">
        <v>70</v>
      </c>
      <c r="C3272" s="10" t="s">
        <v>70</v>
      </c>
      <c r="D3272" s="10" t="s">
        <v>45</v>
      </c>
      <c r="E3272" s="10" t="s">
        <v>46</v>
      </c>
      <c r="F3272" s="10" t="s">
        <v>92</v>
      </c>
      <c r="G3272" s="10" t="b">
        <f>FALSE()</f>
        <v>0</v>
      </c>
      <c r="H3272" s="10">
        <v>1</v>
      </c>
      <c r="I3272" s="10">
        <v>0</v>
      </c>
      <c r="J3272" s="10">
        <v>1</v>
      </c>
      <c r="K3272" s="10">
        <v>39</v>
      </c>
      <c r="L3272" s="10">
        <v>0</v>
      </c>
      <c r="M3272" s="10">
        <v>0</v>
      </c>
      <c r="N3272" s="10">
        <v>0</v>
      </c>
      <c r="O3272" s="10">
        <v>0</v>
      </c>
    </row>
    <row r="3273" spans="1:15" x14ac:dyDescent="0.2">
      <c r="A3273" s="10" t="s">
        <v>665</v>
      </c>
      <c r="B3273" s="10" t="s">
        <v>384</v>
      </c>
      <c r="C3273" s="10" t="s">
        <v>50</v>
      </c>
      <c r="D3273" s="10" t="s">
        <v>51</v>
      </c>
      <c r="E3273" s="10" t="s">
        <v>52</v>
      </c>
      <c r="F3273" s="10" t="s">
        <v>61</v>
      </c>
      <c r="G3273" s="10" t="b">
        <f>FALSE()</f>
        <v>0</v>
      </c>
      <c r="H3273" s="10">
        <v>1</v>
      </c>
      <c r="I3273" s="10">
        <v>0</v>
      </c>
      <c r="J3273" s="10">
        <v>1</v>
      </c>
      <c r="K3273" s="10">
        <v>25</v>
      </c>
      <c r="L3273" s="10">
        <v>0</v>
      </c>
      <c r="M3273" s="10">
        <v>0</v>
      </c>
      <c r="N3273" s="10">
        <v>0</v>
      </c>
      <c r="O3273" s="10">
        <v>0</v>
      </c>
    </row>
    <row r="3274" spans="1:15" x14ac:dyDescent="0.2">
      <c r="A3274" s="10" t="s">
        <v>665</v>
      </c>
      <c r="B3274" s="10" t="s">
        <v>384</v>
      </c>
      <c r="C3274" s="10" t="s">
        <v>50</v>
      </c>
      <c r="D3274" s="10" t="s">
        <v>51</v>
      </c>
      <c r="E3274" s="10" t="s">
        <v>52</v>
      </c>
      <c r="F3274" s="10" t="s">
        <v>107</v>
      </c>
      <c r="G3274" s="10" t="b">
        <f>FALSE()</f>
        <v>0</v>
      </c>
      <c r="H3274" s="10">
        <v>1</v>
      </c>
      <c r="I3274" s="10">
        <v>0</v>
      </c>
      <c r="J3274" s="10">
        <v>1</v>
      </c>
      <c r="K3274" s="10">
        <v>25</v>
      </c>
      <c r="L3274" s="10">
        <v>0</v>
      </c>
      <c r="M3274" s="10">
        <v>0</v>
      </c>
      <c r="N3274" s="10">
        <v>0</v>
      </c>
      <c r="O3274" s="10">
        <v>0</v>
      </c>
    </row>
    <row r="3275" spans="1:15" x14ac:dyDescent="0.2">
      <c r="A3275" s="10" t="s">
        <v>564</v>
      </c>
      <c r="B3275" s="10" t="s">
        <v>562</v>
      </c>
      <c r="C3275" s="10" t="s">
        <v>245</v>
      </c>
      <c r="D3275" s="10" t="s">
        <v>51</v>
      </c>
      <c r="E3275" s="10" t="s">
        <v>52</v>
      </c>
      <c r="F3275" s="10" t="s">
        <v>180</v>
      </c>
      <c r="G3275" s="10" t="b">
        <f>FALSE()</f>
        <v>0</v>
      </c>
      <c r="H3275" s="10">
        <v>1</v>
      </c>
      <c r="I3275" s="10">
        <v>0</v>
      </c>
      <c r="J3275" s="10">
        <v>1</v>
      </c>
      <c r="K3275" s="10">
        <v>20</v>
      </c>
      <c r="L3275" s="10">
        <v>0</v>
      </c>
      <c r="M3275" s="10">
        <v>0</v>
      </c>
      <c r="N3275" s="10">
        <v>0</v>
      </c>
      <c r="O3275" s="10">
        <v>0</v>
      </c>
    </row>
    <row r="3276" spans="1:15" x14ac:dyDescent="0.2">
      <c r="A3276" s="10" t="s">
        <v>848</v>
      </c>
      <c r="B3276" s="10" t="s">
        <v>419</v>
      </c>
      <c r="C3276" s="10" t="s">
        <v>50</v>
      </c>
      <c r="D3276" s="10" t="s">
        <v>51</v>
      </c>
      <c r="E3276" s="10" t="s">
        <v>52</v>
      </c>
      <c r="F3276" s="10" t="s">
        <v>61</v>
      </c>
      <c r="G3276" s="10" t="b">
        <f>FALSE()</f>
        <v>0</v>
      </c>
      <c r="H3276" s="10">
        <v>1</v>
      </c>
      <c r="I3276" s="10">
        <v>0</v>
      </c>
      <c r="J3276" s="10">
        <v>1</v>
      </c>
      <c r="K3276" s="10">
        <v>36</v>
      </c>
      <c r="L3276" s="10">
        <v>0</v>
      </c>
      <c r="M3276" s="10">
        <v>0</v>
      </c>
      <c r="N3276" s="10">
        <v>0</v>
      </c>
      <c r="O3276" s="10">
        <v>0</v>
      </c>
    </row>
    <row r="3277" spans="1:15" x14ac:dyDescent="0.2">
      <c r="A3277" s="10" t="s">
        <v>848</v>
      </c>
      <c r="B3277" s="10" t="s">
        <v>419</v>
      </c>
      <c r="C3277" s="10" t="s">
        <v>50</v>
      </c>
      <c r="D3277" s="10" t="s">
        <v>51</v>
      </c>
      <c r="E3277" s="10" t="s">
        <v>52</v>
      </c>
      <c r="F3277" s="10" t="s">
        <v>153</v>
      </c>
      <c r="G3277" s="10" t="b">
        <f>FALSE()</f>
        <v>0</v>
      </c>
      <c r="H3277" s="10">
        <v>1</v>
      </c>
      <c r="I3277" s="10">
        <v>0</v>
      </c>
      <c r="J3277" s="10">
        <v>1</v>
      </c>
      <c r="K3277" s="10">
        <v>18</v>
      </c>
      <c r="L3277" s="10">
        <v>0</v>
      </c>
      <c r="M3277" s="10">
        <v>0</v>
      </c>
      <c r="N3277" s="10">
        <v>0</v>
      </c>
      <c r="O3277" s="10">
        <v>0</v>
      </c>
    </row>
    <row r="3278" spans="1:15" x14ac:dyDescent="0.2">
      <c r="A3278" s="10" t="s">
        <v>848</v>
      </c>
      <c r="B3278" s="10" t="s">
        <v>419</v>
      </c>
      <c r="C3278" s="10" t="s">
        <v>50</v>
      </c>
      <c r="D3278" s="10" t="s">
        <v>51</v>
      </c>
      <c r="E3278" s="10" t="s">
        <v>52</v>
      </c>
      <c r="F3278" s="10" t="s">
        <v>251</v>
      </c>
      <c r="G3278" s="10" t="b">
        <f>FALSE()</f>
        <v>0</v>
      </c>
      <c r="H3278" s="10">
        <v>1</v>
      </c>
      <c r="I3278" s="10">
        <v>0</v>
      </c>
      <c r="J3278" s="10">
        <v>1</v>
      </c>
      <c r="K3278" s="10">
        <v>20</v>
      </c>
      <c r="L3278" s="10">
        <v>0</v>
      </c>
      <c r="M3278" s="10">
        <v>0</v>
      </c>
      <c r="N3278" s="10">
        <v>0</v>
      </c>
      <c r="O3278" s="10">
        <v>0</v>
      </c>
    </row>
    <row r="3279" spans="1:15" x14ac:dyDescent="0.2">
      <c r="A3279" s="10" t="s">
        <v>804</v>
      </c>
      <c r="B3279" s="10" t="s">
        <v>111</v>
      </c>
      <c r="C3279" s="10" t="s">
        <v>112</v>
      </c>
      <c r="D3279" s="10" t="s">
        <v>51</v>
      </c>
      <c r="E3279" s="10" t="s">
        <v>52</v>
      </c>
      <c r="F3279" s="10" t="s">
        <v>251</v>
      </c>
      <c r="G3279" s="10" t="b">
        <f>FALSE()</f>
        <v>0</v>
      </c>
      <c r="H3279" s="10">
        <v>1</v>
      </c>
      <c r="I3279" s="10">
        <v>0</v>
      </c>
      <c r="J3279" s="10">
        <v>1</v>
      </c>
      <c r="K3279" s="10">
        <v>18</v>
      </c>
      <c r="L3279" s="10">
        <v>0</v>
      </c>
      <c r="M3279" s="10">
        <v>0</v>
      </c>
      <c r="N3279" s="10">
        <v>0</v>
      </c>
      <c r="O3279" s="10">
        <v>0</v>
      </c>
    </row>
    <row r="3280" spans="1:15" x14ac:dyDescent="0.2">
      <c r="A3280" s="10" t="s">
        <v>307</v>
      </c>
      <c r="B3280" s="10" t="s">
        <v>72</v>
      </c>
      <c r="C3280" s="10" t="s">
        <v>73</v>
      </c>
      <c r="D3280" s="10" t="s">
        <v>45</v>
      </c>
      <c r="E3280" s="10" t="s">
        <v>46</v>
      </c>
      <c r="F3280" s="10" t="s">
        <v>53</v>
      </c>
      <c r="G3280" s="10" t="b">
        <f>FALSE()</f>
        <v>0</v>
      </c>
      <c r="H3280" s="10">
        <v>1</v>
      </c>
      <c r="I3280" s="10">
        <v>0</v>
      </c>
      <c r="J3280" s="10">
        <v>1</v>
      </c>
      <c r="K3280" s="10">
        <v>25</v>
      </c>
      <c r="L3280" s="10">
        <v>0</v>
      </c>
      <c r="M3280" s="10">
        <v>0</v>
      </c>
      <c r="N3280" s="10">
        <v>0</v>
      </c>
      <c r="O3280" s="10">
        <v>0</v>
      </c>
    </row>
    <row r="3281" spans="1:15" x14ac:dyDescent="0.2">
      <c r="A3281" s="10" t="s">
        <v>307</v>
      </c>
      <c r="B3281" s="10" t="s">
        <v>72</v>
      </c>
      <c r="C3281" s="10" t="s">
        <v>73</v>
      </c>
      <c r="D3281" s="10" t="s">
        <v>45</v>
      </c>
      <c r="E3281" s="10" t="s">
        <v>46</v>
      </c>
      <c r="F3281" s="10" t="s">
        <v>79</v>
      </c>
      <c r="G3281" s="10" t="b">
        <f>FALSE()</f>
        <v>0</v>
      </c>
      <c r="H3281" s="10">
        <v>1</v>
      </c>
      <c r="I3281" s="10">
        <v>0</v>
      </c>
      <c r="J3281" s="10">
        <v>1</v>
      </c>
      <c r="K3281" s="10">
        <v>25</v>
      </c>
      <c r="L3281" s="10">
        <v>0</v>
      </c>
      <c r="M3281" s="10">
        <v>0</v>
      </c>
      <c r="N3281" s="10">
        <v>0</v>
      </c>
      <c r="O3281" s="10">
        <v>0</v>
      </c>
    </row>
    <row r="3282" spans="1:15" x14ac:dyDescent="0.2">
      <c r="A3282" s="10" t="s">
        <v>314</v>
      </c>
      <c r="B3282" s="10" t="s">
        <v>72</v>
      </c>
      <c r="C3282" s="10" t="s">
        <v>73</v>
      </c>
      <c r="D3282" s="10" t="s">
        <v>45</v>
      </c>
      <c r="E3282" s="10" t="s">
        <v>46</v>
      </c>
      <c r="F3282" s="10" t="s">
        <v>660</v>
      </c>
      <c r="G3282" s="10" t="b">
        <f>FALSE()</f>
        <v>0</v>
      </c>
      <c r="H3282" s="10">
        <v>1</v>
      </c>
      <c r="I3282" s="10">
        <v>0</v>
      </c>
      <c r="J3282" s="10">
        <v>1</v>
      </c>
      <c r="K3282" s="10">
        <v>19</v>
      </c>
      <c r="L3282" s="10">
        <v>0</v>
      </c>
      <c r="M3282" s="10">
        <v>0</v>
      </c>
      <c r="N3282" s="10">
        <v>0</v>
      </c>
      <c r="O3282" s="10">
        <v>0</v>
      </c>
    </row>
    <row r="3283" spans="1:15" x14ac:dyDescent="0.2">
      <c r="A3283" s="10" t="s">
        <v>1407</v>
      </c>
      <c r="B3283" s="10" t="s">
        <v>146</v>
      </c>
      <c r="C3283" s="10" t="s">
        <v>105</v>
      </c>
      <c r="D3283" s="10" t="s">
        <v>45</v>
      </c>
      <c r="E3283" s="10" t="s">
        <v>46</v>
      </c>
      <c r="F3283" s="10" t="s">
        <v>123</v>
      </c>
      <c r="G3283" s="10" t="b">
        <f>FALSE()</f>
        <v>0</v>
      </c>
      <c r="H3283" s="10">
        <v>1</v>
      </c>
      <c r="I3283" s="10">
        <v>0</v>
      </c>
      <c r="J3283" s="10">
        <v>1</v>
      </c>
      <c r="K3283" s="10">
        <v>1</v>
      </c>
      <c r="L3283" s="10">
        <v>0</v>
      </c>
      <c r="M3283" s="10">
        <v>0</v>
      </c>
      <c r="N3283" s="10">
        <v>0</v>
      </c>
      <c r="O3283" s="10">
        <v>0</v>
      </c>
    </row>
    <row r="3284" spans="1:15" x14ac:dyDescent="0.2">
      <c r="A3284" s="10" t="s">
        <v>1408</v>
      </c>
      <c r="B3284" s="10" t="s">
        <v>72</v>
      </c>
      <c r="C3284" s="10" t="s">
        <v>73</v>
      </c>
      <c r="D3284" s="10" t="s">
        <v>45</v>
      </c>
      <c r="E3284" s="10" t="s">
        <v>46</v>
      </c>
      <c r="F3284" s="10" t="s">
        <v>94</v>
      </c>
      <c r="G3284" s="10" t="b">
        <f>FALSE()</f>
        <v>0</v>
      </c>
      <c r="H3284" s="10">
        <v>1</v>
      </c>
      <c r="I3284" s="10">
        <v>0</v>
      </c>
      <c r="J3284" s="10">
        <v>0</v>
      </c>
      <c r="K3284" s="10">
        <v>0</v>
      </c>
      <c r="L3284" s="10">
        <v>0</v>
      </c>
      <c r="M3284" s="10">
        <v>0</v>
      </c>
      <c r="N3284" s="10">
        <v>0</v>
      </c>
      <c r="O3284" s="10">
        <v>0</v>
      </c>
    </row>
    <row r="3285" spans="1:15" x14ac:dyDescent="0.2">
      <c r="A3285" s="10" t="s">
        <v>499</v>
      </c>
      <c r="B3285" s="10" t="s">
        <v>500</v>
      </c>
      <c r="C3285" s="10" t="s">
        <v>50</v>
      </c>
      <c r="D3285" s="10" t="s">
        <v>51</v>
      </c>
      <c r="E3285" s="10" t="s">
        <v>52</v>
      </c>
      <c r="F3285" s="10" t="s">
        <v>79</v>
      </c>
      <c r="G3285" s="10" t="b">
        <f>FALSE()</f>
        <v>0</v>
      </c>
      <c r="H3285" s="10">
        <v>1</v>
      </c>
      <c r="I3285" s="10">
        <v>0</v>
      </c>
      <c r="J3285" s="10">
        <v>1</v>
      </c>
      <c r="K3285" s="10">
        <v>51</v>
      </c>
      <c r="L3285" s="10">
        <v>0</v>
      </c>
      <c r="M3285" s="10">
        <v>0</v>
      </c>
      <c r="N3285" s="10">
        <v>0</v>
      </c>
      <c r="O3285" s="10">
        <v>0</v>
      </c>
    </row>
    <row r="3286" spans="1:15" x14ac:dyDescent="0.2">
      <c r="A3286" s="10" t="s">
        <v>1409</v>
      </c>
      <c r="B3286" s="10" t="s">
        <v>671</v>
      </c>
      <c r="C3286" s="10" t="s">
        <v>117</v>
      </c>
      <c r="D3286" s="10" t="s">
        <v>51</v>
      </c>
      <c r="E3286" s="10" t="s">
        <v>52</v>
      </c>
      <c r="F3286" s="10" t="s">
        <v>94</v>
      </c>
      <c r="G3286" s="10" t="b">
        <f>FALSE()</f>
        <v>0</v>
      </c>
      <c r="H3286" s="10">
        <v>1</v>
      </c>
      <c r="I3286" s="10">
        <v>0</v>
      </c>
      <c r="J3286" s="10">
        <v>1</v>
      </c>
      <c r="K3286" s="10">
        <v>8</v>
      </c>
      <c r="L3286" s="10">
        <v>0</v>
      </c>
      <c r="M3286" s="10">
        <v>0</v>
      </c>
      <c r="N3286" s="10">
        <v>0</v>
      </c>
      <c r="O3286" s="10">
        <v>0</v>
      </c>
    </row>
    <row r="3287" spans="1:15" x14ac:dyDescent="0.2">
      <c r="A3287" s="10" t="s">
        <v>1410</v>
      </c>
      <c r="B3287" s="10" t="s">
        <v>285</v>
      </c>
      <c r="C3287" s="10" t="s">
        <v>105</v>
      </c>
      <c r="D3287" s="10" t="s">
        <v>45</v>
      </c>
      <c r="E3287" s="10" t="s">
        <v>46</v>
      </c>
      <c r="F3287" s="10" t="s">
        <v>94</v>
      </c>
      <c r="G3287" s="10" t="b">
        <f>FALSE()</f>
        <v>0</v>
      </c>
      <c r="H3287" s="10">
        <v>1</v>
      </c>
      <c r="I3287" s="10">
        <v>0</v>
      </c>
      <c r="J3287" s="10">
        <v>1</v>
      </c>
      <c r="K3287" s="10">
        <v>11</v>
      </c>
      <c r="L3287" s="10">
        <v>0</v>
      </c>
      <c r="M3287" s="10">
        <v>0</v>
      </c>
      <c r="N3287" s="10">
        <v>0</v>
      </c>
      <c r="O3287" s="10">
        <v>0</v>
      </c>
    </row>
    <row r="3288" spans="1:15" x14ac:dyDescent="0.2">
      <c r="A3288" s="10" t="s">
        <v>961</v>
      </c>
      <c r="B3288" s="10" t="s">
        <v>70</v>
      </c>
      <c r="C3288" s="10" t="s">
        <v>70</v>
      </c>
      <c r="D3288" s="10" t="s">
        <v>45</v>
      </c>
      <c r="E3288" s="10" t="s">
        <v>46</v>
      </c>
      <c r="F3288" s="10" t="s">
        <v>183</v>
      </c>
      <c r="G3288" s="10" t="b">
        <f>FALSE()</f>
        <v>0</v>
      </c>
      <c r="H3288" s="10">
        <v>0</v>
      </c>
      <c r="I3288" s="10">
        <v>1</v>
      </c>
      <c r="J3288" s="10">
        <v>0</v>
      </c>
      <c r="K3288" s="10">
        <v>0</v>
      </c>
      <c r="L3288" s="10">
        <v>0</v>
      </c>
      <c r="M3288" s="10">
        <v>1</v>
      </c>
      <c r="N3288" s="10">
        <v>20</v>
      </c>
      <c r="O3288" s="10">
        <v>0</v>
      </c>
    </row>
    <row r="3289" spans="1:15" x14ac:dyDescent="0.2">
      <c r="A3289" s="10" t="s">
        <v>361</v>
      </c>
      <c r="B3289" s="10" t="s">
        <v>1411</v>
      </c>
      <c r="C3289" s="10" t="s">
        <v>117</v>
      </c>
      <c r="D3289" s="10" t="s">
        <v>51</v>
      </c>
      <c r="E3289" s="10" t="s">
        <v>52</v>
      </c>
      <c r="F3289" s="10" t="s">
        <v>155</v>
      </c>
      <c r="G3289" s="10" t="b">
        <f>TRUE()</f>
        <v>1</v>
      </c>
      <c r="H3289" s="10">
        <v>1</v>
      </c>
      <c r="I3289" s="10">
        <v>0</v>
      </c>
      <c r="J3289" s="10">
        <v>1</v>
      </c>
      <c r="K3289" s="10">
        <v>20</v>
      </c>
      <c r="L3289" s="10">
        <v>0</v>
      </c>
      <c r="M3289" s="10">
        <v>0</v>
      </c>
      <c r="N3289" s="10">
        <v>0</v>
      </c>
      <c r="O3289" s="10">
        <v>0</v>
      </c>
    </row>
    <row r="3290" spans="1:15" x14ac:dyDescent="0.2">
      <c r="A3290" s="10" t="s">
        <v>464</v>
      </c>
      <c r="B3290" s="10" t="s">
        <v>104</v>
      </c>
      <c r="C3290" s="10" t="s">
        <v>105</v>
      </c>
      <c r="D3290" s="10" t="s">
        <v>45</v>
      </c>
      <c r="E3290" s="10" t="s">
        <v>46</v>
      </c>
      <c r="F3290" s="10" t="s">
        <v>47</v>
      </c>
      <c r="G3290" s="10" t="b">
        <f>FALSE()</f>
        <v>0</v>
      </c>
      <c r="H3290" s="10">
        <v>1</v>
      </c>
      <c r="I3290" s="10">
        <v>0</v>
      </c>
      <c r="J3290" s="10">
        <v>1</v>
      </c>
      <c r="K3290" s="10">
        <v>25</v>
      </c>
      <c r="L3290" s="10">
        <v>0</v>
      </c>
      <c r="M3290" s="10">
        <v>0</v>
      </c>
      <c r="N3290" s="10">
        <v>0</v>
      </c>
      <c r="O3290" s="10">
        <v>0</v>
      </c>
    </row>
    <row r="3291" spans="1:15" x14ac:dyDescent="0.2">
      <c r="A3291" s="10" t="s">
        <v>370</v>
      </c>
      <c r="B3291" s="10" t="s">
        <v>178</v>
      </c>
      <c r="C3291" s="10" t="s">
        <v>73</v>
      </c>
      <c r="D3291" s="10" t="s">
        <v>45</v>
      </c>
      <c r="E3291" s="10" t="s">
        <v>46</v>
      </c>
      <c r="F3291" s="10" t="s">
        <v>53</v>
      </c>
      <c r="G3291" s="10" t="b">
        <f>FALSE()</f>
        <v>0</v>
      </c>
      <c r="H3291" s="10">
        <v>1</v>
      </c>
      <c r="I3291" s="10">
        <v>0</v>
      </c>
      <c r="J3291" s="10">
        <v>2</v>
      </c>
      <c r="K3291" s="10">
        <v>127</v>
      </c>
      <c r="L3291" s="10">
        <v>0</v>
      </c>
      <c r="M3291" s="10">
        <v>0</v>
      </c>
      <c r="N3291" s="10">
        <v>0</v>
      </c>
      <c r="O3291" s="10">
        <v>0</v>
      </c>
    </row>
    <row r="3292" spans="1:15" x14ac:dyDescent="0.2">
      <c r="A3292" s="10" t="s">
        <v>1412</v>
      </c>
      <c r="B3292" s="10" t="s">
        <v>128</v>
      </c>
      <c r="C3292" s="10" t="s">
        <v>50</v>
      </c>
      <c r="D3292" s="10" t="s">
        <v>51</v>
      </c>
      <c r="E3292" s="10" t="s">
        <v>52</v>
      </c>
      <c r="F3292" s="10" t="s">
        <v>47</v>
      </c>
      <c r="G3292" s="10" t="b">
        <f>FALSE()</f>
        <v>0</v>
      </c>
      <c r="H3292" s="10">
        <v>1</v>
      </c>
      <c r="I3292" s="10">
        <v>0</v>
      </c>
      <c r="J3292" s="10">
        <v>1</v>
      </c>
      <c r="K3292" s="10">
        <v>34</v>
      </c>
      <c r="L3292" s="10">
        <v>0</v>
      </c>
      <c r="M3292" s="10">
        <v>0</v>
      </c>
      <c r="N3292" s="10">
        <v>0</v>
      </c>
      <c r="O3292" s="10">
        <v>0</v>
      </c>
    </row>
    <row r="3293" spans="1:15" x14ac:dyDescent="0.2">
      <c r="A3293" s="10" t="s">
        <v>634</v>
      </c>
      <c r="B3293" s="10" t="s">
        <v>321</v>
      </c>
      <c r="C3293" s="10" t="s">
        <v>245</v>
      </c>
      <c r="D3293" s="10" t="s">
        <v>51</v>
      </c>
      <c r="E3293" s="10" t="s">
        <v>52</v>
      </c>
      <c r="F3293" s="10" t="s">
        <v>47</v>
      </c>
      <c r="G3293" s="10" t="b">
        <f>FALSE()</f>
        <v>0</v>
      </c>
      <c r="H3293" s="10">
        <v>1</v>
      </c>
      <c r="I3293" s="10">
        <v>0</v>
      </c>
      <c r="J3293" s="10">
        <v>1</v>
      </c>
      <c r="K3293" s="10">
        <v>12</v>
      </c>
      <c r="L3293" s="10">
        <v>0</v>
      </c>
      <c r="M3293" s="10">
        <v>0</v>
      </c>
      <c r="N3293" s="10">
        <v>0</v>
      </c>
      <c r="O3293" s="10">
        <v>0</v>
      </c>
    </row>
    <row r="3294" spans="1:15" x14ac:dyDescent="0.2">
      <c r="A3294" s="10" t="s">
        <v>589</v>
      </c>
      <c r="B3294" s="10" t="s">
        <v>160</v>
      </c>
      <c r="C3294" s="10" t="s">
        <v>56</v>
      </c>
      <c r="D3294" s="10" t="s">
        <v>45</v>
      </c>
      <c r="E3294" s="10" t="s">
        <v>46</v>
      </c>
      <c r="F3294" s="10" t="s">
        <v>53</v>
      </c>
      <c r="G3294" s="10" t="b">
        <f>FALSE()</f>
        <v>0</v>
      </c>
      <c r="H3294" s="10">
        <v>1</v>
      </c>
      <c r="I3294" s="10">
        <v>0</v>
      </c>
      <c r="J3294" s="10">
        <v>1</v>
      </c>
      <c r="K3294" s="10">
        <v>25</v>
      </c>
      <c r="L3294" s="10">
        <v>0</v>
      </c>
      <c r="M3294" s="10">
        <v>0</v>
      </c>
      <c r="N3294" s="10">
        <v>0</v>
      </c>
      <c r="O3294" s="10">
        <v>0</v>
      </c>
    </row>
    <row r="3295" spans="1:15" x14ac:dyDescent="0.2">
      <c r="A3295" s="10" t="s">
        <v>179</v>
      </c>
      <c r="B3295" s="10" t="s">
        <v>55</v>
      </c>
      <c r="C3295" s="10" t="s">
        <v>56</v>
      </c>
      <c r="D3295" s="10" t="s">
        <v>45</v>
      </c>
      <c r="E3295" s="10" t="s">
        <v>46</v>
      </c>
      <c r="F3295" s="10" t="s">
        <v>1370</v>
      </c>
      <c r="G3295" s="10" t="b">
        <f>FALSE()</f>
        <v>0</v>
      </c>
      <c r="H3295" s="10">
        <v>0</v>
      </c>
      <c r="I3295" s="10">
        <v>1</v>
      </c>
      <c r="J3295" s="10">
        <v>0</v>
      </c>
      <c r="K3295" s="10">
        <v>0</v>
      </c>
      <c r="L3295" s="10">
        <v>0</v>
      </c>
      <c r="M3295" s="10">
        <v>1</v>
      </c>
      <c r="N3295" s="10">
        <v>58</v>
      </c>
      <c r="O3295" s="10">
        <v>0</v>
      </c>
    </row>
    <row r="3296" spans="1:15" x14ac:dyDescent="0.2">
      <c r="A3296" s="10" t="s">
        <v>1413</v>
      </c>
      <c r="B3296" s="10" t="s">
        <v>43</v>
      </c>
      <c r="C3296" s="10" t="s">
        <v>44</v>
      </c>
      <c r="D3296" s="10" t="s">
        <v>45</v>
      </c>
      <c r="E3296" s="10" t="s">
        <v>46</v>
      </c>
      <c r="F3296" s="10" t="s">
        <v>92</v>
      </c>
      <c r="G3296" s="10" t="b">
        <f>FALSE()</f>
        <v>0</v>
      </c>
      <c r="H3296" s="10">
        <v>1</v>
      </c>
      <c r="I3296" s="10">
        <v>0</v>
      </c>
      <c r="J3296" s="10">
        <v>0</v>
      </c>
      <c r="K3296" s="10">
        <v>0</v>
      </c>
      <c r="L3296" s="10">
        <v>0</v>
      </c>
      <c r="M3296" s="10">
        <v>0</v>
      </c>
      <c r="N3296" s="10">
        <v>0</v>
      </c>
      <c r="O3296" s="10">
        <v>0</v>
      </c>
    </row>
    <row r="3297" spans="1:15" x14ac:dyDescent="0.2">
      <c r="A3297" s="10" t="s">
        <v>1414</v>
      </c>
      <c r="B3297" s="10" t="s">
        <v>89</v>
      </c>
      <c r="C3297" s="10" t="s">
        <v>90</v>
      </c>
      <c r="D3297" s="10" t="s">
        <v>51</v>
      </c>
      <c r="E3297" s="10" t="s">
        <v>52</v>
      </c>
      <c r="F3297" s="10" t="s">
        <v>92</v>
      </c>
      <c r="G3297" s="10" t="b">
        <f>FALSE()</f>
        <v>0</v>
      </c>
      <c r="H3297" s="10">
        <v>1</v>
      </c>
      <c r="I3297" s="10">
        <v>0</v>
      </c>
      <c r="J3297" s="10">
        <v>1</v>
      </c>
      <c r="K3297" s="10">
        <v>103</v>
      </c>
      <c r="L3297" s="10">
        <v>0</v>
      </c>
      <c r="M3297" s="10">
        <v>0</v>
      </c>
      <c r="N3297" s="10">
        <v>0</v>
      </c>
      <c r="O3297" s="10">
        <v>0</v>
      </c>
    </row>
    <row r="3298" spans="1:15" x14ac:dyDescent="0.2">
      <c r="A3298" s="10" t="s">
        <v>1414</v>
      </c>
      <c r="B3298" s="10" t="s">
        <v>89</v>
      </c>
      <c r="C3298" s="10" t="s">
        <v>90</v>
      </c>
      <c r="D3298" s="10" t="s">
        <v>51</v>
      </c>
      <c r="E3298" s="10" t="s">
        <v>52</v>
      </c>
      <c r="F3298" s="10" t="s">
        <v>153</v>
      </c>
      <c r="G3298" s="10" t="b">
        <f>FALSE()</f>
        <v>0</v>
      </c>
      <c r="H3298" s="10">
        <v>1</v>
      </c>
      <c r="I3298" s="10">
        <v>0</v>
      </c>
      <c r="J3298" s="10">
        <v>0</v>
      </c>
      <c r="K3298" s="10">
        <v>0</v>
      </c>
      <c r="L3298" s="10">
        <v>0</v>
      </c>
      <c r="M3298" s="10">
        <v>0</v>
      </c>
      <c r="N3298" s="10">
        <v>0</v>
      </c>
      <c r="O3298" s="10">
        <v>0</v>
      </c>
    </row>
    <row r="3299" spans="1:15" x14ac:dyDescent="0.2">
      <c r="A3299" s="10" t="s">
        <v>576</v>
      </c>
      <c r="B3299" s="10" t="s">
        <v>517</v>
      </c>
      <c r="C3299" s="10" t="s">
        <v>90</v>
      </c>
      <c r="D3299" s="10" t="s">
        <v>51</v>
      </c>
      <c r="E3299" s="10" t="s">
        <v>52</v>
      </c>
      <c r="F3299" s="10" t="s">
        <v>91</v>
      </c>
      <c r="G3299" s="10" t="b">
        <f>TRUE()</f>
        <v>1</v>
      </c>
      <c r="H3299" s="10">
        <v>1</v>
      </c>
      <c r="I3299" s="10">
        <v>0</v>
      </c>
      <c r="J3299" s="10">
        <v>1</v>
      </c>
      <c r="K3299" s="10">
        <v>25</v>
      </c>
      <c r="L3299" s="10">
        <v>0</v>
      </c>
      <c r="M3299" s="10">
        <v>0</v>
      </c>
      <c r="N3299" s="10">
        <v>0</v>
      </c>
      <c r="O3299" s="10">
        <v>0</v>
      </c>
    </row>
    <row r="3300" spans="1:15" x14ac:dyDescent="0.2">
      <c r="A3300" s="10" t="s">
        <v>431</v>
      </c>
      <c r="B3300" s="10" t="s">
        <v>432</v>
      </c>
      <c r="C3300" s="10" t="s">
        <v>117</v>
      </c>
      <c r="D3300" s="10" t="s">
        <v>51</v>
      </c>
      <c r="E3300" s="10" t="s">
        <v>52</v>
      </c>
      <c r="F3300" s="10" t="s">
        <v>251</v>
      </c>
      <c r="G3300" s="10" t="b">
        <f>FALSE()</f>
        <v>0</v>
      </c>
      <c r="H3300" s="10">
        <v>1</v>
      </c>
      <c r="I3300" s="10">
        <v>0</v>
      </c>
      <c r="J3300" s="10">
        <v>1</v>
      </c>
      <c r="K3300" s="10">
        <v>25</v>
      </c>
      <c r="L3300" s="10">
        <v>0</v>
      </c>
      <c r="M3300" s="10">
        <v>0</v>
      </c>
      <c r="N3300" s="10">
        <v>0</v>
      </c>
      <c r="O3300" s="10">
        <v>0</v>
      </c>
    </row>
    <row r="3301" spans="1:15" x14ac:dyDescent="0.2">
      <c r="A3301" s="10" t="s">
        <v>1415</v>
      </c>
      <c r="B3301" s="10" t="s">
        <v>78</v>
      </c>
      <c r="C3301" s="10" t="s">
        <v>50</v>
      </c>
      <c r="D3301" s="10" t="s">
        <v>51</v>
      </c>
      <c r="E3301" s="10" t="s">
        <v>52</v>
      </c>
      <c r="F3301" s="10" t="s">
        <v>92</v>
      </c>
      <c r="G3301" s="10" t="b">
        <f>FALSE()</f>
        <v>0</v>
      </c>
      <c r="H3301" s="10">
        <v>1</v>
      </c>
      <c r="I3301" s="10">
        <v>0</v>
      </c>
      <c r="J3301" s="10">
        <v>1</v>
      </c>
      <c r="K3301" s="10">
        <v>12</v>
      </c>
      <c r="L3301" s="10">
        <v>0</v>
      </c>
      <c r="M3301" s="10">
        <v>0</v>
      </c>
      <c r="N3301" s="10">
        <v>0</v>
      </c>
      <c r="O3301" s="10">
        <v>0</v>
      </c>
    </row>
    <row r="3302" spans="1:15" x14ac:dyDescent="0.2">
      <c r="A3302" s="10" t="s">
        <v>1416</v>
      </c>
      <c r="B3302" s="10" t="s">
        <v>70</v>
      </c>
      <c r="C3302" s="10" t="s">
        <v>70</v>
      </c>
      <c r="D3302" s="10" t="s">
        <v>45</v>
      </c>
      <c r="E3302" s="10" t="s">
        <v>46</v>
      </c>
      <c r="F3302" s="10" t="s">
        <v>92</v>
      </c>
      <c r="G3302" s="10" t="b">
        <f>FALSE()</f>
        <v>0</v>
      </c>
      <c r="H3302" s="10">
        <v>1</v>
      </c>
      <c r="I3302" s="10">
        <v>0</v>
      </c>
      <c r="J3302" s="10">
        <v>0</v>
      </c>
      <c r="K3302" s="10">
        <v>0</v>
      </c>
      <c r="L3302" s="10">
        <v>0</v>
      </c>
      <c r="M3302" s="10">
        <v>0</v>
      </c>
      <c r="N3302" s="10">
        <v>0</v>
      </c>
      <c r="O3302" s="10">
        <v>0</v>
      </c>
    </row>
    <row r="3303" spans="1:15" x14ac:dyDescent="0.2">
      <c r="A3303" s="10" t="s">
        <v>1417</v>
      </c>
      <c r="B3303" s="10" t="s">
        <v>128</v>
      </c>
      <c r="C3303" s="10" t="s">
        <v>50</v>
      </c>
      <c r="D3303" s="10" t="s">
        <v>51</v>
      </c>
      <c r="E3303" s="10" t="s">
        <v>52</v>
      </c>
      <c r="F3303" s="10" t="s">
        <v>92</v>
      </c>
      <c r="G3303" s="10" t="b">
        <f>FALSE()</f>
        <v>0</v>
      </c>
      <c r="H3303" s="10">
        <v>1</v>
      </c>
      <c r="I3303" s="10">
        <v>0</v>
      </c>
      <c r="J3303" s="10">
        <v>1</v>
      </c>
      <c r="K3303" s="10">
        <v>24</v>
      </c>
      <c r="L3303" s="10">
        <v>0</v>
      </c>
      <c r="M3303" s="10">
        <v>0</v>
      </c>
      <c r="N3303" s="10">
        <v>0</v>
      </c>
      <c r="O3303" s="10">
        <v>0</v>
      </c>
    </row>
    <row r="3304" spans="1:15" x14ac:dyDescent="0.2">
      <c r="A3304" s="10" t="s">
        <v>1418</v>
      </c>
      <c r="B3304" s="10" t="s">
        <v>477</v>
      </c>
      <c r="C3304" s="10" t="s">
        <v>50</v>
      </c>
      <c r="D3304" s="10" t="s">
        <v>51</v>
      </c>
      <c r="E3304" s="10" t="s">
        <v>52</v>
      </c>
      <c r="F3304" s="10" t="s">
        <v>92</v>
      </c>
      <c r="G3304" s="10" t="b">
        <f>FALSE()</f>
        <v>0</v>
      </c>
      <c r="H3304" s="10">
        <v>1</v>
      </c>
      <c r="I3304" s="10">
        <v>0</v>
      </c>
      <c r="J3304" s="10">
        <v>1</v>
      </c>
      <c r="K3304" s="10">
        <v>26</v>
      </c>
      <c r="L3304" s="10">
        <v>0</v>
      </c>
      <c r="M3304" s="10">
        <v>0</v>
      </c>
      <c r="N3304" s="10">
        <v>0</v>
      </c>
      <c r="O3304" s="10">
        <v>0</v>
      </c>
    </row>
    <row r="3305" spans="1:15" x14ac:dyDescent="0.2">
      <c r="A3305" s="10" t="s">
        <v>1418</v>
      </c>
      <c r="B3305" s="10" t="s">
        <v>477</v>
      </c>
      <c r="C3305" s="10" t="s">
        <v>50</v>
      </c>
      <c r="D3305" s="10" t="s">
        <v>51</v>
      </c>
      <c r="E3305" s="10" t="s">
        <v>52</v>
      </c>
      <c r="F3305" s="10" t="s">
        <v>153</v>
      </c>
      <c r="G3305" s="10" t="b">
        <f>FALSE()</f>
        <v>0</v>
      </c>
      <c r="H3305" s="10">
        <v>1</v>
      </c>
      <c r="I3305" s="10">
        <v>0</v>
      </c>
      <c r="J3305" s="10">
        <v>1</v>
      </c>
      <c r="K3305" s="10">
        <v>26</v>
      </c>
      <c r="L3305" s="10">
        <v>0</v>
      </c>
      <c r="M3305" s="10">
        <v>0</v>
      </c>
      <c r="N3305" s="10">
        <v>0</v>
      </c>
      <c r="O3305" s="10">
        <v>0</v>
      </c>
    </row>
    <row r="3306" spans="1:15" x14ac:dyDescent="0.2">
      <c r="A3306" s="10" t="s">
        <v>701</v>
      </c>
      <c r="B3306" s="10" t="s">
        <v>67</v>
      </c>
      <c r="C3306" s="10" t="s">
        <v>64</v>
      </c>
      <c r="D3306" s="10" t="s">
        <v>45</v>
      </c>
      <c r="E3306" s="10" t="s">
        <v>46</v>
      </c>
      <c r="F3306" s="10" t="s">
        <v>957</v>
      </c>
      <c r="G3306" s="10" t="b">
        <f>FALSE()</f>
        <v>0</v>
      </c>
      <c r="H3306" s="10">
        <v>1</v>
      </c>
      <c r="I3306" s="10">
        <v>0</v>
      </c>
      <c r="J3306" s="10">
        <v>1</v>
      </c>
      <c r="K3306" s="10">
        <v>48</v>
      </c>
      <c r="L3306" s="10">
        <v>0</v>
      </c>
      <c r="M3306" s="10">
        <v>0</v>
      </c>
      <c r="N3306" s="10">
        <v>0</v>
      </c>
      <c r="O3306" s="10">
        <v>0</v>
      </c>
    </row>
    <row r="3307" spans="1:15" x14ac:dyDescent="0.2">
      <c r="A3307" s="10" t="s">
        <v>993</v>
      </c>
      <c r="B3307" s="10" t="s">
        <v>43</v>
      </c>
      <c r="C3307" s="10" t="s">
        <v>44</v>
      </c>
      <c r="D3307" s="10" t="s">
        <v>45</v>
      </c>
      <c r="E3307" s="10" t="s">
        <v>46</v>
      </c>
      <c r="F3307" s="10" t="s">
        <v>844</v>
      </c>
      <c r="G3307" s="10" t="b">
        <f>FALSE()</f>
        <v>0</v>
      </c>
      <c r="H3307" s="10">
        <v>1</v>
      </c>
      <c r="I3307" s="10">
        <v>0</v>
      </c>
      <c r="J3307" s="10">
        <v>1</v>
      </c>
      <c r="K3307" s="10">
        <v>2</v>
      </c>
      <c r="L3307" s="10">
        <v>0</v>
      </c>
      <c r="M3307" s="10">
        <v>0</v>
      </c>
      <c r="N3307" s="10">
        <v>0</v>
      </c>
      <c r="O3307" s="10">
        <v>0</v>
      </c>
    </row>
    <row r="3308" spans="1:15" x14ac:dyDescent="0.2">
      <c r="A3308" s="10" t="s">
        <v>571</v>
      </c>
      <c r="B3308" s="10" t="s">
        <v>572</v>
      </c>
      <c r="C3308" s="10" t="s">
        <v>112</v>
      </c>
      <c r="D3308" s="10" t="s">
        <v>51</v>
      </c>
      <c r="E3308" s="10" t="s">
        <v>52</v>
      </c>
      <c r="F3308" s="10" t="s">
        <v>102</v>
      </c>
      <c r="G3308" s="10" t="b">
        <f>TRUE()</f>
        <v>1</v>
      </c>
      <c r="H3308" s="10">
        <v>1</v>
      </c>
      <c r="I3308" s="10">
        <v>0</v>
      </c>
      <c r="J3308" s="10">
        <v>1</v>
      </c>
      <c r="K3308" s="10">
        <v>5</v>
      </c>
      <c r="L3308" s="10">
        <v>0</v>
      </c>
      <c r="M3308" s="10">
        <v>0</v>
      </c>
      <c r="N3308" s="10">
        <v>0</v>
      </c>
      <c r="O3308" s="10">
        <v>0</v>
      </c>
    </row>
    <row r="3309" spans="1:15" x14ac:dyDescent="0.2">
      <c r="A3309" s="10" t="s">
        <v>625</v>
      </c>
      <c r="B3309" s="10" t="s">
        <v>232</v>
      </c>
      <c r="C3309" s="10" t="s">
        <v>90</v>
      </c>
      <c r="D3309" s="10" t="s">
        <v>51</v>
      </c>
      <c r="E3309" s="10" t="s">
        <v>52</v>
      </c>
      <c r="F3309" s="10" t="s">
        <v>190</v>
      </c>
      <c r="G3309" s="10" t="b">
        <f>TRUE()</f>
        <v>1</v>
      </c>
      <c r="H3309" s="10">
        <v>1</v>
      </c>
      <c r="I3309" s="10">
        <v>0</v>
      </c>
      <c r="J3309" s="10">
        <v>1</v>
      </c>
      <c r="K3309" s="10">
        <v>25</v>
      </c>
      <c r="L3309" s="10">
        <v>0</v>
      </c>
      <c r="M3309" s="10">
        <v>0</v>
      </c>
      <c r="N3309" s="10">
        <v>0</v>
      </c>
      <c r="O3309" s="10">
        <v>0</v>
      </c>
    </row>
    <row r="3310" spans="1:15" x14ac:dyDescent="0.2">
      <c r="A3310" s="10" t="s">
        <v>675</v>
      </c>
      <c r="B3310" s="10" t="s">
        <v>130</v>
      </c>
      <c r="C3310" s="10" t="s">
        <v>56</v>
      </c>
      <c r="D3310" s="10" t="s">
        <v>45</v>
      </c>
      <c r="E3310" s="10" t="s">
        <v>46</v>
      </c>
      <c r="F3310" s="10" t="s">
        <v>488</v>
      </c>
      <c r="G3310" s="10" t="b">
        <f>FALSE()</f>
        <v>0</v>
      </c>
      <c r="H3310" s="10">
        <v>1</v>
      </c>
      <c r="I3310" s="10">
        <v>0</v>
      </c>
      <c r="J3310" s="10">
        <v>1</v>
      </c>
      <c r="K3310" s="10">
        <v>50</v>
      </c>
      <c r="L3310" s="10">
        <v>0</v>
      </c>
      <c r="M3310" s="10">
        <v>0</v>
      </c>
      <c r="N3310" s="10">
        <v>0</v>
      </c>
      <c r="O3310" s="10">
        <v>0</v>
      </c>
    </row>
    <row r="3311" spans="1:15" x14ac:dyDescent="0.2">
      <c r="A3311" s="10" t="s">
        <v>131</v>
      </c>
      <c r="B3311" s="10" t="s">
        <v>70</v>
      </c>
      <c r="C3311" s="10" t="s">
        <v>70</v>
      </c>
      <c r="D3311" s="10" t="s">
        <v>45</v>
      </c>
      <c r="E3311" s="10" t="s">
        <v>46</v>
      </c>
      <c r="F3311" s="10" t="s">
        <v>601</v>
      </c>
      <c r="G3311" s="10" t="b">
        <f>FALSE()</f>
        <v>0</v>
      </c>
      <c r="H3311" s="10">
        <v>1</v>
      </c>
      <c r="I3311" s="10">
        <v>0</v>
      </c>
      <c r="J3311" s="10">
        <v>1</v>
      </c>
      <c r="K3311" s="10">
        <v>25</v>
      </c>
      <c r="L3311" s="10">
        <v>0</v>
      </c>
      <c r="M3311" s="10">
        <v>0</v>
      </c>
      <c r="N3311" s="10">
        <v>0</v>
      </c>
      <c r="O3311" s="10">
        <v>0</v>
      </c>
    </row>
    <row r="3312" spans="1:15" x14ac:dyDescent="0.2">
      <c r="A3312" s="10" t="s">
        <v>1275</v>
      </c>
      <c r="B3312" s="10" t="s">
        <v>99</v>
      </c>
      <c r="C3312" s="10" t="s">
        <v>50</v>
      </c>
      <c r="D3312" s="10" t="s">
        <v>51</v>
      </c>
      <c r="E3312" s="10" t="s">
        <v>52</v>
      </c>
      <c r="F3312" s="10" t="s">
        <v>113</v>
      </c>
      <c r="G3312" s="10" t="b">
        <f>TRUE()</f>
        <v>1</v>
      </c>
      <c r="H3312" s="10">
        <v>1</v>
      </c>
      <c r="I3312" s="10">
        <v>0</v>
      </c>
      <c r="J3312" s="10">
        <v>2</v>
      </c>
      <c r="K3312" s="10">
        <v>35</v>
      </c>
      <c r="L3312" s="10">
        <v>0</v>
      </c>
      <c r="M3312" s="10">
        <v>0</v>
      </c>
      <c r="N3312" s="10">
        <v>0</v>
      </c>
      <c r="O3312" s="10">
        <v>0</v>
      </c>
    </row>
    <row r="3313" spans="1:15" x14ac:dyDescent="0.2">
      <c r="A3313" s="10" t="s">
        <v>703</v>
      </c>
      <c r="B3313" s="10" t="s">
        <v>167</v>
      </c>
      <c r="C3313" s="10" t="s">
        <v>64</v>
      </c>
      <c r="D3313" s="10" t="s">
        <v>45</v>
      </c>
      <c r="E3313" s="10" t="s">
        <v>46</v>
      </c>
      <c r="F3313" s="10" t="s">
        <v>183</v>
      </c>
      <c r="G3313" s="10" t="b">
        <f>FALSE()</f>
        <v>0</v>
      </c>
      <c r="H3313" s="10">
        <v>0</v>
      </c>
      <c r="I3313" s="10">
        <v>1</v>
      </c>
      <c r="J3313" s="10">
        <v>0</v>
      </c>
      <c r="K3313" s="10">
        <v>0</v>
      </c>
      <c r="L3313" s="10">
        <v>0</v>
      </c>
      <c r="M3313" s="10">
        <v>1</v>
      </c>
      <c r="N3313" s="10">
        <v>13</v>
      </c>
      <c r="O3313" s="10">
        <v>0</v>
      </c>
    </row>
    <row r="3314" spans="1:15" x14ac:dyDescent="0.2">
      <c r="A3314" s="10" t="s">
        <v>713</v>
      </c>
      <c r="B3314" s="10" t="s">
        <v>302</v>
      </c>
      <c r="C3314" s="10" t="s">
        <v>117</v>
      </c>
      <c r="D3314" s="10" t="s">
        <v>51</v>
      </c>
      <c r="E3314" s="10" t="s">
        <v>52</v>
      </c>
      <c r="F3314" s="10" t="s">
        <v>153</v>
      </c>
      <c r="G3314" s="10" t="b">
        <f>FALSE()</f>
        <v>0</v>
      </c>
      <c r="H3314" s="10">
        <v>1</v>
      </c>
      <c r="I3314" s="10">
        <v>0</v>
      </c>
      <c r="J3314" s="10">
        <v>1</v>
      </c>
      <c r="K3314" s="10">
        <v>25</v>
      </c>
      <c r="L3314" s="10">
        <v>0</v>
      </c>
      <c r="M3314" s="10">
        <v>0</v>
      </c>
      <c r="N3314" s="10">
        <v>0</v>
      </c>
      <c r="O3314" s="10">
        <v>0</v>
      </c>
    </row>
    <row r="3315" spans="1:15" x14ac:dyDescent="0.2">
      <c r="A3315" s="10" t="s">
        <v>579</v>
      </c>
      <c r="B3315" s="10" t="s">
        <v>116</v>
      </c>
      <c r="C3315" s="10" t="s">
        <v>117</v>
      </c>
      <c r="D3315" s="10" t="s">
        <v>51</v>
      </c>
      <c r="E3315" s="10" t="s">
        <v>52</v>
      </c>
      <c r="F3315" s="10" t="s">
        <v>444</v>
      </c>
      <c r="G3315" s="10" t="b">
        <f>TRUE()</f>
        <v>1</v>
      </c>
      <c r="H3315" s="10">
        <v>1</v>
      </c>
      <c r="I3315" s="10">
        <v>0</v>
      </c>
      <c r="J3315" s="10">
        <v>2</v>
      </c>
      <c r="K3315" s="10">
        <v>5</v>
      </c>
      <c r="L3315" s="10">
        <v>0</v>
      </c>
      <c r="M3315" s="10">
        <v>0</v>
      </c>
      <c r="N3315" s="10">
        <v>0</v>
      </c>
      <c r="O3315" s="10">
        <v>0</v>
      </c>
    </row>
    <row r="3316" spans="1:15" x14ac:dyDescent="0.2">
      <c r="A3316" s="10" t="s">
        <v>1419</v>
      </c>
      <c r="B3316" s="10" t="s">
        <v>498</v>
      </c>
      <c r="C3316" s="10" t="s">
        <v>245</v>
      </c>
      <c r="D3316" s="10" t="s">
        <v>51</v>
      </c>
      <c r="E3316" s="10" t="s">
        <v>52</v>
      </c>
      <c r="F3316" s="10" t="s">
        <v>660</v>
      </c>
      <c r="G3316" s="10" t="b">
        <f>FALSE()</f>
        <v>0</v>
      </c>
      <c r="H3316" s="10">
        <v>1</v>
      </c>
      <c r="I3316" s="10">
        <v>0</v>
      </c>
      <c r="J3316" s="10">
        <v>1</v>
      </c>
      <c r="K3316" s="10">
        <v>12</v>
      </c>
      <c r="L3316" s="10">
        <v>0</v>
      </c>
      <c r="M3316" s="10">
        <v>0</v>
      </c>
      <c r="N3316" s="10">
        <v>0</v>
      </c>
      <c r="O3316" s="10">
        <v>0</v>
      </c>
    </row>
    <row r="3317" spans="1:15" x14ac:dyDescent="0.2">
      <c r="A3317" s="10" t="s">
        <v>945</v>
      </c>
      <c r="B3317" s="10" t="s">
        <v>128</v>
      </c>
      <c r="C3317" s="10" t="s">
        <v>50</v>
      </c>
      <c r="D3317" s="10" t="s">
        <v>51</v>
      </c>
      <c r="E3317" s="10" t="s">
        <v>52</v>
      </c>
      <c r="F3317" s="10" t="s">
        <v>1336</v>
      </c>
      <c r="G3317" s="10" t="b">
        <f>TRUE()</f>
        <v>1</v>
      </c>
      <c r="H3317" s="10">
        <v>1</v>
      </c>
      <c r="I3317" s="10">
        <v>0</v>
      </c>
      <c r="J3317" s="10">
        <v>1</v>
      </c>
      <c r="K3317" s="10">
        <v>49</v>
      </c>
      <c r="L3317" s="10">
        <v>0</v>
      </c>
      <c r="M3317" s="10">
        <v>0</v>
      </c>
      <c r="N3317" s="10">
        <v>0</v>
      </c>
      <c r="O3317" s="10">
        <v>0</v>
      </c>
    </row>
    <row r="3318" spans="1:15" x14ac:dyDescent="0.2">
      <c r="A3318" s="10" t="s">
        <v>794</v>
      </c>
      <c r="B3318" s="10" t="s">
        <v>652</v>
      </c>
      <c r="C3318" s="10" t="s">
        <v>117</v>
      </c>
      <c r="D3318" s="10" t="s">
        <v>51</v>
      </c>
      <c r="E3318" s="10" t="s">
        <v>52</v>
      </c>
      <c r="F3318" s="10" t="s">
        <v>403</v>
      </c>
      <c r="G3318" s="10" t="b">
        <f>TRUE()</f>
        <v>1</v>
      </c>
      <c r="H3318" s="10">
        <v>1</v>
      </c>
      <c r="I3318" s="10">
        <v>0</v>
      </c>
      <c r="J3318" s="10">
        <v>1</v>
      </c>
      <c r="K3318" s="10">
        <v>25</v>
      </c>
      <c r="L3318" s="10">
        <v>0</v>
      </c>
      <c r="M3318" s="10">
        <v>0</v>
      </c>
      <c r="N3318" s="10">
        <v>0</v>
      </c>
      <c r="O3318" s="10">
        <v>0</v>
      </c>
    </row>
    <row r="3319" spans="1:15" x14ac:dyDescent="0.2">
      <c r="A3319" s="10" t="s">
        <v>832</v>
      </c>
      <c r="B3319" s="10" t="s">
        <v>128</v>
      </c>
      <c r="C3319" s="10" t="s">
        <v>50</v>
      </c>
      <c r="D3319" s="10" t="s">
        <v>51</v>
      </c>
      <c r="E3319" s="10" t="s">
        <v>52</v>
      </c>
      <c r="F3319" s="10" t="s">
        <v>212</v>
      </c>
      <c r="G3319" s="10" t="b">
        <f>FALSE()</f>
        <v>0</v>
      </c>
      <c r="H3319" s="10">
        <v>1</v>
      </c>
      <c r="I3319" s="10">
        <v>0</v>
      </c>
      <c r="J3319" s="10">
        <v>1</v>
      </c>
      <c r="K3319" s="10">
        <v>1</v>
      </c>
      <c r="L3319" s="10">
        <v>0</v>
      </c>
      <c r="M3319" s="10">
        <v>0</v>
      </c>
      <c r="N3319" s="10">
        <v>0</v>
      </c>
      <c r="O3319" s="10">
        <v>0</v>
      </c>
    </row>
    <row r="3320" spans="1:15" x14ac:dyDescent="0.2">
      <c r="A3320" s="10" t="s">
        <v>1420</v>
      </c>
      <c r="B3320" s="10" t="s">
        <v>385</v>
      </c>
      <c r="C3320" s="10" t="s">
        <v>90</v>
      </c>
      <c r="D3320" s="10" t="s">
        <v>51</v>
      </c>
      <c r="E3320" s="10" t="s">
        <v>52</v>
      </c>
      <c r="F3320" s="10" t="s">
        <v>180</v>
      </c>
      <c r="G3320" s="10" t="b">
        <f>FALSE()</f>
        <v>0</v>
      </c>
      <c r="H3320" s="10">
        <v>1</v>
      </c>
      <c r="I3320" s="10">
        <v>0</v>
      </c>
      <c r="J3320" s="10">
        <v>1</v>
      </c>
      <c r="K3320" s="10">
        <v>16</v>
      </c>
      <c r="L3320" s="10">
        <v>0</v>
      </c>
      <c r="M3320" s="10">
        <v>0</v>
      </c>
      <c r="N3320" s="10">
        <v>0</v>
      </c>
      <c r="O3320" s="10">
        <v>0</v>
      </c>
    </row>
    <row r="3321" spans="1:15" x14ac:dyDescent="0.2">
      <c r="A3321" s="10" t="s">
        <v>1421</v>
      </c>
      <c r="B3321" s="10" t="s">
        <v>587</v>
      </c>
      <c r="C3321" s="10" t="s">
        <v>50</v>
      </c>
      <c r="D3321" s="10" t="s">
        <v>51</v>
      </c>
      <c r="E3321" s="10" t="s">
        <v>52</v>
      </c>
      <c r="F3321" s="10" t="s">
        <v>180</v>
      </c>
      <c r="G3321" s="10" t="b">
        <f>FALSE()</f>
        <v>0</v>
      </c>
      <c r="H3321" s="10">
        <v>1</v>
      </c>
      <c r="I3321" s="10">
        <v>0</v>
      </c>
      <c r="J3321" s="10">
        <v>1</v>
      </c>
      <c r="K3321" s="10">
        <v>41</v>
      </c>
      <c r="L3321" s="10">
        <v>0</v>
      </c>
      <c r="M3321" s="10">
        <v>0</v>
      </c>
      <c r="N3321" s="10">
        <v>0</v>
      </c>
      <c r="O3321" s="10">
        <v>0</v>
      </c>
    </row>
    <row r="3322" spans="1:15" x14ac:dyDescent="0.2">
      <c r="A3322" s="10" t="s">
        <v>1205</v>
      </c>
      <c r="B3322" s="10" t="s">
        <v>136</v>
      </c>
      <c r="C3322" s="10" t="s">
        <v>73</v>
      </c>
      <c r="D3322" s="10" t="s">
        <v>45</v>
      </c>
      <c r="E3322" s="10" t="s">
        <v>46</v>
      </c>
      <c r="F3322" s="10" t="s">
        <v>190</v>
      </c>
      <c r="G3322" s="10" t="b">
        <f>TRUE()</f>
        <v>1</v>
      </c>
      <c r="H3322" s="10">
        <v>1</v>
      </c>
      <c r="I3322" s="10">
        <v>0</v>
      </c>
      <c r="J3322" s="10">
        <v>1</v>
      </c>
      <c r="K3322" s="10">
        <v>22</v>
      </c>
      <c r="L3322" s="10">
        <v>0</v>
      </c>
      <c r="M3322" s="10">
        <v>0</v>
      </c>
      <c r="N3322" s="10">
        <v>0</v>
      </c>
      <c r="O3322" s="10">
        <v>0</v>
      </c>
    </row>
    <row r="3323" spans="1:15" x14ac:dyDescent="0.2">
      <c r="A3323" s="10" t="s">
        <v>435</v>
      </c>
      <c r="B3323" s="10" t="s">
        <v>70</v>
      </c>
      <c r="C3323" s="10" t="s">
        <v>70</v>
      </c>
      <c r="D3323" s="10" t="s">
        <v>45</v>
      </c>
      <c r="E3323" s="10" t="s">
        <v>46</v>
      </c>
      <c r="F3323" s="10" t="s">
        <v>204</v>
      </c>
      <c r="G3323" s="10" t="b">
        <f>FALSE()</f>
        <v>0</v>
      </c>
      <c r="H3323" s="10">
        <v>1</v>
      </c>
      <c r="I3323" s="10">
        <v>0</v>
      </c>
      <c r="J3323" s="10">
        <v>2</v>
      </c>
      <c r="K3323" s="10">
        <v>33</v>
      </c>
      <c r="L3323" s="10">
        <v>0</v>
      </c>
      <c r="M3323" s="10">
        <v>0</v>
      </c>
      <c r="N3323" s="10">
        <v>0</v>
      </c>
      <c r="O3323" s="10">
        <v>0</v>
      </c>
    </row>
    <row r="3324" spans="1:15" x14ac:dyDescent="0.2">
      <c r="A3324" s="10" t="s">
        <v>1422</v>
      </c>
      <c r="B3324" s="10" t="s">
        <v>104</v>
      </c>
      <c r="C3324" s="10" t="s">
        <v>105</v>
      </c>
      <c r="D3324" s="10" t="s">
        <v>45</v>
      </c>
      <c r="E3324" s="10" t="s">
        <v>46</v>
      </c>
      <c r="F3324" s="10" t="s">
        <v>1423</v>
      </c>
      <c r="G3324" s="10" t="b">
        <f>FALSE()</f>
        <v>0</v>
      </c>
      <c r="H3324" s="10">
        <v>1</v>
      </c>
      <c r="I3324" s="10">
        <v>0</v>
      </c>
      <c r="J3324" s="10">
        <v>1</v>
      </c>
      <c r="K3324" s="10">
        <v>23</v>
      </c>
      <c r="L3324" s="10">
        <v>0</v>
      </c>
      <c r="M3324" s="10">
        <v>0</v>
      </c>
      <c r="N3324" s="10">
        <v>0</v>
      </c>
      <c r="O3324" s="10">
        <v>0</v>
      </c>
    </row>
    <row r="3325" spans="1:15" x14ac:dyDescent="0.2">
      <c r="A3325" s="10" t="s">
        <v>1190</v>
      </c>
      <c r="B3325" s="10" t="s">
        <v>321</v>
      </c>
      <c r="C3325" s="10" t="s">
        <v>245</v>
      </c>
      <c r="D3325" s="10" t="s">
        <v>51</v>
      </c>
      <c r="E3325" s="10" t="s">
        <v>52</v>
      </c>
      <c r="F3325" s="10" t="s">
        <v>183</v>
      </c>
      <c r="G3325" s="10" t="b">
        <f>FALSE()</f>
        <v>0</v>
      </c>
      <c r="H3325" s="10">
        <v>0</v>
      </c>
      <c r="I3325" s="10">
        <v>1</v>
      </c>
      <c r="J3325" s="10">
        <v>0</v>
      </c>
      <c r="K3325" s="10">
        <v>0</v>
      </c>
      <c r="L3325" s="10">
        <v>0</v>
      </c>
      <c r="M3325" s="10">
        <v>1</v>
      </c>
      <c r="N3325" s="10">
        <v>108</v>
      </c>
      <c r="O3325" s="10">
        <v>0</v>
      </c>
    </row>
    <row r="3326" spans="1:15" x14ac:dyDescent="0.2">
      <c r="A3326" s="10" t="s">
        <v>1048</v>
      </c>
      <c r="B3326" s="10" t="s">
        <v>1049</v>
      </c>
      <c r="C3326" s="10" t="s">
        <v>64</v>
      </c>
      <c r="D3326" s="10" t="s">
        <v>45</v>
      </c>
      <c r="E3326" s="10" t="s">
        <v>46</v>
      </c>
      <c r="F3326" s="10" t="s">
        <v>1370</v>
      </c>
      <c r="G3326" s="10" t="b">
        <f>FALSE()</f>
        <v>0</v>
      </c>
      <c r="H3326" s="10">
        <v>0</v>
      </c>
      <c r="I3326" s="10">
        <v>1</v>
      </c>
      <c r="J3326" s="10">
        <v>0</v>
      </c>
      <c r="K3326" s="10">
        <v>0</v>
      </c>
      <c r="L3326" s="10">
        <v>0</v>
      </c>
      <c r="M3326" s="10">
        <v>1</v>
      </c>
      <c r="N3326" s="10">
        <v>20</v>
      </c>
      <c r="O3326" s="10">
        <v>0</v>
      </c>
    </row>
    <row r="3327" spans="1:15" x14ac:dyDescent="0.2">
      <c r="A3327" s="10" t="s">
        <v>1031</v>
      </c>
      <c r="B3327" s="10" t="s">
        <v>119</v>
      </c>
      <c r="C3327" s="10" t="s">
        <v>56</v>
      </c>
      <c r="D3327" s="10" t="s">
        <v>45</v>
      </c>
      <c r="E3327" s="10" t="s">
        <v>46</v>
      </c>
      <c r="F3327" s="10" t="s">
        <v>468</v>
      </c>
      <c r="G3327" s="10" t="b">
        <f>FALSE()</f>
        <v>0</v>
      </c>
      <c r="H3327" s="10">
        <v>0</v>
      </c>
      <c r="I3327" s="10">
        <v>1</v>
      </c>
      <c r="J3327" s="10">
        <v>0</v>
      </c>
      <c r="K3327" s="10">
        <v>0</v>
      </c>
      <c r="L3327" s="10">
        <v>0</v>
      </c>
      <c r="M3327" s="10">
        <v>1</v>
      </c>
      <c r="N3327" s="10">
        <v>10</v>
      </c>
      <c r="O3327" s="10">
        <v>0</v>
      </c>
    </row>
    <row r="3328" spans="1:15" x14ac:dyDescent="0.2">
      <c r="A3328" s="10" t="s">
        <v>1079</v>
      </c>
      <c r="B3328" s="10" t="s">
        <v>70</v>
      </c>
      <c r="C3328" s="10" t="s">
        <v>70</v>
      </c>
      <c r="D3328" s="10" t="s">
        <v>45</v>
      </c>
      <c r="E3328" s="10" t="s">
        <v>46</v>
      </c>
      <c r="F3328" s="10" t="s">
        <v>183</v>
      </c>
      <c r="G3328" s="10" t="b">
        <f>FALSE()</f>
        <v>0</v>
      </c>
      <c r="H3328" s="10">
        <v>0</v>
      </c>
      <c r="I3328" s="10">
        <v>1</v>
      </c>
      <c r="J3328" s="10">
        <v>0</v>
      </c>
      <c r="K3328" s="10">
        <v>0</v>
      </c>
      <c r="L3328" s="10">
        <v>0</v>
      </c>
      <c r="M3328" s="10">
        <v>1</v>
      </c>
      <c r="N3328" s="10">
        <v>10</v>
      </c>
      <c r="O3328" s="10">
        <v>0</v>
      </c>
    </row>
  </sheetData>
  <autoFilter ref="A1:O3328" xr:uid="{00000000-0001-0000-0500-000000000000}">
    <sortState xmlns:xlrd2="http://schemas.microsoft.com/office/spreadsheetml/2017/richdata2" ref="A2:O3328">
      <sortCondition descending="1" ref="L1:L3328"/>
    </sortState>
  </autoFilter>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 Me</vt:lpstr>
      <vt:lpstr>Top Centers - NCR</vt:lpstr>
      <vt:lpstr>Top Centers - 4A</vt:lpstr>
      <vt:lpstr>Leads for NCR and 4A</vt:lpstr>
      <vt:lpstr>NC Combinations</vt:lpstr>
      <vt:lpstr>Sectors</vt:lpstr>
      <vt:lpstr>Construction - Overview</vt:lpstr>
      <vt:lpstr>Construction - Top Centres</vt:lpstr>
      <vt:lpstr>Ms. Coloma's List</vt:lpstr>
      <vt:lpstr>Clean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Viray, John Y</cp:lastModifiedBy>
  <cp:revision>0</cp:revision>
  <dcterms:created xsi:type="dcterms:W3CDTF">2026-06-26T07:33:32Z</dcterms:created>
  <dcterms:modified xsi:type="dcterms:W3CDTF">2026-08-10T12:26:35Z</dcterms:modified>
  <cp:category/>
  <cp:contentStatus/>
</cp:coreProperties>
</file>
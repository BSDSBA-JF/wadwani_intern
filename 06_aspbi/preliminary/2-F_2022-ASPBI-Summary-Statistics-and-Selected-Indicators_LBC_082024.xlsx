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\Desktop\2022 ASPBI\F-2022ASPBI Preliminary SR\"/>
    </mc:Choice>
  </mc:AlternateContent>
  <xr:revisionPtr revIDLastSave="0" documentId="13_ncr:1_{1D6C8F9D-416A-494B-9318-1953FF64F4E9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Table 1_Summary Statistics" sheetId="1" r:id="rId1"/>
    <sheet name="Table 2_Selected Indicators" sheetId="2" r:id="rId2"/>
    <sheet name="Table 3_Summary Statistics" sheetId="3" r:id="rId3"/>
    <sheet name="Table 4_Selected Indicators" sheetId="4" r:id="rId4"/>
  </sheets>
  <externalReferences>
    <externalReference r:id="rId5"/>
    <externalReference r:id="rId6"/>
    <externalReference r:id="rId7"/>
    <externalReference r:id="rId8"/>
  </externalReferences>
  <definedNames>
    <definedName name="_100Print_Area_MI_24_7">"$#REF!.$A$1:$B$20"</definedName>
    <definedName name="_101Print_Area_MI_24_8">"$#REF!.$A$1:$B$20"</definedName>
    <definedName name="_102Print_Area_MI_24_9">"$#REF!.$A$1:$B$20"</definedName>
    <definedName name="_103Print_Area_MI_26_1">#REF!</definedName>
    <definedName name="_104Print_Area_MI_26_10">#REF!</definedName>
    <definedName name="_105Print_Area_MI_26_2">"$#REF!.$A$1:$H$19"</definedName>
    <definedName name="_106Print_Area_MI_26_3">"$#REF!.$A$1:$H$19"</definedName>
    <definedName name="_107Print_Area_MI_26_4">"$#REF!.$A$1:$H$19"</definedName>
    <definedName name="_108Print_Area_MI_26_5">"$#REF!.$A$1:$H$19"</definedName>
    <definedName name="_109Print_Area_MI_26_6">"$#REF!.$A$1:$H$19"</definedName>
    <definedName name="_10Excel_BuiltIn_Print_Area_1">#N/A</definedName>
    <definedName name="_110Print_Area_MI_26_7">"$#REF!.$A$1:$H$19"</definedName>
    <definedName name="_111Print_Area_MI_26_8">"$#REF!.$A$1:$H$19"</definedName>
    <definedName name="_112Print_Area_MI_26_9">"$#REF!.$A$1:$H$19"</definedName>
    <definedName name="_113Print_Area_MI_4_1">#REF!</definedName>
    <definedName name="_114Print_Area_MI_4_10">#REF!</definedName>
    <definedName name="_115Print_Area_MI_4_11">"$#REF!.$A$1:$G$23"</definedName>
    <definedName name="_116Print_Area_MI_4_12">"$#REF!.$A$1:$G$23"</definedName>
    <definedName name="_117Print_Area_MI_4_13">"$#REF!.$A$1:$G$23"</definedName>
    <definedName name="_118Print_Area_MI_4_14">"$#REF!.$A$1:$G$23"</definedName>
    <definedName name="_119Print_Area_MI_4_15">"$#REF!.$A$1:$G$23"</definedName>
    <definedName name="_11Excel_BuiltIn_Print_Area_3">"$#REF!.$A$1:$G$25"</definedName>
    <definedName name="_120Print_Area_MI_4_16">"$#REF!.$A$1:$G$23"</definedName>
    <definedName name="_121Print_Area_MI_4_17">"$#REF!.$A$1:$G$23"</definedName>
    <definedName name="_122Print_Area_MI_4_18">"$#REF!.$A$1:$G$23"</definedName>
    <definedName name="_123Print_Area_MI_4_19">#REF!</definedName>
    <definedName name="_124Print_Area_MI_4_2">#REF!</definedName>
    <definedName name="_125Print_Area_MI_4_3">#REF!</definedName>
    <definedName name="_126Print_Area_MI_4_4">"$#REF!.$A$1:$D$7"</definedName>
    <definedName name="_127Print_Area_MI_4_5">"$#REF!.$A$1:$B$7"</definedName>
    <definedName name="_128Print_Area_MI_4_6">"$#REF!.$A$1:$D$7"</definedName>
    <definedName name="_129Print_Area_MI_4_7">"$#REF!.$A$1:$B$7"</definedName>
    <definedName name="_12Excel_BuiltIn_Print_Area_4">"$#REF!.$A$1:$G$25"</definedName>
    <definedName name="_130Print_Area_MI_4_8">#REF!</definedName>
    <definedName name="_131Print_Area_MI_4_9">#REF!</definedName>
    <definedName name="_132s_1">#REF!</definedName>
    <definedName name="_133s_10">#REF!</definedName>
    <definedName name="_134s_2">#REF!</definedName>
    <definedName name="_135s_3">#REF!</definedName>
    <definedName name="_136s_4">#REF!</definedName>
    <definedName name="_137s_5">#REF!</definedName>
    <definedName name="_138s_6">#REF!</definedName>
    <definedName name="_139s_7">#REF!</definedName>
    <definedName name="_13Excel_BuiltIn_Print_Area_5">"$#REF!.$A$1:$G$25"</definedName>
    <definedName name="_140s_8">#REF!</definedName>
    <definedName name="_141s_9">#REF!</definedName>
    <definedName name="_14Excel_BuiltIn_Print_Area_6">"$#REF!.$A$1:$G$25"</definedName>
    <definedName name="_15Excel_BuiltIn_Print_Area_7">"$#REF!.$A$1:$G$25"</definedName>
    <definedName name="_16p_1">#REF!</definedName>
    <definedName name="_17p_10">#REF!</definedName>
    <definedName name="_18p_2">#REF!</definedName>
    <definedName name="_19p_3">#REF!</definedName>
    <definedName name="_1a_1">#REF!</definedName>
    <definedName name="_20p_4">#REF!</definedName>
    <definedName name="_21p_5">#REF!</definedName>
    <definedName name="_22p_6">#REF!</definedName>
    <definedName name="_23p_7">#REF!</definedName>
    <definedName name="_24p_8">#REF!</definedName>
    <definedName name="_25p_9">#REF!</definedName>
    <definedName name="_26Print_Area_MI_1">#REF!</definedName>
    <definedName name="_27Print_Area_MI_10">#REF!</definedName>
    <definedName name="_28Print_Area_MI_2">"$#REF!.$A$1:$I$22"</definedName>
    <definedName name="_29Print_Area_MI_3">"$#REF!.$A$1:$I$22"</definedName>
    <definedName name="_2a_2">#REF!</definedName>
    <definedName name="_30Print_Area_MI_4">"$#REF!.$A$1:$I$22"</definedName>
    <definedName name="_31Print_Area_MI_5">"$#REF!.$A$1:$I$22"</definedName>
    <definedName name="_32Print_Area_MI_6">"$#REF!.$A$1:$I$22"</definedName>
    <definedName name="_33Print_Area_MI_7">"$#REF!.$A$1:$I$22"</definedName>
    <definedName name="_34Print_Area_MI_8">"$#REF!.$A$1:$I$22"</definedName>
    <definedName name="_35Print_Area_MI_9">"$#REF!.$A$1:$I$22"</definedName>
    <definedName name="_36Print_Area_MI_17_1">"$#REF!.$A$1:$F$19"</definedName>
    <definedName name="_37Print_Area_MI_17_2">"$#REF!.$A$1:$F$19"</definedName>
    <definedName name="_38Print_Area_MI_17_3">"$#REF!.$A$1:$F$19"</definedName>
    <definedName name="_39Print_Area_MI_17_4">"$#REF!.$A$1:$F$19"</definedName>
    <definedName name="_3Excel_BuiltIn__FilterDatabase_1">#REF!</definedName>
    <definedName name="_40Print_Area_MI_17_5">"$#REF!.$A$1:$F$19"</definedName>
    <definedName name="_41Print_Area_MI_17_6">"$#REF!.$A$1:$F$19"</definedName>
    <definedName name="_42Print_Area_MI_17_7">"$#REF!.$A$1:$F$20"</definedName>
    <definedName name="_43Print_Area_MI_18_1">#REF!</definedName>
    <definedName name="_44Print_Area_MI_18_10">#REF!</definedName>
    <definedName name="_45Print_Area_MI_18_2">"$#REF!.$A$1:$G$20"</definedName>
    <definedName name="_46Print_Area_MI_18_3">"$#REF!.$A$1:$G$20"</definedName>
    <definedName name="_47Print_Area_MI_18_4">"$#REF!.$A$1:$G$20"</definedName>
    <definedName name="_48Print_Area_MI_18_5">"$#REF!.$A$1:$G$20"</definedName>
    <definedName name="_49Print_Area_MI_18_6">"$#REF!.$A$1:$G$20"</definedName>
    <definedName name="_4Excel_BuiltIn__FilterDatabase_2">"$#REF!.$A$1:$D$44"</definedName>
    <definedName name="_50Print_Area_MI_18_7">"$#REF!.$A$1:$G$20"</definedName>
    <definedName name="_51Print_Area_MI_18_8">"$#REF!.$A$1:$G$20"</definedName>
    <definedName name="_52Print_Area_MI_18_9">"$#REF!.$A$1:$G$20"</definedName>
    <definedName name="_53Print_Area_MI_19_1">#REF!</definedName>
    <definedName name="_54Print_Area_MI_19_10">#REF!</definedName>
    <definedName name="_55Print_Area_MI_19_2">"$#REF!.$A$1:$B$20"</definedName>
    <definedName name="_56Print_Area_MI_19_3">"$#REF!.$A$1:$B$20"</definedName>
    <definedName name="_57Print_Area_MI_19_4">"$#REF!.$A$1:$B$20"</definedName>
    <definedName name="_58Print_Area_MI_19_5">"$#REF!.$A$1:$B$20"</definedName>
    <definedName name="_59Print_Area_MI_19_6">"$#REF!.$A$1:$B$20"</definedName>
    <definedName name="_5Excel_BuiltIn__FilterDatabase_3">"$#REF!.$A$1:$B$31"</definedName>
    <definedName name="_60Print_Area_MI_19_7">"$#REF!.$A$1:$B$20"</definedName>
    <definedName name="_61Print_Area_MI_19_8">"$#REF!.$A$1:$B$20"</definedName>
    <definedName name="_62Print_Area_MI_19_9">"$#REF!.$A$1:$B$20"</definedName>
    <definedName name="_63Print_Area_MI_20_1">#REF!</definedName>
    <definedName name="_64Print_Area_MI_20_10">#REF!</definedName>
    <definedName name="_65Print_Area_MI_20_2">"$#REF!.$A$1:$G$20"</definedName>
    <definedName name="_66Print_Area_MI_20_3">"$#REF!.$A$1:$G$20"</definedName>
    <definedName name="_67Print_Area_MI_20_4">"$#REF!.$A$1:$G$20"</definedName>
    <definedName name="_68Print_Area_MI_20_5">"$#REF!.$A$1:$G$20"</definedName>
    <definedName name="_69Print_Area_MI_20_6">"$#REF!.$A$1:$G$20"</definedName>
    <definedName name="_6Excel_BuiltIn__FilterDatabase_4">"$#REF!.$A$1:$D$43"</definedName>
    <definedName name="_70Print_Area_MI_20_7">"$#REF!.$A$1:$G$20"</definedName>
    <definedName name="_71Print_Area_MI_20_8">"$#REF!.$A$1:$G$20"</definedName>
    <definedName name="_72Print_Area_MI_20_9">"$#REF!.$A$1:$G$20"</definedName>
    <definedName name="_73Print_Area_MI_21_1">#REF!</definedName>
    <definedName name="_74Print_Area_MI_21_10">#REF!</definedName>
    <definedName name="_75Print_Area_MI_21_2">"$#REF!.$A$1:$B$20"</definedName>
    <definedName name="_76Print_Area_MI_21_3">"$#REF!.$A$1:$B$20"</definedName>
    <definedName name="_77Print_Area_MI_21_4">"$#REF!.$A$1:$B$20"</definedName>
    <definedName name="_78Print_Area_MI_21_5">"$#REF!.$A$1:$B$20"</definedName>
    <definedName name="_79Print_Area_MI_21_6">"$#REF!.$A$1:$B$20"</definedName>
    <definedName name="_7Excel_BuiltIn__FilterDatabase_5">"$#REF!.$A$1:$B$33"</definedName>
    <definedName name="_80Print_Area_MI_21_7">"$#REF!.$A$1:$B$20"</definedName>
    <definedName name="_81Print_Area_MI_21_8">"$#REF!.$A$1:$B$20"</definedName>
    <definedName name="_82Print_Area_MI_21_9">"$#REF!.$A$1:$B$20"</definedName>
    <definedName name="_83Print_Area_MI_23_1">#REF!</definedName>
    <definedName name="_84Print_Area_MI_23_10">#REF!</definedName>
    <definedName name="_85Print_Area_MI_23_2">"$#REF!.$A$1:$G$20"</definedName>
    <definedName name="_86Print_Area_MI_23_3">"$#REF!.$A$1:$G$20"</definedName>
    <definedName name="_87Print_Area_MI_23_4">"$#REF!.$A$1:$G$20"</definedName>
    <definedName name="_88Print_Area_MI_23_5">"$#REF!.$A$1:$G$20"</definedName>
    <definedName name="_89Print_Area_MI_23_6">"$#REF!.$A$1:$G$20"</definedName>
    <definedName name="_8Excel_BuiltIn__FilterDatabase_6">#REF!</definedName>
    <definedName name="_90Print_Area_MI_23_7">"$#REF!.$A$1:$G$20"</definedName>
    <definedName name="_91Print_Area_MI_23_8">"$#REF!.$A$1:$G$20"</definedName>
    <definedName name="_92Print_Area_MI_23_9">"$#REF!.$A$1:$G$20"</definedName>
    <definedName name="_93Print_Area_MI_24_1">#REF!</definedName>
    <definedName name="_94Print_Area_MI_24_10">#REF!</definedName>
    <definedName name="_95Print_Area_MI_24_2">"$#REF!.$A$1:$B$20"</definedName>
    <definedName name="_96Print_Area_MI_24_3">"$#REF!.$A$1:$B$20"</definedName>
    <definedName name="_97Print_Area_MI_24_4">"$#REF!.$A$1:$B$20"</definedName>
    <definedName name="_98Print_Area_MI_24_5">"$#REF!.$A$1:$B$20"</definedName>
    <definedName name="_99Print_Area_MI_24_6">"$#REF!.$A$1:$B$20"</definedName>
    <definedName name="_9Excel_BuiltIn__FilterDatabase_7">#REF!</definedName>
    <definedName name="a">[1]TAB5N!$A$23:$H$46</definedName>
    <definedName name="Excel_BuiltIn__FilterDatabase">#REF!</definedName>
    <definedName name="Excel_BuiltIn_Print_Area">#N/A</definedName>
    <definedName name="Industry_Group">#REF!</definedName>
    <definedName name="p">[2]TAB5N!$A$23:$H$46</definedName>
    <definedName name="pa">#REF!</definedName>
    <definedName name="Print_Area_MI">#REF!</definedName>
    <definedName name="Print_Area_MI_1">#REF!</definedName>
    <definedName name="Print_Area_MI_17">#REF!</definedName>
    <definedName name="Print_Area_MI_18">#REF!</definedName>
    <definedName name="Print_Area_MI_18_1">#REF!</definedName>
    <definedName name="Print_Area_MI_18_2">#REF!</definedName>
    <definedName name="Print_Area_MI_18_3">#REF!</definedName>
    <definedName name="Print_Area_MI_19">#REF!</definedName>
    <definedName name="Print_Area_MI_19_1">#REF!</definedName>
    <definedName name="Print_Area_MI_19_2">#REF!</definedName>
    <definedName name="Print_Area_MI_19_3">#REF!</definedName>
    <definedName name="Print_Area_MI_20">#REF!</definedName>
    <definedName name="Print_Area_MI_20_1">#REF!</definedName>
    <definedName name="Print_Area_MI_20_2">#REF!</definedName>
    <definedName name="Print_Area_MI_20_3">#REF!</definedName>
    <definedName name="Print_Area_MI_21">#REF!</definedName>
    <definedName name="Print_Area_MI_21_1">#REF!</definedName>
    <definedName name="Print_Area_MI_21_2">#REF!</definedName>
    <definedName name="Print_Area_MI_21_3">#REF!</definedName>
    <definedName name="Print_Area_MI_22">#REF!</definedName>
    <definedName name="Print_Area_MI_23">#REF!</definedName>
    <definedName name="Print_Area_MI_23_1">#REF!</definedName>
    <definedName name="Print_Area_MI_23_2">#REF!</definedName>
    <definedName name="Print_Area_MI_23_3">#REF!</definedName>
    <definedName name="Print_Area_MI_24">#REF!</definedName>
    <definedName name="Print_Area_MI_24_1">#REF!</definedName>
    <definedName name="Print_Area_MI_24_2">#REF!</definedName>
    <definedName name="Print_Area_MI_24_3">#REF!</definedName>
    <definedName name="Print_Area_MI_25">#REF!</definedName>
    <definedName name="Print_Area_MI_26">#REF!</definedName>
    <definedName name="Print_Area_MI_26_1">#REF!</definedName>
    <definedName name="Print_Area_MI_26_2">#REF!</definedName>
    <definedName name="Print_Area_MI_26_3">#REF!</definedName>
    <definedName name="Print_Area_MI_27">#REF!</definedName>
    <definedName name="Print_Area_MI_3">#REF!</definedName>
    <definedName name="Print_Area_MI_4">'[3]1(2) _D_'!$A$1:$G$23</definedName>
    <definedName name="Print_Area_MI_4_3">#REF!</definedName>
    <definedName name="s">[4]TABR!$A$1:$G$19</definedName>
    <definedName name="w">#REF!</definedName>
    <definedName name="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4" l="1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7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7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7" i="4"/>
  <c r="E18" i="2" l="1"/>
  <c r="E17" i="2"/>
  <c r="E16" i="2"/>
  <c r="E15" i="2"/>
  <c r="E14" i="2"/>
  <c r="E13" i="2"/>
  <c r="E12" i="2"/>
  <c r="E11" i="2"/>
  <c r="E9" i="2"/>
  <c r="D18" i="2"/>
  <c r="D17" i="2"/>
  <c r="D16" i="2"/>
  <c r="D15" i="2"/>
  <c r="D14" i="2"/>
  <c r="D13" i="2"/>
  <c r="D12" i="2"/>
  <c r="D11" i="2"/>
  <c r="D9" i="2"/>
  <c r="C18" i="2"/>
  <c r="C17" i="2"/>
  <c r="C16" i="2"/>
  <c r="C15" i="2"/>
  <c r="C14" i="2"/>
  <c r="C13" i="2"/>
  <c r="C12" i="2"/>
  <c r="C11" i="2"/>
  <c r="C9" i="2"/>
</calcChain>
</file>

<file path=xl/sharedStrings.xml><?xml version="1.0" encoding="utf-8"?>
<sst xmlns="http://schemas.openxmlformats.org/spreadsheetml/2006/main" count="177" uniqueCount="67">
  <si>
    <t>2009
 PSIC
 Code</t>
  </si>
  <si>
    <t>Industry Description</t>
  </si>
  <si>
    <t>Number
of
Establishments</t>
  </si>
  <si>
    <t>Employment
as of 15 November</t>
  </si>
  <si>
    <t>Total Revenue
(in thousand PhP)</t>
  </si>
  <si>
    <t>Total</t>
  </si>
  <si>
    <t>Paid
Employees</t>
  </si>
  <si>
    <t>(1)</t>
  </si>
  <si>
    <t>(2)</t>
  </si>
  <si>
    <t>(3)</t>
  </si>
  <si>
    <t>(4)</t>
  </si>
  <si>
    <t>F</t>
  </si>
  <si>
    <t>Construction</t>
  </si>
  <si>
    <t>F410</t>
  </si>
  <si>
    <t>Construction of buildings</t>
  </si>
  <si>
    <t>F421</t>
  </si>
  <si>
    <t>Construction of roads and railways</t>
  </si>
  <si>
    <t>F422</t>
  </si>
  <si>
    <t>Construction of utility projects</t>
  </si>
  <si>
    <t>F429</t>
  </si>
  <si>
    <t>Construction of other civil engineering projects</t>
  </si>
  <si>
    <t>F431</t>
  </si>
  <si>
    <t>Demolition and site preparation</t>
  </si>
  <si>
    <t>F432</t>
  </si>
  <si>
    <t>Electrical, plumbing and other construction installation activities</t>
  </si>
  <si>
    <t>F433</t>
  </si>
  <si>
    <t>Building completion and finishing</t>
  </si>
  <si>
    <t>F439</t>
  </si>
  <si>
    <t>Other specialized construction activities</t>
  </si>
  <si>
    <r>
      <t xml:space="preserve">Table 1 --- </t>
    </r>
    <r>
      <rPr>
        <b/>
        <i/>
        <sz val="9"/>
        <color rgb="FF000000"/>
        <rFont val="Arial Narrow"/>
        <family val="2"/>
      </rPr>
      <t>Concluded</t>
    </r>
  </si>
  <si>
    <t>Compensation</t>
  </si>
  <si>
    <t xml:space="preserve">Other Expense </t>
  </si>
  <si>
    <t>(5)</t>
  </si>
  <si>
    <t>(6)</t>
  </si>
  <si>
    <t>(7)</t>
  </si>
  <si>
    <t>Revenue
 per
 Expense
Ratio</t>
  </si>
  <si>
    <t>Region</t>
  </si>
  <si>
    <t>Philippines</t>
  </si>
  <si>
    <t xml:space="preserve">National Capital Region (NCR)                     </t>
  </si>
  <si>
    <t xml:space="preserve">Cordillera Administrative Region (CAR)            </t>
  </si>
  <si>
    <t xml:space="preserve">Region I (Ilocos Region)                          </t>
  </si>
  <si>
    <t xml:space="preserve">Region II (Cagayan Valley)                        </t>
  </si>
  <si>
    <t xml:space="preserve">Region III (Central Luzon)                        </t>
  </si>
  <si>
    <t xml:space="preserve">Region IV-A (CALABARZON)                          </t>
  </si>
  <si>
    <t xml:space="preserve">MIMAROPA Region                                   </t>
  </si>
  <si>
    <t xml:space="preserve">Region V (Bicol Region)                           </t>
  </si>
  <si>
    <t xml:space="preserve">Region VI (Western Visayas)                       </t>
  </si>
  <si>
    <t xml:space="preserve">Region VII (Central Visayas)                      </t>
  </si>
  <si>
    <t xml:space="preserve">Region VIII (Eastern Visayas)                     </t>
  </si>
  <si>
    <t xml:space="preserve">Region IX (Zamboanga Peninsula)                   </t>
  </si>
  <si>
    <t xml:space="preserve">Region X (Northern Mindanao)                      </t>
  </si>
  <si>
    <t xml:space="preserve">Region XI (Davao Region)                          </t>
  </si>
  <si>
    <t xml:space="preserve">Region XIII (Caraga)                              </t>
  </si>
  <si>
    <r>
      <t xml:space="preserve">Table 3 --- </t>
    </r>
    <r>
      <rPr>
        <b/>
        <i/>
        <sz val="9"/>
        <color rgb="FF000000"/>
        <rFont val="Arial Narrow"/>
        <family val="2"/>
      </rPr>
      <t>Concluded</t>
    </r>
  </si>
  <si>
    <t>Expense (in thousand PhP)</t>
  </si>
  <si>
    <t>Region XII (SOCCSKSARGEN)</t>
  </si>
  <si>
    <t>Table 1. Summary Statistics for Construction Establishments by Industry Group: Philippines, 2022</t>
  </si>
  <si>
    <t>(Preliminary)</t>
  </si>
  <si>
    <t>Table 2. Selected Indicators for Construction Establishments by Industry Group: Philippines, 2022</t>
  </si>
  <si>
    <t>Expense
(in thousand PhP)</t>
  </si>
  <si>
    <t>Average Annual Compensation
per Paid Employee
 (in PhP)</t>
  </si>
  <si>
    <t>Table 3. Summary Statistics for Construction Establishments by Region: Philippines, 2022</t>
  </si>
  <si>
    <t>Bangsamoro Autonomous Region in Muslim Mindanao (BARMM)</t>
  </si>
  <si>
    <t>Table 4. Selected Indicators for Construction Establishments by Region: Philippines, 2022</t>
  </si>
  <si>
    <t>Average Number of Workers
 per
 Establishment</t>
  </si>
  <si>
    <t>Source: Philippine Statistics Authority, 2022 Annual Survey of Philippine Business and Industry (Preliminary Results)</t>
  </si>
  <si>
    <t>Note: Details may not add-up to total due to rounding and/or statistical disclosure control.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</si>
</sst>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#,##0;\(#,##0\)"/>
    <numFmt numFmtId="166" formatCode="0.0%"/>
    <numFmt numFmtId="167" formatCode="#,##0.00;\(#,##0.00\)"/>
    <numFmt numFmtId="168" formatCode="_-* #,##0_-;\-* #,##0_-;_-* &quot;-&quot;??_-;_-@_-"/>
  </numFmts>
  <fonts count="1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b/>
      <sz val="9"/>
      <color rgb="FF000000"/>
      <name val="Arial Narrow"/>
      <family val="2"/>
    </font>
    <font>
      <sz val="9"/>
      <color rgb="FF000000"/>
      <name val="Arial Narrow"/>
      <family val="2"/>
    </font>
    <font>
      <sz val="9"/>
      <name val="Arial Narrow"/>
      <family val="2"/>
    </font>
    <font>
      <b/>
      <i/>
      <sz val="9"/>
      <color rgb="FF000000"/>
      <name val="Arial Narrow"/>
      <family val="2"/>
    </font>
    <font>
      <i/>
      <sz val="9"/>
      <color rgb="FF000000"/>
      <name val="Arial Narrow"/>
      <family val="2"/>
    </font>
    <font>
      <sz val="10"/>
      <color rgb="FF000000"/>
      <name val="Arial"/>
      <family val="2"/>
    </font>
    <font>
      <b/>
      <sz val="9"/>
      <color theme="1"/>
      <name val="Arial Narrow"/>
      <family val="2"/>
    </font>
    <font>
      <sz val="9"/>
      <color rgb="FFFF0000"/>
      <name val="Arial Narrow"/>
      <family val="2"/>
    </font>
    <font>
      <b/>
      <sz val="9"/>
      <name val="Arial Narrow"/>
      <family val="2"/>
    </font>
    <font>
      <i/>
      <sz val="9"/>
      <name val="Arial Narrow"/>
      <family val="2"/>
    </font>
    <font>
      <sz val="8"/>
      <color rgb="FF000000"/>
      <name val="Arial Narrow"/>
      <family val="2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6">
    <xf numFmtId="0" fontId="0" fillId="0" borderId="0"/>
    <xf numFmtId="164" fontId="7" fillId="0" borderId="0" applyFont="0" applyFill="0" applyBorder="0" applyAlignment="0" applyProtection="0"/>
    <xf numFmtId="0" fontId="7" fillId="0" borderId="0"/>
    <xf numFmtId="0" fontId="1" fillId="0" borderId="0"/>
    <xf numFmtId="0" fontId="13" fillId="0" borderId="0"/>
    <xf numFmtId="9" fontId="14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37" fontId="3" fillId="0" borderId="0" xfId="0" quotePrefix="1" applyNumberFormat="1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5" fontId="3" fillId="0" borderId="0" xfId="0" applyNumberFormat="1" applyFont="1"/>
    <xf numFmtId="0" fontId="4" fillId="0" borderId="0" xfId="0" applyFont="1"/>
    <xf numFmtId="165" fontId="4" fillId="0" borderId="0" xfId="0" applyNumberFormat="1" applyFont="1"/>
    <xf numFmtId="0" fontId="3" fillId="0" borderId="5" xfId="0" applyFont="1" applyBorder="1"/>
    <xf numFmtId="165" fontId="3" fillId="0" borderId="5" xfId="0" applyNumberFormat="1" applyFont="1" applyBorder="1"/>
    <xf numFmtId="0" fontId="3" fillId="0" borderId="0" xfId="2" applyFont="1"/>
    <xf numFmtId="0" fontId="2" fillId="0" borderId="0" xfId="2" applyFont="1" applyAlignment="1">
      <alignment vertical="center" wrapText="1"/>
    </xf>
    <xf numFmtId="0" fontId="3" fillId="0" borderId="0" xfId="2" applyFont="1" applyAlignment="1">
      <alignment horizontal="center" vertical="center" wrapText="1"/>
    </xf>
    <xf numFmtId="37" fontId="3" fillId="0" borderId="7" xfId="2" quotePrefix="1" applyNumberFormat="1" applyFont="1" applyBorder="1" applyAlignment="1">
      <alignment horizontal="center" vertical="center" wrapText="1"/>
    </xf>
    <xf numFmtId="37" fontId="3" fillId="0" borderId="8" xfId="2" quotePrefix="1" applyNumberFormat="1" applyFont="1" applyBorder="1" applyAlignment="1">
      <alignment horizontal="center" vertical="center" wrapText="1"/>
    </xf>
    <xf numFmtId="0" fontId="3" fillId="0" borderId="0" xfId="2" applyFont="1" applyAlignment="1">
      <alignment vertical="center" wrapText="1"/>
    </xf>
    <xf numFmtId="37" fontId="3" fillId="0" borderId="0" xfId="2" quotePrefix="1" applyNumberFormat="1" applyFont="1" applyAlignment="1">
      <alignment horizontal="center" vertical="center" wrapText="1"/>
    </xf>
    <xf numFmtId="165" fontId="2" fillId="0" borderId="0" xfId="2" applyNumberFormat="1" applyFont="1"/>
    <xf numFmtId="0" fontId="2" fillId="0" borderId="0" xfId="2" applyFont="1"/>
    <xf numFmtId="165" fontId="3" fillId="0" borderId="0" xfId="2" applyNumberFormat="1" applyFont="1"/>
    <xf numFmtId="164" fontId="3" fillId="0" borderId="0" xfId="1" applyFont="1"/>
    <xf numFmtId="0" fontId="9" fillId="0" borderId="0" xfId="2" applyFont="1"/>
    <xf numFmtId="0" fontId="3" fillId="0" borderId="5" xfId="2" applyFont="1" applyBorder="1"/>
    <xf numFmtId="165" fontId="3" fillId="0" borderId="5" xfId="2" applyNumberFormat="1" applyFont="1" applyBorder="1"/>
    <xf numFmtId="0" fontId="4" fillId="0" borderId="0" xfId="2" applyFont="1"/>
    <xf numFmtId="0" fontId="10" fillId="0" borderId="0" xfId="2" applyFont="1" applyAlignment="1">
      <alignment vertical="center" wrapText="1"/>
    </xf>
    <xf numFmtId="37" fontId="4" fillId="0" borderId="3" xfId="2" quotePrefix="1" applyNumberFormat="1" applyFont="1" applyBorder="1" applyAlignment="1">
      <alignment horizontal="center" vertical="center" wrapText="1"/>
    </xf>
    <xf numFmtId="37" fontId="4" fillId="0" borderId="4" xfId="2" quotePrefix="1" applyNumberFormat="1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37" fontId="4" fillId="0" borderId="0" xfId="2" quotePrefix="1" applyNumberFormat="1" applyFont="1" applyAlignment="1">
      <alignment horizontal="center" vertical="center" wrapText="1"/>
    </xf>
    <xf numFmtId="0" fontId="10" fillId="0" borderId="0" xfId="2" applyFont="1"/>
    <xf numFmtId="165" fontId="10" fillId="0" borderId="0" xfId="2" applyNumberFormat="1" applyFont="1"/>
    <xf numFmtId="165" fontId="4" fillId="0" borderId="0" xfId="2" applyNumberFormat="1" applyFont="1"/>
    <xf numFmtId="165" fontId="4" fillId="0" borderId="0" xfId="2" applyNumberFormat="1" applyFont="1" applyAlignment="1">
      <alignment horizontal="right"/>
    </xf>
    <xf numFmtId="0" fontId="4" fillId="0" borderId="5" xfId="2" applyFont="1" applyBorder="1"/>
    <xf numFmtId="165" fontId="4" fillId="0" borderId="5" xfId="2" applyNumberFormat="1" applyFont="1" applyBorder="1"/>
    <xf numFmtId="0" fontId="12" fillId="0" borderId="0" xfId="2" applyFont="1"/>
    <xf numFmtId="164" fontId="10" fillId="0" borderId="0" xfId="1" applyFont="1" applyFill="1"/>
    <xf numFmtId="164" fontId="4" fillId="0" borderId="0" xfId="1" applyFont="1" applyFill="1"/>
    <xf numFmtId="166" fontId="3" fillId="0" borderId="0" xfId="5" applyNumberFormat="1" applyFont="1"/>
    <xf numFmtId="166" fontId="4" fillId="0" borderId="0" xfId="2" applyNumberFormat="1" applyFont="1"/>
    <xf numFmtId="167" fontId="2" fillId="0" borderId="0" xfId="2" applyNumberFormat="1" applyFont="1"/>
    <xf numFmtId="167" fontId="4" fillId="0" borderId="0" xfId="2" applyNumberFormat="1" applyFont="1"/>
    <xf numFmtId="168" fontId="4" fillId="0" borderId="0" xfId="1" applyNumberFormat="1" applyFont="1"/>
    <xf numFmtId="166" fontId="4" fillId="0" borderId="0" xfId="5" applyNumberFormat="1" applyFont="1"/>
    <xf numFmtId="168" fontId="3" fillId="0" borderId="0" xfId="1" applyNumberFormat="1" applyFont="1"/>
    <xf numFmtId="165" fontId="10" fillId="0" borderId="0" xfId="0" applyNumberFormat="1" applyFont="1"/>
    <xf numFmtId="165" fontId="9" fillId="0" borderId="0" xfId="2" applyNumberFormat="1" applyFont="1"/>
    <xf numFmtId="164" fontId="9" fillId="0" borderId="0" xfId="1" applyFont="1"/>
    <xf numFmtId="0" fontId="6" fillId="0" borderId="0" xfId="0" applyFont="1"/>
    <xf numFmtId="0" fontId="11" fillId="0" borderId="0" xfId="2" applyFont="1"/>
    <xf numFmtId="164" fontId="10" fillId="0" borderId="0" xfId="1" applyFont="1"/>
    <xf numFmtId="164" fontId="4" fillId="0" borderId="0" xfId="1" applyFont="1"/>
    <xf numFmtId="37" fontId="2" fillId="0" borderId="3" xfId="0" quotePrefix="1" applyNumberFormat="1" applyFont="1" applyBorder="1" applyAlignment="1">
      <alignment horizontal="center" vertical="center" wrapText="1"/>
    </xf>
    <xf numFmtId="37" fontId="2" fillId="0" borderId="4" xfId="0" quotePrefix="1" applyNumberFormat="1" applyFont="1" applyBorder="1" applyAlignment="1">
      <alignment horizontal="center" vertical="center" wrapText="1"/>
    </xf>
    <xf numFmtId="0" fontId="6" fillId="0" borderId="0" xfId="2" applyFont="1"/>
    <xf numFmtId="37" fontId="10" fillId="0" borderId="3" xfId="2" quotePrefix="1" applyNumberFormat="1" applyFont="1" applyBorder="1" applyAlignment="1">
      <alignment horizontal="center" vertical="center" wrapText="1"/>
    </xf>
    <xf numFmtId="37" fontId="10" fillId="0" borderId="4" xfId="2" quotePrefix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2" fillId="0" borderId="9" xfId="2" applyFont="1" applyBorder="1" applyAlignment="1">
      <alignment horizontal="center" vertical="center" wrapText="1"/>
    </xf>
    <xf numFmtId="0" fontId="2" fillId="0" borderId="10" xfId="2" applyFont="1" applyBorder="1" applyAlignment="1">
      <alignment horizontal="center" vertical="center" wrapText="1"/>
    </xf>
    <xf numFmtId="0" fontId="2" fillId="0" borderId="11" xfId="2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3" fillId="0" borderId="0" xfId="2" applyFont="1" applyAlignment="1">
      <alignment horizontal="center"/>
    </xf>
    <xf numFmtId="0" fontId="2" fillId="0" borderId="6" xfId="2" applyFont="1" applyBorder="1" applyAlignment="1">
      <alignment horizontal="center" vertical="center" wrapText="1"/>
    </xf>
    <xf numFmtId="0" fontId="2" fillId="0" borderId="7" xfId="2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wrapText="1"/>
    </xf>
    <xf numFmtId="0" fontId="8" fillId="0" borderId="16" xfId="3" applyFont="1" applyBorder="1" applyAlignment="1">
      <alignment horizontal="center" vertical="center" wrapText="1"/>
    </xf>
    <xf numFmtId="0" fontId="8" fillId="0" borderId="17" xfId="3" applyFont="1" applyBorder="1" applyAlignment="1">
      <alignment horizontal="center" vertical="center" wrapText="1"/>
    </xf>
    <xf numFmtId="0" fontId="8" fillId="0" borderId="18" xfId="3" applyFont="1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 wrapText="1"/>
    </xf>
    <xf numFmtId="0" fontId="8" fillId="0" borderId="20" xfId="3" applyFont="1" applyBorder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top"/>
    </xf>
    <xf numFmtId="0" fontId="10" fillId="0" borderId="2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10" fillId="0" borderId="3" xfId="3" applyFont="1" applyBorder="1" applyAlignment="1">
      <alignment horizontal="center" vertical="center" wrapText="1"/>
    </xf>
    <xf numFmtId="0" fontId="8" fillId="0" borderId="7" xfId="3" applyFont="1" applyBorder="1" applyAlignment="1">
      <alignment horizontal="center" vertical="center" wrapText="1"/>
    </xf>
    <xf numFmtId="0" fontId="8" fillId="0" borderId="8" xfId="3" applyFont="1" applyBorder="1" applyAlignment="1">
      <alignment horizontal="center" vertical="center" wrapText="1"/>
    </xf>
  </cellXfs>
  <cellStyles count="6">
    <cellStyle name="Comma" xfId="1" builtinId="3"/>
    <cellStyle name="Normal" xfId="0" builtinId="0"/>
    <cellStyle name="Normal 2" xfId="2" xr:uid="{00000000-0005-0000-0000-000002000000}"/>
    <cellStyle name="Normal 2 2" xfId="4" xr:uid="{00000000-0005-0000-0000-000003000000}"/>
    <cellStyle name="Normal 4 2" xfId="3" xr:uid="{00000000-0005-0000-0000-000004000000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ga%20%202013%20aspbi%20sict\Documents%20and%20Settings\Carole\Desktop\Annie\ASPBIedit\TAB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ga%20%202013%20aspbi%20sict\Documents%20and%20Settings\BSSD\Desktop\2006%20cpbi%20table%20formats%20and%20specs\Annie\ASPBIedit\TAB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bl%20specs%20final%20file\J\table%201%20_summary%20statistics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ga%20%202013%20aspbi%20sict\Documents%20and%20Settings\BSSD\Desktop\2006%20cpbi%20table%20formats%20and%20specs\Annie\ASPBIedit\TAB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5N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5N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_A_"/>
      <sheetName val="1(2) _A_"/>
      <sheetName val="1 _B_"/>
      <sheetName val="1 _C_"/>
      <sheetName val="1(2) _C_"/>
      <sheetName val="1 _D_"/>
      <sheetName val="1(2) _D_"/>
      <sheetName val="1 _E_"/>
      <sheetName val="1(2) _E_"/>
      <sheetName val="1 _F_"/>
      <sheetName val="1(2) _F_"/>
      <sheetName val="1 _G_"/>
      <sheetName val="1 _H_"/>
      <sheetName val="1 _I_"/>
      <sheetName val="1 _J_"/>
      <sheetName val="1 _K_"/>
      <sheetName val="1 _M_"/>
      <sheetName val="1 _N_"/>
      <sheetName val="1 _O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">
          <cell r="A1" t="str">
            <v>Table 1.  Summary Statistics for Manufacturing Establishments</v>
          </cell>
        </row>
        <row r="2">
          <cell r="A2" t="str">
            <v>With Average Total Employment of (20 and Over / Less Than 20) by Region and by Industry Sub-class: 2006 (Concluded)</v>
          </cell>
        </row>
        <row r="3">
          <cell r="A3" t="str">
            <v>(Value in thousand pesos. Details may not add up to totals due to rounding.)</v>
          </cell>
        </row>
        <row r="5">
          <cell r="D5" t="str">
            <v>Cost of Materials,</v>
          </cell>
        </row>
        <row r="6">
          <cell r="A6">
            <v>1994</v>
          </cell>
          <cell r="B6" t="str">
            <v>Industry</v>
          </cell>
          <cell r="C6" t="str">
            <v xml:space="preserve">Value of </v>
          </cell>
          <cell r="D6" t="str">
            <v>Fuels &amp; Electricity</v>
          </cell>
          <cell r="E6" t="str">
            <v>Census</v>
          </cell>
          <cell r="F6" t="str">
            <v>Value</v>
          </cell>
          <cell r="G6" t="str">
            <v>Gross Additions</v>
          </cell>
        </row>
        <row r="7">
          <cell r="A7" t="str">
            <v>PSIC</v>
          </cell>
          <cell r="B7" t="str">
            <v>Description</v>
          </cell>
          <cell r="C7" t="str">
            <v>Output</v>
          </cell>
          <cell r="D7" t="str">
            <v>Consumed and</v>
          </cell>
          <cell r="E7" t="str">
            <v>Value Added</v>
          </cell>
          <cell r="F7" t="str">
            <v>Added</v>
          </cell>
          <cell r="G7" t="str">
            <v>to Fixed Assets</v>
          </cell>
        </row>
        <row r="8">
          <cell r="A8" t="str">
            <v>Code</v>
          </cell>
          <cell r="D8" t="str">
            <v>Industrial Services</v>
          </cell>
        </row>
        <row r="9">
          <cell r="D9" t="str">
            <v>Done by Others</v>
          </cell>
        </row>
        <row r="10">
          <cell r="C10" t="str">
            <v>(8)</v>
          </cell>
          <cell r="D10" t="str">
            <v>(9)</v>
          </cell>
          <cell r="E10" t="str">
            <v>(10)</v>
          </cell>
          <cell r="F10" t="str">
            <v>(11)</v>
          </cell>
          <cell r="G10" t="str">
            <v>(12)</v>
          </cell>
        </row>
        <row r="12">
          <cell r="A12" t="str">
            <v>Table columns with corresponding items in CPBI Form No. 2 (2006 Census of Philippine Business and Industry)</v>
          </cell>
        </row>
        <row r="14">
          <cell r="C14" t="str">
            <v>Col 8 = Table 4 Col 2</v>
          </cell>
        </row>
        <row r="15">
          <cell r="C15" t="str">
            <v>Col 9 = Item 14 (a+b+c+d) + Item 21d (Col 1 - Col 2)</v>
          </cell>
        </row>
        <row r="16">
          <cell r="C16" t="str">
            <v>Col 10 = Col 8 - Col 9</v>
          </cell>
        </row>
        <row r="17">
          <cell r="C17" t="str">
            <v>Col 11 = Table 10 Col 6</v>
          </cell>
        </row>
        <row r="18">
          <cell r="C18" t="str">
            <v>Col 12 = Table 6 Col 2</v>
          </cell>
        </row>
        <row r="19">
          <cell r="C19" t="str">
            <v>Col 13 = Item 21g (Col 2 - Col 1), "Inventories"</v>
          </cell>
        </row>
        <row r="20">
          <cell r="C20" t="str">
            <v>Col 14 = Item 13, "Subsidies"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R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6" zoomScaleNormal="100" workbookViewId="0">
      <selection activeCell="A40" sqref="A40"/>
    </sheetView>
  </sheetViews>
  <sheetFormatPr defaultColWidth="8.85546875" defaultRowHeight="13.5" x14ac:dyDescent="0.25"/>
  <cols>
    <col min="1" max="1" width="5.7109375" style="1" customWidth="1"/>
    <col min="2" max="2" width="40.7109375" style="1" customWidth="1"/>
    <col min="3" max="6" width="12.7109375" style="7" customWidth="1"/>
    <col min="7" max="7" width="11.140625" style="7" customWidth="1"/>
    <col min="8" max="8" width="12" style="7" customWidth="1"/>
    <col min="9" max="10" width="11" style="1" bestFit="1" customWidth="1"/>
    <col min="11" max="16384" width="8.85546875" style="1"/>
  </cols>
  <sheetData>
    <row r="1" spans="1:11" ht="23.25" customHeight="1" x14ac:dyDescent="0.25">
      <c r="A1" s="60" t="s">
        <v>56</v>
      </c>
      <c r="B1" s="60"/>
      <c r="C1" s="60"/>
      <c r="D1" s="60"/>
      <c r="E1" s="60"/>
      <c r="F1" s="60"/>
      <c r="G1" s="1"/>
      <c r="H1" s="1"/>
    </row>
    <row r="2" spans="1:11" ht="23.25" customHeight="1" x14ac:dyDescent="0.25">
      <c r="A2" s="61" t="s">
        <v>57</v>
      </c>
      <c r="B2" s="61"/>
      <c r="C2" s="61"/>
      <c r="D2" s="61"/>
      <c r="E2" s="61"/>
      <c r="F2" s="61"/>
      <c r="G2" s="1"/>
      <c r="H2" s="1"/>
    </row>
    <row r="3" spans="1:11" ht="5.0999999999999996" customHeight="1" x14ac:dyDescent="0.25">
      <c r="A3" s="62"/>
      <c r="B3" s="62"/>
      <c r="C3" s="62"/>
      <c r="D3" s="62"/>
      <c r="E3" s="62"/>
      <c r="F3" s="62"/>
      <c r="G3" s="1"/>
      <c r="H3" s="1"/>
    </row>
    <row r="4" spans="1:11" s="2" customFormat="1" ht="30" customHeight="1" x14ac:dyDescent="0.2">
      <c r="A4" s="63" t="s">
        <v>0</v>
      </c>
      <c r="B4" s="66" t="s">
        <v>1</v>
      </c>
      <c r="C4" s="69" t="s">
        <v>2</v>
      </c>
      <c r="D4" s="69" t="s">
        <v>3</v>
      </c>
      <c r="E4" s="69"/>
      <c r="F4" s="70" t="s">
        <v>4</v>
      </c>
    </row>
    <row r="5" spans="1:11" s="2" customFormat="1" ht="30" customHeight="1" x14ac:dyDescent="0.2">
      <c r="A5" s="64"/>
      <c r="B5" s="67"/>
      <c r="C5" s="69"/>
      <c r="D5" s="69" t="s">
        <v>5</v>
      </c>
      <c r="E5" s="69" t="s">
        <v>6</v>
      </c>
      <c r="F5" s="70"/>
    </row>
    <row r="6" spans="1:11" s="2" customFormat="1" ht="13.5" customHeight="1" x14ac:dyDescent="0.2">
      <c r="A6" s="64"/>
      <c r="B6" s="67"/>
      <c r="C6" s="69"/>
      <c r="D6" s="69"/>
      <c r="E6" s="69"/>
      <c r="F6" s="70"/>
    </row>
    <row r="7" spans="1:11" ht="13.5" customHeight="1" x14ac:dyDescent="0.25">
      <c r="A7" s="65"/>
      <c r="B7" s="68"/>
      <c r="C7" s="55" t="s">
        <v>7</v>
      </c>
      <c r="D7" s="55" t="s">
        <v>8</v>
      </c>
      <c r="E7" s="55" t="s">
        <v>9</v>
      </c>
      <c r="F7" s="56" t="s">
        <v>10</v>
      </c>
      <c r="G7" s="1"/>
      <c r="H7" s="1"/>
    </row>
    <row r="8" spans="1:11" ht="13.5" customHeight="1" x14ac:dyDescent="0.25">
      <c r="A8" s="3"/>
      <c r="B8" s="3"/>
      <c r="C8" s="4"/>
      <c r="D8" s="4"/>
      <c r="E8" s="4"/>
      <c r="F8" s="4"/>
      <c r="G8" s="1"/>
      <c r="H8" s="1"/>
    </row>
    <row r="9" spans="1:11" s="5" customFormat="1" x14ac:dyDescent="0.25">
      <c r="A9" s="5" t="s">
        <v>11</v>
      </c>
      <c r="B9" s="5" t="s">
        <v>12</v>
      </c>
      <c r="C9" s="48">
        <v>2239</v>
      </c>
      <c r="D9" s="48">
        <v>286849</v>
      </c>
      <c r="E9" s="48">
        <v>286251</v>
      </c>
      <c r="F9" s="48">
        <v>636243292</v>
      </c>
    </row>
    <row r="10" spans="1:11" ht="3" customHeight="1" x14ac:dyDescent="0.25">
      <c r="A10" s="5"/>
      <c r="C10" s="9"/>
      <c r="D10" s="9"/>
      <c r="E10" s="9"/>
      <c r="F10" s="9"/>
      <c r="G10" s="1"/>
      <c r="H10" s="1"/>
    </row>
    <row r="11" spans="1:11" x14ac:dyDescent="0.25">
      <c r="A11" s="1" t="s">
        <v>13</v>
      </c>
      <c r="B11" s="1" t="s">
        <v>14</v>
      </c>
      <c r="C11" s="9">
        <v>993</v>
      </c>
      <c r="D11" s="9">
        <v>89258</v>
      </c>
      <c r="E11" s="9">
        <v>89083</v>
      </c>
      <c r="F11" s="9">
        <v>227627925</v>
      </c>
      <c r="G11" s="41"/>
      <c r="H11" s="12"/>
      <c r="I11" s="45"/>
      <c r="J11" s="45"/>
      <c r="K11" s="9"/>
    </row>
    <row r="12" spans="1:11" s="8" customFormat="1" x14ac:dyDescent="0.25">
      <c r="A12" s="8" t="s">
        <v>15</v>
      </c>
      <c r="B12" s="8" t="s">
        <v>16</v>
      </c>
      <c r="C12" s="9">
        <v>348</v>
      </c>
      <c r="D12" s="9">
        <v>98198</v>
      </c>
      <c r="E12" s="9">
        <v>97922</v>
      </c>
      <c r="F12" s="9">
        <v>224529338</v>
      </c>
      <c r="G12" s="41"/>
      <c r="H12" s="12"/>
      <c r="I12" s="47"/>
      <c r="J12" s="47"/>
      <c r="K12" s="1"/>
    </row>
    <row r="13" spans="1:11" s="8" customFormat="1" x14ac:dyDescent="0.25">
      <c r="A13" s="8" t="s">
        <v>17</v>
      </c>
      <c r="B13" s="8" t="s">
        <v>18</v>
      </c>
      <c r="C13" s="9">
        <v>110</v>
      </c>
      <c r="D13" s="9">
        <v>18141</v>
      </c>
      <c r="E13" s="9">
        <v>18131</v>
      </c>
      <c r="F13" s="9">
        <v>19183510</v>
      </c>
      <c r="G13" s="41"/>
      <c r="H13" s="12"/>
      <c r="I13" s="47"/>
      <c r="J13" s="47"/>
      <c r="K13" s="1"/>
    </row>
    <row r="14" spans="1:11" x14ac:dyDescent="0.25">
      <c r="A14" s="1" t="s">
        <v>19</v>
      </c>
      <c r="B14" s="1" t="s">
        <v>20</v>
      </c>
      <c r="C14" s="9">
        <v>173</v>
      </c>
      <c r="D14" s="9">
        <v>20717</v>
      </c>
      <c r="E14" s="9">
        <v>20689</v>
      </c>
      <c r="F14" s="9">
        <v>53975297</v>
      </c>
      <c r="G14" s="41"/>
      <c r="H14" s="12"/>
      <c r="I14" s="45"/>
      <c r="J14" s="45"/>
      <c r="K14" s="8"/>
    </row>
    <row r="15" spans="1:11" x14ac:dyDescent="0.25">
      <c r="A15" s="1" t="s">
        <v>21</v>
      </c>
      <c r="B15" s="1" t="s">
        <v>22</v>
      </c>
      <c r="C15" s="9">
        <v>13</v>
      </c>
      <c r="D15" s="9">
        <v>3063</v>
      </c>
      <c r="E15" s="9">
        <v>3063</v>
      </c>
      <c r="F15" s="9">
        <v>12129837</v>
      </c>
      <c r="G15" s="41"/>
      <c r="H15" s="12"/>
      <c r="I15" s="47"/>
      <c r="J15" s="47"/>
    </row>
    <row r="16" spans="1:11" x14ac:dyDescent="0.25">
      <c r="A16" s="1" t="s">
        <v>23</v>
      </c>
      <c r="B16" s="1" t="s">
        <v>24</v>
      </c>
      <c r="C16" s="9">
        <v>424</v>
      </c>
      <c r="D16" s="9">
        <v>38390</v>
      </c>
      <c r="E16" s="9">
        <v>38325</v>
      </c>
      <c r="F16" s="9">
        <v>59335328</v>
      </c>
      <c r="G16" s="41"/>
      <c r="H16" s="12"/>
      <c r="I16" s="47"/>
      <c r="J16" s="47"/>
    </row>
    <row r="17" spans="1:10" x14ac:dyDescent="0.25">
      <c r="A17" s="1" t="s">
        <v>25</v>
      </c>
      <c r="B17" s="1" t="s">
        <v>26</v>
      </c>
      <c r="C17" s="9">
        <v>72</v>
      </c>
      <c r="D17" s="9">
        <v>4293</v>
      </c>
      <c r="E17" s="9">
        <v>4282</v>
      </c>
      <c r="F17" s="9">
        <v>6694333</v>
      </c>
      <c r="G17" s="41"/>
      <c r="H17" s="12"/>
      <c r="I17" s="47"/>
      <c r="J17" s="47"/>
    </row>
    <row r="18" spans="1:10" x14ac:dyDescent="0.25">
      <c r="A18" s="1" t="s">
        <v>27</v>
      </c>
      <c r="B18" s="1" t="s">
        <v>28</v>
      </c>
      <c r="C18" s="9">
        <v>107</v>
      </c>
      <c r="D18" s="9">
        <v>14789</v>
      </c>
      <c r="E18" s="9">
        <v>14757</v>
      </c>
      <c r="F18" s="9">
        <v>32767723</v>
      </c>
      <c r="G18" s="41"/>
      <c r="H18" s="12"/>
      <c r="I18" s="47"/>
      <c r="J18" s="47"/>
    </row>
    <row r="19" spans="1:10" x14ac:dyDescent="0.25">
      <c r="G19" s="1"/>
      <c r="H19" s="1"/>
    </row>
    <row r="20" spans="1:10" x14ac:dyDescent="0.25">
      <c r="A20" s="5" t="s">
        <v>29</v>
      </c>
      <c r="G20" s="1"/>
      <c r="H20" s="1"/>
    </row>
    <row r="22" spans="1:10" ht="30" customHeight="1" x14ac:dyDescent="0.25">
      <c r="A22" s="63" t="s">
        <v>0</v>
      </c>
      <c r="B22" s="66" t="s">
        <v>1</v>
      </c>
      <c r="C22" s="69" t="s">
        <v>59</v>
      </c>
      <c r="D22" s="69"/>
      <c r="E22" s="70"/>
      <c r="H22" s="1"/>
    </row>
    <row r="23" spans="1:10" ht="30" customHeight="1" x14ac:dyDescent="0.25">
      <c r="A23" s="64"/>
      <c r="B23" s="67"/>
      <c r="C23" s="69" t="s">
        <v>5</v>
      </c>
      <c r="D23" s="69" t="s">
        <v>30</v>
      </c>
      <c r="E23" s="70" t="s">
        <v>31</v>
      </c>
      <c r="H23" s="1"/>
    </row>
    <row r="24" spans="1:10" x14ac:dyDescent="0.25">
      <c r="A24" s="64"/>
      <c r="B24" s="67"/>
      <c r="C24" s="69"/>
      <c r="D24" s="69"/>
      <c r="E24" s="70"/>
      <c r="H24" s="1"/>
    </row>
    <row r="25" spans="1:10" x14ac:dyDescent="0.25">
      <c r="A25" s="65"/>
      <c r="B25" s="68"/>
      <c r="C25" s="55" t="s">
        <v>32</v>
      </c>
      <c r="D25" s="55" t="s">
        <v>33</v>
      </c>
      <c r="E25" s="56" t="s">
        <v>34</v>
      </c>
      <c r="H25" s="1"/>
    </row>
    <row r="26" spans="1:10" x14ac:dyDescent="0.25">
      <c r="A26" s="3"/>
      <c r="B26" s="3"/>
      <c r="C26" s="4"/>
      <c r="D26" s="4"/>
      <c r="E26" s="4"/>
      <c r="H26" s="1"/>
    </row>
    <row r="27" spans="1:10" s="5" customFormat="1" x14ac:dyDescent="0.25">
      <c r="A27" s="5" t="s">
        <v>11</v>
      </c>
      <c r="B27" s="5" t="s">
        <v>12</v>
      </c>
      <c r="C27" s="48">
        <v>554874946</v>
      </c>
      <c r="D27" s="48">
        <v>69786899</v>
      </c>
      <c r="E27" s="48">
        <v>485088047</v>
      </c>
      <c r="F27" s="6"/>
    </row>
    <row r="28" spans="1:10" ht="3" customHeight="1" x14ac:dyDescent="0.25">
      <c r="A28" s="5"/>
      <c r="C28" s="9"/>
      <c r="D28" s="9"/>
      <c r="E28" s="9"/>
      <c r="G28" s="1"/>
      <c r="H28" s="1"/>
    </row>
    <row r="29" spans="1:10" x14ac:dyDescent="0.25">
      <c r="A29" s="1" t="s">
        <v>13</v>
      </c>
      <c r="B29" s="1" t="s">
        <v>14</v>
      </c>
      <c r="C29" s="9">
        <v>201035337</v>
      </c>
      <c r="D29" s="9">
        <v>20851701</v>
      </c>
      <c r="E29" s="9">
        <v>180183636</v>
      </c>
      <c r="G29" s="12"/>
      <c r="H29" s="1"/>
    </row>
    <row r="30" spans="1:10" s="8" customFormat="1" x14ac:dyDescent="0.25">
      <c r="A30" s="8" t="s">
        <v>15</v>
      </c>
      <c r="B30" s="8" t="s">
        <v>16</v>
      </c>
      <c r="C30" s="9">
        <v>191893972</v>
      </c>
      <c r="D30" s="9">
        <v>25195155</v>
      </c>
      <c r="E30" s="9">
        <v>166698818</v>
      </c>
      <c r="F30" s="9"/>
      <c r="G30" s="12"/>
      <c r="H30" s="9"/>
      <c r="I30" s="9"/>
      <c r="J30" s="9"/>
    </row>
    <row r="31" spans="1:10" s="8" customFormat="1" x14ac:dyDescent="0.25">
      <c r="A31" s="8" t="s">
        <v>17</v>
      </c>
      <c r="B31" s="8" t="s">
        <v>18</v>
      </c>
      <c r="C31" s="9">
        <v>18583059</v>
      </c>
      <c r="D31" s="9">
        <v>4766531</v>
      </c>
      <c r="E31" s="9">
        <v>13816528</v>
      </c>
      <c r="F31" s="9"/>
      <c r="G31" s="12"/>
    </row>
    <row r="32" spans="1:10" x14ac:dyDescent="0.25">
      <c r="A32" s="1" t="s">
        <v>19</v>
      </c>
      <c r="B32" s="1" t="s">
        <v>20</v>
      </c>
      <c r="C32" s="9">
        <v>46695424</v>
      </c>
      <c r="D32" s="9">
        <v>4553630</v>
      </c>
      <c r="E32" s="9">
        <v>42141794</v>
      </c>
      <c r="G32" s="12"/>
      <c r="H32" s="1"/>
    </row>
    <row r="33" spans="1:8" x14ac:dyDescent="0.25">
      <c r="A33" s="1" t="s">
        <v>21</v>
      </c>
      <c r="B33" s="1" t="s">
        <v>22</v>
      </c>
      <c r="C33" s="9">
        <v>8591747</v>
      </c>
      <c r="D33" s="9">
        <v>688102</v>
      </c>
      <c r="E33" s="9">
        <v>7903645</v>
      </c>
      <c r="G33" s="12"/>
      <c r="H33" s="1"/>
    </row>
    <row r="34" spans="1:8" x14ac:dyDescent="0.25">
      <c r="A34" s="1" t="s">
        <v>23</v>
      </c>
      <c r="B34" s="1" t="s">
        <v>24</v>
      </c>
      <c r="C34" s="9">
        <v>53252242</v>
      </c>
      <c r="D34" s="9">
        <v>9914482</v>
      </c>
      <c r="E34" s="9">
        <v>43337760</v>
      </c>
      <c r="G34" s="12"/>
      <c r="H34" s="1"/>
    </row>
    <row r="35" spans="1:8" x14ac:dyDescent="0.25">
      <c r="A35" s="1" t="s">
        <v>25</v>
      </c>
      <c r="B35" s="1" t="s">
        <v>26</v>
      </c>
      <c r="C35" s="9">
        <v>6047698</v>
      </c>
      <c r="D35" s="9">
        <v>995073</v>
      </c>
      <c r="E35" s="9">
        <v>5052625</v>
      </c>
      <c r="G35" s="12"/>
      <c r="H35" s="1"/>
    </row>
    <row r="36" spans="1:8" x14ac:dyDescent="0.25">
      <c r="A36" s="1" t="s">
        <v>27</v>
      </c>
      <c r="B36" s="1" t="s">
        <v>28</v>
      </c>
      <c r="C36" s="9">
        <v>28775466</v>
      </c>
      <c r="D36" s="9">
        <v>2822225</v>
      </c>
      <c r="E36" s="9">
        <v>25953240</v>
      </c>
      <c r="G36" s="12"/>
      <c r="H36" s="1"/>
    </row>
    <row r="37" spans="1:8" x14ac:dyDescent="0.25">
      <c r="H37" s="1"/>
    </row>
    <row r="38" spans="1:8" ht="7.5" customHeight="1" x14ac:dyDescent="0.25">
      <c r="A38" s="10"/>
      <c r="B38" s="10"/>
      <c r="C38" s="11"/>
      <c r="D38" s="11"/>
      <c r="E38" s="11"/>
      <c r="H38" s="1"/>
    </row>
    <row r="39" spans="1:8" ht="6" customHeight="1" x14ac:dyDescent="0.25"/>
    <row r="40" spans="1:8" x14ac:dyDescent="0.25">
      <c r="A40" s="51" t="s">
        <v>66</v>
      </c>
    </row>
    <row r="41" spans="1:8" x14ac:dyDescent="0.25">
      <c r="A41" s="51" t="s">
        <v>65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sortState xmlns:xlrd2="http://schemas.microsoft.com/office/spreadsheetml/2017/richdata2" ref="H11:K18">
    <sortCondition ref="H11:H18"/>
  </sortState>
  <mergeCells count="16">
    <mergeCell ref="A22:A25"/>
    <mergeCell ref="B22:B25"/>
    <mergeCell ref="C22:E22"/>
    <mergeCell ref="C23:C24"/>
    <mergeCell ref="D23:D24"/>
    <mergeCell ref="E23:E24"/>
    <mergeCell ref="A1:F1"/>
    <mergeCell ref="A2:F2"/>
    <mergeCell ref="A3:F3"/>
    <mergeCell ref="A4:A7"/>
    <mergeCell ref="B4:B7"/>
    <mergeCell ref="C4:C6"/>
    <mergeCell ref="D4:E4"/>
    <mergeCell ref="F4:F6"/>
    <mergeCell ref="D5:D6"/>
    <mergeCell ref="E5:E6"/>
  </mergeCells>
  <printOptions horizontalCentered="1"/>
  <pageMargins left="0.25" right="0.25" top="0.75" bottom="0.25" header="3.9370078740157501E-2" footer="0.196850393700787"/>
  <pageSetup paperSize="9" orientation="portrait" r:id="rId1"/>
  <headerFooter alignWithMargins="0">
    <oddFooter>&amp;RPage 1 of 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zoomScaleNormal="100" workbookViewId="0">
      <selection sqref="A1:E1"/>
    </sheetView>
  </sheetViews>
  <sheetFormatPr defaultColWidth="8.85546875" defaultRowHeight="13.5" x14ac:dyDescent="0.25"/>
  <cols>
    <col min="1" max="1" width="5.7109375" style="12" customWidth="1"/>
    <col min="2" max="2" width="40.7109375" style="12" customWidth="1"/>
    <col min="3" max="5" width="12.7109375" style="21" customWidth="1"/>
    <col min="6" max="6" width="11.7109375" style="12" customWidth="1"/>
    <col min="7" max="16384" width="8.85546875" style="12"/>
  </cols>
  <sheetData>
    <row r="1" spans="1:9" ht="26.25" customHeight="1" x14ac:dyDescent="0.25">
      <c r="A1" s="71" t="s">
        <v>58</v>
      </c>
      <c r="B1" s="71"/>
      <c r="C1" s="71"/>
      <c r="D1" s="71"/>
      <c r="E1" s="71"/>
    </row>
    <row r="2" spans="1:9" x14ac:dyDescent="0.25">
      <c r="A2" s="72" t="s">
        <v>57</v>
      </c>
      <c r="B2" s="72"/>
      <c r="C2" s="72"/>
      <c r="D2" s="72"/>
      <c r="E2" s="72"/>
    </row>
    <row r="3" spans="1:9" s="13" customFormat="1" ht="5.0999999999999996" customHeight="1" x14ac:dyDescent="0.2">
      <c r="C3" s="14"/>
      <c r="D3" s="14"/>
      <c r="E3" s="14"/>
    </row>
    <row r="4" spans="1:9" s="13" customFormat="1" ht="30" customHeight="1" x14ac:dyDescent="0.2">
      <c r="A4" s="73" t="s">
        <v>0</v>
      </c>
      <c r="B4" s="74" t="s">
        <v>1</v>
      </c>
      <c r="C4" s="75" t="s">
        <v>64</v>
      </c>
      <c r="D4" s="75" t="s">
        <v>60</v>
      </c>
      <c r="E4" s="78" t="s">
        <v>35</v>
      </c>
    </row>
    <row r="5" spans="1:9" s="13" customFormat="1" ht="30" customHeight="1" x14ac:dyDescent="0.2">
      <c r="A5" s="73"/>
      <c r="B5" s="74"/>
      <c r="C5" s="76"/>
      <c r="D5" s="76"/>
      <c r="E5" s="79"/>
    </row>
    <row r="6" spans="1:9" s="13" customFormat="1" ht="15" customHeight="1" x14ac:dyDescent="0.2">
      <c r="A6" s="73"/>
      <c r="B6" s="74"/>
      <c r="C6" s="77"/>
      <c r="D6" s="77"/>
      <c r="E6" s="80"/>
    </row>
    <row r="7" spans="1:9" s="13" customFormat="1" ht="15" customHeight="1" x14ac:dyDescent="0.2">
      <c r="A7" s="73"/>
      <c r="B7" s="74"/>
      <c r="C7" s="15" t="s">
        <v>7</v>
      </c>
      <c r="D7" s="15" t="s">
        <v>8</v>
      </c>
      <c r="E7" s="16" t="s">
        <v>9</v>
      </c>
    </row>
    <row r="8" spans="1:9" ht="13.5" customHeight="1" x14ac:dyDescent="0.25">
      <c r="A8" s="17"/>
      <c r="B8" s="17"/>
      <c r="C8" s="18"/>
      <c r="D8" s="18"/>
      <c r="E8" s="18"/>
    </row>
    <row r="9" spans="1:9" s="20" customFormat="1" x14ac:dyDescent="0.25">
      <c r="A9" s="5" t="s">
        <v>11</v>
      </c>
      <c r="B9" s="5" t="s">
        <v>12</v>
      </c>
      <c r="C9" s="33">
        <f>'Table 1_Summary Statistics'!D9/'Table 1_Summary Statistics'!C9</f>
        <v>128.11478338543992</v>
      </c>
      <c r="D9" s="33">
        <f>('Table 1_Summary Statistics'!D27/'Table 1_Summary Statistics'!E9)*1000</f>
        <v>243796.17538454014</v>
      </c>
      <c r="E9" s="53">
        <f>'Table 1_Summary Statistics'!F9/'Table 1_Summary Statistics'!C27</f>
        <v>1.1466426743297218</v>
      </c>
      <c r="G9" s="19"/>
      <c r="H9" s="19"/>
      <c r="I9" s="43"/>
    </row>
    <row r="10" spans="1:9" ht="3" customHeight="1" x14ac:dyDescent="0.25">
      <c r="A10" s="5"/>
      <c r="B10" s="1"/>
      <c r="C10" s="49"/>
      <c r="D10" s="49"/>
      <c r="E10" s="50"/>
    </row>
    <row r="11" spans="1:9" x14ac:dyDescent="0.25">
      <c r="A11" s="1" t="s">
        <v>13</v>
      </c>
      <c r="B11" s="1" t="s">
        <v>14</v>
      </c>
      <c r="C11" s="34">
        <f>'Table 1_Summary Statistics'!D11/'Table 1_Summary Statistics'!C11</f>
        <v>89.887210473313189</v>
      </c>
      <c r="D11" s="34">
        <f>('Table 1_Summary Statistics'!D29/'Table 1_Summary Statistics'!E11)*1000</f>
        <v>234070.4848287552</v>
      </c>
      <c r="E11" s="54">
        <f>'Table 1_Summary Statistics'!F11/'Table 1_Summary Statistics'!C29</f>
        <v>1.1322781775424884</v>
      </c>
      <c r="H11" s="1"/>
    </row>
    <row r="12" spans="1:9" s="23" customFormat="1" x14ac:dyDescent="0.25">
      <c r="A12" s="8" t="s">
        <v>15</v>
      </c>
      <c r="B12" s="8" t="s">
        <v>16</v>
      </c>
      <c r="C12" s="34">
        <f>'Table 1_Summary Statistics'!D12/'Table 1_Summary Statistics'!C12</f>
        <v>282.17816091954023</v>
      </c>
      <c r="D12" s="34">
        <f>('Table 1_Summary Statistics'!D30/'Table 1_Summary Statistics'!E12)*1000</f>
        <v>257298.20673597351</v>
      </c>
      <c r="E12" s="54">
        <f>'Table 1_Summary Statistics'!F12/'Table 1_Summary Statistics'!C30</f>
        <v>1.1700697820773651</v>
      </c>
      <c r="G12" s="12"/>
      <c r="H12" s="8"/>
    </row>
    <row r="13" spans="1:9" s="23" customFormat="1" x14ac:dyDescent="0.25">
      <c r="A13" s="8" t="s">
        <v>17</v>
      </c>
      <c r="B13" s="8" t="s">
        <v>18</v>
      </c>
      <c r="C13" s="34">
        <f>'Table 1_Summary Statistics'!D13/'Table 1_Summary Statistics'!C13</f>
        <v>164.91818181818181</v>
      </c>
      <c r="D13" s="34">
        <f>('Table 1_Summary Statistics'!D31/'Table 1_Summary Statistics'!E13)*1000</f>
        <v>262893.99371242622</v>
      </c>
      <c r="E13" s="54">
        <f>'Table 1_Summary Statistics'!F13/'Table 1_Summary Statistics'!C31</f>
        <v>1.0323117415706424</v>
      </c>
      <c r="G13" s="12"/>
      <c r="H13" s="8"/>
    </row>
    <row r="14" spans="1:9" x14ac:dyDescent="0.25">
      <c r="A14" s="1" t="s">
        <v>19</v>
      </c>
      <c r="B14" s="1" t="s">
        <v>20</v>
      </c>
      <c r="C14" s="34">
        <f>'Table 1_Summary Statistics'!D14/'Table 1_Summary Statistics'!C14</f>
        <v>119.7514450867052</v>
      </c>
      <c r="D14" s="34">
        <f>('Table 1_Summary Statistics'!D32/'Table 1_Summary Statistics'!E14)*1000</f>
        <v>220099.08647107158</v>
      </c>
      <c r="E14" s="54">
        <f>'Table 1_Summary Statistics'!F14/'Table 1_Summary Statistics'!C32</f>
        <v>1.1559012077928663</v>
      </c>
      <c r="H14" s="1"/>
    </row>
    <row r="15" spans="1:9" x14ac:dyDescent="0.25">
      <c r="A15" s="1" t="s">
        <v>21</v>
      </c>
      <c r="B15" s="1" t="s">
        <v>22</v>
      </c>
      <c r="C15" s="34">
        <f>'Table 1_Summary Statistics'!D15/'Table 1_Summary Statistics'!C15</f>
        <v>235.61538461538461</v>
      </c>
      <c r="D15" s="34">
        <f>('Table 1_Summary Statistics'!D33/'Table 1_Summary Statistics'!E15)*1000</f>
        <v>224649.68984655567</v>
      </c>
      <c r="E15" s="54">
        <f>'Table 1_Summary Statistics'!F15/'Table 1_Summary Statistics'!C33</f>
        <v>1.4118009992612679</v>
      </c>
      <c r="H15" s="1"/>
    </row>
    <row r="16" spans="1:9" x14ac:dyDescent="0.25">
      <c r="A16" s="1" t="s">
        <v>23</v>
      </c>
      <c r="B16" s="1" t="s">
        <v>24</v>
      </c>
      <c r="C16" s="34">
        <f>'Table 1_Summary Statistics'!D16/'Table 1_Summary Statistics'!C16</f>
        <v>90.54245283018868</v>
      </c>
      <c r="D16" s="34">
        <f>('Table 1_Summary Statistics'!D34/'Table 1_Summary Statistics'!E16)*1000</f>
        <v>258694.89889106323</v>
      </c>
      <c r="E16" s="54">
        <f>'Table 1_Summary Statistics'!F16/'Table 1_Summary Statistics'!C34</f>
        <v>1.1142315472839623</v>
      </c>
      <c r="H16" s="1"/>
    </row>
    <row r="17" spans="1:8" x14ac:dyDescent="0.25">
      <c r="A17" s="1" t="s">
        <v>25</v>
      </c>
      <c r="B17" s="1" t="s">
        <v>26</v>
      </c>
      <c r="C17" s="34">
        <f>'Table 1_Summary Statistics'!D17/'Table 1_Summary Statistics'!C17</f>
        <v>59.625</v>
      </c>
      <c r="D17" s="34">
        <f>('Table 1_Summary Statistics'!D35/'Table 1_Summary Statistics'!E17)*1000</f>
        <v>232385.10042036432</v>
      </c>
      <c r="E17" s="54">
        <f>'Table 1_Summary Statistics'!F17/'Table 1_Summary Statistics'!C35</f>
        <v>1.1069225017519062</v>
      </c>
      <c r="H17" s="1"/>
    </row>
    <row r="18" spans="1:8" x14ac:dyDescent="0.25">
      <c r="A18" s="1" t="s">
        <v>27</v>
      </c>
      <c r="B18" s="1" t="s">
        <v>28</v>
      </c>
      <c r="C18" s="34">
        <f>'Table 1_Summary Statistics'!D18/'Table 1_Summary Statistics'!C18</f>
        <v>138.21495327102804</v>
      </c>
      <c r="D18" s="34">
        <f>('Table 1_Summary Statistics'!D36/'Table 1_Summary Statistics'!E18)*1000</f>
        <v>191246.52707189808</v>
      </c>
      <c r="E18" s="54">
        <f>'Table 1_Summary Statistics'!F18/'Table 1_Summary Statistics'!C36</f>
        <v>1.1387382223453828</v>
      </c>
      <c r="H18" s="1"/>
    </row>
    <row r="19" spans="1:8" x14ac:dyDescent="0.25">
      <c r="E19" s="22"/>
    </row>
    <row r="20" spans="1:8" ht="4.5" customHeight="1" x14ac:dyDescent="0.25">
      <c r="A20" s="24"/>
      <c r="B20" s="24"/>
      <c r="C20" s="25"/>
      <c r="D20" s="25"/>
      <c r="E20" s="25"/>
    </row>
    <row r="21" spans="1:8" x14ac:dyDescent="0.25">
      <c r="A21" s="57" t="s">
        <v>65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7">
    <mergeCell ref="A1:E1"/>
    <mergeCell ref="A2:E2"/>
    <mergeCell ref="A4:A7"/>
    <mergeCell ref="B4:B7"/>
    <mergeCell ref="C4:C6"/>
    <mergeCell ref="D4:D6"/>
    <mergeCell ref="E4:E6"/>
  </mergeCells>
  <printOptions horizontalCentered="1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>
    <oddFooter>&amp;RPage 2 of 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2"/>
  <sheetViews>
    <sheetView topLeftCell="A24" zoomScaleNormal="100" workbookViewId="0">
      <selection activeCell="A57" sqref="A57"/>
    </sheetView>
  </sheetViews>
  <sheetFormatPr defaultColWidth="8.85546875" defaultRowHeight="13.5" x14ac:dyDescent="0.25"/>
  <cols>
    <col min="1" max="1" width="5.7109375" style="26" customWidth="1"/>
    <col min="2" max="2" width="40.7109375" style="26" customWidth="1"/>
    <col min="3" max="6" width="12.7109375" style="34" customWidth="1"/>
    <col min="7" max="7" width="12" style="34" customWidth="1"/>
    <col min="8" max="8" width="11" style="26" bestFit="1" customWidth="1"/>
    <col min="9" max="10" width="8.85546875" style="26"/>
    <col min="11" max="11" width="11" style="26" bestFit="1" customWidth="1"/>
    <col min="12" max="16384" width="8.85546875" style="26"/>
  </cols>
  <sheetData>
    <row r="1" spans="1:12" ht="22.5" customHeight="1" x14ac:dyDescent="0.25">
      <c r="A1" s="81" t="s">
        <v>61</v>
      </c>
      <c r="B1" s="81"/>
      <c r="C1" s="81"/>
      <c r="D1" s="81"/>
      <c r="E1" s="81"/>
      <c r="F1" s="81"/>
      <c r="G1" s="26"/>
    </row>
    <row r="2" spans="1:12" ht="17.100000000000001" customHeight="1" x14ac:dyDescent="0.25">
      <c r="A2" s="82" t="s">
        <v>57</v>
      </c>
      <c r="B2" s="82"/>
      <c r="C2" s="82"/>
      <c r="D2" s="82"/>
      <c r="E2" s="82"/>
      <c r="F2" s="82"/>
      <c r="G2" s="26"/>
    </row>
    <row r="3" spans="1:12" ht="6" customHeight="1" x14ac:dyDescent="0.25">
      <c r="C3" s="26"/>
      <c r="D3" s="26"/>
      <c r="E3" s="26"/>
      <c r="F3" s="26"/>
      <c r="G3" s="26"/>
    </row>
    <row r="4" spans="1:12" s="27" customFormat="1" ht="30" customHeight="1" x14ac:dyDescent="0.2">
      <c r="A4" s="83" t="s">
        <v>36</v>
      </c>
      <c r="B4" s="84"/>
      <c r="C4" s="84" t="s">
        <v>2</v>
      </c>
      <c r="D4" s="84" t="s">
        <v>3</v>
      </c>
      <c r="E4" s="84"/>
      <c r="F4" s="85" t="s">
        <v>4</v>
      </c>
    </row>
    <row r="5" spans="1:12" s="27" customFormat="1" ht="15" customHeight="1" x14ac:dyDescent="0.2">
      <c r="A5" s="83"/>
      <c r="B5" s="84"/>
      <c r="C5" s="84"/>
      <c r="D5" s="84" t="s">
        <v>5</v>
      </c>
      <c r="E5" s="84" t="s">
        <v>6</v>
      </c>
      <c r="F5" s="85"/>
    </row>
    <row r="6" spans="1:12" s="27" customFormat="1" ht="15" customHeight="1" x14ac:dyDescent="0.2">
      <c r="A6" s="83"/>
      <c r="B6" s="84"/>
      <c r="C6" s="84"/>
      <c r="D6" s="84"/>
      <c r="E6" s="84"/>
      <c r="F6" s="85"/>
    </row>
    <row r="7" spans="1:12" ht="15" customHeight="1" x14ac:dyDescent="0.25">
      <c r="A7" s="83"/>
      <c r="B7" s="84"/>
      <c r="C7" s="58" t="s">
        <v>7</v>
      </c>
      <c r="D7" s="58" t="s">
        <v>8</v>
      </c>
      <c r="E7" s="58" t="s">
        <v>9</v>
      </c>
      <c r="F7" s="59" t="s">
        <v>10</v>
      </c>
      <c r="G7" s="26"/>
    </row>
    <row r="8" spans="1:12" ht="6" customHeight="1" x14ac:dyDescent="0.25">
      <c r="A8" s="30"/>
      <c r="B8" s="30"/>
      <c r="C8" s="31"/>
      <c r="D8" s="31"/>
      <c r="E8" s="31"/>
      <c r="F8" s="31"/>
      <c r="G8" s="26"/>
    </row>
    <row r="9" spans="1:12" x14ac:dyDescent="0.25">
      <c r="A9" s="32"/>
      <c r="B9" s="32" t="s">
        <v>37</v>
      </c>
      <c r="C9" s="33">
        <v>2239</v>
      </c>
      <c r="D9" s="33">
        <v>286849</v>
      </c>
      <c r="E9" s="33">
        <v>286251</v>
      </c>
      <c r="F9" s="33">
        <v>636243292</v>
      </c>
      <c r="G9" s="42"/>
      <c r="I9" s="34"/>
      <c r="J9" s="34"/>
      <c r="K9" s="34"/>
      <c r="L9" s="34"/>
    </row>
    <row r="10" spans="1:12" ht="5.25" customHeight="1" x14ac:dyDescent="0.25">
      <c r="G10" s="26"/>
    </row>
    <row r="11" spans="1:12" x14ac:dyDescent="0.25">
      <c r="B11" s="26" t="s">
        <v>38</v>
      </c>
      <c r="C11" s="34">
        <v>856</v>
      </c>
      <c r="D11" s="34">
        <v>160781</v>
      </c>
      <c r="E11" s="34">
        <v>160748</v>
      </c>
      <c r="F11" s="34">
        <v>298276085</v>
      </c>
      <c r="G11" s="41"/>
      <c r="I11" s="12"/>
    </row>
    <row r="12" spans="1:12" x14ac:dyDescent="0.25">
      <c r="B12" s="26" t="s">
        <v>39</v>
      </c>
      <c r="C12" s="34">
        <v>51</v>
      </c>
      <c r="D12" s="34">
        <v>2398</v>
      </c>
      <c r="E12" s="34">
        <v>2384</v>
      </c>
      <c r="F12" s="34">
        <v>7771867</v>
      </c>
      <c r="G12" s="41"/>
      <c r="I12" s="12"/>
    </row>
    <row r="13" spans="1:12" x14ac:dyDescent="0.25">
      <c r="B13" s="26" t="s">
        <v>40</v>
      </c>
      <c r="C13" s="34">
        <v>51</v>
      </c>
      <c r="D13" s="34">
        <v>2454</v>
      </c>
      <c r="E13" s="34">
        <v>2427</v>
      </c>
      <c r="F13" s="34">
        <v>10315597</v>
      </c>
      <c r="G13" s="41"/>
      <c r="I13" s="12"/>
    </row>
    <row r="14" spans="1:12" x14ac:dyDescent="0.25">
      <c r="B14" s="26" t="s">
        <v>41</v>
      </c>
      <c r="C14" s="35">
        <v>26</v>
      </c>
      <c r="D14" s="35">
        <v>1982</v>
      </c>
      <c r="E14" s="35">
        <v>1966</v>
      </c>
      <c r="F14" s="35">
        <v>2255596</v>
      </c>
      <c r="G14" s="41"/>
      <c r="I14" s="12"/>
    </row>
    <row r="15" spans="1:12" x14ac:dyDescent="0.25">
      <c r="B15" s="26" t="s">
        <v>42</v>
      </c>
      <c r="C15" s="34">
        <v>176</v>
      </c>
      <c r="D15" s="34">
        <v>11876</v>
      </c>
      <c r="E15" s="34">
        <v>11869</v>
      </c>
      <c r="F15" s="34">
        <v>48155257</v>
      </c>
      <c r="G15" s="41"/>
      <c r="I15" s="12"/>
    </row>
    <row r="16" spans="1:12" x14ac:dyDescent="0.25">
      <c r="B16" s="26" t="s">
        <v>43</v>
      </c>
      <c r="C16" s="34">
        <v>297</v>
      </c>
      <c r="D16" s="34">
        <v>34964</v>
      </c>
      <c r="E16" s="34">
        <v>34937</v>
      </c>
      <c r="F16" s="34">
        <v>62792782</v>
      </c>
      <c r="G16" s="41"/>
      <c r="I16" s="12"/>
    </row>
    <row r="17" spans="1:9" x14ac:dyDescent="0.25">
      <c r="B17" s="26" t="s">
        <v>44</v>
      </c>
      <c r="C17" s="34">
        <v>35</v>
      </c>
      <c r="D17" s="34">
        <v>1746</v>
      </c>
      <c r="E17" s="34">
        <v>1728</v>
      </c>
      <c r="F17" s="34">
        <v>2721767</v>
      </c>
      <c r="G17" s="41"/>
      <c r="I17" s="12"/>
    </row>
    <row r="18" spans="1:9" x14ac:dyDescent="0.25">
      <c r="B18" s="26" t="s">
        <v>45</v>
      </c>
      <c r="C18" s="34">
        <v>56</v>
      </c>
      <c r="D18" s="34">
        <v>6911</v>
      </c>
      <c r="E18" s="34">
        <v>6905</v>
      </c>
      <c r="F18" s="34">
        <v>33602208</v>
      </c>
      <c r="G18" s="41"/>
      <c r="I18" s="12"/>
    </row>
    <row r="19" spans="1:9" x14ac:dyDescent="0.25">
      <c r="B19" s="26" t="s">
        <v>46</v>
      </c>
      <c r="C19" s="34">
        <v>102</v>
      </c>
      <c r="D19" s="34">
        <v>9731</v>
      </c>
      <c r="E19" s="34">
        <v>9714</v>
      </c>
      <c r="F19" s="34">
        <v>42973012</v>
      </c>
      <c r="G19" s="41"/>
      <c r="I19" s="12"/>
    </row>
    <row r="20" spans="1:9" x14ac:dyDescent="0.25">
      <c r="B20" s="26" t="s">
        <v>47</v>
      </c>
      <c r="C20" s="34">
        <v>220</v>
      </c>
      <c r="D20" s="34">
        <v>19747</v>
      </c>
      <c r="E20" s="34">
        <v>19711</v>
      </c>
      <c r="F20" s="34">
        <v>29663594</v>
      </c>
      <c r="G20" s="41"/>
      <c r="I20" s="12"/>
    </row>
    <row r="21" spans="1:9" x14ac:dyDescent="0.25">
      <c r="B21" s="26" t="s">
        <v>48</v>
      </c>
      <c r="C21" s="34">
        <v>80</v>
      </c>
      <c r="D21" s="34">
        <v>5411</v>
      </c>
      <c r="E21" s="34">
        <v>5198</v>
      </c>
      <c r="F21" s="34">
        <v>14374679</v>
      </c>
      <c r="G21" s="41"/>
      <c r="I21" s="12"/>
    </row>
    <row r="22" spans="1:9" x14ac:dyDescent="0.25">
      <c r="B22" s="26" t="s">
        <v>49</v>
      </c>
      <c r="C22" s="35">
        <v>33</v>
      </c>
      <c r="D22" s="35">
        <v>3845</v>
      </c>
      <c r="E22" s="35">
        <v>3830</v>
      </c>
      <c r="F22" s="35">
        <v>6501056</v>
      </c>
      <c r="G22" s="41"/>
      <c r="I22" s="12"/>
    </row>
    <row r="23" spans="1:9" x14ac:dyDescent="0.25">
      <c r="B23" s="26" t="s">
        <v>50</v>
      </c>
      <c r="C23" s="34">
        <v>60</v>
      </c>
      <c r="D23" s="34">
        <v>6625</v>
      </c>
      <c r="E23" s="34">
        <v>6511</v>
      </c>
      <c r="F23" s="34">
        <v>21156968</v>
      </c>
      <c r="G23" s="41"/>
      <c r="I23" s="12"/>
    </row>
    <row r="24" spans="1:9" x14ac:dyDescent="0.25">
      <c r="B24" s="26" t="s">
        <v>51</v>
      </c>
      <c r="C24" s="34">
        <v>116</v>
      </c>
      <c r="D24" s="34">
        <v>10035</v>
      </c>
      <c r="E24" s="34">
        <v>10026</v>
      </c>
      <c r="F24" s="34">
        <v>30031772</v>
      </c>
      <c r="G24" s="41"/>
      <c r="I24" s="12"/>
    </row>
    <row r="25" spans="1:9" x14ac:dyDescent="0.25">
      <c r="B25" s="26" t="s">
        <v>55</v>
      </c>
      <c r="C25" s="34">
        <v>41</v>
      </c>
      <c r="D25" s="34">
        <v>1468</v>
      </c>
      <c r="E25" s="34">
        <v>1437</v>
      </c>
      <c r="F25" s="34">
        <v>5381877</v>
      </c>
      <c r="G25" s="41"/>
      <c r="I25" s="12"/>
    </row>
    <row r="26" spans="1:9" x14ac:dyDescent="0.25">
      <c r="B26" s="26" t="s">
        <v>52</v>
      </c>
      <c r="C26" s="34">
        <v>34</v>
      </c>
      <c r="D26" s="34">
        <v>6681</v>
      </c>
      <c r="E26" s="34">
        <v>6667</v>
      </c>
      <c r="F26" s="34">
        <v>19981531</v>
      </c>
      <c r="G26" s="41"/>
      <c r="I26" s="12"/>
    </row>
    <row r="27" spans="1:9" x14ac:dyDescent="0.25">
      <c r="B27" s="26" t="s">
        <v>62</v>
      </c>
      <c r="C27" s="35">
        <v>6</v>
      </c>
      <c r="D27" s="35">
        <v>195</v>
      </c>
      <c r="E27" s="35">
        <v>195</v>
      </c>
      <c r="F27" s="35">
        <v>287644</v>
      </c>
      <c r="G27" s="41"/>
    </row>
    <row r="28" spans="1:9" x14ac:dyDescent="0.25">
      <c r="C28" s="35"/>
      <c r="D28" s="35"/>
      <c r="E28" s="35"/>
      <c r="F28" s="35"/>
      <c r="G28" s="26"/>
    </row>
    <row r="29" spans="1:9" x14ac:dyDescent="0.25">
      <c r="A29" s="5" t="s">
        <v>53</v>
      </c>
      <c r="C29" s="35"/>
      <c r="D29" s="35"/>
      <c r="E29" s="35"/>
      <c r="F29" s="35"/>
      <c r="G29" s="26"/>
    </row>
    <row r="31" spans="1:9" ht="30" customHeight="1" x14ac:dyDescent="0.25">
      <c r="A31" s="83" t="s">
        <v>36</v>
      </c>
      <c r="B31" s="84"/>
      <c r="C31" s="84" t="s">
        <v>54</v>
      </c>
      <c r="D31" s="84"/>
      <c r="E31" s="85"/>
      <c r="G31" s="26"/>
    </row>
    <row r="32" spans="1:9" ht="15" customHeight="1" x14ac:dyDescent="0.25">
      <c r="A32" s="83"/>
      <c r="B32" s="84"/>
      <c r="C32" s="84" t="s">
        <v>5</v>
      </c>
      <c r="D32" s="84" t="s">
        <v>30</v>
      </c>
      <c r="E32" s="85" t="s">
        <v>31</v>
      </c>
      <c r="G32" s="26"/>
    </row>
    <row r="33" spans="1:11" ht="15" customHeight="1" x14ac:dyDescent="0.25">
      <c r="A33" s="83"/>
      <c r="B33" s="84"/>
      <c r="C33" s="84"/>
      <c r="D33" s="84"/>
      <c r="E33" s="85"/>
      <c r="G33" s="26"/>
    </row>
    <row r="34" spans="1:11" ht="15" customHeight="1" x14ac:dyDescent="0.25">
      <c r="A34" s="83"/>
      <c r="B34" s="84"/>
      <c r="C34" s="58" t="s">
        <v>32</v>
      </c>
      <c r="D34" s="58" t="s">
        <v>33</v>
      </c>
      <c r="E34" s="59" t="s">
        <v>34</v>
      </c>
      <c r="G34" s="26"/>
    </row>
    <row r="35" spans="1:11" ht="6" customHeight="1" x14ac:dyDescent="0.25">
      <c r="A35" s="30"/>
      <c r="B35" s="30"/>
      <c r="C35" s="31"/>
      <c r="D35" s="31"/>
      <c r="E35" s="31"/>
      <c r="G35" s="26"/>
    </row>
    <row r="36" spans="1:11" x14ac:dyDescent="0.25">
      <c r="A36" s="32"/>
      <c r="B36" s="32" t="s">
        <v>37</v>
      </c>
      <c r="C36" s="33">
        <v>554874946</v>
      </c>
      <c r="D36" s="33">
        <v>69786899</v>
      </c>
      <c r="E36" s="33">
        <v>485088047</v>
      </c>
      <c r="G36" s="45"/>
      <c r="H36" s="34"/>
      <c r="I36" s="34"/>
      <c r="J36" s="34"/>
      <c r="K36" s="34"/>
    </row>
    <row r="37" spans="1:11" ht="6" customHeight="1" x14ac:dyDescent="0.25">
      <c r="G37" s="26"/>
    </row>
    <row r="38" spans="1:11" x14ac:dyDescent="0.25">
      <c r="B38" s="26" t="s">
        <v>38</v>
      </c>
      <c r="C38" s="34">
        <v>270505777</v>
      </c>
      <c r="D38" s="34">
        <v>41579880</v>
      </c>
      <c r="E38" s="34">
        <v>228925897</v>
      </c>
      <c r="F38" s="46"/>
      <c r="G38" s="45"/>
      <c r="H38" s="12"/>
      <c r="J38" s="45"/>
      <c r="K38" s="46"/>
    </row>
    <row r="39" spans="1:11" x14ac:dyDescent="0.25">
      <c r="B39" s="26" t="s">
        <v>39</v>
      </c>
      <c r="C39" s="34">
        <v>6961473</v>
      </c>
      <c r="D39" s="34">
        <v>450191</v>
      </c>
      <c r="E39" s="34">
        <v>6511282</v>
      </c>
      <c r="F39" s="46"/>
      <c r="G39" s="45"/>
      <c r="H39" s="12"/>
      <c r="J39" s="45"/>
      <c r="K39" s="46"/>
    </row>
    <row r="40" spans="1:11" x14ac:dyDescent="0.25">
      <c r="B40" s="26" t="s">
        <v>40</v>
      </c>
      <c r="C40" s="34">
        <v>8082680</v>
      </c>
      <c r="D40" s="34">
        <v>503075</v>
      </c>
      <c r="E40" s="34">
        <v>7579605</v>
      </c>
      <c r="F40" s="46"/>
      <c r="G40" s="45"/>
      <c r="H40" s="12"/>
      <c r="J40" s="45"/>
      <c r="K40" s="46"/>
    </row>
    <row r="41" spans="1:11" x14ac:dyDescent="0.25">
      <c r="B41" s="26" t="s">
        <v>41</v>
      </c>
      <c r="C41" s="35">
        <v>2034138</v>
      </c>
      <c r="D41" s="35">
        <v>403558</v>
      </c>
      <c r="E41" s="35">
        <v>1630580</v>
      </c>
      <c r="F41" s="46"/>
      <c r="G41" s="45"/>
      <c r="H41" s="12"/>
      <c r="J41" s="45"/>
      <c r="K41" s="46"/>
    </row>
    <row r="42" spans="1:11" x14ac:dyDescent="0.25">
      <c r="B42" s="26" t="s">
        <v>42</v>
      </c>
      <c r="C42" s="34">
        <v>40489406</v>
      </c>
      <c r="D42" s="34">
        <v>2652251</v>
      </c>
      <c r="E42" s="34">
        <v>37837156</v>
      </c>
      <c r="F42" s="46"/>
      <c r="G42" s="45"/>
      <c r="H42" s="12"/>
      <c r="J42" s="45"/>
      <c r="K42" s="46"/>
    </row>
    <row r="43" spans="1:11" x14ac:dyDescent="0.25">
      <c r="B43" s="26" t="s">
        <v>43</v>
      </c>
      <c r="C43" s="34">
        <v>55293150</v>
      </c>
      <c r="D43" s="34">
        <v>7707577</v>
      </c>
      <c r="E43" s="34">
        <v>47585573</v>
      </c>
      <c r="F43" s="46"/>
      <c r="G43" s="45"/>
      <c r="H43" s="12"/>
      <c r="J43" s="45"/>
      <c r="K43" s="46"/>
    </row>
    <row r="44" spans="1:11" x14ac:dyDescent="0.25">
      <c r="B44" s="26" t="s">
        <v>44</v>
      </c>
      <c r="C44" s="34">
        <v>2148815</v>
      </c>
      <c r="D44" s="34">
        <v>335095</v>
      </c>
      <c r="E44" s="34">
        <v>1813720</v>
      </c>
      <c r="F44" s="46"/>
      <c r="G44" s="45"/>
      <c r="H44" s="12"/>
      <c r="J44" s="45"/>
      <c r="K44" s="46"/>
    </row>
    <row r="45" spans="1:11" x14ac:dyDescent="0.25">
      <c r="B45" s="26" t="s">
        <v>45</v>
      </c>
      <c r="C45" s="34">
        <v>24932908</v>
      </c>
      <c r="D45" s="34">
        <v>1517355</v>
      </c>
      <c r="E45" s="34">
        <v>23415553</v>
      </c>
      <c r="F45" s="46"/>
      <c r="G45" s="45"/>
      <c r="H45" s="12"/>
      <c r="J45" s="45"/>
      <c r="K45" s="46"/>
    </row>
    <row r="46" spans="1:11" x14ac:dyDescent="0.25">
      <c r="B46" s="26" t="s">
        <v>46</v>
      </c>
      <c r="C46" s="34">
        <v>37622756</v>
      </c>
      <c r="D46" s="34">
        <v>2210066</v>
      </c>
      <c r="E46" s="34">
        <v>35412690</v>
      </c>
      <c r="F46" s="46"/>
      <c r="G46" s="45"/>
      <c r="H46" s="12"/>
      <c r="J46" s="45"/>
      <c r="K46" s="46"/>
    </row>
    <row r="47" spans="1:11" x14ac:dyDescent="0.25">
      <c r="B47" s="26" t="s">
        <v>47</v>
      </c>
      <c r="C47" s="34">
        <v>26505657</v>
      </c>
      <c r="D47" s="34">
        <v>4375009</v>
      </c>
      <c r="E47" s="34">
        <v>22130648</v>
      </c>
      <c r="F47" s="46"/>
      <c r="G47" s="45"/>
      <c r="H47" s="12"/>
      <c r="J47" s="45"/>
      <c r="K47" s="46"/>
    </row>
    <row r="48" spans="1:11" x14ac:dyDescent="0.25">
      <c r="B48" s="26" t="s">
        <v>48</v>
      </c>
      <c r="C48" s="34">
        <v>10584378</v>
      </c>
      <c r="D48" s="34">
        <v>1169317</v>
      </c>
      <c r="E48" s="34">
        <v>9415062</v>
      </c>
      <c r="F48" s="46"/>
      <c r="G48" s="45"/>
      <c r="H48" s="12"/>
      <c r="J48" s="45"/>
      <c r="K48" s="46"/>
    </row>
    <row r="49" spans="1:11" x14ac:dyDescent="0.25">
      <c r="B49" s="26" t="s">
        <v>49</v>
      </c>
      <c r="C49" s="35">
        <v>4915288</v>
      </c>
      <c r="D49" s="35">
        <v>632204</v>
      </c>
      <c r="E49" s="35">
        <v>4283084</v>
      </c>
      <c r="F49" s="46"/>
      <c r="G49" s="45"/>
      <c r="H49" s="12"/>
      <c r="J49" s="45"/>
      <c r="K49" s="46"/>
    </row>
    <row r="50" spans="1:11" x14ac:dyDescent="0.25">
      <c r="B50" s="26" t="s">
        <v>50</v>
      </c>
      <c r="C50" s="34">
        <v>16638358</v>
      </c>
      <c r="D50" s="34">
        <v>1648155</v>
      </c>
      <c r="E50" s="34">
        <v>14990203</v>
      </c>
      <c r="F50" s="46"/>
      <c r="G50" s="45"/>
      <c r="H50" s="12"/>
      <c r="J50" s="45"/>
      <c r="K50" s="46"/>
    </row>
    <row r="51" spans="1:11" x14ac:dyDescent="0.25">
      <c r="B51" s="26" t="s">
        <v>51</v>
      </c>
      <c r="C51" s="34">
        <v>25557584</v>
      </c>
      <c r="D51" s="34">
        <v>2785983</v>
      </c>
      <c r="E51" s="34">
        <v>22771601</v>
      </c>
      <c r="F51" s="46"/>
      <c r="G51" s="45"/>
      <c r="H51" s="12"/>
      <c r="J51" s="45"/>
      <c r="K51" s="46"/>
    </row>
    <row r="52" spans="1:11" x14ac:dyDescent="0.25">
      <c r="B52" s="26" t="s">
        <v>55</v>
      </c>
      <c r="C52" s="34">
        <v>4574328</v>
      </c>
      <c r="D52" s="34">
        <v>270368</v>
      </c>
      <c r="E52" s="34">
        <v>4303960</v>
      </c>
      <c r="F52" s="46"/>
      <c r="G52" s="45"/>
      <c r="H52" s="12"/>
      <c r="J52" s="45"/>
      <c r="K52" s="46"/>
    </row>
    <row r="53" spans="1:11" x14ac:dyDescent="0.25">
      <c r="B53" s="26" t="s">
        <v>52</v>
      </c>
      <c r="C53" s="34">
        <v>17765573</v>
      </c>
      <c r="D53" s="34">
        <v>1511251</v>
      </c>
      <c r="E53" s="34">
        <v>16254322</v>
      </c>
      <c r="F53" s="46"/>
      <c r="G53" s="45"/>
      <c r="H53" s="12"/>
      <c r="J53" s="45"/>
      <c r="K53" s="46"/>
    </row>
    <row r="54" spans="1:11" x14ac:dyDescent="0.25">
      <c r="B54" s="26" t="s">
        <v>62</v>
      </c>
      <c r="C54" s="35">
        <v>262676</v>
      </c>
      <c r="D54" s="35">
        <v>35565</v>
      </c>
      <c r="E54" s="35">
        <v>227111</v>
      </c>
      <c r="F54" s="46"/>
      <c r="G54" s="26"/>
      <c r="K54" s="46"/>
    </row>
    <row r="55" spans="1:11" ht="6" customHeight="1" x14ac:dyDescent="0.25">
      <c r="A55" s="36"/>
      <c r="B55" s="36"/>
      <c r="C55" s="37"/>
      <c r="D55" s="37"/>
      <c r="E55" s="37"/>
      <c r="G55" s="26"/>
    </row>
    <row r="56" spans="1:11" ht="5.25" customHeight="1" x14ac:dyDescent="0.25"/>
    <row r="57" spans="1:11" x14ac:dyDescent="0.25">
      <c r="A57" s="52" t="s">
        <v>66</v>
      </c>
    </row>
    <row r="58" spans="1:11" x14ac:dyDescent="0.25">
      <c r="A58" s="52" t="s">
        <v>65</v>
      </c>
    </row>
    <row r="61" spans="1:11" x14ac:dyDescent="0.25">
      <c r="A61" s="38"/>
    </row>
    <row r="62" spans="1:11" x14ac:dyDescent="0.25">
      <c r="A62" s="38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3">
    <mergeCell ref="A31:B34"/>
    <mergeCell ref="C31:E31"/>
    <mergeCell ref="C32:C33"/>
    <mergeCell ref="D32:D33"/>
    <mergeCell ref="E32:E33"/>
    <mergeCell ref="A1:F1"/>
    <mergeCell ref="A2:F2"/>
    <mergeCell ref="A4:B7"/>
    <mergeCell ref="C4:C6"/>
    <mergeCell ref="D4:E4"/>
    <mergeCell ref="F4:F6"/>
    <mergeCell ref="D5:D6"/>
    <mergeCell ref="E5:E6"/>
  </mergeCells>
  <printOptions horizontalCentered="1"/>
  <pageMargins left="0.25" right="0.39370078740157499" top="0.25" bottom="0.25" header="0.196850393700787" footer="0.196850393700787"/>
  <pageSetup paperSize="9" orientation="portrait" r:id="rId1"/>
  <headerFooter alignWithMargins="0">
    <oddFooter>&amp;RPage 3 of 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"/>
  <sheetViews>
    <sheetView zoomScaleNormal="100" workbookViewId="0">
      <selection activeCell="A28" sqref="A28"/>
    </sheetView>
  </sheetViews>
  <sheetFormatPr defaultColWidth="8.85546875" defaultRowHeight="13.5" x14ac:dyDescent="0.25"/>
  <cols>
    <col min="1" max="1" width="5.7109375" style="26" customWidth="1"/>
    <col min="2" max="2" width="40.7109375" style="26" customWidth="1"/>
    <col min="3" max="5" width="12.7109375" style="34" customWidth="1"/>
    <col min="6" max="16384" width="8.85546875" style="26"/>
  </cols>
  <sheetData>
    <row r="1" spans="1:9" ht="23.25" customHeight="1" x14ac:dyDescent="0.25">
      <c r="A1" s="81" t="s">
        <v>63</v>
      </c>
      <c r="B1" s="81"/>
      <c r="C1" s="81"/>
      <c r="D1" s="81"/>
      <c r="E1" s="81"/>
    </row>
    <row r="2" spans="1:9" ht="21" customHeight="1" x14ac:dyDescent="0.25">
      <c r="A2" s="86" t="s">
        <v>57</v>
      </c>
      <c r="B2" s="86"/>
      <c r="C2" s="86"/>
      <c r="D2" s="86"/>
      <c r="E2" s="86"/>
    </row>
    <row r="3" spans="1:9" s="27" customFormat="1" ht="30" customHeight="1" x14ac:dyDescent="0.2">
      <c r="A3" s="83" t="s">
        <v>36</v>
      </c>
      <c r="B3" s="84"/>
      <c r="C3" s="87" t="s">
        <v>64</v>
      </c>
      <c r="D3" s="88" t="s">
        <v>60</v>
      </c>
      <c r="E3" s="89" t="s">
        <v>35</v>
      </c>
    </row>
    <row r="4" spans="1:9" s="27" customFormat="1" ht="30" customHeight="1" x14ac:dyDescent="0.2">
      <c r="A4" s="83"/>
      <c r="B4" s="84"/>
      <c r="C4" s="87"/>
      <c r="D4" s="88"/>
      <c r="E4" s="89"/>
    </row>
    <row r="5" spans="1:9" ht="13.5" customHeight="1" x14ac:dyDescent="0.25">
      <c r="A5" s="83"/>
      <c r="B5" s="84"/>
      <c r="C5" s="28" t="s">
        <v>7</v>
      </c>
      <c r="D5" s="28" t="s">
        <v>8</v>
      </c>
      <c r="E5" s="29" t="s">
        <v>9</v>
      </c>
    </row>
    <row r="6" spans="1:9" ht="13.5" customHeight="1" x14ac:dyDescent="0.25">
      <c r="A6" s="30"/>
      <c r="B6" s="30"/>
      <c r="C6" s="31"/>
      <c r="D6" s="31"/>
      <c r="E6" s="31"/>
    </row>
    <row r="7" spans="1:9" x14ac:dyDescent="0.25">
      <c r="A7" s="32"/>
      <c r="B7" s="32" t="s">
        <v>37</v>
      </c>
      <c r="C7" s="33">
        <f>'Table 3_Summary Statistics'!D9/'Table 3_Summary Statistics'!C9</f>
        <v>128.11478338543992</v>
      </c>
      <c r="D7" s="33">
        <f>('Table 3_Summary Statistics'!D36/'Table 3_Summary Statistics'!E9)*1000</f>
        <v>243796.17538454014</v>
      </c>
      <c r="E7" s="39">
        <f>'Table 3_Summary Statistics'!F9/'Table 3_Summary Statistics'!C36</f>
        <v>1.1466426743297218</v>
      </c>
      <c r="G7" s="34"/>
      <c r="H7" s="34"/>
      <c r="I7" s="44"/>
    </row>
    <row r="8" spans="1:9" ht="5.25" customHeight="1" x14ac:dyDescent="0.25">
      <c r="A8" s="32"/>
      <c r="E8" s="40"/>
    </row>
    <row r="9" spans="1:9" x14ac:dyDescent="0.25">
      <c r="B9" s="26" t="s">
        <v>38</v>
      </c>
      <c r="C9" s="34">
        <f>'Table 3_Summary Statistics'!D11/'Table 3_Summary Statistics'!C11</f>
        <v>187.82827102803739</v>
      </c>
      <c r="D9" s="34">
        <f>('Table 3_Summary Statistics'!D38/'Table 3_Summary Statistics'!E11)*1000</f>
        <v>258664.99116629758</v>
      </c>
      <c r="E9" s="40">
        <f>'Table 3_Summary Statistics'!F11/'Table 3_Summary Statistics'!C38</f>
        <v>1.1026606836570445</v>
      </c>
      <c r="G9" s="12"/>
      <c r="H9" s="34"/>
      <c r="I9" s="44"/>
    </row>
    <row r="10" spans="1:9" x14ac:dyDescent="0.25">
      <c r="B10" s="26" t="s">
        <v>39</v>
      </c>
      <c r="C10" s="34">
        <f>'Table 3_Summary Statistics'!D12/'Table 3_Summary Statistics'!C12</f>
        <v>47.019607843137258</v>
      </c>
      <c r="D10" s="34">
        <f>('Table 3_Summary Statistics'!D39/'Table 3_Summary Statistics'!E12)*1000</f>
        <v>188838.5067114094</v>
      </c>
      <c r="E10" s="40">
        <f>'Table 3_Summary Statistics'!F12/'Table 3_Summary Statistics'!C39</f>
        <v>1.1164112824972532</v>
      </c>
      <c r="G10" s="12"/>
      <c r="H10" s="34"/>
      <c r="I10" s="44"/>
    </row>
    <row r="11" spans="1:9" x14ac:dyDescent="0.25">
      <c r="B11" s="26" t="s">
        <v>40</v>
      </c>
      <c r="C11" s="34">
        <f>'Table 3_Summary Statistics'!D13/'Table 3_Summary Statistics'!C13</f>
        <v>48.117647058823529</v>
      </c>
      <c r="D11" s="34">
        <f>('Table 3_Summary Statistics'!D40/'Table 3_Summary Statistics'!E13)*1000</f>
        <v>207282.6534816646</v>
      </c>
      <c r="E11" s="40">
        <f>'Table 3_Summary Statistics'!F13/'Table 3_Summary Statistics'!C40</f>
        <v>1.2762594832407073</v>
      </c>
      <c r="G11" s="12"/>
      <c r="H11" s="34"/>
      <c r="I11" s="44"/>
    </row>
    <row r="12" spans="1:9" x14ac:dyDescent="0.25">
      <c r="B12" s="26" t="s">
        <v>41</v>
      </c>
      <c r="C12" s="34">
        <f>'Table 3_Summary Statistics'!D14/'Table 3_Summary Statistics'!C14</f>
        <v>76.230769230769226</v>
      </c>
      <c r="D12" s="34">
        <f>('Table 3_Summary Statistics'!D41/'Table 3_Summary Statistics'!E14)*1000</f>
        <v>205268.56561546287</v>
      </c>
      <c r="E12" s="40">
        <f>'Table 3_Summary Statistics'!F14/'Table 3_Summary Statistics'!C41</f>
        <v>1.1088706862562914</v>
      </c>
      <c r="G12" s="12"/>
      <c r="H12" s="34"/>
      <c r="I12" s="44"/>
    </row>
    <row r="13" spans="1:9" x14ac:dyDescent="0.25">
      <c r="B13" s="26" t="s">
        <v>42</v>
      </c>
      <c r="C13" s="34">
        <f>'Table 3_Summary Statistics'!D15/'Table 3_Summary Statistics'!C15</f>
        <v>67.477272727272734</v>
      </c>
      <c r="D13" s="34">
        <f>('Table 3_Summary Statistics'!D42/'Table 3_Summary Statistics'!E15)*1000</f>
        <v>223460.35891819026</v>
      </c>
      <c r="E13" s="40">
        <f>'Table 3_Summary Statistics'!F15/'Table 3_Summary Statistics'!C42</f>
        <v>1.1893297965398653</v>
      </c>
      <c r="G13" s="12"/>
      <c r="H13" s="34"/>
      <c r="I13" s="44"/>
    </row>
    <row r="14" spans="1:9" x14ac:dyDescent="0.25">
      <c r="B14" s="26" t="s">
        <v>43</v>
      </c>
      <c r="C14" s="34">
        <f>'Table 3_Summary Statistics'!D16/'Table 3_Summary Statistics'!C16</f>
        <v>117.72390572390573</v>
      </c>
      <c r="D14" s="34">
        <f>('Table 3_Summary Statistics'!D43/'Table 3_Summary Statistics'!E16)*1000</f>
        <v>220613.59017660358</v>
      </c>
      <c r="E14" s="40">
        <f>'Table 3_Summary Statistics'!F16/'Table 3_Summary Statistics'!C43</f>
        <v>1.1356340161484741</v>
      </c>
      <c r="G14" s="12"/>
      <c r="H14" s="34"/>
      <c r="I14" s="44"/>
    </row>
    <row r="15" spans="1:9" x14ac:dyDescent="0.25">
      <c r="B15" s="26" t="s">
        <v>44</v>
      </c>
      <c r="C15" s="34">
        <f>'Table 3_Summary Statistics'!D17/'Table 3_Summary Statistics'!C17</f>
        <v>49.885714285714286</v>
      </c>
      <c r="D15" s="34">
        <f>('Table 3_Summary Statistics'!D44/'Table 3_Summary Statistics'!E17)*1000</f>
        <v>193920.71759259258</v>
      </c>
      <c r="E15" s="40">
        <f>'Table 3_Summary Statistics'!F17/'Table 3_Summary Statistics'!C44</f>
        <v>1.2666362623120184</v>
      </c>
      <c r="G15" s="12"/>
      <c r="H15" s="34"/>
      <c r="I15" s="44"/>
    </row>
    <row r="16" spans="1:9" x14ac:dyDescent="0.25">
      <c r="B16" s="26" t="s">
        <v>45</v>
      </c>
      <c r="C16" s="34">
        <f>'Table 3_Summary Statistics'!D18/'Table 3_Summary Statistics'!C18</f>
        <v>123.41071428571429</v>
      </c>
      <c r="D16" s="34">
        <f>('Table 3_Summary Statistics'!D45/'Table 3_Summary Statistics'!E18)*1000</f>
        <v>219747.28457639393</v>
      </c>
      <c r="E16" s="40">
        <f>'Table 3_Summary Statistics'!F18/'Table 3_Summary Statistics'!C45</f>
        <v>1.3477051293014035</v>
      </c>
      <c r="G16" s="12"/>
      <c r="H16" s="34"/>
      <c r="I16" s="44"/>
    </row>
    <row r="17" spans="1:9" x14ac:dyDescent="0.25">
      <c r="B17" s="26" t="s">
        <v>46</v>
      </c>
      <c r="C17" s="34">
        <f>'Table 3_Summary Statistics'!D19/'Table 3_Summary Statistics'!C19</f>
        <v>95.401960784313729</v>
      </c>
      <c r="D17" s="34">
        <f>('Table 3_Summary Statistics'!D46/'Table 3_Summary Statistics'!E19)*1000</f>
        <v>227513.48569075559</v>
      </c>
      <c r="E17" s="40">
        <f>'Table 3_Summary Statistics'!F19/'Table 3_Summary Statistics'!C46</f>
        <v>1.1422079764704107</v>
      </c>
      <c r="G17" s="12"/>
      <c r="H17" s="34"/>
      <c r="I17" s="44"/>
    </row>
    <row r="18" spans="1:9" x14ac:dyDescent="0.25">
      <c r="B18" s="26" t="s">
        <v>47</v>
      </c>
      <c r="C18" s="34">
        <f>'Table 3_Summary Statistics'!D20/'Table 3_Summary Statistics'!C20</f>
        <v>89.759090909090915</v>
      </c>
      <c r="D18" s="34">
        <f>('Table 3_Summary Statistics'!D47/'Table 3_Summary Statistics'!E20)*1000</f>
        <v>221957.73933336715</v>
      </c>
      <c r="E18" s="40">
        <f>'Table 3_Summary Statistics'!F20/'Table 3_Summary Statistics'!C47</f>
        <v>1.1191420005170971</v>
      </c>
      <c r="G18" s="12"/>
      <c r="H18" s="34"/>
      <c r="I18" s="44"/>
    </row>
    <row r="19" spans="1:9" x14ac:dyDescent="0.25">
      <c r="B19" s="26" t="s">
        <v>48</v>
      </c>
      <c r="C19" s="34">
        <f>'Table 3_Summary Statistics'!D21/'Table 3_Summary Statistics'!C21</f>
        <v>67.637500000000003</v>
      </c>
      <c r="D19" s="34">
        <f>('Table 3_Summary Statistics'!D48/'Table 3_Summary Statistics'!E21)*1000</f>
        <v>224955.17506733359</v>
      </c>
      <c r="E19" s="40">
        <f>'Table 3_Summary Statistics'!F21/'Table 3_Summary Statistics'!C48</f>
        <v>1.3581033292650735</v>
      </c>
      <c r="G19" s="12"/>
      <c r="H19" s="34"/>
      <c r="I19" s="44"/>
    </row>
    <row r="20" spans="1:9" x14ac:dyDescent="0.25">
      <c r="B20" s="26" t="s">
        <v>49</v>
      </c>
      <c r="C20" s="34">
        <f>'Table 3_Summary Statistics'!D22/'Table 3_Summary Statistics'!C22</f>
        <v>116.51515151515152</v>
      </c>
      <c r="D20" s="34">
        <f>('Table 3_Summary Statistics'!D49/'Table 3_Summary Statistics'!E22)*1000</f>
        <v>165066.31853785901</v>
      </c>
      <c r="E20" s="40">
        <f>'Table 3_Summary Statistics'!F22/'Table 3_Summary Statistics'!C49</f>
        <v>1.3226195494546811</v>
      </c>
      <c r="G20" s="12"/>
      <c r="H20" s="34"/>
      <c r="I20" s="44"/>
    </row>
    <row r="21" spans="1:9" x14ac:dyDescent="0.25">
      <c r="B21" s="26" t="s">
        <v>50</v>
      </c>
      <c r="C21" s="34">
        <f>'Table 3_Summary Statistics'!D23/'Table 3_Summary Statistics'!C23</f>
        <v>110.41666666666667</v>
      </c>
      <c r="D21" s="34">
        <f>('Table 3_Summary Statistics'!D50/'Table 3_Summary Statistics'!E23)*1000</f>
        <v>253133.92720012285</v>
      </c>
      <c r="E21" s="40">
        <f>'Table 3_Summary Statistics'!F23/'Table 3_Summary Statistics'!C50</f>
        <v>1.2715778804615214</v>
      </c>
      <c r="G21" s="12"/>
      <c r="H21" s="34"/>
      <c r="I21" s="44"/>
    </row>
    <row r="22" spans="1:9" x14ac:dyDescent="0.25">
      <c r="B22" s="26" t="s">
        <v>51</v>
      </c>
      <c r="C22" s="34">
        <f>'Table 3_Summary Statistics'!D24/'Table 3_Summary Statistics'!C24</f>
        <v>86.508620689655174</v>
      </c>
      <c r="D22" s="34">
        <f>('Table 3_Summary Statistics'!D51/'Table 3_Summary Statistics'!E24)*1000</f>
        <v>277875.82286056253</v>
      </c>
      <c r="E22" s="40">
        <f>'Table 3_Summary Statistics'!F24/'Table 3_Summary Statistics'!C51</f>
        <v>1.1750630263017037</v>
      </c>
      <c r="G22" s="12"/>
      <c r="H22" s="34"/>
      <c r="I22" s="44"/>
    </row>
    <row r="23" spans="1:9" x14ac:dyDescent="0.25">
      <c r="B23" s="26" t="s">
        <v>55</v>
      </c>
      <c r="C23" s="34">
        <f>'Table 3_Summary Statistics'!D25/'Table 3_Summary Statistics'!C25</f>
        <v>35.804878048780488</v>
      </c>
      <c r="D23" s="34">
        <f>('Table 3_Summary Statistics'!D52/'Table 3_Summary Statistics'!E25)*1000</f>
        <v>188147.52957550454</v>
      </c>
      <c r="E23" s="40">
        <f>'Table 3_Summary Statistics'!F25/'Table 3_Summary Statistics'!C52</f>
        <v>1.1765393736522611</v>
      </c>
      <c r="G23" s="12"/>
      <c r="H23" s="34"/>
      <c r="I23" s="44"/>
    </row>
    <row r="24" spans="1:9" x14ac:dyDescent="0.25">
      <c r="B24" s="26" t="s">
        <v>52</v>
      </c>
      <c r="C24" s="34">
        <f>'Table 3_Summary Statistics'!D26/'Table 3_Summary Statistics'!C26</f>
        <v>196.5</v>
      </c>
      <c r="D24" s="34">
        <f>('Table 3_Summary Statistics'!D53/'Table 3_Summary Statistics'!E26)*1000</f>
        <v>226676.3161841908</v>
      </c>
      <c r="E24" s="40">
        <f>'Table 3_Summary Statistics'!F26/'Table 3_Summary Statistics'!C53</f>
        <v>1.1247332692280738</v>
      </c>
      <c r="G24" s="12"/>
      <c r="H24" s="34"/>
      <c r="I24" s="44"/>
    </row>
    <row r="25" spans="1:9" x14ac:dyDescent="0.25">
      <c r="B25" s="26" t="s">
        <v>62</v>
      </c>
      <c r="C25" s="34">
        <f>'Table 3_Summary Statistics'!D27/'Table 3_Summary Statistics'!C27</f>
        <v>32.5</v>
      </c>
      <c r="D25" s="34">
        <f>('Table 3_Summary Statistics'!D54/'Table 3_Summary Statistics'!E27)*1000</f>
        <v>182384.61538461538</v>
      </c>
      <c r="E25" s="40">
        <f>'Table 3_Summary Statistics'!F27/'Table 3_Summary Statistics'!C54</f>
        <v>1.0950524600648708</v>
      </c>
      <c r="G25" s="12"/>
    </row>
    <row r="26" spans="1:9" x14ac:dyDescent="0.25">
      <c r="A26" s="36"/>
      <c r="B26" s="36"/>
      <c r="C26" s="37"/>
      <c r="D26" s="37"/>
      <c r="E26" s="37"/>
    </row>
    <row r="27" spans="1:9" ht="5.25" customHeight="1" x14ac:dyDescent="0.25"/>
    <row r="28" spans="1:9" x14ac:dyDescent="0.25">
      <c r="A28" s="52" t="s">
        <v>65</v>
      </c>
      <c r="F28" s="34"/>
      <c r="G28" s="34"/>
      <c r="H28" s="34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6">
    <mergeCell ref="A1:E1"/>
    <mergeCell ref="A2:E2"/>
    <mergeCell ref="A3:B5"/>
    <mergeCell ref="C3:C4"/>
    <mergeCell ref="D3:D4"/>
    <mergeCell ref="E3:E4"/>
  </mergeCells>
  <printOptions horizontalCentered="1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>
    <oddFooter>&amp;RPage 4 of 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1_Summary Statistics</vt:lpstr>
      <vt:lpstr>Table 2_Selected Indicators</vt:lpstr>
      <vt:lpstr>Table 3_Summary Statistics</vt:lpstr>
      <vt:lpstr>Table 4_Selected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</dc:creator>
  <cp:lastModifiedBy>Louis Ceralde</cp:lastModifiedBy>
  <cp:lastPrinted>2024-09-04T07:08:43Z</cp:lastPrinted>
  <dcterms:created xsi:type="dcterms:W3CDTF">2023-04-28T02:18:42Z</dcterms:created>
  <dcterms:modified xsi:type="dcterms:W3CDTF">2024-09-18T07:06:48Z</dcterms:modified>
</cp:coreProperties>
</file>
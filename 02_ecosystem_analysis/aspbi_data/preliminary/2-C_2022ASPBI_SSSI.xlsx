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4240" windowHeight="13740" tabRatio="855" activeTab="4"/>
  </bookViews>
  <sheets>
    <sheet name="Table 1_Summary Statistics" sheetId="3" r:id="rId1"/>
    <sheet name="Table 1_Summary Statistics_Cont" sheetId="4" r:id="rId2"/>
    <sheet name="Table 2_Selected Indicators" sheetId="5" r:id="rId3"/>
    <sheet name="Table 3_SummStat Reg" sheetId="7" r:id="rId4"/>
    <sheet name="Table 3_SummStat Reg_Cont" sheetId="8" r:id="rId5"/>
    <sheet name="Table 4_Selected Indicators Reg" sheetId="9" r:id="rId6"/>
  </sheets>
  <definedNames>
    <definedName name="_xlnm.Print_Area" localSheetId="0">'Table 1_Summary Statistics'!$A$1:$G$80</definedName>
    <definedName name="_xlnm.Print_Area" localSheetId="1">'Table 1_Summary Statistics_Cont'!$A$1:$G$84</definedName>
    <definedName name="_xlnm.Print_Area" localSheetId="2">'Table 2_Selected Indicators'!$A$1:$F$84</definedName>
    <definedName name="_xlnm.Print_Area" localSheetId="3">'Table 3_SummStat Reg'!$A$1:$E$28</definedName>
    <definedName name="_xlnm.Print_Area" localSheetId="4">'Table 3_SummStat Reg_Cont'!$A$1:$E$33</definedName>
    <definedName name="_xlnm.Print_Area" localSheetId="5">'Table 4_Selected Indicators Reg'!$A$1:$D$33</definedName>
    <definedName name="_xlnm.Print_Titles" localSheetId="0">'Table 1_Summary Statistics'!$1:$8</definedName>
    <definedName name="_xlnm.Print_Titles" localSheetId="1">'Table 1_Summary Statistics_Cont'!$1:$7</definedName>
    <definedName name="_xlnm.Print_Titles" localSheetId="2">'Table 2_Selected Indicators'!$1:$8</definedName>
    <definedName name="_xlnm.Print_Titles" localSheetId="3">'Table 3_SummStat Reg'!$1:$8</definedName>
    <definedName name="_xlnm.Print_Titles" localSheetId="4">'Table 3_SummStat Reg_Cont'!$1:$8</definedName>
    <definedName name="_xlnm.Print_Titles" localSheetId="5">'Table 4_Selected Indicators Reg'!$1:$8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5" l="1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69" i="5"/>
  <c r="E69" i="5"/>
  <c r="D69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D27" i="9" l="1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9" i="9"/>
  <c r="C9" i="9"/>
  <c r="B9" i="9"/>
  <c r="F9" i="5" l="1"/>
  <c r="E9" i="5"/>
  <c r="D9" i="5"/>
</calcChain>
</file>

<file path=xl/comments1.xml><?xml version="1.0" encoding="utf-8"?>
<comments xmlns="http://schemas.openxmlformats.org/spreadsheetml/2006/main">
  <authors>
    <author>USER</author>
  </authors>
  <commentList>
    <comment ref="A2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Bangsamoro (apply to all)</t>
        </r>
      </text>
    </comment>
    <comment ref="A2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Put note for BARMM
Apply also to Table 4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2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Bangsamoro (apply to all)</t>
        </r>
      </text>
    </comment>
    <comment ref="A3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Put note for BARMM
Apply also to Table 4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A2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Bangsamoro (apply to all)</t>
        </r>
      </text>
    </comment>
    <comment ref="A3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Put note for BARMM
Apply also to Table 4</t>
        </r>
      </text>
    </comment>
  </commentList>
</comments>
</file>

<file path=xl/sharedStrings.xml><?xml version="1.0" encoding="utf-8"?>
<sst xmlns="http://schemas.openxmlformats.org/spreadsheetml/2006/main" count="637" uniqueCount="200">
  <si>
    <t>Total</t>
  </si>
  <si>
    <t>Compensation</t>
  </si>
  <si>
    <t>Other Expense</t>
  </si>
  <si>
    <t xml:space="preserve"> 2009
 PSIC
 Code</t>
  </si>
  <si>
    <t>Number 
of 
Establishments</t>
  </si>
  <si>
    <t>Employment
as of 15 November</t>
  </si>
  <si>
    <t>Paid
Employees</t>
  </si>
  <si>
    <t>(1)</t>
  </si>
  <si>
    <t>(2)</t>
  </si>
  <si>
    <t>(3)</t>
  </si>
  <si>
    <t>(5)</t>
  </si>
  <si>
    <t>(6)</t>
  </si>
  <si>
    <t>(7)</t>
  </si>
  <si>
    <t>(8)</t>
  </si>
  <si>
    <t>(4)</t>
  </si>
  <si>
    <t>Industry Description</t>
  </si>
  <si>
    <t>Manufacturing</t>
  </si>
  <si>
    <t>C101</t>
  </si>
  <si>
    <t>Processing and preserving of meat</t>
  </si>
  <si>
    <t>C102</t>
  </si>
  <si>
    <t>Processing and preserving of fish, crustaceans and mollusks</t>
  </si>
  <si>
    <t>C103</t>
  </si>
  <si>
    <t>Processing and preserving of fruits and vegetables</t>
  </si>
  <si>
    <t>C104</t>
  </si>
  <si>
    <t>Manufacture of vegetable and animal oils and fats</t>
  </si>
  <si>
    <t>C105</t>
  </si>
  <si>
    <t>Manufacture of dairy products</t>
  </si>
  <si>
    <t>C106</t>
  </si>
  <si>
    <t>Manufacture of grain mill products, starches and starch products</t>
  </si>
  <si>
    <t>C107</t>
  </si>
  <si>
    <t>Manufacture of other food products</t>
  </si>
  <si>
    <t>C108</t>
  </si>
  <si>
    <t>Manufacture of prepared animal feeds</t>
  </si>
  <si>
    <t>C110</t>
  </si>
  <si>
    <t>Manufacture of beverages</t>
  </si>
  <si>
    <t>C120</t>
  </si>
  <si>
    <t>Manufacture of tobacco products</t>
  </si>
  <si>
    <t>C131</t>
  </si>
  <si>
    <t>Spinning, weaving and finishing of textiles</t>
  </si>
  <si>
    <t>C139</t>
  </si>
  <si>
    <t>Manufacture of other textiles</t>
  </si>
  <si>
    <t>C141</t>
  </si>
  <si>
    <t>Manufacture of wearing apparel, except fur apparel</t>
  </si>
  <si>
    <t>C142</t>
  </si>
  <si>
    <t>Custom tailoring and dressmaking</t>
  </si>
  <si>
    <t>C143</t>
  </si>
  <si>
    <t>Manufacture of knitted and crocheted apparel</t>
  </si>
  <si>
    <t>C151</t>
  </si>
  <si>
    <t>Tanning and dressing of leather; manufacture of luggage and handbags</t>
  </si>
  <si>
    <t>C152</t>
  </si>
  <si>
    <t>Manufacture of footwear</t>
  </si>
  <si>
    <t>C161</t>
  </si>
  <si>
    <t>Sawmilling and planing of wood</t>
  </si>
  <si>
    <t>C162</t>
  </si>
  <si>
    <t>Manufacture of products of wood, cork, straw and plaiting materials</t>
  </si>
  <si>
    <t>C170</t>
  </si>
  <si>
    <t>C181</t>
  </si>
  <si>
    <t>Printing and service activities related to printing</t>
  </si>
  <si>
    <t>C182</t>
  </si>
  <si>
    <t>Reproduction of recorded media</t>
  </si>
  <si>
    <t>C192</t>
  </si>
  <si>
    <t>Manufacture of refined petroleum products</t>
  </si>
  <si>
    <t>C199</t>
  </si>
  <si>
    <t>Manufacture of other fuel products</t>
  </si>
  <si>
    <t>C201</t>
  </si>
  <si>
    <t>Manufacture of basic chemicals</t>
  </si>
  <si>
    <t>C202</t>
  </si>
  <si>
    <t>Manufacture of other chemical products, n.e.c.</t>
  </si>
  <si>
    <t>C203</t>
  </si>
  <si>
    <t>Manufacture of man-made fibers</t>
  </si>
  <si>
    <t>C210</t>
  </si>
  <si>
    <t>Manufacture of pharmaceuticals, medicinal chemical and botanical products</t>
  </si>
  <si>
    <t>C221</t>
  </si>
  <si>
    <t>Manufacture of rubber products</t>
  </si>
  <si>
    <t>C222</t>
  </si>
  <si>
    <t>Manufacture of plastics products</t>
  </si>
  <si>
    <t>C231</t>
  </si>
  <si>
    <t>Manufacture of glass and glass products</t>
  </si>
  <si>
    <t>C239</t>
  </si>
  <si>
    <t>Manufacture of non-metallic mineral products, n.e.c.</t>
  </si>
  <si>
    <t>C241</t>
  </si>
  <si>
    <t>Manufacture of basic iron and steel</t>
  </si>
  <si>
    <t>C242</t>
  </si>
  <si>
    <t>Manufacture of basic precious and other non-ferrous metals</t>
  </si>
  <si>
    <t>C243</t>
  </si>
  <si>
    <t>Casting of metals</t>
  </si>
  <si>
    <t>C251</t>
  </si>
  <si>
    <t>Manufacture of structural metal products, tanks, reservoirs and steam generators</t>
  </si>
  <si>
    <t>C252</t>
  </si>
  <si>
    <t>Manufacture of weapons and ammunition</t>
  </si>
  <si>
    <t>C259</t>
  </si>
  <si>
    <t>Manufacture of other fabricated metal products; metal working service activities</t>
  </si>
  <si>
    <t>C261</t>
  </si>
  <si>
    <t>Manufacture of electronic components</t>
  </si>
  <si>
    <t>C262</t>
  </si>
  <si>
    <t>Manufacture of computers and peripheral equipment and accessories</t>
  </si>
  <si>
    <t>C263</t>
  </si>
  <si>
    <t>Manufacture of communication equipment</t>
  </si>
  <si>
    <t>C264</t>
  </si>
  <si>
    <t>Manufacture of consumer electronics</t>
  </si>
  <si>
    <t>C265</t>
  </si>
  <si>
    <t>Manufacture of measuring, testing, navigating and control equipment; watches and clocks</t>
  </si>
  <si>
    <t>C267</t>
  </si>
  <si>
    <t>Manufacture of optical instruments and photographic equipment</t>
  </si>
  <si>
    <t>C271</t>
  </si>
  <si>
    <t>Manufacture of electric motors, generators, transformers and electricity distribution and control apparatus</t>
  </si>
  <si>
    <t>C272</t>
  </si>
  <si>
    <t>Manufacture of batteries and accumulators</t>
  </si>
  <si>
    <t>C273</t>
  </si>
  <si>
    <t>Manufacture of wiring and wiring devices</t>
  </si>
  <si>
    <t>C274</t>
  </si>
  <si>
    <t>Manufacture of electric lighting equipment</t>
  </si>
  <si>
    <t>C275</t>
  </si>
  <si>
    <t>Manufacture of domestic appliances</t>
  </si>
  <si>
    <t>C279</t>
  </si>
  <si>
    <t>Manufacture of other electrical equipment</t>
  </si>
  <si>
    <t>C281</t>
  </si>
  <si>
    <t>Manufacture of general purpose machinery</t>
  </si>
  <si>
    <t>C282</t>
  </si>
  <si>
    <t>Manufacture of special purpose machinery</t>
  </si>
  <si>
    <t>C291</t>
  </si>
  <si>
    <t>Manufacture of motor vehicles</t>
  </si>
  <si>
    <t>C292</t>
  </si>
  <si>
    <t>Manufacture of bodies (coachwork) for motor vehicles; manufacture of trailers and semi-trailers</t>
  </si>
  <si>
    <t>C293</t>
  </si>
  <si>
    <t>Manufacture of parts and accessories for motor vehicles</t>
  </si>
  <si>
    <t>C301</t>
  </si>
  <si>
    <t>Building of ships and boats</t>
  </si>
  <si>
    <t>C303</t>
  </si>
  <si>
    <t>Manufacture of air and spacecraft and related machinery</t>
  </si>
  <si>
    <t>C309</t>
  </si>
  <si>
    <t>Manufacture of transport equipment, n.e.c.</t>
  </si>
  <si>
    <t>C310</t>
  </si>
  <si>
    <t>Manufacture of furniture</t>
  </si>
  <si>
    <t>C321</t>
  </si>
  <si>
    <t>Manufacture of jewelry, bijouterie and related articles</t>
  </si>
  <si>
    <t>C322</t>
  </si>
  <si>
    <t>Manufacture of musical instruments</t>
  </si>
  <si>
    <t>C323</t>
  </si>
  <si>
    <t>Manufacture of sports goods</t>
  </si>
  <si>
    <t>C324</t>
  </si>
  <si>
    <t>Manufacture of games and toys</t>
  </si>
  <si>
    <t>C325</t>
  </si>
  <si>
    <t>Manufacture of medical and dental instruments and supplies</t>
  </si>
  <si>
    <t>C329</t>
  </si>
  <si>
    <t>Other manufacturing, n.e.c.</t>
  </si>
  <si>
    <t>C331</t>
  </si>
  <si>
    <t>Repair of fabricated metal products, machinery and equipment</t>
  </si>
  <si>
    <t>C332</t>
  </si>
  <si>
    <t>Installation of industrial machinery and equipment</t>
  </si>
  <si>
    <t>Manufacture of paper and paper products</t>
  </si>
  <si>
    <r>
      <t>Table 1. --</t>
    </r>
    <r>
      <rPr>
        <b/>
        <i/>
        <sz val="9"/>
        <color theme="1"/>
        <rFont val="Arial Narrow"/>
        <family val="2"/>
      </rPr>
      <t>Cont.</t>
    </r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</si>
  <si>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</si>
  <si>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</si>
  <si>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</si>
  <si>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</si>
  <si>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</si>
  <si>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</si>
  <si>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MIMAROPA Region         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</si>
  <si>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</si>
  <si>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</si>
  <si>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</si>
  <si>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</si>
  <si>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</si>
  <si>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</si>
  <si>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</si>
  <si>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</si>
  <si>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</si>
  <si>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>Philippines</t>
  </si>
  <si>
    <t>C</t>
  </si>
  <si>
    <r>
      <t>Table 3. --</t>
    </r>
    <r>
      <rPr>
        <b/>
        <i/>
        <sz val="9"/>
        <color theme="1"/>
        <rFont val="Arial Narrow"/>
        <family val="2"/>
      </rPr>
      <t>Conc.</t>
    </r>
  </si>
  <si>
    <t>-</t>
  </si>
  <si>
    <t>Total
Revenue
 (in thousand PhP)</t>
  </si>
  <si>
    <t>Expense
 (in thousand PhP)</t>
  </si>
  <si>
    <t>Revenue
per 
Expense Ratio</t>
  </si>
  <si>
    <t>Average Annual 
Compensation 
per Paid Employee 
(PhP)</t>
  </si>
  <si>
    <t>E-Commerce Sales
 (in thousand PhP)</t>
  </si>
  <si>
    <t xml:space="preserve">Bangsamoro Autonomous Region in Muslim Mindanao (BARMM)              </t>
  </si>
  <si>
    <t>Details may not add up to total due to rounding and/or statistical disclosure control</t>
  </si>
  <si>
    <r>
      <t xml:space="preserve">Table 1. Summary Statistics for Manufacturing </t>
    </r>
    <r>
      <rPr>
        <b/>
        <sz val="9"/>
        <rFont val="Arial Narrow"/>
        <family val="2"/>
      </rPr>
      <t>Section</t>
    </r>
    <r>
      <rPr>
        <b/>
        <sz val="9"/>
        <color theme="1"/>
        <rFont val="Arial Narrow"/>
        <family val="2"/>
      </rPr>
      <t xml:space="preserve"> by Industry Group: Philippines, 2022</t>
    </r>
  </si>
  <si>
    <t>C266</t>
  </si>
  <si>
    <t>Manufacture of irradiation, electromedical and electrotherapeutic equipment</t>
  </si>
  <si>
    <t>C302</t>
  </si>
  <si>
    <t>Manufacture of railway locomotive and rolling stock</t>
  </si>
  <si>
    <t>C304</t>
  </si>
  <si>
    <t>Manufacture of military fighting vehicles</t>
  </si>
  <si>
    <r>
      <t xml:space="preserve">Table 3. Summary Statistics for Manufacturing </t>
    </r>
    <r>
      <rPr>
        <b/>
        <sz val="9"/>
        <rFont val="Arial Narrow"/>
        <family val="2"/>
      </rPr>
      <t>Section</t>
    </r>
    <r>
      <rPr>
        <b/>
        <sz val="9"/>
        <color theme="1"/>
        <rFont val="Arial Narrow"/>
        <family val="2"/>
      </rPr>
      <t xml:space="preserve"> by Region: Philippines, 2022</t>
    </r>
  </si>
  <si>
    <t>(Preliminary)</t>
  </si>
  <si>
    <t>Table 2.  Selected Indicators for Manufacturing Section by Industry Group: Philippines, 2022</t>
  </si>
  <si>
    <t>Table 4.  Selected Indicators for Manufacturing Section by Region: Philippines, 2022</t>
  </si>
  <si>
    <t>Source:  Philippine Statistics Authority, 2022 Annual Survey of Philippine Business and Industry (Preliminary Results)</t>
  </si>
  <si>
    <t>s</t>
  </si>
  <si>
    <t>Average Numbers
of Workers
per 
Establishment</t>
  </si>
  <si>
    <t xml:space="preserve">            s    data suppressed</t>
  </si>
  <si>
    <t>Note:    -    zero value</t>
  </si>
  <si>
    <t xml:space="preserve">           Details may not add up to total due to rounding and/or statistical disclosure control</t>
  </si>
  <si>
    <t xml:space="preserve"> Note:   -   zero value</t>
  </si>
  <si>
    <r>
      <t xml:space="preserve">Bangsamoro Autonomous Region in Muslim Mindanao (BARMM) </t>
    </r>
    <r>
      <rPr>
        <vertAlign val="superscript"/>
        <sz val="9"/>
        <color rgb="FF000000"/>
        <rFont val="Arial Narrow"/>
        <family val="2"/>
      </rPr>
      <t>1/</t>
    </r>
    <r>
      <rPr>
        <sz val="9"/>
        <color rgb="FF000000"/>
        <rFont val="Arial Narrow"/>
        <family val="2"/>
      </rPr>
      <t xml:space="preserve"> </t>
    </r>
  </si>
  <si>
    <t>1/ The sample coverage for BARMM for 2022 includes Cotabato City and the Eight Area Clusters (63 Barangays previously</t>
  </si>
  <si>
    <t xml:space="preserve">     from the Province of Cotabato)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</si>
</sst>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_-;\-* #,##0.00_-;_-* &quot;-&quot;??_-;_-@_-"/>
    <numFmt numFmtId="165" formatCode="#,##0;\(#,##0\)"/>
    <numFmt numFmtId="166" formatCode="[$-3409]General"/>
    <numFmt numFmtId="167" formatCode="_(* #,##0_);_(* \(#,##0\);_(* &quot;-&quot;??_);_(@_)"/>
    <numFmt numFmtId="168" formatCode="_(* #,##0.000_);_(* \(#,##0.000\);_(* &quot;-&quot;??_);_(@_)"/>
    <numFmt numFmtId="169" formatCode="0.0%"/>
  </numFmts>
  <fonts count="3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i/>
      <sz val="9"/>
      <color rgb="FF000000"/>
      <name val="Arial Narrow"/>
      <family val="2"/>
    </font>
    <font>
      <i/>
      <sz val="9"/>
      <color theme="1"/>
      <name val="Arial Narrow"/>
      <family val="2"/>
    </font>
    <font>
      <b/>
      <sz val="9"/>
      <name val="Arial Narrow"/>
      <family val="2"/>
    </font>
    <font>
      <sz val="10"/>
      <color rgb="FF000000"/>
      <name val="Arial1"/>
    </font>
    <font>
      <sz val="8"/>
      <color theme="1"/>
      <name val="Arial Narrow"/>
      <family val="2"/>
    </font>
    <font>
      <sz val="9"/>
      <name val="Arial Narrow"/>
      <family val="2"/>
    </font>
    <font>
      <b/>
      <i/>
      <sz val="9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9"/>
      <color rgb="FF000000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52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5" applyNumberFormat="0" applyAlignment="0" applyProtection="0"/>
    <xf numFmtId="0" fontId="9" fillId="6" borderId="6" applyNumberFormat="0" applyAlignment="0" applyProtection="0"/>
    <xf numFmtId="0" fontId="10" fillId="6" borderId="5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9" fillId="0" borderId="0"/>
    <xf numFmtId="0" fontId="2" fillId="0" borderId="0"/>
    <xf numFmtId="166" fontId="27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41">
    <xf numFmtId="0" fontId="0" fillId="0" borderId="0" xfId="0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0" fillId="0" borderId="0" xfId="0" applyFont="1"/>
    <xf numFmtId="0" fontId="23" fillId="0" borderId="0" xfId="0" applyFont="1"/>
    <xf numFmtId="0" fontId="22" fillId="0" borderId="0" xfId="1" applyFont="1"/>
    <xf numFmtId="165" fontId="22" fillId="0" borderId="0" xfId="1" applyNumberFormat="1" applyFont="1"/>
    <xf numFmtId="0" fontId="23" fillId="0" borderId="0" xfId="1" applyFont="1"/>
    <xf numFmtId="0" fontId="21" fillId="0" borderId="0" xfId="1" applyFont="1" applyAlignment="1">
      <alignment wrapText="1"/>
    </xf>
    <xf numFmtId="0" fontId="21" fillId="0" borderId="0" xfId="1" applyFont="1"/>
    <xf numFmtId="165" fontId="22" fillId="33" borderId="0" xfId="0" applyNumberFormat="1" applyFont="1" applyFill="1"/>
    <xf numFmtId="0" fontId="22" fillId="33" borderId="0" xfId="0" applyFont="1" applyFill="1"/>
    <xf numFmtId="0" fontId="23" fillId="0" borderId="1" xfId="0" quotePrefix="1" applyFont="1" applyBorder="1" applyAlignment="1">
      <alignment horizontal="center" vertical="center"/>
    </xf>
    <xf numFmtId="0" fontId="23" fillId="0" borderId="12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165" fontId="22" fillId="0" borderId="0" xfId="0" quotePrefix="1" applyNumberFormat="1" applyFont="1" applyAlignment="1">
      <alignment horizontal="center" vertical="center"/>
    </xf>
    <xf numFmtId="165" fontId="21" fillId="0" borderId="0" xfId="0" applyNumberFormat="1" applyFont="1"/>
    <xf numFmtId="0" fontId="23" fillId="0" borderId="14" xfId="0" applyFont="1" applyBorder="1" applyAlignment="1">
      <alignment horizontal="center" vertical="center" wrapText="1"/>
    </xf>
    <xf numFmtId="0" fontId="23" fillId="0" borderId="14" xfId="0" quotePrefix="1" applyFont="1" applyBorder="1" applyAlignment="1">
      <alignment horizontal="center" vertical="center"/>
    </xf>
    <xf numFmtId="0" fontId="22" fillId="0" borderId="0" xfId="0" quotePrefix="1" applyFont="1" applyAlignment="1">
      <alignment vertical="center"/>
    </xf>
    <xf numFmtId="3" fontId="21" fillId="0" borderId="0" xfId="1" applyNumberFormat="1" applyFont="1" applyAlignment="1">
      <alignment horizontal="right" wrapText="1"/>
    </xf>
    <xf numFmtId="0" fontId="21" fillId="0" borderId="0" xfId="1" applyFont="1" applyAlignment="1">
      <alignment horizontal="right" wrapText="1"/>
    </xf>
    <xf numFmtId="0" fontId="22" fillId="0" borderId="0" xfId="45" applyFont="1"/>
    <xf numFmtId="0" fontId="24" fillId="0" borderId="0" xfId="45" applyFont="1"/>
    <xf numFmtId="165" fontId="22" fillId="0" borderId="0" xfId="0" quotePrefix="1" applyNumberFormat="1" applyFont="1" applyAlignment="1">
      <alignment horizontal="right" vertical="center"/>
    </xf>
    <xf numFmtId="166" fontId="22" fillId="0" borderId="0" xfId="46" applyFont="1" applyAlignment="1">
      <alignment wrapText="1"/>
    </xf>
    <xf numFmtId="166" fontId="22" fillId="0" borderId="0" xfId="46" applyFont="1" applyAlignment="1">
      <alignment vertical="top"/>
    </xf>
    <xf numFmtId="0" fontId="23" fillId="0" borderId="1" xfId="0" applyFont="1" applyBorder="1" applyAlignment="1">
      <alignment horizontal="center" vertical="center" wrapText="1"/>
    </xf>
    <xf numFmtId="0" fontId="23" fillId="0" borderId="14" xfId="1" quotePrefix="1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1" quotePrefix="1" applyFont="1" applyAlignment="1">
      <alignment horizontal="center" vertical="center"/>
    </xf>
    <xf numFmtId="0" fontId="20" fillId="0" borderId="0" xfId="0" applyFont="1" applyAlignment="1">
      <alignment horizontal="centerContinuous"/>
    </xf>
    <xf numFmtId="0" fontId="28" fillId="0" borderId="0" xfId="0" applyFont="1" applyAlignment="1">
      <alignment horizontal="centerContinuous" vertical="top"/>
    </xf>
    <xf numFmtId="0" fontId="26" fillId="0" borderId="0" xfId="0" applyFont="1" applyAlignment="1">
      <alignment horizontal="centerContinuous" vertical="center" wrapText="1"/>
    </xf>
    <xf numFmtId="43" fontId="20" fillId="0" borderId="0" xfId="47" applyFont="1" applyFill="1"/>
    <xf numFmtId="43" fontId="21" fillId="0" borderId="0" xfId="47" applyFont="1" applyFill="1"/>
    <xf numFmtId="165" fontId="22" fillId="0" borderId="0" xfId="0" applyNumberFormat="1" applyFont="1"/>
    <xf numFmtId="0" fontId="20" fillId="0" borderId="0" xfId="0" applyFont="1" applyAlignment="1">
      <alignment horizontal="left"/>
    </xf>
    <xf numFmtId="0" fontId="23" fillId="0" borderId="16" xfId="0" quotePrefix="1" applyFont="1" applyBorder="1" applyAlignment="1">
      <alignment horizontal="center" vertical="center"/>
    </xf>
    <xf numFmtId="0" fontId="23" fillId="0" borderId="16" xfId="1" quotePrefix="1" applyFont="1" applyBorder="1" applyAlignment="1">
      <alignment horizontal="center" vertical="center"/>
    </xf>
    <xf numFmtId="43" fontId="20" fillId="0" borderId="0" xfId="47" applyFont="1"/>
    <xf numFmtId="167" fontId="20" fillId="0" borderId="0" xfId="47" applyNumberFormat="1" applyFont="1"/>
    <xf numFmtId="167" fontId="21" fillId="0" borderId="0" xfId="47" applyNumberFormat="1" applyFont="1"/>
    <xf numFmtId="167" fontId="21" fillId="0" borderId="0" xfId="47" applyNumberFormat="1" applyFont="1" applyAlignment="1">
      <alignment horizontal="right"/>
    </xf>
    <xf numFmtId="167" fontId="21" fillId="0" borderId="13" xfId="47" applyNumberFormat="1" applyFont="1" applyBorder="1"/>
    <xf numFmtId="167" fontId="21" fillId="0" borderId="13" xfId="47" applyNumberFormat="1" applyFont="1" applyBorder="1" applyAlignment="1">
      <alignment horizontal="right"/>
    </xf>
    <xf numFmtId="0" fontId="20" fillId="0" borderId="0" xfId="0" applyFont="1" applyAlignment="1">
      <alignment horizontal="center"/>
    </xf>
    <xf numFmtId="167" fontId="20" fillId="0" borderId="0" xfId="0" applyNumberFormat="1" applyFont="1"/>
    <xf numFmtId="167" fontId="23" fillId="0" borderId="0" xfId="1" applyNumberFormat="1" applyFont="1"/>
    <xf numFmtId="167" fontId="22" fillId="0" borderId="0" xfId="1" applyNumberFormat="1" applyFont="1"/>
    <xf numFmtId="168" fontId="20" fillId="0" borderId="0" xfId="0" applyNumberFormat="1" applyFont="1"/>
    <xf numFmtId="167" fontId="22" fillId="0" borderId="0" xfId="47" applyNumberFormat="1" applyFont="1"/>
    <xf numFmtId="0" fontId="25" fillId="0" borderId="0" xfId="44" quotePrefix="1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24" fillId="0" borderId="0" xfId="0" quotePrefix="1" applyFont="1" applyAlignment="1">
      <alignment horizontal="left"/>
    </xf>
    <xf numFmtId="0" fontId="25" fillId="0" borderId="0" xfId="45" applyFont="1"/>
    <xf numFmtId="0" fontId="23" fillId="0" borderId="16" xfId="0" applyFont="1" applyBorder="1" applyAlignment="1">
      <alignment horizontal="center" vertical="center" wrapText="1"/>
    </xf>
    <xf numFmtId="169" fontId="21" fillId="0" borderId="0" xfId="49" applyNumberFormat="1" applyFont="1"/>
    <xf numFmtId="0" fontId="23" fillId="0" borderId="15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15" xfId="1" quotePrefix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167" fontId="20" fillId="0" borderId="0" xfId="47" applyNumberFormat="1" applyFont="1" applyAlignment="1">
      <alignment vertical="center"/>
    </xf>
    <xf numFmtId="0" fontId="21" fillId="0" borderId="0" xfId="0" applyFont="1" applyAlignment="1">
      <alignment vertical="center"/>
    </xf>
    <xf numFmtId="167" fontId="21" fillId="0" borderId="0" xfId="47" applyNumberFormat="1" applyFont="1" applyAlignment="1">
      <alignment vertical="center"/>
    </xf>
    <xf numFmtId="166" fontId="22" fillId="0" borderId="13" xfId="46" applyFont="1" applyBorder="1" applyAlignment="1">
      <alignment vertical="center" wrapText="1"/>
    </xf>
    <xf numFmtId="43" fontId="21" fillId="0" borderId="13" xfId="47" applyFont="1" applyFill="1" applyBorder="1"/>
    <xf numFmtId="167" fontId="21" fillId="0" borderId="0" xfId="47" applyNumberFormat="1" applyFont="1" applyBorder="1" applyAlignment="1">
      <alignment vertical="center"/>
    </xf>
    <xf numFmtId="0" fontId="23" fillId="0" borderId="32" xfId="0" applyFont="1" applyBorder="1" applyAlignment="1">
      <alignment horizontal="center" vertical="center" wrapText="1"/>
    </xf>
    <xf numFmtId="0" fontId="23" fillId="0" borderId="33" xfId="0" quotePrefix="1" applyFont="1" applyBorder="1" applyAlignment="1">
      <alignment horizontal="center" vertical="center"/>
    </xf>
    <xf numFmtId="0" fontId="23" fillId="0" borderId="34" xfId="0" quotePrefix="1" applyFont="1" applyBorder="1" applyAlignment="1">
      <alignment horizontal="center" vertical="center"/>
    </xf>
    <xf numFmtId="0" fontId="23" fillId="0" borderId="15" xfId="0" quotePrefix="1" applyFont="1" applyBorder="1" applyAlignment="1">
      <alignment horizontal="center" vertical="center"/>
    </xf>
    <xf numFmtId="0" fontId="23" fillId="0" borderId="36" xfId="0" quotePrefix="1" applyFont="1" applyBorder="1" applyAlignment="1">
      <alignment horizontal="center" vertical="center"/>
    </xf>
    <xf numFmtId="165" fontId="24" fillId="33" borderId="0" xfId="0" applyNumberFormat="1" applyFont="1" applyFill="1"/>
    <xf numFmtId="0" fontId="24" fillId="33" borderId="0" xfId="0" applyFont="1" applyFill="1"/>
    <xf numFmtId="0" fontId="22" fillId="0" borderId="13" xfId="1" applyFont="1" applyBorder="1"/>
    <xf numFmtId="167" fontId="22" fillId="0" borderId="13" xfId="47" applyNumberFormat="1" applyFont="1" applyBorder="1"/>
    <xf numFmtId="0" fontId="21" fillId="0" borderId="13" xfId="44" applyFont="1" applyBorder="1" applyAlignment="1">
      <alignment wrapText="1"/>
    </xf>
    <xf numFmtId="43" fontId="23" fillId="0" borderId="0" xfId="47" applyFont="1"/>
    <xf numFmtId="43" fontId="22" fillId="0" borderId="0" xfId="47" applyFont="1"/>
    <xf numFmtId="43" fontId="21" fillId="0" borderId="0" xfId="47" applyFont="1" applyAlignment="1">
      <alignment horizontal="right"/>
    </xf>
    <xf numFmtId="43" fontId="22" fillId="0" borderId="13" xfId="47" applyFont="1" applyBorder="1"/>
    <xf numFmtId="167" fontId="23" fillId="0" borderId="0" xfId="47" applyNumberFormat="1" applyFont="1"/>
    <xf numFmtId="167" fontId="23" fillId="0" borderId="0" xfId="47" applyNumberFormat="1" applyFont="1" applyFill="1"/>
    <xf numFmtId="167" fontId="22" fillId="0" borderId="0" xfId="47" applyNumberFormat="1" applyFont="1" applyFill="1"/>
    <xf numFmtId="167" fontId="22" fillId="0" borderId="13" xfId="47" applyNumberFormat="1" applyFont="1" applyFill="1" applyBorder="1"/>
    <xf numFmtId="166" fontId="22" fillId="0" borderId="0" xfId="46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13" xfId="1" applyFont="1" applyBorder="1" applyAlignment="1">
      <alignment vertical="top"/>
    </xf>
    <xf numFmtId="167" fontId="20" fillId="0" borderId="0" xfId="47" applyNumberFormat="1" applyFont="1" applyAlignment="1">
      <alignment vertical="top"/>
    </xf>
    <xf numFmtId="167" fontId="21" fillId="0" borderId="0" xfId="47" applyNumberFormat="1" applyFont="1" applyAlignment="1">
      <alignment vertical="top"/>
    </xf>
    <xf numFmtId="167" fontId="21" fillId="0" borderId="0" xfId="47" applyNumberFormat="1" applyFont="1" applyAlignment="1">
      <alignment horizontal="right" vertical="top"/>
    </xf>
    <xf numFmtId="167" fontId="22" fillId="0" borderId="0" xfId="47" applyNumberFormat="1" applyFont="1" applyAlignment="1">
      <alignment vertical="top"/>
    </xf>
    <xf numFmtId="167" fontId="22" fillId="0" borderId="13" xfId="47" applyNumberFormat="1" applyFont="1" applyBorder="1" applyAlignment="1">
      <alignment vertical="top"/>
    </xf>
    <xf numFmtId="167" fontId="21" fillId="0" borderId="0" xfId="47" applyNumberFormat="1" applyFont="1" applyAlignment="1">
      <alignment horizontal="right" vertical="center"/>
    </xf>
    <xf numFmtId="167" fontId="21" fillId="0" borderId="0" xfId="47" applyNumberFormat="1" applyFont="1" applyBorder="1" applyAlignment="1">
      <alignment vertical="top"/>
    </xf>
    <xf numFmtId="167" fontId="21" fillId="0" borderId="0" xfId="47" applyNumberFormat="1" applyFont="1" applyBorder="1" applyAlignment="1">
      <alignment horizontal="right" vertical="top"/>
    </xf>
    <xf numFmtId="0" fontId="21" fillId="0" borderId="13" xfId="1" applyFont="1" applyBorder="1" applyAlignment="1">
      <alignment vertical="top" wrapText="1"/>
    </xf>
    <xf numFmtId="167" fontId="21" fillId="0" borderId="13" xfId="47" applyNumberFormat="1" applyFont="1" applyBorder="1" applyAlignment="1">
      <alignment vertical="top"/>
    </xf>
    <xf numFmtId="167" fontId="21" fillId="0" borderId="13" xfId="47" applyNumberFormat="1" applyFont="1" applyBorder="1" applyAlignment="1">
      <alignment horizontal="right" vertical="top"/>
    </xf>
    <xf numFmtId="0" fontId="22" fillId="0" borderId="0" xfId="1" applyFont="1" applyAlignment="1">
      <alignment vertical="top" wrapText="1"/>
    </xf>
    <xf numFmtId="0" fontId="22" fillId="0" borderId="13" xfId="1" applyFont="1" applyBorder="1" applyAlignment="1">
      <alignment vertical="top" wrapText="1"/>
    </xf>
    <xf numFmtId="167" fontId="22" fillId="0" borderId="0" xfId="47" applyNumberFormat="1" applyFont="1" applyAlignment="1">
      <alignment vertical="center"/>
    </xf>
    <xf numFmtId="0" fontId="25" fillId="0" borderId="0" xfId="44" quotePrefix="1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25" fillId="33" borderId="0" xfId="44" applyFont="1" applyFill="1"/>
    <xf numFmtId="0" fontId="20" fillId="0" borderId="0" xfId="0" applyFont="1" applyAlignment="1">
      <alignment horizontal="center"/>
    </xf>
    <xf numFmtId="0" fontId="23" fillId="0" borderId="30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5" fillId="0" borderId="0" xfId="44" quotePrefix="1" applyFont="1" applyAlignment="1">
      <alignment horizontal="left" wrapText="1"/>
    </xf>
    <xf numFmtId="0" fontId="20" fillId="0" borderId="0" xfId="0" applyFont="1" applyAlignment="1">
      <alignment horizontal="left"/>
    </xf>
    <xf numFmtId="0" fontId="28" fillId="0" borderId="0" xfId="0" applyFont="1" applyAlignment="1">
      <alignment horizontal="center" vertical="top"/>
    </xf>
    <xf numFmtId="0" fontId="23" fillId="0" borderId="15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1" fillId="0" borderId="0" xfId="44" quotePrefix="1" applyFont="1" applyAlignment="1">
      <alignment horizontal="left" wrapText="1"/>
    </xf>
    <xf numFmtId="0" fontId="24" fillId="0" borderId="0" xfId="0" quotePrefix="1" applyFont="1" applyAlignment="1">
      <alignment horizontal="left" wrapText="1"/>
    </xf>
    <xf numFmtId="0" fontId="24" fillId="0" borderId="0" xfId="0" applyFont="1" applyAlignment="1">
      <alignment horizontal="left" wrapText="1"/>
    </xf>
    <xf numFmtId="167" fontId="21" fillId="0" borderId="13" xfId="47" applyNumberFormat="1" applyFont="1" applyBorder="1" applyAlignment="1">
      <alignment vertical="center"/>
    </xf>
  </cellXfs>
  <cellStyles count="52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8"/>
    <cellStyle name="60% - Accent2 2" xfId="39"/>
    <cellStyle name="60% - Accent3 2" xfId="40"/>
    <cellStyle name="60% - Accent4 2" xfId="41"/>
    <cellStyle name="60% - Accent5 2" xfId="42"/>
    <cellStyle name="60% - Accent6 2" xfId="43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" xfId="47" builtinId="3"/>
    <cellStyle name="Comma 2" xfId="2"/>
    <cellStyle name="Comma 2 2" xfId="50"/>
    <cellStyle name="Comma 3" xfId="48"/>
    <cellStyle name="Comma 3 2" xfId="51"/>
    <cellStyle name="Excel Built-in Normal" xfId="46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37"/>
    <cellStyle name="Normal" xfId="0" builtinId="0"/>
    <cellStyle name="Normal 2" xfId="1"/>
    <cellStyle name="Normal 2 2" xfId="44"/>
    <cellStyle name="Normal 3" xfId="45"/>
    <cellStyle name="Note" xfId="15" builtinId="10" customBuiltin="1"/>
    <cellStyle name="Output" xfId="10" builtinId="21" customBuiltin="1"/>
    <cellStyle name="Percent" xfId="49" builtinId="5"/>
    <cellStyle name="Title 2" xfId="36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view="pageBreakPreview" zoomScale="130" zoomScaleNormal="136" zoomScaleSheetLayoutView="130" workbookViewId="0">
      <selection activeCell="B11" sqref="B11"/>
    </sheetView>
  </sheetViews>
  <sheetFormatPr defaultColWidth="8.85546875" defaultRowHeight="13.5"/>
  <cols>
    <col min="1" max="1" width="5.7109375" style="7" customWidth="1"/>
    <col min="2" max="2" width="34.7109375" style="7" customWidth="1"/>
    <col min="3" max="3" width="1.42578125" style="7" customWidth="1"/>
    <col min="4" max="4" width="12.7109375" style="8" customWidth="1"/>
    <col min="5" max="5" width="11.7109375" style="8" customWidth="1"/>
    <col min="6" max="6" width="12.42578125" style="8" customWidth="1"/>
    <col min="7" max="7" width="12.7109375" style="8" customWidth="1"/>
    <col min="8" max="8" width="10.5703125" style="8" customWidth="1"/>
    <col min="9" max="9" width="10.7109375" style="8" customWidth="1"/>
    <col min="10" max="10" width="11.28515625" style="8" customWidth="1"/>
    <col min="11" max="11" width="9.85546875" style="8" customWidth="1"/>
    <col min="12" max="12" width="17.85546875" style="8" customWidth="1"/>
    <col min="13" max="16" width="16.85546875" style="7" customWidth="1"/>
    <col min="17" max="16384" width="8.85546875" style="7"/>
  </cols>
  <sheetData>
    <row r="1" spans="1:12" s="1" customFormat="1">
      <c r="A1" s="111" t="s">
        <v>179</v>
      </c>
      <c r="B1" s="111"/>
      <c r="C1" s="111"/>
      <c r="D1" s="111"/>
      <c r="E1" s="111"/>
      <c r="F1" s="111"/>
      <c r="G1" s="111"/>
    </row>
    <row r="2" spans="1:12" s="1" customFormat="1" ht="11.25" customHeight="1">
      <c r="A2" s="34" t="s">
        <v>187</v>
      </c>
      <c r="B2" s="34"/>
      <c r="C2" s="34"/>
      <c r="D2" s="34"/>
      <c r="E2" s="34"/>
      <c r="F2" s="34"/>
      <c r="G2" s="34"/>
    </row>
    <row r="3" spans="1:12" s="1" customFormat="1" ht="8.25" customHeight="1">
      <c r="A3" s="2"/>
    </row>
    <row r="4" spans="1:12" s="3" customFormat="1" ht="15.75" customHeight="1">
      <c r="A4" s="112" t="s">
        <v>3</v>
      </c>
      <c r="B4" s="115" t="s">
        <v>15</v>
      </c>
      <c r="C4" s="62"/>
      <c r="D4" s="122" t="s">
        <v>4</v>
      </c>
      <c r="E4" s="119" t="s">
        <v>5</v>
      </c>
      <c r="F4" s="112"/>
      <c r="G4" s="115" t="s">
        <v>172</v>
      </c>
    </row>
    <row r="5" spans="1:12" s="3" customFormat="1" ht="13.5" customHeight="1">
      <c r="A5" s="113"/>
      <c r="B5" s="116"/>
      <c r="C5" s="63"/>
      <c r="D5" s="123"/>
      <c r="E5" s="120"/>
      <c r="F5" s="121"/>
      <c r="G5" s="116"/>
    </row>
    <row r="6" spans="1:12" s="3" customFormat="1" ht="24.75" customHeight="1">
      <c r="A6" s="113"/>
      <c r="B6" s="116"/>
      <c r="C6" s="64"/>
      <c r="D6" s="124"/>
      <c r="E6" s="61" t="s">
        <v>0</v>
      </c>
      <c r="F6" s="29" t="s">
        <v>6</v>
      </c>
      <c r="G6" s="118"/>
    </row>
    <row r="7" spans="1:12" s="3" customFormat="1" ht="12.75" customHeight="1">
      <c r="A7" s="114"/>
      <c r="B7" s="117"/>
      <c r="C7" s="73"/>
      <c r="D7" s="74" t="s">
        <v>7</v>
      </c>
      <c r="E7" s="75" t="s">
        <v>8</v>
      </c>
      <c r="F7" s="75" t="s">
        <v>9</v>
      </c>
      <c r="G7" s="77" t="s">
        <v>14</v>
      </c>
    </row>
    <row r="8" spans="1:12" s="3" customFormat="1" ht="12.75" customHeight="1">
      <c r="A8" s="4"/>
      <c r="B8" s="4"/>
      <c r="C8" s="4"/>
      <c r="D8" s="16"/>
      <c r="E8" s="17"/>
      <c r="F8" s="16"/>
      <c r="G8" s="26"/>
    </row>
    <row r="9" spans="1:12" s="5" customFormat="1">
      <c r="A9" s="6"/>
      <c r="B9" s="5" t="s">
        <v>16</v>
      </c>
      <c r="D9" s="94">
        <v>23361</v>
      </c>
      <c r="E9" s="94">
        <v>1195082</v>
      </c>
      <c r="F9" s="94">
        <v>1186717</v>
      </c>
      <c r="G9" s="94">
        <v>7030675449</v>
      </c>
      <c r="I9" s="52"/>
      <c r="J9" s="49"/>
      <c r="K9" s="49"/>
      <c r="L9" s="49"/>
    </row>
    <row r="10" spans="1:12" s="5" customFormat="1" ht="6" customHeight="1">
      <c r="A10" s="6"/>
      <c r="D10" s="94"/>
      <c r="E10" s="94"/>
      <c r="F10" s="94"/>
      <c r="G10" s="94"/>
    </row>
    <row r="11" spans="1:12" s="1" customFormat="1">
      <c r="A11" s="28" t="s">
        <v>17</v>
      </c>
      <c r="B11" s="91" t="s">
        <v>18</v>
      </c>
      <c r="C11" s="27"/>
      <c r="D11" s="95">
        <v>276</v>
      </c>
      <c r="E11" s="95">
        <v>26585</v>
      </c>
      <c r="F11" s="95">
        <v>26412</v>
      </c>
      <c r="G11" s="95">
        <v>193923710</v>
      </c>
      <c r="H11" s="59"/>
    </row>
    <row r="12" spans="1:12" s="1" customFormat="1" ht="27">
      <c r="A12" s="28" t="s">
        <v>19</v>
      </c>
      <c r="B12" s="91" t="s">
        <v>20</v>
      </c>
      <c r="C12" s="27"/>
      <c r="D12" s="95">
        <v>244</v>
      </c>
      <c r="E12" s="95">
        <v>17479</v>
      </c>
      <c r="F12" s="95">
        <v>17205</v>
      </c>
      <c r="G12" s="95">
        <v>103106128</v>
      </c>
      <c r="H12" s="59"/>
    </row>
    <row r="13" spans="1:12" s="1" customFormat="1" ht="11.25" customHeight="1">
      <c r="A13" s="28" t="s">
        <v>21</v>
      </c>
      <c r="B13" s="91" t="s">
        <v>22</v>
      </c>
      <c r="C13" s="27"/>
      <c r="D13" s="95">
        <v>166</v>
      </c>
      <c r="E13" s="95">
        <v>24843</v>
      </c>
      <c r="F13" s="95">
        <v>24663</v>
      </c>
      <c r="G13" s="95">
        <v>149632239</v>
      </c>
      <c r="H13" s="59"/>
    </row>
    <row r="14" spans="1:12" s="1" customFormat="1" ht="13.5" customHeight="1">
      <c r="A14" s="28" t="s">
        <v>23</v>
      </c>
      <c r="B14" s="91" t="s">
        <v>24</v>
      </c>
      <c r="C14" s="27"/>
      <c r="D14" s="95">
        <v>99</v>
      </c>
      <c r="E14" s="95">
        <v>6695</v>
      </c>
      <c r="F14" s="95">
        <v>6678</v>
      </c>
      <c r="G14" s="95">
        <v>205321393</v>
      </c>
      <c r="H14" s="59"/>
    </row>
    <row r="15" spans="1:12" s="1" customFormat="1">
      <c r="A15" s="28" t="s">
        <v>25</v>
      </c>
      <c r="B15" s="91" t="s">
        <v>26</v>
      </c>
      <c r="C15" s="27"/>
      <c r="D15" s="95">
        <v>102</v>
      </c>
      <c r="E15" s="95">
        <v>11001</v>
      </c>
      <c r="F15" s="95">
        <v>10907</v>
      </c>
      <c r="G15" s="95">
        <v>227650879</v>
      </c>
      <c r="H15" s="59"/>
    </row>
    <row r="16" spans="1:12" s="1" customFormat="1" ht="27">
      <c r="A16" s="28" t="s">
        <v>27</v>
      </c>
      <c r="B16" s="91" t="s">
        <v>28</v>
      </c>
      <c r="C16" s="27"/>
      <c r="D16" s="95">
        <v>1233</v>
      </c>
      <c r="E16" s="95">
        <v>17749</v>
      </c>
      <c r="F16" s="95">
        <v>15765</v>
      </c>
      <c r="G16" s="95">
        <v>182820561</v>
      </c>
      <c r="H16" s="59"/>
    </row>
    <row r="17" spans="1:12" s="1" customFormat="1">
      <c r="A17" s="28" t="s">
        <v>29</v>
      </c>
      <c r="B17" s="91" t="s">
        <v>30</v>
      </c>
      <c r="C17" s="27"/>
      <c r="D17" s="95">
        <v>7162</v>
      </c>
      <c r="E17" s="95">
        <v>126181</v>
      </c>
      <c r="F17" s="95">
        <v>124562</v>
      </c>
      <c r="G17" s="95">
        <v>469477583</v>
      </c>
      <c r="H17" s="59"/>
    </row>
    <row r="18" spans="1:12" s="1" customFormat="1">
      <c r="A18" s="28" t="s">
        <v>31</v>
      </c>
      <c r="B18" s="91" t="s">
        <v>32</v>
      </c>
      <c r="C18" s="27"/>
      <c r="D18" s="95">
        <v>191</v>
      </c>
      <c r="E18" s="95">
        <v>14627</v>
      </c>
      <c r="F18" s="95">
        <v>14616</v>
      </c>
      <c r="G18" s="95">
        <v>197078004</v>
      </c>
      <c r="H18" s="59"/>
    </row>
    <row r="19" spans="1:12" s="1" customFormat="1">
      <c r="A19" s="28" t="s">
        <v>33</v>
      </c>
      <c r="B19" s="91" t="s">
        <v>34</v>
      </c>
      <c r="C19" s="27"/>
      <c r="D19" s="95">
        <v>2995</v>
      </c>
      <c r="E19" s="95">
        <v>32821</v>
      </c>
      <c r="F19" s="95">
        <v>31774</v>
      </c>
      <c r="G19" s="95">
        <v>384394091</v>
      </c>
      <c r="H19" s="59"/>
    </row>
    <row r="20" spans="1:12">
      <c r="A20" s="28" t="s">
        <v>35</v>
      </c>
      <c r="B20" s="91" t="s">
        <v>36</v>
      </c>
      <c r="C20" s="27"/>
      <c r="D20" s="95">
        <v>21</v>
      </c>
      <c r="E20" s="95">
        <v>6354</v>
      </c>
      <c r="F20" s="95">
        <v>6351</v>
      </c>
      <c r="G20" s="95">
        <v>80218284</v>
      </c>
      <c r="H20" s="59"/>
    </row>
    <row r="21" spans="1:12">
      <c r="A21" s="28" t="s">
        <v>37</v>
      </c>
      <c r="B21" s="91" t="s">
        <v>38</v>
      </c>
      <c r="C21" s="27"/>
      <c r="D21" s="95">
        <v>79</v>
      </c>
      <c r="E21" s="95">
        <v>4793</v>
      </c>
      <c r="F21" s="95">
        <v>4637</v>
      </c>
      <c r="G21" s="95">
        <v>7831261</v>
      </c>
      <c r="H21" s="59"/>
    </row>
    <row r="22" spans="1:12">
      <c r="A22" s="28" t="s">
        <v>39</v>
      </c>
      <c r="B22" s="91" t="s">
        <v>40</v>
      </c>
      <c r="C22" s="27"/>
      <c r="D22" s="95">
        <v>190</v>
      </c>
      <c r="E22" s="95">
        <v>10977</v>
      </c>
      <c r="F22" s="95">
        <v>10873</v>
      </c>
      <c r="G22" s="95">
        <v>18717565</v>
      </c>
      <c r="H22" s="59"/>
    </row>
    <row r="23" spans="1:12" ht="13.5" customHeight="1">
      <c r="A23" s="28" t="s">
        <v>41</v>
      </c>
      <c r="B23" s="91" t="s">
        <v>42</v>
      </c>
      <c r="C23" s="27"/>
      <c r="D23" s="95">
        <v>517</v>
      </c>
      <c r="E23" s="95">
        <v>64633</v>
      </c>
      <c r="F23" s="95">
        <v>64538</v>
      </c>
      <c r="G23" s="95">
        <v>47175171</v>
      </c>
      <c r="H23" s="59"/>
    </row>
    <row r="24" spans="1:12">
      <c r="A24" s="28" t="s">
        <v>43</v>
      </c>
      <c r="B24" s="91" t="s">
        <v>44</v>
      </c>
      <c r="C24" s="27"/>
      <c r="D24" s="95">
        <v>464</v>
      </c>
      <c r="E24" s="95">
        <v>2923</v>
      </c>
      <c r="F24" s="95">
        <v>2639</v>
      </c>
      <c r="G24" s="95">
        <v>815538</v>
      </c>
      <c r="H24" s="59"/>
    </row>
    <row r="25" spans="1:12">
      <c r="A25" s="28" t="s">
        <v>45</v>
      </c>
      <c r="B25" s="91" t="s">
        <v>46</v>
      </c>
      <c r="C25" s="27"/>
      <c r="D25" s="95">
        <v>18</v>
      </c>
      <c r="E25" s="95">
        <v>3428</v>
      </c>
      <c r="F25" s="95">
        <v>3426</v>
      </c>
      <c r="G25" s="95">
        <v>3434384</v>
      </c>
      <c r="H25" s="59"/>
    </row>
    <row r="26" spans="1:12" ht="27">
      <c r="A26" s="28" t="s">
        <v>47</v>
      </c>
      <c r="B26" s="91" t="s">
        <v>48</v>
      </c>
      <c r="C26" s="27"/>
      <c r="D26" s="69">
        <v>56</v>
      </c>
      <c r="E26" s="69">
        <v>19227</v>
      </c>
      <c r="F26" s="69">
        <v>19215</v>
      </c>
      <c r="G26" s="69">
        <v>12809543</v>
      </c>
      <c r="H26" s="59"/>
    </row>
    <row r="27" spans="1:12">
      <c r="A27" s="28" t="s">
        <v>49</v>
      </c>
      <c r="B27" s="91" t="s">
        <v>50</v>
      </c>
      <c r="C27" s="27"/>
      <c r="D27" s="95">
        <v>114</v>
      </c>
      <c r="E27" s="95">
        <v>12727</v>
      </c>
      <c r="F27" s="95">
        <v>12709</v>
      </c>
      <c r="G27" s="95">
        <v>8422471</v>
      </c>
      <c r="H27" s="59"/>
    </row>
    <row r="28" spans="1:12">
      <c r="A28" s="28" t="s">
        <v>51</v>
      </c>
      <c r="B28" s="91" t="s">
        <v>52</v>
      </c>
      <c r="C28" s="27"/>
      <c r="D28" s="95">
        <v>53</v>
      </c>
      <c r="E28" s="95">
        <v>1912</v>
      </c>
      <c r="F28" s="95">
        <v>1897</v>
      </c>
      <c r="G28" s="95">
        <v>2714685</v>
      </c>
      <c r="H28" s="59"/>
    </row>
    <row r="29" spans="1:12" ht="27">
      <c r="A29" s="28" t="s">
        <v>53</v>
      </c>
      <c r="B29" s="91" t="s">
        <v>54</v>
      </c>
      <c r="C29" s="27"/>
      <c r="D29" s="69">
        <v>252</v>
      </c>
      <c r="E29" s="69">
        <v>16401</v>
      </c>
      <c r="F29" s="69">
        <v>16251</v>
      </c>
      <c r="G29" s="69">
        <v>65726709</v>
      </c>
      <c r="H29" s="59"/>
    </row>
    <row r="30" spans="1:12">
      <c r="A30" s="28" t="s">
        <v>55</v>
      </c>
      <c r="B30" s="91" t="s">
        <v>150</v>
      </c>
      <c r="C30" s="27"/>
      <c r="D30" s="95">
        <v>300</v>
      </c>
      <c r="E30" s="95">
        <v>17045</v>
      </c>
      <c r="F30" s="95">
        <v>17037</v>
      </c>
      <c r="G30" s="95">
        <v>118989089</v>
      </c>
      <c r="H30" s="59"/>
    </row>
    <row r="31" spans="1:12">
      <c r="A31" s="28" t="s">
        <v>56</v>
      </c>
      <c r="B31" s="91" t="s">
        <v>57</v>
      </c>
      <c r="C31" s="27"/>
      <c r="D31" s="95">
        <v>2091</v>
      </c>
      <c r="E31" s="95">
        <v>25614</v>
      </c>
      <c r="F31" s="95">
        <v>25144</v>
      </c>
      <c r="G31" s="95">
        <v>34398061</v>
      </c>
      <c r="H31" s="59"/>
    </row>
    <row r="32" spans="1:12">
      <c r="A32" s="28" t="s">
        <v>58</v>
      </c>
      <c r="B32" s="91" t="s">
        <v>59</v>
      </c>
      <c r="C32" s="27"/>
      <c r="D32" s="96">
        <v>5</v>
      </c>
      <c r="E32" s="96">
        <v>251</v>
      </c>
      <c r="F32" s="96">
        <v>251</v>
      </c>
      <c r="G32" s="96">
        <v>3962051</v>
      </c>
      <c r="H32" s="59"/>
      <c r="I32" s="45"/>
      <c r="J32" s="45"/>
      <c r="K32" s="45"/>
      <c r="L32" s="45"/>
    </row>
    <row r="33" spans="1:12">
      <c r="A33" s="28" t="s">
        <v>60</v>
      </c>
      <c r="B33" s="91" t="s">
        <v>61</v>
      </c>
      <c r="C33" s="27"/>
      <c r="D33" s="95">
        <v>21</v>
      </c>
      <c r="E33" s="95">
        <v>3199</v>
      </c>
      <c r="F33" s="95">
        <v>3197</v>
      </c>
      <c r="G33" s="95">
        <v>386542819</v>
      </c>
      <c r="H33" s="59"/>
    </row>
    <row r="34" spans="1:12">
      <c r="A34" s="28" t="s">
        <v>62</v>
      </c>
      <c r="B34" s="91" t="s">
        <v>63</v>
      </c>
      <c r="C34" s="27"/>
      <c r="D34" s="95">
        <v>3</v>
      </c>
      <c r="E34" s="95">
        <v>169</v>
      </c>
      <c r="F34" s="95">
        <v>169</v>
      </c>
      <c r="G34" s="95">
        <v>8314731</v>
      </c>
      <c r="H34" s="59"/>
    </row>
    <row r="35" spans="1:12">
      <c r="A35" s="28" t="s">
        <v>64</v>
      </c>
      <c r="B35" s="91" t="s">
        <v>65</v>
      </c>
      <c r="C35" s="27"/>
      <c r="D35" s="95">
        <v>231</v>
      </c>
      <c r="E35" s="95">
        <v>13235</v>
      </c>
      <c r="F35" s="95">
        <v>13139</v>
      </c>
      <c r="G35" s="95">
        <v>176966441</v>
      </c>
      <c r="H35" s="59"/>
    </row>
    <row r="36" spans="1:12">
      <c r="A36" s="28" t="s">
        <v>66</v>
      </c>
      <c r="B36" s="91" t="s">
        <v>67</v>
      </c>
      <c r="C36" s="27"/>
      <c r="D36" s="95">
        <v>358</v>
      </c>
      <c r="E36" s="95">
        <v>21922</v>
      </c>
      <c r="F36" s="95">
        <v>21858</v>
      </c>
      <c r="G36" s="95">
        <v>189475144</v>
      </c>
      <c r="H36" s="59"/>
    </row>
    <row r="37" spans="1:12">
      <c r="A37" s="28" t="s">
        <v>68</v>
      </c>
      <c r="B37" s="91" t="s">
        <v>69</v>
      </c>
      <c r="C37" s="27"/>
      <c r="D37" s="96">
        <v>4</v>
      </c>
      <c r="E37" s="96">
        <v>164</v>
      </c>
      <c r="F37" s="96">
        <v>164</v>
      </c>
      <c r="G37" s="96">
        <v>267930</v>
      </c>
      <c r="H37" s="59"/>
      <c r="I37" s="45"/>
      <c r="J37" s="45"/>
      <c r="K37" s="45"/>
      <c r="L37" s="45"/>
    </row>
    <row r="38" spans="1:12" ht="25.5" customHeight="1">
      <c r="A38" s="28" t="s">
        <v>70</v>
      </c>
      <c r="B38" s="91" t="s">
        <v>71</v>
      </c>
      <c r="C38" s="27"/>
      <c r="D38" s="69">
        <v>96</v>
      </c>
      <c r="E38" s="69">
        <v>12172</v>
      </c>
      <c r="F38" s="69">
        <v>12163</v>
      </c>
      <c r="G38" s="69">
        <v>74643913</v>
      </c>
      <c r="H38" s="59"/>
    </row>
    <row r="39" spans="1:12">
      <c r="A39" s="28" t="s">
        <v>72</v>
      </c>
      <c r="B39" s="91" t="s">
        <v>73</v>
      </c>
      <c r="C39" s="27"/>
      <c r="D39" s="95">
        <v>102</v>
      </c>
      <c r="E39" s="95">
        <v>12592</v>
      </c>
      <c r="F39" s="95">
        <v>12586</v>
      </c>
      <c r="G39" s="95">
        <v>47401640</v>
      </c>
      <c r="H39" s="59"/>
    </row>
    <row r="40" spans="1:12">
      <c r="A40" s="28" t="s">
        <v>74</v>
      </c>
      <c r="B40" s="91" t="s">
        <v>75</v>
      </c>
      <c r="C40" s="27"/>
      <c r="D40" s="95">
        <v>681</v>
      </c>
      <c r="E40" s="95">
        <v>48153</v>
      </c>
      <c r="F40" s="95">
        <v>48104</v>
      </c>
      <c r="G40" s="95">
        <v>141086529</v>
      </c>
      <c r="H40" s="59"/>
    </row>
    <row r="41" spans="1:12">
      <c r="A41" s="28" t="s">
        <v>76</v>
      </c>
      <c r="B41" s="91" t="s">
        <v>77</v>
      </c>
      <c r="C41" s="27"/>
      <c r="D41" s="95">
        <v>100</v>
      </c>
      <c r="E41" s="95">
        <v>4869</v>
      </c>
      <c r="F41" s="95">
        <v>4833</v>
      </c>
      <c r="G41" s="95">
        <v>22574558</v>
      </c>
      <c r="H41" s="59"/>
    </row>
    <row r="42" spans="1:12">
      <c r="A42" s="28" t="s">
        <v>78</v>
      </c>
      <c r="B42" s="91" t="s">
        <v>79</v>
      </c>
      <c r="C42" s="27"/>
      <c r="D42" s="95">
        <v>865</v>
      </c>
      <c r="E42" s="95">
        <v>49261</v>
      </c>
      <c r="F42" s="95">
        <v>48879</v>
      </c>
      <c r="G42" s="95">
        <v>295996191</v>
      </c>
      <c r="H42" s="59"/>
    </row>
    <row r="43" spans="1:12">
      <c r="A43" s="28" t="s">
        <v>80</v>
      </c>
      <c r="B43" s="91" t="s">
        <v>81</v>
      </c>
      <c r="C43" s="27"/>
      <c r="D43" s="95">
        <v>183</v>
      </c>
      <c r="E43" s="95">
        <v>14579</v>
      </c>
      <c r="F43" s="95">
        <v>14574</v>
      </c>
      <c r="G43" s="95">
        <v>181977256</v>
      </c>
      <c r="H43" s="59"/>
    </row>
    <row r="44" spans="1:12" ht="27">
      <c r="A44" s="28" t="s">
        <v>82</v>
      </c>
      <c r="B44" s="91" t="s">
        <v>83</v>
      </c>
      <c r="C44" s="27"/>
      <c r="D44" s="69">
        <v>40</v>
      </c>
      <c r="E44" s="69">
        <v>5664</v>
      </c>
      <c r="F44" s="69">
        <v>5661</v>
      </c>
      <c r="G44" s="69">
        <v>250793453</v>
      </c>
      <c r="H44" s="59"/>
    </row>
    <row r="45" spans="1:12">
      <c r="A45" s="28" t="s">
        <v>84</v>
      </c>
      <c r="B45" s="91" t="s">
        <v>85</v>
      </c>
      <c r="C45" s="27"/>
      <c r="D45" s="95">
        <v>48</v>
      </c>
      <c r="E45" s="95">
        <v>3517</v>
      </c>
      <c r="F45" s="95">
        <v>3517</v>
      </c>
      <c r="G45" s="95">
        <v>8155730</v>
      </c>
      <c r="H45" s="59"/>
    </row>
    <row r="46" spans="1:12" ht="27">
      <c r="A46" s="28" t="s">
        <v>86</v>
      </c>
      <c r="B46" s="91" t="s">
        <v>87</v>
      </c>
      <c r="C46" s="27"/>
      <c r="D46" s="69">
        <v>580</v>
      </c>
      <c r="E46" s="69">
        <v>21669</v>
      </c>
      <c r="F46" s="69">
        <v>21561</v>
      </c>
      <c r="G46" s="69">
        <v>60714868</v>
      </c>
      <c r="H46" s="59"/>
    </row>
    <row r="47" spans="1:12">
      <c r="A47" s="28" t="s">
        <v>88</v>
      </c>
      <c r="B47" s="91" t="s">
        <v>89</v>
      </c>
      <c r="C47" s="27"/>
      <c r="D47" s="95">
        <v>12</v>
      </c>
      <c r="E47" s="95">
        <v>1355</v>
      </c>
      <c r="F47" s="95">
        <v>1352</v>
      </c>
      <c r="G47" s="95">
        <v>5625072</v>
      </c>
      <c r="H47" s="59"/>
    </row>
    <row r="48" spans="1:12" ht="27">
      <c r="A48" s="28" t="s">
        <v>90</v>
      </c>
      <c r="B48" s="91" t="s">
        <v>91</v>
      </c>
      <c r="C48" s="27"/>
      <c r="D48" s="95">
        <v>787</v>
      </c>
      <c r="E48" s="95">
        <v>31366</v>
      </c>
      <c r="F48" s="95">
        <v>31221</v>
      </c>
      <c r="G48" s="95">
        <v>97935674</v>
      </c>
      <c r="H48" s="59"/>
    </row>
    <row r="49" spans="1:8">
      <c r="A49" s="28" t="s">
        <v>92</v>
      </c>
      <c r="B49" s="91" t="s">
        <v>93</v>
      </c>
      <c r="C49" s="27"/>
      <c r="D49" s="95">
        <v>134</v>
      </c>
      <c r="E49" s="95">
        <v>153865</v>
      </c>
      <c r="F49" s="95">
        <v>153864</v>
      </c>
      <c r="G49" s="95">
        <v>830085504</v>
      </c>
      <c r="H49" s="59"/>
    </row>
    <row r="50" spans="1:8" ht="27">
      <c r="A50" s="28" t="s">
        <v>94</v>
      </c>
      <c r="B50" s="91" t="s">
        <v>95</v>
      </c>
      <c r="C50" s="27"/>
      <c r="D50" s="69">
        <v>32</v>
      </c>
      <c r="E50" s="69">
        <v>49919</v>
      </c>
      <c r="F50" s="69">
        <v>49913</v>
      </c>
      <c r="G50" s="69">
        <v>316393626</v>
      </c>
      <c r="H50" s="59"/>
    </row>
    <row r="51" spans="1:8">
      <c r="A51" s="28" t="s">
        <v>96</v>
      </c>
      <c r="B51" s="91" t="s">
        <v>97</v>
      </c>
      <c r="C51" s="27"/>
      <c r="D51" s="95">
        <v>13</v>
      </c>
      <c r="E51" s="95">
        <v>5615</v>
      </c>
      <c r="F51" s="95">
        <v>5615</v>
      </c>
      <c r="G51" s="95">
        <v>13051916</v>
      </c>
      <c r="H51" s="59"/>
    </row>
    <row r="52" spans="1:8">
      <c r="A52" s="28" t="s">
        <v>98</v>
      </c>
      <c r="B52" s="91" t="s">
        <v>99</v>
      </c>
      <c r="C52" s="27"/>
      <c r="D52" s="95">
        <v>18</v>
      </c>
      <c r="E52" s="95">
        <v>3421</v>
      </c>
      <c r="F52" s="95">
        <v>3421</v>
      </c>
      <c r="G52" s="95">
        <v>28010499</v>
      </c>
      <c r="H52" s="59"/>
    </row>
    <row r="53" spans="1:8" ht="27">
      <c r="A53" s="28" t="s">
        <v>100</v>
      </c>
      <c r="B53" s="91" t="s">
        <v>101</v>
      </c>
      <c r="C53" s="27"/>
      <c r="D53" s="69">
        <v>25</v>
      </c>
      <c r="E53" s="69">
        <v>2965</v>
      </c>
      <c r="F53" s="69">
        <v>2965</v>
      </c>
      <c r="G53" s="69">
        <v>4656281</v>
      </c>
      <c r="H53" s="59"/>
    </row>
    <row r="54" spans="1:8" ht="27">
      <c r="A54" s="28" t="s">
        <v>180</v>
      </c>
      <c r="B54" s="91" t="s">
        <v>181</v>
      </c>
      <c r="C54" s="27"/>
      <c r="D54" s="99" t="s">
        <v>191</v>
      </c>
      <c r="E54" s="99" t="s">
        <v>191</v>
      </c>
      <c r="F54" s="99" t="s">
        <v>191</v>
      </c>
      <c r="G54" s="99" t="s">
        <v>191</v>
      </c>
      <c r="H54" s="59"/>
    </row>
    <row r="55" spans="1:8" ht="27">
      <c r="A55" s="28" t="s">
        <v>102</v>
      </c>
      <c r="B55" s="91" t="s">
        <v>103</v>
      </c>
      <c r="C55" s="27"/>
      <c r="D55" s="69">
        <v>20</v>
      </c>
      <c r="E55" s="69">
        <v>6375</v>
      </c>
      <c r="F55" s="69">
        <v>6367</v>
      </c>
      <c r="G55" s="69">
        <v>26508470</v>
      </c>
      <c r="H55" s="59"/>
    </row>
    <row r="56" spans="1:8" ht="27">
      <c r="A56" s="28" t="s">
        <v>104</v>
      </c>
      <c r="B56" s="91" t="s">
        <v>105</v>
      </c>
      <c r="C56" s="27"/>
      <c r="D56" s="69">
        <v>60</v>
      </c>
      <c r="E56" s="69">
        <v>8670</v>
      </c>
      <c r="F56" s="69">
        <v>8668</v>
      </c>
      <c r="G56" s="69">
        <v>26207907</v>
      </c>
      <c r="H56" s="59"/>
    </row>
    <row r="57" spans="1:8">
      <c r="A57" s="28" t="s">
        <v>106</v>
      </c>
      <c r="B57" s="91" t="s">
        <v>107</v>
      </c>
      <c r="C57" s="27"/>
      <c r="D57" s="95">
        <v>7</v>
      </c>
      <c r="E57" s="95">
        <v>1930</v>
      </c>
      <c r="F57" s="95">
        <v>1930</v>
      </c>
      <c r="G57" s="95">
        <v>19511522</v>
      </c>
      <c r="H57" s="59"/>
    </row>
    <row r="58" spans="1:8">
      <c r="A58" s="28" t="s">
        <v>108</v>
      </c>
      <c r="B58" s="91" t="s">
        <v>109</v>
      </c>
      <c r="C58" s="27"/>
      <c r="D58" s="95">
        <v>51</v>
      </c>
      <c r="E58" s="95">
        <v>9313</v>
      </c>
      <c r="F58" s="95">
        <v>9313</v>
      </c>
      <c r="G58" s="95">
        <v>48042241</v>
      </c>
      <c r="H58" s="59"/>
    </row>
    <row r="59" spans="1:8">
      <c r="A59" s="28" t="s">
        <v>110</v>
      </c>
      <c r="B59" s="91" t="s">
        <v>111</v>
      </c>
      <c r="C59" s="27"/>
      <c r="D59" s="95">
        <v>35</v>
      </c>
      <c r="E59" s="95">
        <v>5320</v>
      </c>
      <c r="F59" s="95">
        <v>5320</v>
      </c>
      <c r="G59" s="95">
        <v>10793502</v>
      </c>
      <c r="H59" s="59"/>
    </row>
    <row r="60" spans="1:8">
      <c r="A60" s="28" t="s">
        <v>112</v>
      </c>
      <c r="B60" s="91" t="s">
        <v>113</v>
      </c>
      <c r="C60" s="27"/>
      <c r="D60" s="95">
        <v>38</v>
      </c>
      <c r="E60" s="95">
        <v>2802</v>
      </c>
      <c r="F60" s="95">
        <v>2797</v>
      </c>
      <c r="G60" s="95">
        <v>17731302</v>
      </c>
      <c r="H60" s="59"/>
    </row>
    <row r="61" spans="1:8">
      <c r="A61" s="28" t="s">
        <v>114</v>
      </c>
      <c r="B61" s="91" t="s">
        <v>115</v>
      </c>
      <c r="C61" s="27"/>
      <c r="D61" s="95">
        <v>27</v>
      </c>
      <c r="E61" s="95">
        <v>13588</v>
      </c>
      <c r="F61" s="95">
        <v>13588</v>
      </c>
      <c r="G61" s="95">
        <v>27670060</v>
      </c>
      <c r="H61" s="59"/>
    </row>
    <row r="62" spans="1:8">
      <c r="A62" s="28" t="s">
        <v>116</v>
      </c>
      <c r="B62" s="91" t="s">
        <v>117</v>
      </c>
      <c r="C62" s="27"/>
      <c r="D62" s="95">
        <v>76</v>
      </c>
      <c r="E62" s="95">
        <v>13709</v>
      </c>
      <c r="F62" s="95">
        <v>13709</v>
      </c>
      <c r="G62" s="95">
        <v>142510011</v>
      </c>
      <c r="H62" s="59"/>
    </row>
    <row r="63" spans="1:8">
      <c r="A63" s="28" t="s">
        <v>118</v>
      </c>
      <c r="B63" s="91" t="s">
        <v>119</v>
      </c>
      <c r="C63" s="27"/>
      <c r="D63" s="95">
        <v>115</v>
      </c>
      <c r="E63" s="95">
        <v>17857</v>
      </c>
      <c r="F63" s="95">
        <v>17842</v>
      </c>
      <c r="G63" s="95">
        <v>64906266</v>
      </c>
      <c r="H63" s="59"/>
    </row>
    <row r="64" spans="1:8">
      <c r="A64" s="28" t="s">
        <v>120</v>
      </c>
      <c r="B64" s="91" t="s">
        <v>121</v>
      </c>
      <c r="C64" s="27"/>
      <c r="D64" s="95">
        <v>39</v>
      </c>
      <c r="E64" s="95">
        <v>9371</v>
      </c>
      <c r="F64" s="95">
        <v>9360</v>
      </c>
      <c r="G64" s="95">
        <v>399685688</v>
      </c>
      <c r="H64" s="59"/>
    </row>
    <row r="65" spans="1:12" ht="27">
      <c r="A65" s="28" t="s">
        <v>122</v>
      </c>
      <c r="B65" s="91" t="s">
        <v>123</v>
      </c>
      <c r="C65" s="27"/>
      <c r="D65" s="69">
        <v>28</v>
      </c>
      <c r="E65" s="69">
        <v>1155</v>
      </c>
      <c r="F65" s="69">
        <v>1140</v>
      </c>
      <c r="G65" s="69">
        <v>4229795</v>
      </c>
      <c r="H65" s="59"/>
    </row>
    <row r="66" spans="1:12" ht="27">
      <c r="A66" s="28" t="s">
        <v>124</v>
      </c>
      <c r="B66" s="91" t="s">
        <v>125</v>
      </c>
      <c r="C66" s="27"/>
      <c r="D66" s="95">
        <v>157</v>
      </c>
      <c r="E66" s="95">
        <v>97352</v>
      </c>
      <c r="F66" s="95">
        <v>97173</v>
      </c>
      <c r="G66" s="95">
        <v>266002135</v>
      </c>
      <c r="H66" s="59"/>
    </row>
    <row r="67" spans="1:12">
      <c r="A67" s="28" t="s">
        <v>126</v>
      </c>
      <c r="B67" s="91" t="s">
        <v>127</v>
      </c>
      <c r="C67" s="27"/>
      <c r="D67" s="95">
        <v>27</v>
      </c>
      <c r="E67" s="95">
        <v>4417</v>
      </c>
      <c r="F67" s="95">
        <v>4416</v>
      </c>
      <c r="G67" s="95">
        <v>31374070</v>
      </c>
      <c r="H67" s="59"/>
    </row>
    <row r="68" spans="1:12">
      <c r="A68" s="28" t="s">
        <v>182</v>
      </c>
      <c r="B68" s="91" t="s">
        <v>183</v>
      </c>
      <c r="C68" s="27"/>
      <c r="D68" s="96" t="s">
        <v>191</v>
      </c>
      <c r="E68" s="96" t="s">
        <v>191</v>
      </c>
      <c r="F68" s="96" t="s">
        <v>191</v>
      </c>
      <c r="G68" s="96" t="s">
        <v>191</v>
      </c>
      <c r="H68" s="59"/>
    </row>
    <row r="69" spans="1:12" ht="27">
      <c r="A69" s="28" t="s">
        <v>128</v>
      </c>
      <c r="B69" s="91" t="s">
        <v>129</v>
      </c>
      <c r="C69" s="27"/>
      <c r="D69" s="95">
        <v>5</v>
      </c>
      <c r="E69" s="95">
        <v>3526</v>
      </c>
      <c r="F69" s="95">
        <v>3526</v>
      </c>
      <c r="G69" s="95">
        <v>20444656</v>
      </c>
      <c r="H69" s="44"/>
    </row>
    <row r="70" spans="1:12">
      <c r="A70" s="28" t="s">
        <v>184</v>
      </c>
      <c r="B70" s="91" t="s">
        <v>185</v>
      </c>
      <c r="C70" s="27"/>
      <c r="D70" s="96" t="s">
        <v>191</v>
      </c>
      <c r="E70" s="96" t="s">
        <v>191</v>
      </c>
      <c r="F70" s="96" t="s">
        <v>191</v>
      </c>
      <c r="G70" s="96" t="s">
        <v>191</v>
      </c>
      <c r="H70" s="59"/>
    </row>
    <row r="71" spans="1:12">
      <c r="A71" s="28" t="s">
        <v>130</v>
      </c>
      <c r="B71" s="91" t="s">
        <v>131</v>
      </c>
      <c r="C71" s="27"/>
      <c r="D71" s="96">
        <v>76</v>
      </c>
      <c r="E71" s="96">
        <v>8264</v>
      </c>
      <c r="F71" s="96">
        <v>8238</v>
      </c>
      <c r="G71" s="96">
        <v>117834358</v>
      </c>
      <c r="H71" s="59"/>
      <c r="I71" s="45"/>
      <c r="J71" s="45"/>
      <c r="K71" s="45"/>
      <c r="L71" s="45"/>
    </row>
    <row r="72" spans="1:12">
      <c r="A72" s="28" t="s">
        <v>132</v>
      </c>
      <c r="B72" s="91" t="s">
        <v>133</v>
      </c>
      <c r="C72" s="27"/>
      <c r="D72" s="95">
        <v>753</v>
      </c>
      <c r="E72" s="95">
        <v>25123</v>
      </c>
      <c r="F72" s="95">
        <v>24949</v>
      </c>
      <c r="G72" s="95">
        <v>46397291</v>
      </c>
      <c r="H72" s="59"/>
    </row>
    <row r="73" spans="1:12">
      <c r="A73" s="28" t="s">
        <v>134</v>
      </c>
      <c r="B73" s="91" t="s">
        <v>135</v>
      </c>
      <c r="C73" s="27"/>
      <c r="D73" s="95">
        <v>66</v>
      </c>
      <c r="E73" s="95">
        <v>1623</v>
      </c>
      <c r="F73" s="95">
        <v>1622</v>
      </c>
      <c r="G73" s="95">
        <v>1281780</v>
      </c>
      <c r="H73" s="59"/>
    </row>
    <row r="74" spans="1:12">
      <c r="A74" s="28" t="s">
        <v>136</v>
      </c>
      <c r="B74" s="91" t="s">
        <v>137</v>
      </c>
      <c r="C74" s="27"/>
      <c r="D74" s="95">
        <v>4</v>
      </c>
      <c r="E74" s="95">
        <v>40</v>
      </c>
      <c r="F74" s="95">
        <v>38</v>
      </c>
      <c r="G74" s="95">
        <v>12612</v>
      </c>
      <c r="H74" s="59"/>
    </row>
    <row r="75" spans="1:12">
      <c r="A75" s="28" t="s">
        <v>138</v>
      </c>
      <c r="B75" s="91" t="s">
        <v>139</v>
      </c>
      <c r="C75" s="27"/>
      <c r="D75" s="95">
        <v>15</v>
      </c>
      <c r="E75" s="95">
        <v>3188</v>
      </c>
      <c r="F75" s="95">
        <v>3186</v>
      </c>
      <c r="G75" s="95">
        <v>5415886</v>
      </c>
      <c r="H75" s="59"/>
    </row>
    <row r="76" spans="1:12">
      <c r="A76" s="28" t="s">
        <v>140</v>
      </c>
      <c r="B76" s="91" t="s">
        <v>141</v>
      </c>
      <c r="C76" s="27"/>
      <c r="D76" s="95">
        <v>24</v>
      </c>
      <c r="E76" s="95">
        <v>3994</v>
      </c>
      <c r="F76" s="95">
        <v>3990</v>
      </c>
      <c r="G76" s="95">
        <v>4706136</v>
      </c>
      <c r="H76" s="59"/>
    </row>
    <row r="77" spans="1:12" ht="27">
      <c r="A77" s="28" t="s">
        <v>142</v>
      </c>
      <c r="B77" s="91" t="s">
        <v>143</v>
      </c>
      <c r="C77" s="27"/>
      <c r="D77" s="69">
        <v>57</v>
      </c>
      <c r="E77" s="69">
        <v>13041</v>
      </c>
      <c r="F77" s="69">
        <v>13041</v>
      </c>
      <c r="G77" s="69">
        <v>59371559</v>
      </c>
      <c r="H77" s="59"/>
    </row>
    <row r="78" spans="1:12">
      <c r="A78" s="92" t="s">
        <v>144</v>
      </c>
      <c r="B78" s="105" t="s">
        <v>145</v>
      </c>
      <c r="D78" s="97">
        <v>190</v>
      </c>
      <c r="E78" s="97">
        <v>6461</v>
      </c>
      <c r="F78" s="97">
        <v>6325</v>
      </c>
      <c r="G78" s="97">
        <v>7047634</v>
      </c>
    </row>
    <row r="79" spans="1:12" ht="27">
      <c r="A79" s="92" t="s">
        <v>146</v>
      </c>
      <c r="B79" s="105" t="s">
        <v>147</v>
      </c>
      <c r="D79" s="107">
        <v>520</v>
      </c>
      <c r="E79" s="107">
        <v>12096</v>
      </c>
      <c r="F79" s="107">
        <v>11954</v>
      </c>
      <c r="G79" s="107">
        <v>20036205</v>
      </c>
    </row>
    <row r="80" spans="1:12">
      <c r="A80" s="93" t="s">
        <v>148</v>
      </c>
      <c r="B80" s="106" t="s">
        <v>149</v>
      </c>
      <c r="C80" s="80"/>
      <c r="D80" s="98">
        <v>7</v>
      </c>
      <c r="E80" s="98">
        <v>304</v>
      </c>
      <c r="F80" s="98">
        <v>300</v>
      </c>
      <c r="G80" s="98">
        <v>555496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:G1"/>
    <mergeCell ref="A4:A7"/>
    <mergeCell ref="B4:B7"/>
    <mergeCell ref="G4:G6"/>
    <mergeCell ref="E4:F5"/>
    <mergeCell ref="D4:D6"/>
  </mergeCells>
  <printOptions horizontalCentered="1"/>
  <pageMargins left="0.39370078740157499" right="0.39370078740157499" top="0.62992125984252001" bottom="0.39370078740157499" header="0.196850393700787" footer="0.196850393700787"/>
  <pageSetup paperSize="9" orientation="portrait" useFirstPageNumber="1" r:id="rId1"/>
  <headerFooter alignWithMargins="0">
    <oddFooter>&amp;R&amp;"Arial,Regular"&amp;9Page &amp;P of 9</oddFooter>
  </headerFooter>
  <rowBreaks count="1" manualBreakCount="1">
    <brk id="48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view="pageBreakPreview" zoomScale="120" zoomScaleNormal="135" zoomScaleSheetLayoutView="120" workbookViewId="0">
      <selection sqref="A1:G1"/>
    </sheetView>
  </sheetViews>
  <sheetFormatPr defaultColWidth="8.85546875" defaultRowHeight="13.5"/>
  <cols>
    <col min="1" max="1" width="6.28515625" style="7" customWidth="1"/>
    <col min="2" max="2" width="34.7109375" style="7" customWidth="1"/>
    <col min="3" max="3" width="1.5703125" style="7" customWidth="1"/>
    <col min="4" max="4" width="13" style="8" customWidth="1"/>
    <col min="5" max="5" width="12.140625" style="8" customWidth="1"/>
    <col min="6" max="6" width="13" style="8" customWidth="1"/>
    <col min="7" max="7" width="14.42578125" style="8" customWidth="1"/>
    <col min="8" max="8" width="10.5703125" style="8" customWidth="1"/>
    <col min="9" max="9" width="10.7109375" style="8" customWidth="1"/>
    <col min="10" max="10" width="11.28515625" style="8" customWidth="1"/>
    <col min="11" max="11" width="9.85546875" style="8" customWidth="1"/>
    <col min="12" max="12" width="17.85546875" style="8" customWidth="1"/>
    <col min="13" max="16" width="16.85546875" style="7" customWidth="1"/>
    <col min="17" max="16384" width="8.85546875" style="7"/>
  </cols>
  <sheetData>
    <row r="1" spans="1:12" s="1" customFormat="1">
      <c r="A1" s="126" t="s">
        <v>151</v>
      </c>
      <c r="B1" s="126"/>
      <c r="C1" s="126"/>
      <c r="D1" s="126"/>
      <c r="E1" s="126"/>
      <c r="F1" s="126"/>
      <c r="G1" s="126"/>
    </row>
    <row r="2" spans="1:12" s="1" customFormat="1" ht="6" customHeight="1">
      <c r="A2" s="127"/>
      <c r="B2" s="127"/>
      <c r="C2" s="127"/>
      <c r="D2" s="127"/>
      <c r="E2" s="127"/>
      <c r="F2" s="127"/>
      <c r="G2" s="127"/>
    </row>
    <row r="3" spans="1:12" ht="13.5" customHeight="1">
      <c r="A3" s="128" t="s">
        <v>3</v>
      </c>
      <c r="B3" s="129" t="s">
        <v>15</v>
      </c>
      <c r="C3" s="62"/>
      <c r="D3" s="119" t="s">
        <v>173</v>
      </c>
      <c r="E3" s="119"/>
      <c r="F3" s="122"/>
      <c r="G3" s="131" t="s">
        <v>176</v>
      </c>
      <c r="H3" s="7"/>
      <c r="I3" s="7"/>
      <c r="J3" s="7"/>
      <c r="K3" s="7"/>
      <c r="L3" s="7"/>
    </row>
    <row r="4" spans="1:12" ht="13.5" customHeight="1">
      <c r="A4" s="128"/>
      <c r="B4" s="129"/>
      <c r="C4" s="64"/>
      <c r="D4" s="130"/>
      <c r="E4" s="130"/>
      <c r="F4" s="124"/>
      <c r="G4" s="131"/>
      <c r="H4" s="7"/>
      <c r="I4" s="7"/>
      <c r="J4" s="7"/>
      <c r="K4" s="7"/>
      <c r="L4" s="7"/>
    </row>
    <row r="5" spans="1:12" ht="21" customHeight="1">
      <c r="A5" s="128"/>
      <c r="B5" s="129"/>
      <c r="C5" s="58"/>
      <c r="D5" s="60" t="s">
        <v>0</v>
      </c>
      <c r="E5" s="19" t="s">
        <v>1</v>
      </c>
      <c r="F5" s="19" t="s">
        <v>2</v>
      </c>
      <c r="G5" s="131"/>
      <c r="H5" s="7"/>
      <c r="I5" s="7"/>
      <c r="J5" s="7"/>
      <c r="K5" s="7"/>
      <c r="L5" s="7"/>
    </row>
    <row r="6" spans="1:12" ht="12.75" customHeight="1">
      <c r="A6" s="128"/>
      <c r="B6" s="129"/>
      <c r="C6" s="58"/>
      <c r="D6" s="76" t="s">
        <v>10</v>
      </c>
      <c r="E6" s="20" t="s">
        <v>11</v>
      </c>
      <c r="F6" s="20" t="s">
        <v>12</v>
      </c>
      <c r="G6" s="40" t="s">
        <v>13</v>
      </c>
      <c r="H6" s="7"/>
      <c r="I6" s="7"/>
      <c r="J6" s="7"/>
      <c r="K6" s="7"/>
      <c r="L6" s="7"/>
    </row>
    <row r="7" spans="1:12" ht="9.75" customHeight="1">
      <c r="A7" s="4"/>
      <c r="B7" s="4"/>
      <c r="C7" s="4"/>
      <c r="D7" s="16"/>
      <c r="E7" s="16"/>
      <c r="F7" s="21"/>
      <c r="G7" s="16"/>
      <c r="H7" s="7"/>
      <c r="I7" s="7"/>
      <c r="J7" s="7"/>
      <c r="K7" s="7"/>
      <c r="L7" s="7"/>
    </row>
    <row r="8" spans="1:12" s="9" customFormat="1">
      <c r="A8" s="6" t="s">
        <v>169</v>
      </c>
      <c r="B8" s="5" t="s">
        <v>16</v>
      </c>
      <c r="C8" s="5"/>
      <c r="D8" s="43">
        <v>6198826206</v>
      </c>
      <c r="E8" s="43">
        <v>387456578</v>
      </c>
      <c r="F8" s="43">
        <v>5811369628</v>
      </c>
      <c r="G8" s="43">
        <v>2145237</v>
      </c>
      <c r="I8" s="50"/>
      <c r="J8" s="50"/>
      <c r="K8" s="50"/>
      <c r="L8" s="50"/>
    </row>
    <row r="9" spans="1:12" s="9" customFormat="1" ht="6.75" customHeight="1">
      <c r="A9" s="6"/>
      <c r="B9" s="5"/>
      <c r="C9" s="5"/>
      <c r="D9" s="43"/>
      <c r="E9" s="43"/>
      <c r="F9" s="43"/>
      <c r="G9" s="43"/>
    </row>
    <row r="10" spans="1:12" s="1" customFormat="1">
      <c r="A10" s="28" t="s">
        <v>17</v>
      </c>
      <c r="B10" s="91" t="s">
        <v>18</v>
      </c>
      <c r="C10" s="91"/>
      <c r="D10" s="95">
        <v>184326407</v>
      </c>
      <c r="E10" s="95">
        <v>7534852</v>
      </c>
      <c r="F10" s="95">
        <v>176791554</v>
      </c>
      <c r="G10" s="95">
        <v>17</v>
      </c>
      <c r="H10" s="59"/>
      <c r="I10" s="51"/>
      <c r="J10" s="51"/>
      <c r="K10" s="51"/>
      <c r="L10" s="51"/>
    </row>
    <row r="11" spans="1:12" s="1" customFormat="1" ht="27">
      <c r="A11" s="28" t="s">
        <v>19</v>
      </c>
      <c r="B11" s="91" t="s">
        <v>20</v>
      </c>
      <c r="C11" s="91"/>
      <c r="D11" s="69">
        <v>92481758</v>
      </c>
      <c r="E11" s="69">
        <v>3987648</v>
      </c>
      <c r="F11" s="69">
        <v>88494109</v>
      </c>
      <c r="G11" s="69">
        <v>4712</v>
      </c>
      <c r="H11" s="59"/>
      <c r="I11" s="51"/>
      <c r="J11" s="51"/>
      <c r="K11" s="51"/>
      <c r="L11" s="51"/>
    </row>
    <row r="12" spans="1:12" s="1" customFormat="1" ht="11.25" customHeight="1">
      <c r="A12" s="28" t="s">
        <v>21</v>
      </c>
      <c r="B12" s="91" t="s">
        <v>22</v>
      </c>
      <c r="C12" s="91"/>
      <c r="D12" s="95">
        <v>131841443</v>
      </c>
      <c r="E12" s="95">
        <v>11498018</v>
      </c>
      <c r="F12" s="95">
        <v>120343425</v>
      </c>
      <c r="G12" s="95">
        <v>18004</v>
      </c>
      <c r="H12" s="59"/>
      <c r="I12" s="51"/>
      <c r="J12" s="51"/>
      <c r="K12" s="51"/>
      <c r="L12" s="51"/>
    </row>
    <row r="13" spans="1:12" s="1" customFormat="1" ht="13.5" customHeight="1">
      <c r="A13" s="28" t="s">
        <v>23</v>
      </c>
      <c r="B13" s="91" t="s">
        <v>24</v>
      </c>
      <c r="C13" s="91"/>
      <c r="D13" s="95">
        <v>162361299</v>
      </c>
      <c r="E13" s="95">
        <v>1675694</v>
      </c>
      <c r="F13" s="95">
        <v>160685605</v>
      </c>
      <c r="G13" s="95">
        <v>127</v>
      </c>
      <c r="H13" s="59"/>
      <c r="I13" s="51"/>
      <c r="J13" s="51"/>
      <c r="K13" s="51"/>
      <c r="L13" s="51"/>
    </row>
    <row r="14" spans="1:12" s="1" customFormat="1">
      <c r="A14" s="28" t="s">
        <v>25</v>
      </c>
      <c r="B14" s="91" t="s">
        <v>26</v>
      </c>
      <c r="C14" s="91"/>
      <c r="D14" s="95">
        <v>175559818</v>
      </c>
      <c r="E14" s="95">
        <v>8491577</v>
      </c>
      <c r="F14" s="95">
        <v>167068241</v>
      </c>
      <c r="G14" s="95">
        <v>906734</v>
      </c>
      <c r="H14" s="59"/>
      <c r="I14" s="51"/>
      <c r="J14" s="51"/>
      <c r="K14" s="51"/>
      <c r="L14" s="51"/>
    </row>
    <row r="15" spans="1:12" s="1" customFormat="1" ht="27">
      <c r="A15" s="28" t="s">
        <v>27</v>
      </c>
      <c r="B15" s="91" t="s">
        <v>28</v>
      </c>
      <c r="C15" s="91"/>
      <c r="D15" s="69">
        <v>161096180</v>
      </c>
      <c r="E15" s="69">
        <v>3416315</v>
      </c>
      <c r="F15" s="69">
        <v>157679865</v>
      </c>
      <c r="G15" s="99" t="s">
        <v>171</v>
      </c>
      <c r="H15" s="59"/>
      <c r="I15" s="51"/>
      <c r="J15" s="51"/>
      <c r="K15" s="51"/>
      <c r="L15" s="51"/>
    </row>
    <row r="16" spans="1:12" s="1" customFormat="1">
      <c r="A16" s="28" t="s">
        <v>29</v>
      </c>
      <c r="B16" s="91" t="s">
        <v>30</v>
      </c>
      <c r="C16" s="91"/>
      <c r="D16" s="95">
        <v>420414185</v>
      </c>
      <c r="E16" s="95">
        <v>31505609</v>
      </c>
      <c r="F16" s="95">
        <v>388908577</v>
      </c>
      <c r="G16" s="95">
        <v>135950</v>
      </c>
      <c r="H16" s="59"/>
      <c r="I16" s="51"/>
      <c r="J16" s="51"/>
      <c r="K16" s="51"/>
      <c r="L16" s="51"/>
    </row>
    <row r="17" spans="1:12" s="1" customFormat="1">
      <c r="A17" s="28" t="s">
        <v>31</v>
      </c>
      <c r="B17" s="91" t="s">
        <v>32</v>
      </c>
      <c r="C17" s="91"/>
      <c r="D17" s="95">
        <v>161975759</v>
      </c>
      <c r="E17" s="95">
        <v>4025938</v>
      </c>
      <c r="F17" s="95">
        <v>157949821</v>
      </c>
      <c r="G17" s="96" t="s">
        <v>171</v>
      </c>
      <c r="H17" s="59"/>
      <c r="I17" s="51"/>
      <c r="J17" s="51"/>
      <c r="K17" s="51"/>
      <c r="L17" s="51"/>
    </row>
    <row r="18" spans="1:12" s="1" customFormat="1">
      <c r="A18" s="28" t="s">
        <v>33</v>
      </c>
      <c r="B18" s="91" t="s">
        <v>34</v>
      </c>
      <c r="C18" s="91"/>
      <c r="D18" s="95">
        <v>325285560</v>
      </c>
      <c r="E18" s="95">
        <v>15944170</v>
      </c>
      <c r="F18" s="95">
        <v>309341390</v>
      </c>
      <c r="G18" s="95">
        <v>3726</v>
      </c>
      <c r="H18" s="59"/>
      <c r="I18" s="51"/>
      <c r="J18" s="51"/>
      <c r="K18" s="51"/>
      <c r="L18" s="51"/>
    </row>
    <row r="19" spans="1:12" s="8" customFormat="1">
      <c r="A19" s="28" t="s">
        <v>35</v>
      </c>
      <c r="B19" s="91" t="s">
        <v>36</v>
      </c>
      <c r="C19" s="91"/>
      <c r="D19" s="95">
        <v>62697471</v>
      </c>
      <c r="E19" s="95">
        <v>3419082</v>
      </c>
      <c r="F19" s="95">
        <v>59278389</v>
      </c>
      <c r="G19" s="95">
        <v>12962</v>
      </c>
      <c r="H19" s="59"/>
      <c r="I19" s="51"/>
      <c r="J19" s="51"/>
      <c r="K19" s="51"/>
      <c r="L19" s="51"/>
    </row>
    <row r="20" spans="1:12" s="8" customFormat="1">
      <c r="A20" s="28" t="s">
        <v>37</v>
      </c>
      <c r="B20" s="91" t="s">
        <v>38</v>
      </c>
      <c r="C20" s="91"/>
      <c r="D20" s="95">
        <v>6442296</v>
      </c>
      <c r="E20" s="95">
        <v>946126</v>
      </c>
      <c r="F20" s="95">
        <v>5496171</v>
      </c>
      <c r="G20" s="95">
        <v>3474</v>
      </c>
      <c r="H20" s="59"/>
      <c r="I20" s="51"/>
      <c r="J20" s="51"/>
      <c r="K20" s="51"/>
      <c r="L20" s="51"/>
    </row>
    <row r="21" spans="1:12" s="8" customFormat="1">
      <c r="A21" s="28" t="s">
        <v>39</v>
      </c>
      <c r="B21" s="91" t="s">
        <v>40</v>
      </c>
      <c r="C21" s="91"/>
      <c r="D21" s="95">
        <v>16045812</v>
      </c>
      <c r="E21" s="95">
        <v>2804688</v>
      </c>
      <c r="F21" s="95">
        <v>13241124</v>
      </c>
      <c r="G21" s="95">
        <v>8490</v>
      </c>
      <c r="H21" s="59"/>
      <c r="I21" s="51"/>
      <c r="J21" s="51"/>
      <c r="K21" s="51"/>
      <c r="L21" s="51"/>
    </row>
    <row r="22" spans="1:12" s="8" customFormat="1" ht="13.5" customHeight="1">
      <c r="A22" s="28" t="s">
        <v>41</v>
      </c>
      <c r="B22" s="91" t="s">
        <v>42</v>
      </c>
      <c r="C22" s="91"/>
      <c r="D22" s="95">
        <v>41751925</v>
      </c>
      <c r="E22" s="95">
        <v>15550051</v>
      </c>
      <c r="F22" s="95">
        <v>26201874</v>
      </c>
      <c r="G22" s="95">
        <v>181</v>
      </c>
      <c r="H22" s="59"/>
      <c r="I22" s="51"/>
      <c r="J22" s="51"/>
      <c r="K22" s="51"/>
      <c r="L22" s="51"/>
    </row>
    <row r="23" spans="1:12" s="8" customFormat="1">
      <c r="A23" s="28" t="s">
        <v>43</v>
      </c>
      <c r="B23" s="91" t="s">
        <v>44</v>
      </c>
      <c r="C23" s="91"/>
      <c r="D23" s="95">
        <v>707014</v>
      </c>
      <c r="E23" s="95">
        <v>221452</v>
      </c>
      <c r="F23" s="95">
        <v>485562</v>
      </c>
      <c r="G23" s="96" t="s">
        <v>171</v>
      </c>
      <c r="H23" s="59"/>
      <c r="I23" s="51"/>
      <c r="J23" s="51"/>
      <c r="K23" s="51"/>
      <c r="L23" s="51"/>
    </row>
    <row r="24" spans="1:12" s="8" customFormat="1">
      <c r="A24" s="28" t="s">
        <v>45</v>
      </c>
      <c r="B24" s="91" t="s">
        <v>46</v>
      </c>
      <c r="C24" s="91"/>
      <c r="D24" s="95">
        <v>3460619</v>
      </c>
      <c r="E24" s="95">
        <v>1165364</v>
      </c>
      <c r="F24" s="95">
        <v>2295255</v>
      </c>
      <c r="G24" s="96" t="s">
        <v>171</v>
      </c>
      <c r="H24" s="59"/>
      <c r="I24" s="51"/>
      <c r="J24" s="51"/>
      <c r="K24" s="51"/>
      <c r="L24" s="51"/>
    </row>
    <row r="25" spans="1:12" s="8" customFormat="1" ht="27">
      <c r="A25" s="28" t="s">
        <v>47</v>
      </c>
      <c r="B25" s="91" t="s">
        <v>48</v>
      </c>
      <c r="C25" s="91"/>
      <c r="D25" s="69">
        <v>12219001</v>
      </c>
      <c r="E25" s="69">
        <v>3527794</v>
      </c>
      <c r="F25" s="69">
        <v>8691207</v>
      </c>
      <c r="G25" s="69">
        <v>9955</v>
      </c>
      <c r="H25" s="59"/>
      <c r="I25" s="51"/>
      <c r="J25" s="51"/>
      <c r="K25" s="51"/>
      <c r="L25" s="51"/>
    </row>
    <row r="26" spans="1:12" s="8" customFormat="1">
      <c r="A26" s="28" t="s">
        <v>49</v>
      </c>
      <c r="B26" s="91" t="s">
        <v>50</v>
      </c>
      <c r="C26" s="91"/>
      <c r="D26" s="95">
        <v>7371529</v>
      </c>
      <c r="E26" s="95">
        <v>1736366</v>
      </c>
      <c r="F26" s="95">
        <v>5635163</v>
      </c>
      <c r="G26" s="95">
        <v>325</v>
      </c>
      <c r="H26" s="59"/>
      <c r="I26" s="51"/>
      <c r="J26" s="51"/>
      <c r="K26" s="51"/>
      <c r="L26" s="51"/>
    </row>
    <row r="27" spans="1:12" s="8" customFormat="1">
      <c r="A27" s="28" t="s">
        <v>51</v>
      </c>
      <c r="B27" s="91" t="s">
        <v>52</v>
      </c>
      <c r="C27" s="91"/>
      <c r="D27" s="95">
        <v>2501551</v>
      </c>
      <c r="E27" s="95">
        <v>289164</v>
      </c>
      <c r="F27" s="95">
        <v>2212387</v>
      </c>
      <c r="G27" s="96" t="s">
        <v>171</v>
      </c>
      <c r="H27" s="59"/>
      <c r="I27" s="51"/>
      <c r="J27" s="51"/>
      <c r="K27" s="51"/>
      <c r="L27" s="51"/>
    </row>
    <row r="28" spans="1:12" s="8" customFormat="1" ht="27">
      <c r="A28" s="28" t="s">
        <v>53</v>
      </c>
      <c r="B28" s="91" t="s">
        <v>54</v>
      </c>
      <c r="C28" s="91"/>
      <c r="D28" s="69">
        <v>61256788</v>
      </c>
      <c r="E28" s="69">
        <v>2418430</v>
      </c>
      <c r="F28" s="69">
        <v>58838358</v>
      </c>
      <c r="G28" s="69">
        <v>30</v>
      </c>
      <c r="H28" s="59"/>
      <c r="I28" s="51"/>
      <c r="J28" s="51"/>
      <c r="K28" s="51"/>
      <c r="L28" s="51"/>
    </row>
    <row r="29" spans="1:12" s="8" customFormat="1">
      <c r="A29" s="28" t="s">
        <v>55</v>
      </c>
      <c r="B29" s="91" t="s">
        <v>150</v>
      </c>
      <c r="C29" s="91"/>
      <c r="D29" s="95">
        <v>113552954</v>
      </c>
      <c r="E29" s="95">
        <v>4376915</v>
      </c>
      <c r="F29" s="95">
        <v>109176039</v>
      </c>
      <c r="G29" s="96" t="s">
        <v>171</v>
      </c>
      <c r="H29" s="59"/>
      <c r="I29" s="51"/>
      <c r="J29" s="51"/>
      <c r="K29" s="51"/>
      <c r="L29" s="51"/>
    </row>
    <row r="30" spans="1:12" s="8" customFormat="1">
      <c r="A30" s="28" t="s">
        <v>56</v>
      </c>
      <c r="B30" s="91" t="s">
        <v>57</v>
      </c>
      <c r="C30" s="91"/>
      <c r="D30" s="95">
        <v>30870261</v>
      </c>
      <c r="E30" s="95">
        <v>4432746</v>
      </c>
      <c r="F30" s="95">
        <v>26437514</v>
      </c>
      <c r="G30" s="95">
        <v>12221</v>
      </c>
      <c r="H30" s="59"/>
      <c r="I30" s="51"/>
      <c r="J30" s="51"/>
      <c r="K30" s="51"/>
      <c r="L30" s="51"/>
    </row>
    <row r="31" spans="1:12" s="8" customFormat="1">
      <c r="A31" s="28" t="s">
        <v>58</v>
      </c>
      <c r="B31" s="91" t="s">
        <v>59</v>
      </c>
      <c r="C31" s="91"/>
      <c r="D31" s="96">
        <v>3408905</v>
      </c>
      <c r="E31" s="96">
        <v>92419</v>
      </c>
      <c r="F31" s="96">
        <v>3316486</v>
      </c>
      <c r="G31" s="96" t="s">
        <v>171</v>
      </c>
      <c r="H31" s="59"/>
      <c r="I31" s="45"/>
      <c r="J31" s="45"/>
      <c r="K31" s="45"/>
      <c r="L31" s="45"/>
    </row>
    <row r="32" spans="1:12" s="8" customFormat="1">
      <c r="A32" s="28" t="s">
        <v>60</v>
      </c>
      <c r="B32" s="91" t="s">
        <v>61</v>
      </c>
      <c r="C32" s="91"/>
      <c r="D32" s="95">
        <v>366023040</v>
      </c>
      <c r="E32" s="95">
        <v>3394085</v>
      </c>
      <c r="F32" s="95">
        <v>362628955</v>
      </c>
      <c r="G32" s="96" t="s">
        <v>171</v>
      </c>
      <c r="H32" s="59"/>
      <c r="I32" s="51"/>
      <c r="J32" s="51"/>
      <c r="K32" s="51"/>
      <c r="L32" s="51"/>
    </row>
    <row r="33" spans="1:12" s="8" customFormat="1">
      <c r="A33" s="28" t="s">
        <v>62</v>
      </c>
      <c r="B33" s="91" t="s">
        <v>63</v>
      </c>
      <c r="C33" s="91"/>
      <c r="D33" s="95">
        <v>8227329</v>
      </c>
      <c r="E33" s="95">
        <v>91390</v>
      </c>
      <c r="F33" s="95">
        <v>8135939</v>
      </c>
      <c r="G33" s="96" t="s">
        <v>171</v>
      </c>
      <c r="H33" s="59"/>
      <c r="I33" s="51"/>
      <c r="J33" s="51"/>
      <c r="K33" s="51"/>
      <c r="L33" s="51"/>
    </row>
    <row r="34" spans="1:12" s="8" customFormat="1">
      <c r="A34" s="28" t="s">
        <v>64</v>
      </c>
      <c r="B34" s="91" t="s">
        <v>65</v>
      </c>
      <c r="C34" s="91"/>
      <c r="D34" s="95">
        <v>170473920</v>
      </c>
      <c r="E34" s="95">
        <v>5788057</v>
      </c>
      <c r="F34" s="95">
        <v>164685863</v>
      </c>
      <c r="G34" s="95">
        <v>12495</v>
      </c>
      <c r="H34" s="59"/>
      <c r="I34" s="51"/>
      <c r="J34" s="51"/>
      <c r="K34" s="51"/>
      <c r="L34" s="51"/>
    </row>
    <row r="35" spans="1:12" s="8" customFormat="1">
      <c r="A35" s="28" t="s">
        <v>66</v>
      </c>
      <c r="B35" s="91" t="s">
        <v>67</v>
      </c>
      <c r="C35" s="91"/>
      <c r="D35" s="95">
        <v>173929161</v>
      </c>
      <c r="E35" s="95">
        <v>11864579</v>
      </c>
      <c r="F35" s="95">
        <v>162064582</v>
      </c>
      <c r="G35" s="95">
        <v>281128</v>
      </c>
      <c r="H35" s="59"/>
      <c r="I35" s="51"/>
      <c r="J35" s="51"/>
      <c r="K35" s="51"/>
      <c r="L35" s="51"/>
    </row>
    <row r="36" spans="1:12" s="8" customFormat="1">
      <c r="A36" s="28" t="s">
        <v>68</v>
      </c>
      <c r="B36" s="91" t="s">
        <v>69</v>
      </c>
      <c r="C36" s="91"/>
      <c r="D36" s="96">
        <v>240660</v>
      </c>
      <c r="E36" s="96">
        <v>25190</v>
      </c>
      <c r="F36" s="96">
        <v>215470</v>
      </c>
      <c r="G36" s="96" t="s">
        <v>171</v>
      </c>
      <c r="H36" s="59"/>
      <c r="I36" s="45"/>
      <c r="J36" s="45"/>
      <c r="K36" s="45"/>
      <c r="L36" s="45"/>
    </row>
    <row r="37" spans="1:12" s="8" customFormat="1" ht="27">
      <c r="A37" s="28" t="s">
        <v>70</v>
      </c>
      <c r="B37" s="91" t="s">
        <v>71</v>
      </c>
      <c r="C37" s="91"/>
      <c r="D37" s="69">
        <v>52858722</v>
      </c>
      <c r="E37" s="69">
        <v>11872629</v>
      </c>
      <c r="F37" s="69">
        <v>40986093</v>
      </c>
      <c r="G37" s="69">
        <v>130</v>
      </c>
      <c r="H37" s="59"/>
      <c r="I37" s="51"/>
      <c r="J37" s="51"/>
      <c r="K37" s="51"/>
      <c r="L37" s="51"/>
    </row>
    <row r="38" spans="1:12" s="8" customFormat="1">
      <c r="A38" s="28" t="s">
        <v>72</v>
      </c>
      <c r="B38" s="91" t="s">
        <v>73</v>
      </c>
      <c r="C38" s="91"/>
      <c r="D38" s="95">
        <v>35471201</v>
      </c>
      <c r="E38" s="95">
        <v>3659351</v>
      </c>
      <c r="F38" s="95">
        <v>31811850</v>
      </c>
      <c r="G38" s="96" t="s">
        <v>171</v>
      </c>
      <c r="H38" s="59"/>
      <c r="I38" s="51"/>
      <c r="J38" s="51"/>
      <c r="K38" s="51"/>
      <c r="L38" s="51"/>
    </row>
    <row r="39" spans="1:12" s="8" customFormat="1">
      <c r="A39" s="28" t="s">
        <v>74</v>
      </c>
      <c r="B39" s="91" t="s">
        <v>75</v>
      </c>
      <c r="C39" s="91"/>
      <c r="D39" s="95">
        <v>128772726</v>
      </c>
      <c r="E39" s="95">
        <v>11737338</v>
      </c>
      <c r="F39" s="95">
        <v>117035388</v>
      </c>
      <c r="G39" s="95">
        <v>30535</v>
      </c>
      <c r="H39" s="59"/>
      <c r="I39" s="51"/>
      <c r="J39" s="51"/>
      <c r="K39" s="51"/>
      <c r="L39" s="51"/>
    </row>
    <row r="40" spans="1:12" s="8" customFormat="1">
      <c r="A40" s="28" t="s">
        <v>76</v>
      </c>
      <c r="B40" s="91" t="s">
        <v>77</v>
      </c>
      <c r="C40" s="91"/>
      <c r="D40" s="95">
        <v>21143686</v>
      </c>
      <c r="E40" s="95">
        <v>1957769</v>
      </c>
      <c r="F40" s="95">
        <v>19185917</v>
      </c>
      <c r="G40" s="96" t="s">
        <v>171</v>
      </c>
      <c r="H40" s="59"/>
      <c r="I40" s="51"/>
      <c r="J40" s="51"/>
      <c r="K40" s="51"/>
      <c r="L40" s="51"/>
    </row>
    <row r="41" spans="1:12" s="8" customFormat="1">
      <c r="A41" s="28" t="s">
        <v>78</v>
      </c>
      <c r="B41" s="91" t="s">
        <v>79</v>
      </c>
      <c r="C41" s="91"/>
      <c r="D41" s="95">
        <v>282478799</v>
      </c>
      <c r="E41" s="95">
        <v>12892359</v>
      </c>
      <c r="F41" s="95">
        <v>269586441</v>
      </c>
      <c r="G41" s="96" t="s">
        <v>171</v>
      </c>
      <c r="H41" s="59"/>
      <c r="I41" s="51"/>
      <c r="J41" s="51"/>
      <c r="K41" s="51"/>
      <c r="L41" s="51"/>
    </row>
    <row r="42" spans="1:12" s="8" customFormat="1">
      <c r="A42" s="28" t="s">
        <v>80</v>
      </c>
      <c r="B42" s="91" t="s">
        <v>81</v>
      </c>
      <c r="C42" s="91"/>
      <c r="D42" s="95">
        <v>169860710</v>
      </c>
      <c r="E42" s="95">
        <v>4550238</v>
      </c>
      <c r="F42" s="95">
        <v>165310471</v>
      </c>
      <c r="G42" s="95">
        <v>286683</v>
      </c>
      <c r="H42" s="59"/>
      <c r="I42" s="51"/>
      <c r="J42" s="51"/>
      <c r="K42" s="51"/>
      <c r="L42" s="51"/>
    </row>
    <row r="43" spans="1:12" s="8" customFormat="1" ht="27">
      <c r="A43" s="28" t="s">
        <v>82</v>
      </c>
      <c r="B43" s="91" t="s">
        <v>83</v>
      </c>
      <c r="C43" s="91"/>
      <c r="D43" s="69">
        <v>228206426</v>
      </c>
      <c r="E43" s="69">
        <v>3482916</v>
      </c>
      <c r="F43" s="69">
        <v>224723510</v>
      </c>
      <c r="G43" s="99" t="s">
        <v>171</v>
      </c>
      <c r="H43" s="59"/>
      <c r="I43" s="51"/>
      <c r="J43" s="51"/>
      <c r="K43" s="51"/>
      <c r="L43" s="51"/>
    </row>
    <row r="44" spans="1:12" s="8" customFormat="1" ht="13.5" hidden="1" customHeight="1">
      <c r="A44" s="28" t="s">
        <v>84</v>
      </c>
      <c r="B44" s="91" t="s">
        <v>85</v>
      </c>
      <c r="C44" s="91"/>
      <c r="D44" s="95">
        <v>7173225</v>
      </c>
      <c r="E44" s="95">
        <v>966801</v>
      </c>
      <c r="F44" s="95">
        <v>6206424</v>
      </c>
      <c r="G44" s="95" t="s">
        <v>171</v>
      </c>
      <c r="H44" s="59"/>
      <c r="I44" s="51"/>
      <c r="J44" s="51"/>
      <c r="K44" s="51"/>
      <c r="L44" s="51"/>
    </row>
    <row r="45" spans="1:12" s="8" customFormat="1" ht="27">
      <c r="A45" s="28" t="s">
        <v>86</v>
      </c>
      <c r="B45" s="91" t="s">
        <v>87</v>
      </c>
      <c r="C45" s="91"/>
      <c r="D45" s="69">
        <v>53201216</v>
      </c>
      <c r="E45" s="69">
        <v>4883760</v>
      </c>
      <c r="F45" s="69">
        <v>48317456</v>
      </c>
      <c r="G45" s="69">
        <v>1800</v>
      </c>
      <c r="H45" s="59"/>
      <c r="I45" s="51"/>
      <c r="J45" s="51"/>
      <c r="K45" s="51"/>
      <c r="L45" s="51"/>
    </row>
    <row r="46" spans="1:12" s="8" customFormat="1">
      <c r="A46" s="28" t="s">
        <v>88</v>
      </c>
      <c r="B46" s="91" t="s">
        <v>89</v>
      </c>
      <c r="C46" s="91"/>
      <c r="D46" s="95">
        <v>5458650</v>
      </c>
      <c r="E46" s="95">
        <v>564571</v>
      </c>
      <c r="F46" s="95">
        <v>4894079</v>
      </c>
      <c r="G46" s="96" t="s">
        <v>171</v>
      </c>
      <c r="H46" s="59"/>
      <c r="I46" s="51"/>
      <c r="J46" s="51"/>
      <c r="K46" s="51"/>
      <c r="L46" s="51"/>
    </row>
    <row r="47" spans="1:12" s="8" customFormat="1" ht="27">
      <c r="A47" s="28" t="s">
        <v>90</v>
      </c>
      <c r="B47" s="91" t="s">
        <v>91</v>
      </c>
      <c r="C47" s="91"/>
      <c r="D47" s="69">
        <v>90509433</v>
      </c>
      <c r="E47" s="69">
        <v>9754931</v>
      </c>
      <c r="F47" s="69">
        <v>80754502</v>
      </c>
      <c r="G47" s="69">
        <v>15646</v>
      </c>
      <c r="H47" s="59"/>
      <c r="I47" s="51"/>
      <c r="J47" s="51"/>
      <c r="K47" s="51"/>
      <c r="L47" s="51"/>
    </row>
    <row r="48" spans="1:12" s="8" customFormat="1">
      <c r="A48" s="28" t="s">
        <v>92</v>
      </c>
      <c r="B48" s="91" t="s">
        <v>93</v>
      </c>
      <c r="C48" s="91"/>
      <c r="D48" s="95">
        <v>692468028</v>
      </c>
      <c r="E48" s="95">
        <v>63811402</v>
      </c>
      <c r="F48" s="95">
        <v>628656625</v>
      </c>
      <c r="G48" s="96" t="s">
        <v>171</v>
      </c>
      <c r="H48" s="59"/>
      <c r="I48" s="51"/>
      <c r="J48" s="51"/>
      <c r="K48" s="51"/>
      <c r="L48" s="51"/>
    </row>
    <row r="49" spans="1:12" s="8" customFormat="1" ht="27">
      <c r="A49" s="28" t="s">
        <v>94</v>
      </c>
      <c r="B49" s="91" t="s">
        <v>95</v>
      </c>
      <c r="C49" s="91"/>
      <c r="D49" s="69">
        <v>236159231</v>
      </c>
      <c r="E49" s="69">
        <v>15101548</v>
      </c>
      <c r="F49" s="69">
        <v>221057683</v>
      </c>
      <c r="G49" s="99" t="s">
        <v>171</v>
      </c>
      <c r="H49" s="59"/>
      <c r="I49" s="51"/>
      <c r="J49" s="51"/>
      <c r="K49" s="51"/>
      <c r="L49" s="51"/>
    </row>
    <row r="50" spans="1:12" s="8" customFormat="1">
      <c r="A50" s="28" t="s">
        <v>96</v>
      </c>
      <c r="B50" s="91" t="s">
        <v>97</v>
      </c>
      <c r="C50" s="91"/>
      <c r="D50" s="95">
        <v>11745629</v>
      </c>
      <c r="E50" s="95">
        <v>1624476</v>
      </c>
      <c r="F50" s="95">
        <v>10121153</v>
      </c>
      <c r="G50" s="96" t="s">
        <v>171</v>
      </c>
      <c r="H50" s="59"/>
      <c r="I50" s="51"/>
      <c r="J50" s="51"/>
      <c r="K50" s="51"/>
      <c r="L50" s="51"/>
    </row>
    <row r="51" spans="1:12" s="8" customFormat="1">
      <c r="A51" s="28" t="s">
        <v>98</v>
      </c>
      <c r="B51" s="91" t="s">
        <v>99</v>
      </c>
      <c r="C51" s="91"/>
      <c r="D51" s="95">
        <v>22146913</v>
      </c>
      <c r="E51" s="95">
        <v>1022344</v>
      </c>
      <c r="F51" s="95">
        <v>21124569</v>
      </c>
      <c r="G51" s="96" t="s">
        <v>171</v>
      </c>
      <c r="H51" s="59"/>
      <c r="I51" s="51"/>
      <c r="J51" s="51"/>
      <c r="K51" s="51"/>
      <c r="L51" s="51"/>
    </row>
    <row r="52" spans="1:12" s="8" customFormat="1" ht="27">
      <c r="A52" s="28" t="s">
        <v>100</v>
      </c>
      <c r="B52" s="91" t="s">
        <v>101</v>
      </c>
      <c r="C52" s="91"/>
      <c r="D52" s="69">
        <v>4310416</v>
      </c>
      <c r="E52" s="69">
        <v>1233755</v>
      </c>
      <c r="F52" s="69">
        <v>3076661</v>
      </c>
      <c r="G52" s="99" t="s">
        <v>171</v>
      </c>
      <c r="H52" s="59"/>
      <c r="I52" s="51"/>
      <c r="J52" s="51"/>
      <c r="K52" s="51"/>
      <c r="L52" s="51"/>
    </row>
    <row r="53" spans="1:12" s="8" customFormat="1" ht="27">
      <c r="A53" s="28" t="s">
        <v>180</v>
      </c>
      <c r="B53" s="91" t="s">
        <v>181</v>
      </c>
      <c r="C53" s="91"/>
      <c r="D53" s="99" t="s">
        <v>191</v>
      </c>
      <c r="E53" s="99" t="s">
        <v>191</v>
      </c>
      <c r="F53" s="99" t="s">
        <v>191</v>
      </c>
      <c r="G53" s="99" t="s">
        <v>191</v>
      </c>
      <c r="H53" s="59"/>
      <c r="I53" s="51"/>
      <c r="J53" s="51"/>
      <c r="K53" s="51"/>
      <c r="L53" s="51"/>
    </row>
    <row r="54" spans="1:12" s="8" customFormat="1" ht="27">
      <c r="A54" s="28" t="s">
        <v>102</v>
      </c>
      <c r="B54" s="91" t="s">
        <v>103</v>
      </c>
      <c r="C54" s="91"/>
      <c r="D54" s="69">
        <v>24172662</v>
      </c>
      <c r="E54" s="69">
        <v>2133385</v>
      </c>
      <c r="F54" s="69">
        <v>22039276</v>
      </c>
      <c r="G54" s="99" t="s">
        <v>171</v>
      </c>
      <c r="H54" s="59"/>
      <c r="I54" s="51"/>
      <c r="J54" s="51"/>
      <c r="K54" s="51"/>
      <c r="L54" s="51"/>
    </row>
    <row r="55" spans="1:12" s="8" customFormat="1" ht="27">
      <c r="A55" s="28" t="s">
        <v>104</v>
      </c>
      <c r="B55" s="91" t="s">
        <v>105</v>
      </c>
      <c r="C55" s="91"/>
      <c r="D55" s="69">
        <v>20355262</v>
      </c>
      <c r="E55" s="69">
        <v>2407789</v>
      </c>
      <c r="F55" s="69">
        <v>17947473</v>
      </c>
      <c r="G55" s="69">
        <v>2000</v>
      </c>
      <c r="H55" s="59"/>
      <c r="I55" s="51"/>
      <c r="J55" s="51"/>
      <c r="K55" s="51"/>
      <c r="L55" s="51"/>
    </row>
    <row r="56" spans="1:12" s="8" customFormat="1">
      <c r="A56" s="28" t="s">
        <v>106</v>
      </c>
      <c r="B56" s="91" t="s">
        <v>107</v>
      </c>
      <c r="C56" s="91"/>
      <c r="D56" s="95">
        <v>7425159</v>
      </c>
      <c r="E56" s="95">
        <v>1493534</v>
      </c>
      <c r="F56" s="95">
        <v>5931626</v>
      </c>
      <c r="G56" s="96" t="s">
        <v>171</v>
      </c>
      <c r="H56" s="59"/>
      <c r="I56" s="51"/>
      <c r="J56" s="51"/>
      <c r="K56" s="51"/>
      <c r="L56" s="51"/>
    </row>
    <row r="57" spans="1:12" s="8" customFormat="1">
      <c r="A57" s="28" t="s">
        <v>108</v>
      </c>
      <c r="B57" s="91" t="s">
        <v>109</v>
      </c>
      <c r="C57" s="91"/>
      <c r="D57" s="95">
        <v>45249339</v>
      </c>
      <c r="E57" s="95">
        <v>2490793</v>
      </c>
      <c r="F57" s="95">
        <v>42758546</v>
      </c>
      <c r="G57" s="95">
        <v>822</v>
      </c>
      <c r="H57" s="59"/>
      <c r="I57" s="51"/>
      <c r="J57" s="51"/>
      <c r="K57" s="51"/>
      <c r="L57" s="51"/>
    </row>
    <row r="58" spans="1:12" s="8" customFormat="1">
      <c r="A58" s="28" t="s">
        <v>110</v>
      </c>
      <c r="B58" s="91" t="s">
        <v>111</v>
      </c>
      <c r="C58" s="91"/>
      <c r="D58" s="95">
        <v>9123862</v>
      </c>
      <c r="E58" s="95">
        <v>1152219</v>
      </c>
      <c r="F58" s="95">
        <v>7971643</v>
      </c>
      <c r="G58" s="96" t="s">
        <v>171</v>
      </c>
      <c r="H58" s="59"/>
      <c r="I58" s="51"/>
      <c r="J58" s="51"/>
      <c r="K58" s="51"/>
      <c r="L58" s="51"/>
    </row>
    <row r="59" spans="1:12" s="8" customFormat="1">
      <c r="A59" s="28" t="s">
        <v>112</v>
      </c>
      <c r="B59" s="91" t="s">
        <v>113</v>
      </c>
      <c r="C59" s="91"/>
      <c r="D59" s="95">
        <v>16565249</v>
      </c>
      <c r="E59" s="95">
        <v>1068098</v>
      </c>
      <c r="F59" s="95">
        <v>15497151</v>
      </c>
      <c r="G59" s="96" t="s">
        <v>171</v>
      </c>
      <c r="H59" s="59"/>
      <c r="I59" s="51"/>
      <c r="J59" s="51"/>
      <c r="K59" s="51"/>
      <c r="L59" s="51"/>
    </row>
    <row r="60" spans="1:12" s="8" customFormat="1">
      <c r="A60" s="28" t="s">
        <v>114</v>
      </c>
      <c r="B60" s="91" t="s">
        <v>115</v>
      </c>
      <c r="C60" s="91"/>
      <c r="D60" s="95">
        <v>25873287</v>
      </c>
      <c r="E60" s="95">
        <v>4129749</v>
      </c>
      <c r="F60" s="95">
        <v>21743538</v>
      </c>
      <c r="G60" s="95">
        <v>3850</v>
      </c>
      <c r="H60" s="59"/>
      <c r="I60" s="51"/>
      <c r="J60" s="51"/>
      <c r="K60" s="51"/>
      <c r="L60" s="51"/>
    </row>
    <row r="61" spans="1:12" s="8" customFormat="1">
      <c r="A61" s="28" t="s">
        <v>116</v>
      </c>
      <c r="B61" s="91" t="s">
        <v>117</v>
      </c>
      <c r="C61" s="91"/>
      <c r="D61" s="95">
        <v>128162866</v>
      </c>
      <c r="E61" s="95">
        <v>8453634</v>
      </c>
      <c r="F61" s="95">
        <v>119709232</v>
      </c>
      <c r="G61" s="95">
        <v>65276</v>
      </c>
      <c r="H61" s="59"/>
      <c r="I61" s="51"/>
      <c r="J61" s="51"/>
      <c r="K61" s="51"/>
      <c r="L61" s="51"/>
    </row>
    <row r="62" spans="1:12" s="8" customFormat="1">
      <c r="A62" s="28" t="s">
        <v>118</v>
      </c>
      <c r="B62" s="91" t="s">
        <v>119</v>
      </c>
      <c r="C62" s="91"/>
      <c r="D62" s="95">
        <v>60316076</v>
      </c>
      <c r="E62" s="95">
        <v>4633328</v>
      </c>
      <c r="F62" s="95">
        <v>55682748</v>
      </c>
      <c r="G62" s="95">
        <v>2500</v>
      </c>
      <c r="H62" s="59"/>
      <c r="I62" s="51"/>
      <c r="J62" s="51"/>
      <c r="K62" s="51"/>
      <c r="L62" s="51"/>
    </row>
    <row r="63" spans="1:12" s="8" customFormat="1">
      <c r="A63" s="28" t="s">
        <v>120</v>
      </c>
      <c r="B63" s="91" t="s">
        <v>121</v>
      </c>
      <c r="C63" s="91"/>
      <c r="D63" s="95">
        <v>377325584</v>
      </c>
      <c r="E63" s="95">
        <v>5901464</v>
      </c>
      <c r="F63" s="95">
        <v>371424120</v>
      </c>
      <c r="G63" s="96" t="s">
        <v>171</v>
      </c>
      <c r="H63" s="59"/>
      <c r="I63" s="51"/>
      <c r="J63" s="51"/>
      <c r="K63" s="51"/>
      <c r="L63" s="51"/>
    </row>
    <row r="64" spans="1:12" s="8" customFormat="1" ht="27">
      <c r="A64" s="28" t="s">
        <v>122</v>
      </c>
      <c r="B64" s="91" t="s">
        <v>123</v>
      </c>
      <c r="C64" s="91"/>
      <c r="D64" s="69">
        <v>3331751</v>
      </c>
      <c r="E64" s="69">
        <v>526791</v>
      </c>
      <c r="F64" s="69">
        <v>2804959</v>
      </c>
      <c r="G64" s="99" t="s">
        <v>171</v>
      </c>
      <c r="H64" s="59"/>
      <c r="I64" s="51"/>
      <c r="J64" s="51"/>
      <c r="K64" s="51"/>
      <c r="L64" s="51"/>
    </row>
    <row r="65" spans="1:12" s="8" customFormat="1" ht="27">
      <c r="A65" s="28" t="s">
        <v>124</v>
      </c>
      <c r="B65" s="91" t="s">
        <v>125</v>
      </c>
      <c r="C65" s="91"/>
      <c r="D65" s="95">
        <v>258802478</v>
      </c>
      <c r="E65" s="95">
        <v>28420582</v>
      </c>
      <c r="F65" s="95">
        <v>230381896</v>
      </c>
      <c r="G65" s="96" t="s">
        <v>171</v>
      </c>
      <c r="H65" s="59"/>
      <c r="I65" s="51"/>
      <c r="J65" s="51"/>
      <c r="K65" s="51"/>
      <c r="L65" s="51"/>
    </row>
    <row r="66" spans="1:12" s="8" customFormat="1">
      <c r="A66" s="28" t="s">
        <v>126</v>
      </c>
      <c r="B66" s="91" t="s">
        <v>127</v>
      </c>
      <c r="C66" s="91"/>
      <c r="D66" s="96">
        <v>27781110</v>
      </c>
      <c r="E66" s="96">
        <v>3074697</v>
      </c>
      <c r="F66" s="96">
        <v>24706414</v>
      </c>
      <c r="G66" s="96" t="s">
        <v>171</v>
      </c>
      <c r="H66" s="59"/>
      <c r="I66" s="51"/>
      <c r="J66" s="51"/>
      <c r="K66" s="51"/>
      <c r="L66" s="51"/>
    </row>
    <row r="67" spans="1:12" s="8" customFormat="1">
      <c r="A67" s="28" t="s">
        <v>182</v>
      </c>
      <c r="B67" s="91" t="s">
        <v>183</v>
      </c>
      <c r="C67" s="91"/>
      <c r="D67" s="96" t="s">
        <v>191</v>
      </c>
      <c r="E67" s="96" t="s">
        <v>191</v>
      </c>
      <c r="F67" s="96" t="s">
        <v>191</v>
      </c>
      <c r="G67" s="96" t="s">
        <v>191</v>
      </c>
      <c r="H67" s="59"/>
      <c r="I67" s="51"/>
      <c r="J67" s="51"/>
      <c r="K67" s="51"/>
      <c r="L67" s="51"/>
    </row>
    <row r="68" spans="1:12" s="8" customFormat="1" ht="27">
      <c r="A68" s="28" t="s">
        <v>128</v>
      </c>
      <c r="B68" s="91" t="s">
        <v>129</v>
      </c>
      <c r="C68" s="91"/>
      <c r="D68" s="96">
        <v>16057006</v>
      </c>
      <c r="E68" s="96">
        <v>1864599</v>
      </c>
      <c r="F68" s="96">
        <v>14192407</v>
      </c>
      <c r="G68" s="96" t="s">
        <v>171</v>
      </c>
      <c r="H68" s="59"/>
      <c r="I68" s="51"/>
      <c r="J68" s="51"/>
      <c r="K68" s="51"/>
      <c r="L68" s="51"/>
    </row>
    <row r="69" spans="1:12" s="8" customFormat="1">
      <c r="A69" s="28" t="s">
        <v>184</v>
      </c>
      <c r="B69" s="91" t="s">
        <v>185</v>
      </c>
      <c r="C69" s="91"/>
      <c r="D69" s="96" t="s">
        <v>191</v>
      </c>
      <c r="E69" s="96" t="s">
        <v>191</v>
      </c>
      <c r="F69" s="96" t="s">
        <v>191</v>
      </c>
      <c r="G69" s="96" t="s">
        <v>191</v>
      </c>
      <c r="H69" s="59"/>
      <c r="I69" s="51"/>
      <c r="J69" s="51"/>
      <c r="K69" s="51"/>
      <c r="L69" s="51"/>
    </row>
    <row r="70" spans="1:12" s="8" customFormat="1">
      <c r="A70" s="28" t="s">
        <v>130</v>
      </c>
      <c r="B70" s="91" t="s">
        <v>131</v>
      </c>
      <c r="C70" s="91"/>
      <c r="D70" s="95">
        <v>111612054</v>
      </c>
      <c r="E70" s="95">
        <v>3201036</v>
      </c>
      <c r="F70" s="95">
        <v>108411018</v>
      </c>
      <c r="G70" s="95">
        <v>20996</v>
      </c>
      <c r="H70" s="59"/>
      <c r="I70" s="51"/>
      <c r="J70" s="51"/>
      <c r="K70" s="51"/>
      <c r="L70" s="51"/>
    </row>
    <row r="71" spans="1:12" s="8" customFormat="1">
      <c r="A71" s="28" t="s">
        <v>132</v>
      </c>
      <c r="B71" s="91" t="s">
        <v>133</v>
      </c>
      <c r="C71" s="91"/>
      <c r="D71" s="96">
        <v>41918066</v>
      </c>
      <c r="E71" s="96">
        <v>5526165</v>
      </c>
      <c r="F71" s="96">
        <v>36391900</v>
      </c>
      <c r="G71" s="96" t="s">
        <v>171</v>
      </c>
      <c r="H71" s="59"/>
      <c r="I71" s="51"/>
      <c r="J71" s="51"/>
      <c r="K71" s="51"/>
      <c r="L71" s="51"/>
    </row>
    <row r="72" spans="1:12" s="8" customFormat="1">
      <c r="A72" s="28" t="s">
        <v>134</v>
      </c>
      <c r="B72" s="91" t="s">
        <v>135</v>
      </c>
      <c r="C72" s="91"/>
      <c r="D72" s="95">
        <v>1188911</v>
      </c>
      <c r="E72" s="95">
        <v>379032</v>
      </c>
      <c r="F72" s="95">
        <v>809879</v>
      </c>
      <c r="G72" s="96" t="s">
        <v>171</v>
      </c>
      <c r="H72" s="59"/>
      <c r="I72" s="45"/>
      <c r="J72" s="45"/>
      <c r="K72" s="45"/>
      <c r="L72" s="45"/>
    </row>
    <row r="73" spans="1:12" s="8" customFormat="1">
      <c r="A73" s="28" t="s">
        <v>136</v>
      </c>
      <c r="B73" s="91" t="s">
        <v>137</v>
      </c>
      <c r="C73" s="91"/>
      <c r="D73" s="95">
        <v>10861</v>
      </c>
      <c r="E73" s="95">
        <v>5159</v>
      </c>
      <c r="F73" s="95">
        <v>5702</v>
      </c>
      <c r="G73" s="96" t="s">
        <v>171</v>
      </c>
      <c r="H73" s="59"/>
      <c r="I73" s="51"/>
      <c r="J73" s="51"/>
      <c r="K73" s="51"/>
      <c r="L73" s="51"/>
    </row>
    <row r="74" spans="1:12" s="8" customFormat="1">
      <c r="A74" s="28" t="s">
        <v>138</v>
      </c>
      <c r="B74" s="91" t="s">
        <v>139</v>
      </c>
      <c r="C74" s="91"/>
      <c r="D74" s="95">
        <v>4458004</v>
      </c>
      <c r="E74" s="95">
        <v>714155</v>
      </c>
      <c r="F74" s="95">
        <v>3743849</v>
      </c>
      <c r="G74" s="95">
        <v>44052</v>
      </c>
      <c r="H74" s="59"/>
      <c r="I74" s="51"/>
      <c r="J74" s="51"/>
      <c r="K74" s="51"/>
      <c r="L74" s="51"/>
    </row>
    <row r="75" spans="1:12" s="8" customFormat="1">
      <c r="A75" s="28" t="s">
        <v>140</v>
      </c>
      <c r="B75" s="91" t="s">
        <v>141</v>
      </c>
      <c r="C75" s="91"/>
      <c r="D75" s="95">
        <v>3930625</v>
      </c>
      <c r="E75" s="95">
        <v>788159</v>
      </c>
      <c r="F75" s="95">
        <v>3142466</v>
      </c>
      <c r="G75" s="96" t="s">
        <v>171</v>
      </c>
      <c r="H75" s="59"/>
      <c r="I75" s="51"/>
      <c r="J75" s="51"/>
      <c r="K75" s="51"/>
      <c r="L75" s="51"/>
    </row>
    <row r="76" spans="1:12" s="8" customFormat="1" ht="27">
      <c r="A76" s="28" t="s">
        <v>142</v>
      </c>
      <c r="B76" s="91" t="s">
        <v>143</v>
      </c>
      <c r="C76" s="91"/>
      <c r="D76" s="69">
        <v>52626333</v>
      </c>
      <c r="E76" s="69">
        <v>6302637</v>
      </c>
      <c r="F76" s="69">
        <v>46323696</v>
      </c>
      <c r="G76" s="69">
        <v>7620</v>
      </c>
      <c r="H76" s="59"/>
      <c r="I76" s="51"/>
      <c r="J76" s="51"/>
      <c r="K76" s="51"/>
      <c r="L76" s="51"/>
    </row>
    <row r="77" spans="1:12" s="8" customFormat="1">
      <c r="A77" s="92" t="s">
        <v>144</v>
      </c>
      <c r="B77" s="105" t="s">
        <v>145</v>
      </c>
      <c r="C77" s="91"/>
      <c r="D77" s="100">
        <v>6255192</v>
      </c>
      <c r="E77" s="100">
        <v>1160476</v>
      </c>
      <c r="F77" s="100">
        <v>5094716</v>
      </c>
      <c r="G77" s="101" t="s">
        <v>171</v>
      </c>
      <c r="H77" s="59"/>
      <c r="I77" s="51"/>
      <c r="J77" s="51"/>
      <c r="K77" s="51"/>
      <c r="L77" s="51"/>
    </row>
    <row r="78" spans="1:12" s="8" customFormat="1" ht="27">
      <c r="A78" s="92" t="s">
        <v>146</v>
      </c>
      <c r="B78" s="105" t="s">
        <v>147</v>
      </c>
      <c r="C78" s="91"/>
      <c r="D78" s="72">
        <v>14706968</v>
      </c>
      <c r="E78" s="72">
        <v>1905952</v>
      </c>
      <c r="F78" s="72">
        <v>12801016</v>
      </c>
      <c r="G78" s="99" t="s">
        <v>171</v>
      </c>
      <c r="H78" s="59"/>
      <c r="I78" s="51"/>
      <c r="J78" s="51"/>
      <c r="K78" s="51"/>
      <c r="L78" s="51"/>
    </row>
    <row r="79" spans="1:12" s="11" customFormat="1" ht="13.5" customHeight="1">
      <c r="A79" s="93" t="s">
        <v>148</v>
      </c>
      <c r="B79" s="106" t="s">
        <v>149</v>
      </c>
      <c r="C79" s="102"/>
      <c r="D79" s="103">
        <v>464032</v>
      </c>
      <c r="E79" s="103">
        <v>53369</v>
      </c>
      <c r="F79" s="103">
        <v>410663</v>
      </c>
      <c r="G79" s="104" t="s">
        <v>171</v>
      </c>
    </row>
    <row r="80" spans="1:12" s="11" customFormat="1" ht="3.75" customHeight="1">
      <c r="A80" s="7"/>
      <c r="B80" s="7"/>
      <c r="C80" s="10"/>
      <c r="D80" s="22"/>
      <c r="E80" s="22"/>
      <c r="F80" s="23"/>
      <c r="G80" s="23"/>
    </row>
    <row r="81" spans="1:11" s="13" customFormat="1" ht="11.25" customHeight="1">
      <c r="A81" s="125" t="s">
        <v>194</v>
      </c>
      <c r="B81" s="125"/>
      <c r="C81" s="54"/>
      <c r="D81" s="25"/>
      <c r="E81" s="25"/>
      <c r="F81" s="25"/>
      <c r="G81" s="25"/>
      <c r="H81" s="12"/>
      <c r="I81" s="12"/>
      <c r="J81" s="12"/>
      <c r="K81" s="12"/>
    </row>
    <row r="82" spans="1:11" s="79" customFormat="1" ht="12.75" customHeight="1">
      <c r="A82" s="110" t="s">
        <v>193</v>
      </c>
      <c r="B82" s="110"/>
      <c r="C82" s="54"/>
      <c r="D82" s="25"/>
      <c r="E82" s="25"/>
      <c r="F82" s="25"/>
      <c r="G82" s="25"/>
      <c r="H82" s="78"/>
      <c r="I82" s="78"/>
      <c r="J82" s="78"/>
      <c r="K82" s="78"/>
    </row>
    <row r="83" spans="1:11">
      <c r="A83" s="56"/>
      <c r="B83" s="56" t="s">
        <v>178</v>
      </c>
      <c r="C83" s="55"/>
      <c r="D83" s="55"/>
      <c r="E83" s="55"/>
      <c r="F83" s="55"/>
      <c r="G83" s="55"/>
    </row>
    <row r="84" spans="1:11" s="13" customFormat="1">
      <c r="A84" s="57" t="s">
        <v>190</v>
      </c>
      <c r="B84" s="25"/>
      <c r="C84" s="25"/>
      <c r="D84" s="25"/>
      <c r="E84" s="25"/>
      <c r="F84" s="25"/>
      <c r="G84" s="57"/>
      <c r="H84" s="12"/>
      <c r="I84" s="12"/>
      <c r="J84" s="12"/>
      <c r="K84" s="12"/>
    </row>
  </sheetData>
  <sheetProtection formatCells="0" formatColumns="0" formatRows="0" insertColumns="0" insertRows="0" insertHyperlinks="0" deleteColumns="0" deleteRows="0" sort="0" autoFilter="0" pivotTables="0"/>
  <mergeCells count="7">
    <mergeCell ref="A81:B81"/>
    <mergeCell ref="A1:G1"/>
    <mergeCell ref="A2:G2"/>
    <mergeCell ref="A3:A6"/>
    <mergeCell ref="B3:B6"/>
    <mergeCell ref="D3:F4"/>
    <mergeCell ref="G3:G5"/>
  </mergeCells>
  <printOptions horizontalCentered="1"/>
  <pageMargins left="0.39370078740157499" right="0.39370078740157499" top="0.62992125984252001" bottom="0.39370078740157499" header="0.196850393700787" footer="0.196850393700787"/>
  <pageSetup paperSize="9" orientation="portrait" useFirstPageNumber="1" r:id="rId1"/>
  <headerFooter alignWithMargins="0">
    <oddFooter>&amp;R&amp;"Arial,Regular"&amp;9Page &amp;P+2 of 9</oddFooter>
  </headerFooter>
  <rowBreaks count="1" manualBreakCount="1">
    <brk id="47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view="pageBreakPreview" topLeftCell="A6" zoomScale="120" zoomScaleNormal="130" zoomScaleSheetLayoutView="120" workbookViewId="0">
      <selection sqref="A1:G1"/>
    </sheetView>
  </sheetViews>
  <sheetFormatPr defaultColWidth="8.85546875" defaultRowHeight="13.5"/>
  <cols>
    <col min="1" max="1" width="6.7109375" style="7" customWidth="1"/>
    <col min="2" max="2" width="31.140625" style="7" customWidth="1"/>
    <col min="3" max="3" width="1.7109375" style="7" customWidth="1"/>
    <col min="4" max="4" width="13.85546875" style="7" customWidth="1"/>
    <col min="5" max="5" width="14.85546875" style="7" customWidth="1"/>
    <col min="6" max="6" width="13.42578125" style="7" customWidth="1"/>
    <col min="7" max="16384" width="8.85546875" style="7"/>
  </cols>
  <sheetData>
    <row r="1" spans="1:7" s="1" customFormat="1" ht="13.5" customHeight="1">
      <c r="A1" s="132" t="s">
        <v>188</v>
      </c>
      <c r="B1" s="132"/>
      <c r="C1" s="132"/>
      <c r="D1" s="132"/>
      <c r="E1" s="132"/>
      <c r="F1" s="132"/>
    </row>
    <row r="2" spans="1:7" s="1" customFormat="1">
      <c r="A2" s="133" t="s">
        <v>187</v>
      </c>
      <c r="B2" s="133"/>
      <c r="C2" s="133"/>
      <c r="D2" s="133"/>
      <c r="E2" s="133"/>
      <c r="F2" s="133"/>
    </row>
    <row r="3" spans="1:7" s="1" customFormat="1" ht="6.75" customHeight="1">
      <c r="A3" s="2"/>
    </row>
    <row r="4" spans="1:7" s="3" customFormat="1" ht="23.25" customHeight="1">
      <c r="A4" s="128" t="s">
        <v>3</v>
      </c>
      <c r="B4" s="129" t="s">
        <v>15</v>
      </c>
      <c r="C4" s="62"/>
      <c r="D4" s="122" t="s">
        <v>192</v>
      </c>
      <c r="E4" s="129" t="s">
        <v>175</v>
      </c>
      <c r="F4" s="131" t="s">
        <v>174</v>
      </c>
    </row>
    <row r="5" spans="1:7" s="3" customFormat="1" ht="18.75" customHeight="1">
      <c r="A5" s="128"/>
      <c r="B5" s="129"/>
      <c r="C5" s="63"/>
      <c r="D5" s="123"/>
      <c r="E5" s="129"/>
      <c r="F5" s="131"/>
    </row>
    <row r="6" spans="1:7" s="3" customFormat="1" ht="11.25" customHeight="1">
      <c r="A6" s="128"/>
      <c r="B6" s="129"/>
      <c r="C6" s="64"/>
      <c r="D6" s="124"/>
      <c r="E6" s="129"/>
      <c r="F6" s="131"/>
    </row>
    <row r="7" spans="1:7" s="3" customFormat="1" ht="12.75" customHeight="1">
      <c r="A7" s="128"/>
      <c r="B7" s="129"/>
      <c r="C7" s="58"/>
      <c r="D7" s="65" t="s">
        <v>7</v>
      </c>
      <c r="E7" s="30" t="s">
        <v>8</v>
      </c>
      <c r="F7" s="41" t="s">
        <v>9</v>
      </c>
    </row>
    <row r="8" spans="1:7" s="3" customFormat="1" ht="12.75" customHeight="1">
      <c r="A8" s="31"/>
      <c r="B8" s="31"/>
      <c r="C8" s="31"/>
      <c r="D8" s="32"/>
      <c r="E8" s="32"/>
      <c r="F8" s="32"/>
    </row>
    <row r="9" spans="1:7" s="5" customFormat="1">
      <c r="A9" s="6" t="s">
        <v>169</v>
      </c>
      <c r="B9" s="5" t="s">
        <v>16</v>
      </c>
      <c r="D9" s="87">
        <f>'Table 1_Summary Statistics'!E9/'Table 1_Summary Statistics'!D9</f>
        <v>51.157142245623049</v>
      </c>
      <c r="E9" s="88">
        <f>'Table 1_Summary Statistics_Cont'!E8/'Table 1_Summary Statistics'!F9*1000</f>
        <v>326494.50374436367</v>
      </c>
      <c r="F9" s="83">
        <f>'Table 1_Summary Statistics'!G9/'Table 1_Summary Statistics_Cont'!D8</f>
        <v>1.1341946386873747</v>
      </c>
    </row>
    <row r="10" spans="1:7" s="5" customFormat="1" ht="6" customHeight="1">
      <c r="A10" s="6"/>
      <c r="D10" s="87"/>
      <c r="E10" s="88"/>
      <c r="F10" s="83"/>
    </row>
    <row r="11" spans="1:7" s="1" customFormat="1">
      <c r="A11" s="28" t="s">
        <v>17</v>
      </c>
      <c r="B11" s="27" t="s">
        <v>18</v>
      </c>
      <c r="C11" s="27"/>
      <c r="D11" s="53">
        <f>'Table 1_Summary Statistics'!E11/'Table 1_Summary Statistics'!D11</f>
        <v>96.322463768115938</v>
      </c>
      <c r="E11" s="89">
        <f>'Table 1_Summary Statistics_Cont'!E10/'Table 1_Summary Statistics'!F11*1000</f>
        <v>285281.3872482205</v>
      </c>
      <c r="F11" s="84">
        <f>'Table 1_Summary Statistics'!G11/'Table 1_Summary Statistics_Cont'!D10</f>
        <v>1.0520668913163376</v>
      </c>
      <c r="G11" s="18"/>
    </row>
    <row r="12" spans="1:7" s="1" customFormat="1" ht="27">
      <c r="A12" s="28" t="s">
        <v>19</v>
      </c>
      <c r="B12" s="27" t="s">
        <v>20</v>
      </c>
      <c r="C12" s="27"/>
      <c r="D12" s="53">
        <f>'Table 1_Summary Statistics'!E12/'Table 1_Summary Statistics'!D12</f>
        <v>71.635245901639351</v>
      </c>
      <c r="E12" s="89">
        <f>'Table 1_Summary Statistics_Cont'!E11/'Table 1_Summary Statistics'!F12*1000</f>
        <v>231772.62423714038</v>
      </c>
      <c r="F12" s="84">
        <f>'Table 1_Summary Statistics'!G12/'Table 1_Summary Statistics_Cont'!D11</f>
        <v>1.1148807097719746</v>
      </c>
      <c r="G12" s="18"/>
    </row>
    <row r="13" spans="1:7" s="1" customFormat="1" ht="11.25" customHeight="1">
      <c r="A13" s="28" t="s">
        <v>21</v>
      </c>
      <c r="B13" s="27" t="s">
        <v>22</v>
      </c>
      <c r="C13" s="27"/>
      <c r="D13" s="53">
        <f>'Table 1_Summary Statistics'!E13/'Table 1_Summary Statistics'!D13</f>
        <v>149.65662650602408</v>
      </c>
      <c r="E13" s="89">
        <f>'Table 1_Summary Statistics_Cont'!E12/'Table 1_Summary Statistics'!F13*1000</f>
        <v>466205.16563272919</v>
      </c>
      <c r="F13" s="84">
        <f>'Table 1_Summary Statistics'!G13/'Table 1_Summary Statistics_Cont'!D12</f>
        <v>1.1349408470900915</v>
      </c>
      <c r="G13" s="18"/>
    </row>
    <row r="14" spans="1:7" s="1" customFormat="1" ht="13.5" customHeight="1">
      <c r="A14" s="28" t="s">
        <v>23</v>
      </c>
      <c r="B14" s="27" t="s">
        <v>24</v>
      </c>
      <c r="C14" s="27"/>
      <c r="D14" s="53">
        <f>'Table 1_Summary Statistics'!E14/'Table 1_Summary Statistics'!D14</f>
        <v>67.62626262626263</v>
      </c>
      <c r="E14" s="89">
        <f>'Table 1_Summary Statistics_Cont'!E13/'Table 1_Summary Statistics'!F14*1000</f>
        <v>250927.5232105421</v>
      </c>
      <c r="F14" s="84">
        <f>'Table 1_Summary Statistics'!G14/'Table 1_Summary Statistics_Cont'!D13</f>
        <v>1.2645956534260052</v>
      </c>
      <c r="G14" s="18"/>
    </row>
    <row r="15" spans="1:7" s="1" customFormat="1">
      <c r="A15" s="28" t="s">
        <v>25</v>
      </c>
      <c r="B15" s="27" t="s">
        <v>26</v>
      </c>
      <c r="C15" s="27"/>
      <c r="D15" s="53">
        <f>'Table 1_Summary Statistics'!E15/'Table 1_Summary Statistics'!D15</f>
        <v>107.85294117647059</v>
      </c>
      <c r="E15" s="89">
        <f>'Table 1_Summary Statistics_Cont'!E14/'Table 1_Summary Statistics'!F15*1000</f>
        <v>778543.77922435128</v>
      </c>
      <c r="F15" s="84">
        <f>'Table 1_Summary Statistics'!G15/'Table 1_Summary Statistics_Cont'!D14</f>
        <v>1.2967140294027875</v>
      </c>
      <c r="G15" s="18"/>
    </row>
    <row r="16" spans="1:7" s="1" customFormat="1" ht="27">
      <c r="A16" s="28" t="s">
        <v>27</v>
      </c>
      <c r="B16" s="27" t="s">
        <v>28</v>
      </c>
      <c r="C16" s="27"/>
      <c r="D16" s="53">
        <f>'Table 1_Summary Statistics'!E16/'Table 1_Summary Statistics'!D16</f>
        <v>14.394971613949716</v>
      </c>
      <c r="E16" s="89">
        <f>'Table 1_Summary Statistics_Cont'!E15/'Table 1_Summary Statistics'!F16*1000</f>
        <v>216702.50555026959</v>
      </c>
      <c r="F16" s="84">
        <f>'Table 1_Summary Statistics'!G16/'Table 1_Summary Statistics_Cont'!D15</f>
        <v>1.1348534831800481</v>
      </c>
      <c r="G16" s="18"/>
    </row>
    <row r="17" spans="1:12" s="1" customFormat="1">
      <c r="A17" s="28" t="s">
        <v>29</v>
      </c>
      <c r="B17" s="27" t="s">
        <v>30</v>
      </c>
      <c r="C17" s="27"/>
      <c r="D17" s="53">
        <f>'Table 1_Summary Statistics'!E17/'Table 1_Summary Statistics'!D17</f>
        <v>17.618123429209717</v>
      </c>
      <c r="E17" s="89">
        <f>'Table 1_Summary Statistics_Cont'!E16/'Table 1_Summary Statistics'!F17*1000</f>
        <v>252931.14272410524</v>
      </c>
      <c r="F17" s="84">
        <f>'Table 1_Summary Statistics'!G17/'Table 1_Summary Statistics_Cont'!D16</f>
        <v>1.1167025275324618</v>
      </c>
      <c r="G17" s="18"/>
    </row>
    <row r="18" spans="1:12" s="1" customFormat="1">
      <c r="A18" s="28" t="s">
        <v>31</v>
      </c>
      <c r="B18" s="27" t="s">
        <v>32</v>
      </c>
      <c r="C18" s="27"/>
      <c r="D18" s="53">
        <f>'Table 1_Summary Statistics'!E18/'Table 1_Summary Statistics'!D18</f>
        <v>76.581151832460733</v>
      </c>
      <c r="E18" s="89">
        <f>'Table 1_Summary Statistics_Cont'!E17/'Table 1_Summary Statistics'!F18*1000</f>
        <v>275447.31800766283</v>
      </c>
      <c r="F18" s="84">
        <f>'Table 1_Summary Statistics'!G18/'Table 1_Summary Statistics_Cont'!D17</f>
        <v>1.2167129527079419</v>
      </c>
      <c r="G18" s="18"/>
    </row>
    <row r="19" spans="1:12" s="1" customFormat="1">
      <c r="A19" s="28" t="s">
        <v>33</v>
      </c>
      <c r="B19" s="27" t="s">
        <v>34</v>
      </c>
      <c r="C19" s="27"/>
      <c r="D19" s="53">
        <f>'Table 1_Summary Statistics'!E19/'Table 1_Summary Statistics'!D19</f>
        <v>10.958597662771286</v>
      </c>
      <c r="E19" s="89">
        <f>'Table 1_Summary Statistics_Cont'!E18/'Table 1_Summary Statistics'!F19*1000</f>
        <v>501799.26984326809</v>
      </c>
      <c r="F19" s="84">
        <f>'Table 1_Summary Statistics'!G19/'Table 1_Summary Statistics_Cont'!D18</f>
        <v>1.1817127418751696</v>
      </c>
      <c r="G19" s="18"/>
    </row>
    <row r="20" spans="1:12">
      <c r="A20" s="28" t="s">
        <v>35</v>
      </c>
      <c r="B20" s="27" t="s">
        <v>36</v>
      </c>
      <c r="C20" s="27"/>
      <c r="D20" s="53">
        <f>'Table 1_Summary Statistics'!E20/'Table 1_Summary Statistics'!D20</f>
        <v>302.57142857142856</v>
      </c>
      <c r="E20" s="89">
        <f>'Table 1_Summary Statistics_Cont'!E19/'Table 1_Summary Statistics'!F20*1000</f>
        <v>538353.3301842229</v>
      </c>
      <c r="F20" s="84">
        <f>'Table 1_Summary Statistics'!G20/'Table 1_Summary Statistics_Cont'!D19</f>
        <v>1.2794500754264873</v>
      </c>
      <c r="G20" s="18"/>
      <c r="H20" s="8"/>
      <c r="I20" s="8"/>
      <c r="J20" s="8"/>
      <c r="K20" s="8"/>
      <c r="L20" s="8"/>
    </row>
    <row r="21" spans="1:12">
      <c r="A21" s="28" t="s">
        <v>37</v>
      </c>
      <c r="B21" s="27" t="s">
        <v>38</v>
      </c>
      <c r="C21" s="27"/>
      <c r="D21" s="53">
        <f>'Table 1_Summary Statistics'!E21/'Table 1_Summary Statistics'!D21</f>
        <v>60.670886075949369</v>
      </c>
      <c r="E21" s="89">
        <f>'Table 1_Summary Statistics_Cont'!E20/'Table 1_Summary Statistics'!F21*1000</f>
        <v>204038.38688807419</v>
      </c>
      <c r="F21" s="84">
        <f>'Table 1_Summary Statistics'!G21/'Table 1_Summary Statistics_Cont'!D20</f>
        <v>1.2156009286130287</v>
      </c>
      <c r="G21" s="18"/>
      <c r="H21" s="8"/>
      <c r="I21" s="8"/>
      <c r="J21" s="8"/>
      <c r="K21" s="8"/>
      <c r="L21" s="8"/>
    </row>
    <row r="22" spans="1:12">
      <c r="A22" s="28" t="s">
        <v>39</v>
      </c>
      <c r="B22" s="27" t="s">
        <v>40</v>
      </c>
      <c r="C22" s="27"/>
      <c r="D22" s="53">
        <f>'Table 1_Summary Statistics'!E22/'Table 1_Summary Statistics'!D22</f>
        <v>57.773684210526319</v>
      </c>
      <c r="E22" s="89">
        <f>'Table 1_Summary Statistics_Cont'!E21/'Table 1_Summary Statistics'!F22*1000</f>
        <v>257949.78386829764</v>
      </c>
      <c r="F22" s="84">
        <f>'Table 1_Summary Statistics'!G22/'Table 1_Summary Statistics_Cont'!D21</f>
        <v>1.1665078090158354</v>
      </c>
      <c r="G22" s="18"/>
      <c r="H22" s="8"/>
      <c r="I22" s="8"/>
      <c r="J22" s="8"/>
      <c r="K22" s="8"/>
      <c r="L22" s="8"/>
    </row>
    <row r="23" spans="1:12" ht="13.5" customHeight="1">
      <c r="A23" s="28" t="s">
        <v>41</v>
      </c>
      <c r="B23" s="27" t="s">
        <v>42</v>
      </c>
      <c r="C23" s="27"/>
      <c r="D23" s="53">
        <f>'Table 1_Summary Statistics'!E23/'Table 1_Summary Statistics'!D23</f>
        <v>125.01547388781431</v>
      </c>
      <c r="E23" s="89">
        <f>'Table 1_Summary Statistics_Cont'!E22/'Table 1_Summary Statistics'!F23*1000</f>
        <v>240944.11044655862</v>
      </c>
      <c r="F23" s="84">
        <f>'Table 1_Summary Statistics'!G23/'Table 1_Summary Statistics_Cont'!D22</f>
        <v>1.1298921187466207</v>
      </c>
      <c r="G23" s="18"/>
      <c r="H23" s="8"/>
      <c r="I23" s="8"/>
      <c r="J23" s="8"/>
      <c r="K23" s="8"/>
      <c r="L23" s="8"/>
    </row>
    <row r="24" spans="1:12">
      <c r="A24" s="28" t="s">
        <v>43</v>
      </c>
      <c r="B24" s="27" t="s">
        <v>44</v>
      </c>
      <c r="C24" s="27"/>
      <c r="D24" s="53">
        <f>'Table 1_Summary Statistics'!E24/'Table 1_Summary Statistics'!D24</f>
        <v>6.2995689655172411</v>
      </c>
      <c r="E24" s="89">
        <f>'Table 1_Summary Statistics_Cont'!E23/'Table 1_Summary Statistics'!F24*1000</f>
        <v>83915.119363395221</v>
      </c>
      <c r="F24" s="84">
        <f>'Table 1_Summary Statistics'!G24/'Table 1_Summary Statistics_Cont'!D23</f>
        <v>1.1534962532566539</v>
      </c>
      <c r="G24" s="18"/>
      <c r="H24" s="8"/>
      <c r="I24" s="8"/>
      <c r="J24" s="8"/>
      <c r="K24" s="8"/>
      <c r="L24" s="8"/>
    </row>
    <row r="25" spans="1:12">
      <c r="A25" s="28" t="s">
        <v>45</v>
      </c>
      <c r="B25" s="27" t="s">
        <v>46</v>
      </c>
      <c r="C25" s="27"/>
      <c r="D25" s="53">
        <f>'Table 1_Summary Statistics'!E25/'Table 1_Summary Statistics'!D25</f>
        <v>190.44444444444446</v>
      </c>
      <c r="E25" s="89">
        <f>'Table 1_Summary Statistics_Cont'!E24/'Table 1_Summary Statistics'!F25*1000</f>
        <v>340152.94804436661</v>
      </c>
      <c r="F25" s="84">
        <f>'Table 1_Summary Statistics'!G25/'Table 1_Summary Statistics_Cont'!D24</f>
        <v>0.99241898631429815</v>
      </c>
      <c r="G25" s="18"/>
      <c r="H25" s="8"/>
      <c r="I25" s="8"/>
      <c r="J25" s="8"/>
      <c r="K25" s="8"/>
      <c r="L25" s="8"/>
    </row>
    <row r="26" spans="1:12" ht="27">
      <c r="A26" s="28" t="s">
        <v>47</v>
      </c>
      <c r="B26" s="27" t="s">
        <v>48</v>
      </c>
      <c r="C26" s="27"/>
      <c r="D26" s="53">
        <f>'Table 1_Summary Statistics'!E26/'Table 1_Summary Statistics'!D26</f>
        <v>343.33928571428572</v>
      </c>
      <c r="E26" s="89">
        <f>'Table 1_Summary Statistics_Cont'!E25/'Table 1_Summary Statistics'!F26*1000</f>
        <v>183595.83658600054</v>
      </c>
      <c r="F26" s="84">
        <f>'Table 1_Summary Statistics'!G26/'Table 1_Summary Statistics_Cont'!D25</f>
        <v>1.04832981026845</v>
      </c>
      <c r="G26" s="18"/>
      <c r="H26" s="8"/>
      <c r="I26" s="8"/>
      <c r="J26" s="8"/>
      <c r="K26" s="8"/>
      <c r="L26" s="8"/>
    </row>
    <row r="27" spans="1:12">
      <c r="A27" s="28" t="s">
        <v>49</v>
      </c>
      <c r="B27" s="27" t="s">
        <v>50</v>
      </c>
      <c r="C27" s="27"/>
      <c r="D27" s="53">
        <f>'Table 1_Summary Statistics'!E27/'Table 1_Summary Statistics'!D27</f>
        <v>111.64035087719299</v>
      </c>
      <c r="E27" s="89">
        <f>'Table 1_Summary Statistics_Cont'!E26/'Table 1_Summary Statistics'!F27*1000</f>
        <v>136624.9114800535</v>
      </c>
      <c r="F27" s="84">
        <f>'Table 1_Summary Statistics'!G27/'Table 1_Summary Statistics_Cont'!D26</f>
        <v>1.1425677088159052</v>
      </c>
      <c r="G27" s="18"/>
      <c r="H27" s="8"/>
      <c r="I27" s="8"/>
      <c r="J27" s="8"/>
      <c r="K27" s="8"/>
      <c r="L27" s="8"/>
    </row>
    <row r="28" spans="1:12">
      <c r="A28" s="28" t="s">
        <v>51</v>
      </c>
      <c r="B28" s="27" t="s">
        <v>52</v>
      </c>
      <c r="C28" s="27"/>
      <c r="D28" s="53">
        <f>'Table 1_Summary Statistics'!E28/'Table 1_Summary Statistics'!D28</f>
        <v>36.075471698113205</v>
      </c>
      <c r="E28" s="89">
        <f>'Table 1_Summary Statistics_Cont'!E27/'Table 1_Summary Statistics'!F28*1000</f>
        <v>152432.26146547182</v>
      </c>
      <c r="F28" s="84">
        <f>'Table 1_Summary Statistics'!G28/'Table 1_Summary Statistics_Cont'!D27</f>
        <v>1.0852007414599982</v>
      </c>
      <c r="G28" s="18"/>
      <c r="H28" s="8"/>
      <c r="I28" s="8"/>
      <c r="J28" s="8"/>
      <c r="K28" s="8"/>
      <c r="L28" s="8"/>
    </row>
    <row r="29" spans="1:12" ht="27">
      <c r="A29" s="28" t="s">
        <v>53</v>
      </c>
      <c r="B29" s="27" t="s">
        <v>54</v>
      </c>
      <c r="C29" s="27"/>
      <c r="D29" s="53">
        <f>'Table 1_Summary Statistics'!E29/'Table 1_Summary Statistics'!D29</f>
        <v>65.083333333333329</v>
      </c>
      <c r="E29" s="89">
        <f>'Table 1_Summary Statistics_Cont'!E28/'Table 1_Summary Statistics'!F29*1000</f>
        <v>148817.30355055074</v>
      </c>
      <c r="F29" s="84">
        <f>'Table 1_Summary Statistics'!G29/'Table 1_Summary Statistics_Cont'!D28</f>
        <v>1.0729702151539515</v>
      </c>
      <c r="G29" s="18"/>
      <c r="H29" s="8"/>
      <c r="I29" s="8"/>
      <c r="J29" s="8"/>
      <c r="K29" s="8"/>
      <c r="L29" s="8"/>
    </row>
    <row r="30" spans="1:12">
      <c r="A30" s="28" t="s">
        <v>55</v>
      </c>
      <c r="B30" s="27" t="s">
        <v>150</v>
      </c>
      <c r="C30" s="27"/>
      <c r="D30" s="53">
        <f>'Table 1_Summary Statistics'!E30/'Table 1_Summary Statistics'!D30</f>
        <v>56.81666666666667</v>
      </c>
      <c r="E30" s="89">
        <f>'Table 1_Summary Statistics_Cont'!E29/'Table 1_Summary Statistics'!F30*1000</f>
        <v>256906.43892704116</v>
      </c>
      <c r="F30" s="84">
        <f>'Table 1_Summary Statistics'!G30/'Table 1_Summary Statistics_Cont'!D29</f>
        <v>1.0478731271050861</v>
      </c>
      <c r="G30" s="18"/>
      <c r="H30" s="8"/>
      <c r="I30" s="8"/>
      <c r="J30" s="8"/>
      <c r="K30" s="8"/>
      <c r="L30" s="8"/>
    </row>
    <row r="31" spans="1:12">
      <c r="A31" s="28" t="s">
        <v>56</v>
      </c>
      <c r="B31" s="27" t="s">
        <v>57</v>
      </c>
      <c r="C31" s="27"/>
      <c r="D31" s="53">
        <f>'Table 1_Summary Statistics'!E31/'Table 1_Summary Statistics'!D31</f>
        <v>12.249641319942612</v>
      </c>
      <c r="E31" s="89">
        <f>'Table 1_Summary Statistics_Cont'!E30/'Table 1_Summary Statistics'!F31*1000</f>
        <v>176294.38434616607</v>
      </c>
      <c r="F31" s="84">
        <f>'Table 1_Summary Statistics'!G31/'Table 1_Summary Statistics_Cont'!D30</f>
        <v>1.1142782693026145</v>
      </c>
      <c r="G31" s="18"/>
      <c r="H31" s="8"/>
      <c r="I31" s="8"/>
      <c r="J31" s="8"/>
      <c r="K31" s="8"/>
      <c r="L31" s="8"/>
    </row>
    <row r="32" spans="1:12">
      <c r="A32" s="28" t="s">
        <v>58</v>
      </c>
      <c r="B32" s="27" t="s">
        <v>59</v>
      </c>
      <c r="C32" s="27"/>
      <c r="D32" s="53">
        <f>'Table 1_Summary Statistics'!E32/'Table 1_Summary Statistics'!D32</f>
        <v>50.2</v>
      </c>
      <c r="E32" s="89">
        <f>'Table 1_Summary Statistics_Cont'!E31/'Table 1_Summary Statistics'!F32*1000</f>
        <v>368203.18725099601</v>
      </c>
      <c r="F32" s="84">
        <f>'Table 1_Summary Statistics'!G32/'Table 1_Summary Statistics_Cont'!D31</f>
        <v>1.1622650088518161</v>
      </c>
      <c r="G32" s="18"/>
      <c r="H32" s="8"/>
      <c r="I32" s="8"/>
      <c r="J32" s="8"/>
      <c r="K32" s="8"/>
      <c r="L32" s="8"/>
    </row>
    <row r="33" spans="1:12">
      <c r="A33" s="28" t="s">
        <v>60</v>
      </c>
      <c r="B33" s="27" t="s">
        <v>61</v>
      </c>
      <c r="C33" s="27"/>
      <c r="D33" s="53">
        <f>'Table 1_Summary Statistics'!E33/'Table 1_Summary Statistics'!D33</f>
        <v>152.33333333333334</v>
      </c>
      <c r="E33" s="89">
        <f>'Table 1_Summary Statistics_Cont'!E32/'Table 1_Summary Statistics'!F33*1000</f>
        <v>1061646.8564279012</v>
      </c>
      <c r="F33" s="84">
        <f>'Table 1_Summary Statistics'!G33/'Table 1_Summary Statistics_Cont'!D32</f>
        <v>1.0560614408317028</v>
      </c>
      <c r="G33" s="18"/>
      <c r="H33" s="8"/>
      <c r="I33" s="8"/>
      <c r="J33" s="8"/>
      <c r="K33" s="8"/>
      <c r="L33" s="8"/>
    </row>
    <row r="34" spans="1:12">
      <c r="A34" s="28" t="s">
        <v>62</v>
      </c>
      <c r="B34" s="27" t="s">
        <v>63</v>
      </c>
      <c r="C34" s="27"/>
      <c r="D34" s="53">
        <f>'Table 1_Summary Statistics'!E34/'Table 1_Summary Statistics'!D34</f>
        <v>56.333333333333336</v>
      </c>
      <c r="E34" s="89">
        <f>'Table 1_Summary Statistics_Cont'!E33/'Table 1_Summary Statistics'!F34*1000</f>
        <v>540769.23076923075</v>
      </c>
      <c r="F34" s="84">
        <f>'Table 1_Summary Statistics'!G34/'Table 1_Summary Statistics_Cont'!D33</f>
        <v>1.0106233748522759</v>
      </c>
      <c r="G34" s="18"/>
      <c r="H34" s="8"/>
      <c r="I34" s="8"/>
      <c r="J34" s="8"/>
      <c r="K34" s="8"/>
      <c r="L34" s="8"/>
    </row>
    <row r="35" spans="1:12">
      <c r="A35" s="28" t="s">
        <v>64</v>
      </c>
      <c r="B35" s="27" t="s">
        <v>65</v>
      </c>
      <c r="C35" s="27"/>
      <c r="D35" s="53">
        <f>'Table 1_Summary Statistics'!E35/'Table 1_Summary Statistics'!D35</f>
        <v>57.294372294372295</v>
      </c>
      <c r="E35" s="89">
        <f>'Table 1_Summary Statistics_Cont'!E34/'Table 1_Summary Statistics'!F35*1000</f>
        <v>440524.92579343938</v>
      </c>
      <c r="F35" s="84">
        <f>'Table 1_Summary Statistics'!G35/'Table 1_Summary Statistics_Cont'!D34</f>
        <v>1.0380851276253868</v>
      </c>
      <c r="G35" s="18"/>
      <c r="H35" s="8"/>
      <c r="I35" s="8"/>
      <c r="J35" s="8"/>
      <c r="K35" s="8"/>
      <c r="L35" s="8"/>
    </row>
    <row r="36" spans="1:12">
      <c r="A36" s="28" t="s">
        <v>66</v>
      </c>
      <c r="B36" s="27" t="s">
        <v>67</v>
      </c>
      <c r="C36" s="27"/>
      <c r="D36" s="53">
        <f>'Table 1_Summary Statistics'!E36/'Table 1_Summary Statistics'!D36</f>
        <v>61.234636871508378</v>
      </c>
      <c r="E36" s="89">
        <f>'Table 1_Summary Statistics_Cont'!E35/'Table 1_Summary Statistics'!F36*1000</f>
        <v>542802.58944093692</v>
      </c>
      <c r="F36" s="84">
        <f>'Table 1_Summary Statistics'!G36/'Table 1_Summary Statistics_Cont'!D35</f>
        <v>1.0893811187877804</v>
      </c>
      <c r="G36" s="18"/>
      <c r="H36" s="8"/>
      <c r="I36" s="8"/>
      <c r="J36" s="8"/>
      <c r="K36" s="8"/>
      <c r="L36" s="8"/>
    </row>
    <row r="37" spans="1:12">
      <c r="A37" s="28" t="s">
        <v>68</v>
      </c>
      <c r="B37" s="27" t="s">
        <v>69</v>
      </c>
      <c r="C37" s="27"/>
      <c r="D37" s="53">
        <f>'Table 1_Summary Statistics'!E37/'Table 1_Summary Statistics'!D37</f>
        <v>41</v>
      </c>
      <c r="E37" s="89">
        <f>'Table 1_Summary Statistics_Cont'!E36/'Table 1_Summary Statistics'!F37*1000</f>
        <v>153597.56097560975</v>
      </c>
      <c r="F37" s="84">
        <f>'Table 1_Summary Statistics'!G37/'Table 1_Summary Statistics_Cont'!D36</f>
        <v>1.1133133881824981</v>
      </c>
      <c r="G37" s="18"/>
      <c r="H37" s="8"/>
      <c r="I37" s="8"/>
      <c r="J37" s="8"/>
      <c r="K37" s="8"/>
      <c r="L37" s="8"/>
    </row>
    <row r="38" spans="1:12" ht="27">
      <c r="A38" s="28" t="s">
        <v>70</v>
      </c>
      <c r="B38" s="27" t="s">
        <v>71</v>
      </c>
      <c r="C38" s="27"/>
      <c r="D38" s="53">
        <f>'Table 1_Summary Statistics'!E38/'Table 1_Summary Statistics'!D38</f>
        <v>126.79166666666667</v>
      </c>
      <c r="E38" s="89">
        <f>'Table 1_Summary Statistics_Cont'!E37/'Table 1_Summary Statistics'!F38*1000</f>
        <v>976126.6957165174</v>
      </c>
      <c r="F38" s="84">
        <f>'Table 1_Summary Statistics'!G38/'Table 1_Summary Statistics_Cont'!D37</f>
        <v>1.4121399492027067</v>
      </c>
      <c r="G38" s="18"/>
      <c r="H38" s="8"/>
      <c r="I38" s="8"/>
      <c r="J38" s="8"/>
      <c r="K38" s="8"/>
      <c r="L38" s="8"/>
    </row>
    <row r="39" spans="1:12">
      <c r="A39" s="28" t="s">
        <v>72</v>
      </c>
      <c r="B39" s="27" t="s">
        <v>73</v>
      </c>
      <c r="C39" s="27"/>
      <c r="D39" s="53">
        <f>'Table 1_Summary Statistics'!E39/'Table 1_Summary Statistics'!D39</f>
        <v>123.45098039215686</v>
      </c>
      <c r="E39" s="89">
        <f>'Table 1_Summary Statistics_Cont'!E38/'Table 1_Summary Statistics'!F39*1000</f>
        <v>290747.73557921499</v>
      </c>
      <c r="F39" s="84">
        <f>'Table 1_Summary Statistics'!G39/'Table 1_Summary Statistics_Cont'!D38</f>
        <v>1.3363415577611821</v>
      </c>
      <c r="G39" s="18"/>
      <c r="H39" s="8"/>
      <c r="I39" s="8"/>
      <c r="J39" s="8"/>
      <c r="K39" s="8"/>
      <c r="L39" s="8"/>
    </row>
    <row r="40" spans="1:12">
      <c r="A40" s="28" t="s">
        <v>74</v>
      </c>
      <c r="B40" s="27" t="s">
        <v>75</v>
      </c>
      <c r="C40" s="27"/>
      <c r="D40" s="53">
        <f>'Table 1_Summary Statistics'!E40/'Table 1_Summary Statistics'!D40</f>
        <v>70.709251101321584</v>
      </c>
      <c r="E40" s="89">
        <f>'Table 1_Summary Statistics_Cont'!E39/'Table 1_Summary Statistics'!F40*1000</f>
        <v>243999.21004490272</v>
      </c>
      <c r="F40" s="84">
        <f>'Table 1_Summary Statistics'!G40/'Table 1_Summary Statistics_Cont'!D39</f>
        <v>1.0956243094519875</v>
      </c>
      <c r="G40" s="18"/>
      <c r="H40" s="8"/>
      <c r="I40" s="8"/>
      <c r="J40" s="8"/>
      <c r="K40" s="8"/>
      <c r="L40" s="8"/>
    </row>
    <row r="41" spans="1:12">
      <c r="A41" s="28" t="s">
        <v>76</v>
      </c>
      <c r="B41" s="27" t="s">
        <v>77</v>
      </c>
      <c r="C41" s="27"/>
      <c r="D41" s="53">
        <f>'Table 1_Summary Statistics'!E41/'Table 1_Summary Statistics'!D41</f>
        <v>48.69</v>
      </c>
      <c r="E41" s="89">
        <f>'Table 1_Summary Statistics_Cont'!E40/'Table 1_Summary Statistics'!F41*1000</f>
        <v>405083.59197186015</v>
      </c>
      <c r="F41" s="84">
        <f>'Table 1_Summary Statistics'!G41/'Table 1_Summary Statistics_Cont'!D40</f>
        <v>1.0676737253854414</v>
      </c>
      <c r="G41" s="18"/>
      <c r="H41" s="8"/>
      <c r="I41" s="8"/>
      <c r="J41" s="8"/>
      <c r="K41" s="8"/>
      <c r="L41" s="8"/>
    </row>
    <row r="42" spans="1:12" ht="27" customHeight="1">
      <c r="A42" s="28" t="s">
        <v>78</v>
      </c>
      <c r="B42" s="27" t="s">
        <v>79</v>
      </c>
      <c r="C42" s="27"/>
      <c r="D42" s="53">
        <f>'Table 1_Summary Statistics'!E42/'Table 1_Summary Statistics'!D42</f>
        <v>56.949132947976878</v>
      </c>
      <c r="E42" s="89">
        <f>'Table 1_Summary Statistics_Cont'!E41/'Table 1_Summary Statistics'!F42*1000</f>
        <v>263760.69477689808</v>
      </c>
      <c r="F42" s="84">
        <f>'Table 1_Summary Statistics'!G42/'Table 1_Summary Statistics_Cont'!D41</f>
        <v>1.0478527664654933</v>
      </c>
      <c r="G42" s="18"/>
      <c r="H42" s="8"/>
      <c r="I42" s="8"/>
      <c r="J42" s="8"/>
      <c r="K42" s="8"/>
      <c r="L42" s="8"/>
    </row>
    <row r="43" spans="1:12">
      <c r="A43" s="28" t="s">
        <v>80</v>
      </c>
      <c r="B43" s="27" t="s">
        <v>81</v>
      </c>
      <c r="C43" s="27"/>
      <c r="D43" s="53">
        <f>'Table 1_Summary Statistics'!E43/'Table 1_Summary Statistics'!D43</f>
        <v>79.666666666666671</v>
      </c>
      <c r="E43" s="89">
        <f>'Table 1_Summary Statistics_Cont'!E42/'Table 1_Summary Statistics'!F43*1000</f>
        <v>312216.13832853024</v>
      </c>
      <c r="F43" s="84">
        <f>'Table 1_Summary Statistics'!G43/'Table 1_Summary Statistics_Cont'!D42</f>
        <v>1.071332246285795</v>
      </c>
      <c r="G43" s="18"/>
      <c r="H43" s="8"/>
      <c r="I43" s="8"/>
      <c r="J43" s="8"/>
      <c r="K43" s="8"/>
      <c r="L43" s="8"/>
    </row>
    <row r="44" spans="1:12" ht="27">
      <c r="A44" s="28" t="s">
        <v>82</v>
      </c>
      <c r="B44" s="27" t="s">
        <v>83</v>
      </c>
      <c r="C44" s="27"/>
      <c r="D44" s="53">
        <f>'Table 1_Summary Statistics'!E44/'Table 1_Summary Statistics'!D44</f>
        <v>141.6</v>
      </c>
      <c r="E44" s="89">
        <f>'Table 1_Summary Statistics_Cont'!E43/'Table 1_Summary Statistics'!F44*1000</f>
        <v>615247.48277689458</v>
      </c>
      <c r="F44" s="84">
        <f>'Table 1_Summary Statistics'!G44/'Table 1_Summary Statistics_Cont'!D43</f>
        <v>1.0989762970127757</v>
      </c>
      <c r="G44" s="18"/>
      <c r="H44" s="8"/>
      <c r="I44" s="8"/>
      <c r="J44" s="8"/>
      <c r="K44" s="8"/>
      <c r="L44" s="8"/>
    </row>
    <row r="45" spans="1:12">
      <c r="A45" s="28" t="s">
        <v>84</v>
      </c>
      <c r="B45" s="27" t="s">
        <v>85</v>
      </c>
      <c r="C45" s="27"/>
      <c r="D45" s="53">
        <f>'Table 1_Summary Statistics'!E45/'Table 1_Summary Statistics'!D45</f>
        <v>73.270833333333329</v>
      </c>
      <c r="E45" s="89">
        <f>'Table 1_Summary Statistics_Cont'!E44/'Table 1_Summary Statistics'!F45*1000</f>
        <v>274893.65936878021</v>
      </c>
      <c r="F45" s="84">
        <f>'Table 1_Summary Statistics'!G45/'Table 1_Summary Statistics_Cont'!D44</f>
        <v>1.1369683789369496</v>
      </c>
      <c r="G45" s="18"/>
      <c r="H45" s="8"/>
      <c r="I45" s="8"/>
      <c r="J45" s="8"/>
      <c r="K45" s="8"/>
      <c r="L45" s="8"/>
    </row>
    <row r="46" spans="1:12" ht="27">
      <c r="A46" s="28" t="s">
        <v>86</v>
      </c>
      <c r="B46" s="27" t="s">
        <v>87</v>
      </c>
      <c r="C46" s="27"/>
      <c r="D46" s="53">
        <f>'Table 1_Summary Statistics'!E46/'Table 1_Summary Statistics'!D46</f>
        <v>37.360344827586204</v>
      </c>
      <c r="E46" s="89">
        <f>'Table 1_Summary Statistics_Cont'!E45/'Table 1_Summary Statistics'!F46*1000</f>
        <v>226508.97453735911</v>
      </c>
      <c r="F46" s="84">
        <f>'Table 1_Summary Statistics'!G46/'Table 1_Summary Statistics_Cont'!D45</f>
        <v>1.1412308320170728</v>
      </c>
      <c r="G46" s="18"/>
      <c r="H46" s="8"/>
      <c r="I46" s="8"/>
      <c r="J46" s="8"/>
      <c r="K46" s="8"/>
      <c r="L46" s="8"/>
    </row>
    <row r="47" spans="1:12">
      <c r="A47" s="28" t="s">
        <v>88</v>
      </c>
      <c r="B47" s="27" t="s">
        <v>89</v>
      </c>
      <c r="C47" s="27"/>
      <c r="D47" s="53">
        <f>'Table 1_Summary Statistics'!E47/'Table 1_Summary Statistics'!D47</f>
        <v>112.91666666666667</v>
      </c>
      <c r="E47" s="89">
        <f>'Table 1_Summary Statistics_Cont'!E46/'Table 1_Summary Statistics'!F47*1000</f>
        <v>417582.10059171595</v>
      </c>
      <c r="F47" s="84">
        <f>'Table 1_Summary Statistics'!G47/'Table 1_Summary Statistics_Cont'!D46</f>
        <v>1.0304877579621334</v>
      </c>
      <c r="G47" s="8"/>
      <c r="H47" s="8"/>
      <c r="I47" s="8"/>
      <c r="J47" s="8"/>
      <c r="K47" s="8"/>
    </row>
    <row r="48" spans="1:12" ht="27">
      <c r="A48" s="28" t="s">
        <v>90</v>
      </c>
      <c r="B48" s="27" t="s">
        <v>91</v>
      </c>
      <c r="C48" s="27"/>
      <c r="D48" s="53">
        <f>'Table 1_Summary Statistics'!E48/'Table 1_Summary Statistics'!D48</f>
        <v>39.855146124523507</v>
      </c>
      <c r="E48" s="89">
        <f>'Table 1_Summary Statistics_Cont'!E47/'Table 1_Summary Statistics'!F48*1000</f>
        <v>312447.74350597354</v>
      </c>
      <c r="F48" s="84">
        <f>'Table 1_Summary Statistics'!G48/'Table 1_Summary Statistics_Cont'!D47</f>
        <v>1.0820493594297513</v>
      </c>
      <c r="G48" s="8"/>
      <c r="H48" s="8"/>
      <c r="I48" s="8"/>
      <c r="J48" s="8"/>
      <c r="K48" s="8"/>
    </row>
    <row r="49" spans="1:11">
      <c r="A49" s="28" t="s">
        <v>92</v>
      </c>
      <c r="B49" s="27" t="s">
        <v>93</v>
      </c>
      <c r="C49" s="27"/>
      <c r="D49" s="53">
        <f>'Table 1_Summary Statistics'!E49/'Table 1_Summary Statistics'!D49</f>
        <v>1148.2462686567164</v>
      </c>
      <c r="E49" s="89">
        <f>'Table 1_Summary Statistics_Cont'!E48/'Table 1_Summary Statistics'!F49*1000</f>
        <v>414726.00478344515</v>
      </c>
      <c r="F49" s="84">
        <f>'Table 1_Summary Statistics'!G49/'Table 1_Summary Statistics_Cont'!D48</f>
        <v>1.1987347724882975</v>
      </c>
      <c r="G49" s="8"/>
      <c r="H49" s="8"/>
      <c r="I49" s="8"/>
      <c r="J49" s="8"/>
      <c r="K49" s="8"/>
    </row>
    <row r="50" spans="1:11" ht="27">
      <c r="A50" s="28" t="s">
        <v>94</v>
      </c>
      <c r="B50" s="27" t="s">
        <v>95</v>
      </c>
      <c r="C50" s="27"/>
      <c r="D50" s="53">
        <f>'Table 1_Summary Statistics'!E50/'Table 1_Summary Statistics'!D50</f>
        <v>1559.96875</v>
      </c>
      <c r="E50" s="89">
        <f>'Table 1_Summary Statistics_Cont'!E49/'Table 1_Summary Statistics'!F50*1000</f>
        <v>302557.40989321418</v>
      </c>
      <c r="F50" s="84">
        <f>'Table 1_Summary Statistics'!G50/'Table 1_Summary Statistics_Cont'!D49</f>
        <v>1.3397470200942516</v>
      </c>
      <c r="G50" s="8"/>
      <c r="H50" s="8"/>
      <c r="I50" s="8"/>
      <c r="J50" s="8"/>
      <c r="K50" s="8"/>
    </row>
    <row r="51" spans="1:11">
      <c r="A51" s="28" t="s">
        <v>96</v>
      </c>
      <c r="B51" s="27" t="s">
        <v>97</v>
      </c>
      <c r="C51" s="27"/>
      <c r="D51" s="53">
        <f>'Table 1_Summary Statistics'!E51/'Table 1_Summary Statistics'!D51</f>
        <v>431.92307692307691</v>
      </c>
      <c r="E51" s="89">
        <f>'Table 1_Summary Statistics_Cont'!E50/'Table 1_Summary Statistics'!F51*1000</f>
        <v>289310.06233303651</v>
      </c>
      <c r="F51" s="84">
        <f>'Table 1_Summary Statistics'!G51/'Table 1_Summary Statistics_Cont'!D50</f>
        <v>1.1112147335830205</v>
      </c>
      <c r="G51" s="8"/>
      <c r="H51" s="8"/>
      <c r="I51" s="8"/>
      <c r="J51" s="8"/>
      <c r="K51" s="8"/>
    </row>
    <row r="52" spans="1:11">
      <c r="A52" s="28" t="s">
        <v>98</v>
      </c>
      <c r="B52" s="27" t="s">
        <v>99</v>
      </c>
      <c r="C52" s="27"/>
      <c r="D52" s="53">
        <f>'Table 1_Summary Statistics'!E52/'Table 1_Summary Statistics'!D52</f>
        <v>190.05555555555554</v>
      </c>
      <c r="E52" s="89">
        <f>'Table 1_Summary Statistics_Cont'!E51/'Table 1_Summary Statistics'!F52*1000</f>
        <v>298843.6129786612</v>
      </c>
      <c r="F52" s="84">
        <f>'Table 1_Summary Statistics'!G52/'Table 1_Summary Statistics_Cont'!D51</f>
        <v>1.2647586144398544</v>
      </c>
      <c r="G52" s="8"/>
      <c r="H52" s="8"/>
      <c r="I52" s="8"/>
      <c r="J52" s="8"/>
      <c r="K52" s="8"/>
    </row>
    <row r="53" spans="1:11" ht="27">
      <c r="A53" s="28" t="s">
        <v>100</v>
      </c>
      <c r="B53" s="27" t="s">
        <v>101</v>
      </c>
      <c r="C53" s="27"/>
      <c r="D53" s="53">
        <f>'Table 1_Summary Statistics'!E53/'Table 1_Summary Statistics'!D53</f>
        <v>118.6</v>
      </c>
      <c r="E53" s="89">
        <f>'Table 1_Summary Statistics_Cont'!E52/'Table 1_Summary Statistics'!F53*1000</f>
        <v>416106.23946037103</v>
      </c>
      <c r="F53" s="84">
        <f>'Table 1_Summary Statistics'!G53/'Table 1_Summary Statistics_Cont'!D52</f>
        <v>1.0802393550877687</v>
      </c>
      <c r="G53" s="8"/>
      <c r="H53" s="8"/>
      <c r="I53" s="8"/>
      <c r="J53" s="8"/>
      <c r="K53" s="8"/>
    </row>
    <row r="54" spans="1:11" ht="27">
      <c r="A54" s="28" t="s">
        <v>180</v>
      </c>
      <c r="B54" s="27" t="s">
        <v>181</v>
      </c>
      <c r="C54" s="27"/>
      <c r="D54" s="99" t="s">
        <v>191</v>
      </c>
      <c r="E54" s="99" t="s">
        <v>191</v>
      </c>
      <c r="F54" s="99" t="s">
        <v>191</v>
      </c>
      <c r="G54" s="99"/>
      <c r="H54" s="8"/>
      <c r="I54" s="8"/>
      <c r="J54" s="8"/>
      <c r="K54" s="8"/>
    </row>
    <row r="55" spans="1:11" ht="27">
      <c r="A55" s="28" t="s">
        <v>102</v>
      </c>
      <c r="B55" s="27" t="s">
        <v>103</v>
      </c>
      <c r="C55" s="27"/>
      <c r="D55" s="53">
        <f>'Table 1_Summary Statistics'!E55/'Table 1_Summary Statistics'!D55</f>
        <v>318.75</v>
      </c>
      <c r="E55" s="89">
        <f>'Table 1_Summary Statistics_Cont'!E54/'Table 1_Summary Statistics'!F55*1000</f>
        <v>335069.10632951156</v>
      </c>
      <c r="F55" s="84">
        <f>'Table 1_Summary Statistics'!G55/'Table 1_Summary Statistics_Cont'!D54</f>
        <v>1.0966301518632908</v>
      </c>
      <c r="G55" s="8"/>
      <c r="H55" s="8"/>
      <c r="I55" s="8"/>
      <c r="J55" s="8"/>
      <c r="K55" s="8"/>
    </row>
    <row r="56" spans="1:11" ht="40.5">
      <c r="A56" s="28" t="s">
        <v>104</v>
      </c>
      <c r="B56" s="27" t="s">
        <v>105</v>
      </c>
      <c r="C56" s="27"/>
      <c r="D56" s="53">
        <f>'Table 1_Summary Statistics'!E56/'Table 1_Summary Statistics'!D56</f>
        <v>144.5</v>
      </c>
      <c r="E56" s="89">
        <f>'Table 1_Summary Statistics_Cont'!E55/'Table 1_Summary Statistics'!F56*1000</f>
        <v>277779.07245039224</v>
      </c>
      <c r="F56" s="84">
        <f>'Table 1_Summary Statistics'!G56/'Table 1_Summary Statistics_Cont'!D55</f>
        <v>1.2875249161617277</v>
      </c>
      <c r="G56" s="8"/>
      <c r="H56" s="8"/>
      <c r="I56" s="8"/>
      <c r="J56" s="8"/>
      <c r="K56" s="8"/>
    </row>
    <row r="57" spans="1:11">
      <c r="A57" s="28" t="s">
        <v>106</v>
      </c>
      <c r="B57" s="27" t="s">
        <v>107</v>
      </c>
      <c r="C57" s="27"/>
      <c r="D57" s="53">
        <f>'Table 1_Summary Statistics'!E57/'Table 1_Summary Statistics'!D57</f>
        <v>275.71428571428572</v>
      </c>
      <c r="E57" s="89">
        <f>'Table 1_Summary Statistics_Cont'!E56/'Table 1_Summary Statistics'!F57*1000</f>
        <v>773851.81347150262</v>
      </c>
      <c r="F57" s="84">
        <f>'Table 1_Summary Statistics'!G57/'Table 1_Summary Statistics_Cont'!D56</f>
        <v>2.6277581395900076</v>
      </c>
      <c r="G57" s="8"/>
      <c r="H57" s="8"/>
      <c r="I57" s="8"/>
      <c r="J57" s="8"/>
      <c r="K57" s="8"/>
    </row>
    <row r="58" spans="1:11">
      <c r="A58" s="28" t="s">
        <v>108</v>
      </c>
      <c r="B58" s="27" t="s">
        <v>109</v>
      </c>
      <c r="C58" s="27"/>
      <c r="D58" s="53">
        <f>'Table 1_Summary Statistics'!E58/'Table 1_Summary Statistics'!D58</f>
        <v>182.60784313725489</v>
      </c>
      <c r="E58" s="89">
        <f>'Table 1_Summary Statistics_Cont'!E57/'Table 1_Summary Statistics'!F58*1000</f>
        <v>267453.34478685708</v>
      </c>
      <c r="F58" s="84">
        <f>'Table 1_Summary Statistics'!G58/'Table 1_Summary Statistics_Cont'!D57</f>
        <v>1.0617224927860271</v>
      </c>
      <c r="G58" s="8"/>
      <c r="H58" s="8"/>
      <c r="I58" s="8"/>
      <c r="J58" s="8"/>
      <c r="K58" s="8"/>
    </row>
    <row r="59" spans="1:11">
      <c r="A59" s="28" t="s">
        <v>110</v>
      </c>
      <c r="B59" s="27" t="s">
        <v>111</v>
      </c>
      <c r="C59" s="27"/>
      <c r="D59" s="53">
        <f>'Table 1_Summary Statistics'!E59/'Table 1_Summary Statistics'!D59</f>
        <v>152</v>
      </c>
      <c r="E59" s="89">
        <f>'Table 1_Summary Statistics_Cont'!E58/'Table 1_Summary Statistics'!F59*1000</f>
        <v>216582.51879699249</v>
      </c>
      <c r="F59" s="84">
        <f>'Table 1_Summary Statistics'!G59/'Table 1_Summary Statistics_Cont'!D58</f>
        <v>1.1829970685659208</v>
      </c>
      <c r="G59" s="8"/>
      <c r="H59" s="8"/>
      <c r="I59" s="8"/>
      <c r="J59" s="8"/>
      <c r="K59" s="8"/>
    </row>
    <row r="60" spans="1:11">
      <c r="A60" s="28" t="s">
        <v>112</v>
      </c>
      <c r="B60" s="27" t="s">
        <v>113</v>
      </c>
      <c r="C60" s="27"/>
      <c r="D60" s="53">
        <f>'Table 1_Summary Statistics'!E60/'Table 1_Summary Statistics'!D60</f>
        <v>73.736842105263165</v>
      </c>
      <c r="E60" s="89">
        <f>'Table 1_Summary Statistics_Cont'!E59/'Table 1_Summary Statistics'!F60*1000</f>
        <v>381872.72077225603</v>
      </c>
      <c r="F60" s="84">
        <f>'Table 1_Summary Statistics'!G60/'Table 1_Summary Statistics_Cont'!D59</f>
        <v>1.0703915166020141</v>
      </c>
      <c r="G60" s="8"/>
      <c r="H60" s="8"/>
      <c r="I60" s="8"/>
      <c r="J60" s="8"/>
      <c r="K60" s="8"/>
    </row>
    <row r="61" spans="1:11">
      <c r="A61" s="28" t="s">
        <v>114</v>
      </c>
      <c r="B61" s="27" t="s">
        <v>115</v>
      </c>
      <c r="C61" s="27"/>
      <c r="D61" s="53">
        <f>'Table 1_Summary Statistics'!E61/'Table 1_Summary Statistics'!D61</f>
        <v>503.25925925925924</v>
      </c>
      <c r="E61" s="89">
        <f>'Table 1_Summary Statistics_Cont'!E60/'Table 1_Summary Statistics'!F61*1000</f>
        <v>303926.18486900203</v>
      </c>
      <c r="F61" s="84">
        <f>'Table 1_Summary Statistics'!G61/'Table 1_Summary Statistics_Cont'!D60</f>
        <v>1.0694450998823612</v>
      </c>
      <c r="G61" s="8"/>
      <c r="H61" s="8"/>
      <c r="I61" s="8"/>
      <c r="J61" s="8"/>
      <c r="K61" s="8"/>
    </row>
    <row r="62" spans="1:11">
      <c r="A62" s="28" t="s">
        <v>116</v>
      </c>
      <c r="B62" s="27" t="s">
        <v>117</v>
      </c>
      <c r="C62" s="27"/>
      <c r="D62" s="53">
        <f>'Table 1_Summary Statistics'!E62/'Table 1_Summary Statistics'!D62</f>
        <v>180.38157894736841</v>
      </c>
      <c r="E62" s="89">
        <f>'Table 1_Summary Statistics_Cont'!E61/'Table 1_Summary Statistics'!F62*1000</f>
        <v>616648.47910132026</v>
      </c>
      <c r="F62" s="84">
        <f>'Table 1_Summary Statistics'!G62/'Table 1_Summary Statistics_Cont'!D61</f>
        <v>1.1119446330109377</v>
      </c>
      <c r="G62" s="8"/>
      <c r="H62" s="8"/>
      <c r="I62" s="8"/>
      <c r="J62" s="8"/>
      <c r="K62" s="8"/>
    </row>
    <row r="63" spans="1:11">
      <c r="A63" s="28" t="s">
        <v>118</v>
      </c>
      <c r="B63" s="27" t="s">
        <v>119</v>
      </c>
      <c r="C63" s="27"/>
      <c r="D63" s="53">
        <f>'Table 1_Summary Statistics'!E63/'Table 1_Summary Statistics'!D63</f>
        <v>155.27826086956523</v>
      </c>
      <c r="E63" s="89">
        <f>'Table 1_Summary Statistics_Cont'!E62/'Table 1_Summary Statistics'!F63*1000</f>
        <v>259686.58222172401</v>
      </c>
      <c r="F63" s="84">
        <f>'Table 1_Summary Statistics'!G63/'Table 1_Summary Statistics_Cont'!D62</f>
        <v>1.0761022650080885</v>
      </c>
      <c r="G63" s="8"/>
      <c r="H63" s="8"/>
      <c r="I63" s="8"/>
      <c r="J63" s="8"/>
      <c r="K63" s="8"/>
    </row>
    <row r="64" spans="1:11">
      <c r="A64" s="28" t="s">
        <v>120</v>
      </c>
      <c r="B64" s="27" t="s">
        <v>121</v>
      </c>
      <c r="C64" s="27"/>
      <c r="D64" s="53">
        <f>'Table 1_Summary Statistics'!E64/'Table 1_Summary Statistics'!D64</f>
        <v>240.28205128205127</v>
      </c>
      <c r="E64" s="89">
        <f>'Table 1_Summary Statistics_Cont'!E63/'Table 1_Summary Statistics'!F64*1000</f>
        <v>630498.29059829062</v>
      </c>
      <c r="F64" s="84">
        <f>'Table 1_Summary Statistics'!G64/'Table 1_Summary Statistics_Cont'!D63</f>
        <v>1.0592594431656668</v>
      </c>
      <c r="G64" s="8"/>
      <c r="H64" s="8"/>
      <c r="I64" s="8"/>
      <c r="J64" s="8"/>
      <c r="K64" s="8"/>
    </row>
    <row r="65" spans="1:11" ht="27">
      <c r="A65" s="28" t="s">
        <v>122</v>
      </c>
      <c r="B65" s="27" t="s">
        <v>123</v>
      </c>
      <c r="C65" s="27"/>
      <c r="D65" s="53">
        <f>'Table 1_Summary Statistics'!E65/'Table 1_Summary Statistics'!D65</f>
        <v>41.25</v>
      </c>
      <c r="E65" s="89">
        <f>'Table 1_Summary Statistics_Cont'!E64/'Table 1_Summary Statistics'!F65*1000</f>
        <v>462097.36842105264</v>
      </c>
      <c r="F65" s="84">
        <f>'Table 1_Summary Statistics'!G65/'Table 1_Summary Statistics_Cont'!D64</f>
        <v>1.2695411511844672</v>
      </c>
      <c r="G65" s="8"/>
      <c r="H65" s="8"/>
      <c r="I65" s="8"/>
      <c r="J65" s="8"/>
      <c r="K65" s="8"/>
    </row>
    <row r="66" spans="1:11" ht="27">
      <c r="A66" s="28" t="s">
        <v>124</v>
      </c>
      <c r="B66" s="27" t="s">
        <v>125</v>
      </c>
      <c r="C66" s="27"/>
      <c r="D66" s="53">
        <f>'Table 1_Summary Statistics'!E66/'Table 1_Summary Statistics'!D66</f>
        <v>620.07643312101914</v>
      </c>
      <c r="E66" s="89">
        <f>'Table 1_Summary Statistics_Cont'!E65/'Table 1_Summary Statistics'!F66*1000</f>
        <v>292474.06172496476</v>
      </c>
      <c r="F66" s="84">
        <f>'Table 1_Summary Statistics'!G66/'Table 1_Summary Statistics_Cont'!D65</f>
        <v>1.0278191192589741</v>
      </c>
      <c r="G66" s="8"/>
      <c r="H66" s="8"/>
      <c r="I66" s="8"/>
      <c r="J66" s="8"/>
      <c r="K66" s="8"/>
    </row>
    <row r="67" spans="1:11">
      <c r="A67" s="28" t="s">
        <v>126</v>
      </c>
      <c r="B67" s="27" t="s">
        <v>127</v>
      </c>
      <c r="C67" s="27"/>
      <c r="D67" s="53">
        <f>'Table 1_Summary Statistics'!E67/'Table 1_Summary Statistics'!D67</f>
        <v>163.59259259259258</v>
      </c>
      <c r="E67" s="89">
        <f>'Table 1_Summary Statistics_Cont'!E66/'Table 1_Summary Statistics'!F67*1000</f>
        <v>696262.90760869568</v>
      </c>
      <c r="F67" s="84">
        <f>'Table 1_Summary Statistics'!G67/'Table 1_Summary Statistics_Cont'!D66</f>
        <v>1.1293310454477881</v>
      </c>
      <c r="G67" s="45"/>
      <c r="H67" s="8"/>
      <c r="I67" s="8"/>
      <c r="J67" s="8"/>
      <c r="K67" s="8"/>
    </row>
    <row r="68" spans="1:11" ht="27">
      <c r="A68" s="28" t="s">
        <v>182</v>
      </c>
      <c r="B68" s="27" t="s">
        <v>183</v>
      </c>
      <c r="C68" s="27"/>
      <c r="D68" s="45" t="s">
        <v>191</v>
      </c>
      <c r="E68" s="45" t="s">
        <v>191</v>
      </c>
      <c r="F68" s="85" t="s">
        <v>191</v>
      </c>
      <c r="G68" s="45"/>
      <c r="H68" s="8"/>
      <c r="I68" s="8"/>
      <c r="J68" s="8"/>
      <c r="K68" s="8"/>
    </row>
    <row r="69" spans="1:11" ht="27">
      <c r="A69" s="28" t="s">
        <v>128</v>
      </c>
      <c r="B69" s="27" t="s">
        <v>129</v>
      </c>
      <c r="C69" s="27"/>
      <c r="D69" s="53">
        <f>'Table 1_Summary Statistics'!E69/'Table 1_Summary Statistics'!D69</f>
        <v>705.2</v>
      </c>
      <c r="E69" s="89">
        <f>'Table 1_Summary Statistics_Cont'!E68/'Table 1_Summary Statistics'!F69*1000</f>
        <v>528814.23709585937</v>
      </c>
      <c r="F69" s="84">
        <f>'Table 1_Summary Statistics'!G69/'Table 1_Summary Statistics_Cont'!D68</f>
        <v>1.2732545531838251</v>
      </c>
      <c r="G69" s="8"/>
      <c r="H69" s="8"/>
      <c r="I69" s="8"/>
      <c r="J69" s="8"/>
      <c r="K69" s="8"/>
    </row>
    <row r="70" spans="1:11">
      <c r="A70" s="28" t="s">
        <v>184</v>
      </c>
      <c r="B70" s="27" t="s">
        <v>185</v>
      </c>
      <c r="C70" s="27"/>
      <c r="D70" s="45" t="s">
        <v>191</v>
      </c>
      <c r="E70" s="45" t="s">
        <v>191</v>
      </c>
      <c r="F70" s="85" t="s">
        <v>191</v>
      </c>
      <c r="G70" s="45"/>
      <c r="H70" s="8"/>
      <c r="I70" s="8"/>
      <c r="J70" s="8"/>
      <c r="K70" s="8"/>
    </row>
    <row r="71" spans="1:11">
      <c r="A71" s="28" t="s">
        <v>130</v>
      </c>
      <c r="B71" s="27" t="s">
        <v>131</v>
      </c>
      <c r="C71" s="27"/>
      <c r="D71" s="53">
        <f>'Table 1_Summary Statistics'!E71/'Table 1_Summary Statistics'!D71</f>
        <v>108.73684210526316</v>
      </c>
      <c r="E71" s="89">
        <f>'Table 1_Summary Statistics_Cont'!E70/'Table 1_Summary Statistics'!F71*1000</f>
        <v>388569.55571740714</v>
      </c>
      <c r="F71" s="84">
        <f>'Table 1_Summary Statistics'!G71/'Table 1_Summary Statistics_Cont'!D70</f>
        <v>1.0557493906527335</v>
      </c>
      <c r="G71" s="8"/>
      <c r="H71" s="8"/>
      <c r="I71" s="8"/>
      <c r="J71" s="8"/>
      <c r="K71" s="8"/>
    </row>
    <row r="72" spans="1:11">
      <c r="A72" s="28" t="s">
        <v>132</v>
      </c>
      <c r="B72" s="27" t="s">
        <v>133</v>
      </c>
      <c r="C72" s="27"/>
      <c r="D72" s="53">
        <f>'Table 1_Summary Statistics'!E72/'Table 1_Summary Statistics'!D72</f>
        <v>33.363877822045154</v>
      </c>
      <c r="E72" s="89">
        <f>'Table 1_Summary Statistics_Cont'!E71/'Table 1_Summary Statistics'!F72*1000</f>
        <v>221498.45685197803</v>
      </c>
      <c r="F72" s="84">
        <f>'Table 1_Summary Statistics'!G72/'Table 1_Summary Statistics_Cont'!D71</f>
        <v>1.1068566712977645</v>
      </c>
      <c r="G72" s="8"/>
      <c r="H72" s="8"/>
      <c r="I72" s="8"/>
      <c r="J72" s="8"/>
      <c r="K72" s="8"/>
    </row>
    <row r="73" spans="1:11" ht="27">
      <c r="A73" s="28" t="s">
        <v>134</v>
      </c>
      <c r="B73" s="27" t="s">
        <v>135</v>
      </c>
      <c r="C73" s="27"/>
      <c r="D73" s="53">
        <f>'Table 1_Summary Statistics'!E73/'Table 1_Summary Statistics'!D73</f>
        <v>24.59090909090909</v>
      </c>
      <c r="E73" s="89">
        <f>'Table 1_Summary Statistics_Cont'!E72/'Table 1_Summary Statistics'!F73*1000</f>
        <v>233681.87422934649</v>
      </c>
      <c r="F73" s="84">
        <f>'Table 1_Summary Statistics'!G73/'Table 1_Summary Statistics_Cont'!D72</f>
        <v>1.0781126594000729</v>
      </c>
      <c r="G73" s="8"/>
      <c r="H73" s="8"/>
      <c r="I73" s="8"/>
      <c r="J73" s="8"/>
      <c r="K73" s="8"/>
    </row>
    <row r="74" spans="1:11">
      <c r="A74" s="28" t="s">
        <v>136</v>
      </c>
      <c r="B74" s="27" t="s">
        <v>137</v>
      </c>
      <c r="C74" s="27"/>
      <c r="D74" s="53">
        <f>'Table 1_Summary Statistics'!E74/'Table 1_Summary Statistics'!D74</f>
        <v>10</v>
      </c>
      <c r="E74" s="89">
        <f>'Table 1_Summary Statistics_Cont'!E73/'Table 1_Summary Statistics'!F74*1000</f>
        <v>135763.15789473685</v>
      </c>
      <c r="F74" s="84">
        <f>'Table 1_Summary Statistics'!G74/'Table 1_Summary Statistics_Cont'!D73</f>
        <v>1.1612190406039959</v>
      </c>
      <c r="G74" s="8"/>
      <c r="H74" s="8"/>
      <c r="I74" s="8"/>
      <c r="J74" s="8"/>
      <c r="K74" s="8"/>
    </row>
    <row r="75" spans="1:11">
      <c r="A75" s="28" t="s">
        <v>138</v>
      </c>
      <c r="B75" s="27" t="s">
        <v>139</v>
      </c>
      <c r="C75" s="27"/>
      <c r="D75" s="53">
        <f>'Table 1_Summary Statistics'!E75/'Table 1_Summary Statistics'!D75</f>
        <v>212.53333333333333</v>
      </c>
      <c r="E75" s="89">
        <f>'Table 1_Summary Statistics_Cont'!E74/'Table 1_Summary Statistics'!F75*1000</f>
        <v>224154.11173885749</v>
      </c>
      <c r="F75" s="84">
        <f>'Table 1_Summary Statistics'!G75/'Table 1_Summary Statistics_Cont'!D74</f>
        <v>1.214867909494922</v>
      </c>
      <c r="G75" s="8"/>
      <c r="H75" s="8"/>
      <c r="I75" s="8"/>
      <c r="J75" s="8"/>
      <c r="K75" s="8"/>
    </row>
    <row r="76" spans="1:11">
      <c r="A76" s="28" t="s">
        <v>140</v>
      </c>
      <c r="B76" s="27" t="s">
        <v>141</v>
      </c>
      <c r="C76" s="27"/>
      <c r="D76" s="53">
        <f>'Table 1_Summary Statistics'!E76/'Table 1_Summary Statistics'!D76</f>
        <v>166.41666666666666</v>
      </c>
      <c r="E76" s="89">
        <f>'Table 1_Summary Statistics_Cont'!E75/'Table 1_Summary Statistics'!F76*1000</f>
        <v>197533.58395989976</v>
      </c>
      <c r="F76" s="84">
        <f>'Table 1_Summary Statistics'!G76/'Table 1_Summary Statistics_Cont'!D75</f>
        <v>1.1972996660836381</v>
      </c>
      <c r="G76" s="8"/>
      <c r="H76" s="8"/>
      <c r="I76" s="8"/>
      <c r="J76" s="8"/>
      <c r="K76" s="8"/>
    </row>
    <row r="77" spans="1:11" ht="27">
      <c r="A77" s="28" t="s">
        <v>142</v>
      </c>
      <c r="B77" s="27" t="s">
        <v>143</v>
      </c>
      <c r="C77" s="27"/>
      <c r="D77" s="53">
        <f>'Table 1_Summary Statistics'!E77/'Table 1_Summary Statistics'!D77</f>
        <v>228.78947368421052</v>
      </c>
      <c r="E77" s="89">
        <f>'Table 1_Summary Statistics_Cont'!E76/'Table 1_Summary Statistics'!F77*1000</f>
        <v>483293.99585921323</v>
      </c>
      <c r="F77" s="84">
        <f>'Table 1_Summary Statistics'!G77/'Table 1_Summary Statistics_Cont'!D76</f>
        <v>1.1281720692946628</v>
      </c>
      <c r="G77" s="8"/>
      <c r="H77" s="8"/>
      <c r="I77" s="8"/>
      <c r="J77" s="8"/>
      <c r="K77" s="8"/>
    </row>
    <row r="78" spans="1:11">
      <c r="A78" s="7" t="s">
        <v>144</v>
      </c>
      <c r="B78" s="7" t="s">
        <v>145</v>
      </c>
      <c r="C78" s="27"/>
      <c r="D78" s="53">
        <f>'Table 1_Summary Statistics'!E78/'Table 1_Summary Statistics'!D78</f>
        <v>34.005263157894738</v>
      </c>
      <c r="E78" s="89">
        <f>'Table 1_Summary Statistics_Cont'!E77/'Table 1_Summary Statistics'!F78*1000</f>
        <v>183474.46640316208</v>
      </c>
      <c r="F78" s="84">
        <f>'Table 1_Summary Statistics'!G78/'Table 1_Summary Statistics_Cont'!D77</f>
        <v>1.1266854798381889</v>
      </c>
      <c r="G78" s="8"/>
      <c r="H78" s="8"/>
      <c r="I78" s="8"/>
      <c r="J78" s="8"/>
      <c r="K78" s="8"/>
    </row>
    <row r="79" spans="1:11">
      <c r="A79" s="7" t="s">
        <v>146</v>
      </c>
      <c r="B79" s="7" t="s">
        <v>147</v>
      </c>
      <c r="C79" s="27"/>
      <c r="D79" s="53">
        <f>'Table 1_Summary Statistics'!E79/'Table 1_Summary Statistics'!D79</f>
        <v>23.261538461538461</v>
      </c>
      <c r="E79" s="89">
        <f>'Table 1_Summary Statistics_Cont'!E78/'Table 1_Summary Statistics'!F79*1000</f>
        <v>159440.52200100385</v>
      </c>
      <c r="F79" s="84">
        <f>'Table 1_Summary Statistics'!G79/'Table 1_Summary Statistics_Cont'!D78</f>
        <v>1.3623613650345876</v>
      </c>
      <c r="G79" s="8"/>
      <c r="H79" s="8"/>
      <c r="I79" s="8"/>
      <c r="J79" s="8"/>
      <c r="K79" s="8"/>
    </row>
    <row r="80" spans="1:11" ht="14.25" customHeight="1">
      <c r="A80" s="80" t="s">
        <v>148</v>
      </c>
      <c r="B80" s="80" t="s">
        <v>149</v>
      </c>
      <c r="C80" s="82"/>
      <c r="D80" s="81">
        <f>'Table 1_Summary Statistics'!E80/'Table 1_Summary Statistics'!D80</f>
        <v>43.428571428571431</v>
      </c>
      <c r="E80" s="90">
        <f>'Table 1_Summary Statistics_Cont'!E79/'Table 1_Summary Statistics'!F80*1000</f>
        <v>177896.66666666669</v>
      </c>
      <c r="F80" s="86">
        <f>'Table 1_Summary Statistics'!G80/'Table 1_Summary Statistics_Cont'!D79</f>
        <v>1.1971070960623404</v>
      </c>
    </row>
    <row r="81" spans="1:12" s="13" customFormat="1" ht="11.25" customHeight="1">
      <c r="A81" s="125" t="s">
        <v>194</v>
      </c>
      <c r="B81" s="125"/>
      <c r="C81" s="108"/>
      <c r="D81" s="25"/>
      <c r="E81" s="25"/>
      <c r="F81" s="25"/>
      <c r="G81" s="25"/>
      <c r="H81" s="12"/>
      <c r="I81" s="12"/>
      <c r="J81" s="12"/>
      <c r="K81" s="12"/>
    </row>
    <row r="82" spans="1:12" s="79" customFormat="1" ht="12.75" customHeight="1">
      <c r="A82" s="110" t="s">
        <v>193</v>
      </c>
      <c r="B82" s="110"/>
      <c r="C82" s="108"/>
      <c r="D82" s="25"/>
      <c r="E82" s="25"/>
      <c r="F82" s="25"/>
      <c r="G82" s="25"/>
      <c r="H82" s="78"/>
      <c r="I82" s="78"/>
      <c r="J82" s="78"/>
      <c r="K82" s="78"/>
    </row>
    <row r="83" spans="1:12">
      <c r="A83" s="56" t="s">
        <v>195</v>
      </c>
      <c r="B83" s="56"/>
      <c r="C83" s="109"/>
      <c r="D83" s="109"/>
      <c r="E83" s="109"/>
      <c r="F83" s="109"/>
      <c r="G83" s="109"/>
      <c r="H83" s="8"/>
      <c r="I83" s="8"/>
      <c r="J83" s="8"/>
      <c r="K83" s="8"/>
      <c r="L83" s="8"/>
    </row>
    <row r="84" spans="1:12" s="13" customFormat="1">
      <c r="A84" s="57" t="s">
        <v>190</v>
      </c>
      <c r="B84" s="25"/>
      <c r="C84" s="25"/>
      <c r="D84" s="25"/>
      <c r="E84" s="25"/>
      <c r="F84" s="25"/>
      <c r="G84" s="57"/>
      <c r="H84" s="12"/>
      <c r="I84" s="12"/>
      <c r="J84" s="12"/>
      <c r="K84" s="12"/>
    </row>
  </sheetData>
  <sheetProtection formatCells="0" formatColumns="0" formatRows="0" insertColumns="0" insertRows="0" insertHyperlinks="0" deleteColumns="0" deleteRows="0" sort="0" autoFilter="0" pivotTables="0"/>
  <mergeCells count="8">
    <mergeCell ref="A81:B81"/>
    <mergeCell ref="A1:F1"/>
    <mergeCell ref="A2:F2"/>
    <mergeCell ref="A4:A7"/>
    <mergeCell ref="B4:B7"/>
    <mergeCell ref="D4:D6"/>
    <mergeCell ref="E4:E6"/>
    <mergeCell ref="F4:F6"/>
  </mergeCells>
  <printOptions horizontalCentered="1"/>
  <pageMargins left="0.39370078740157499" right="0.39370078740157499" top="0.62992125984252001" bottom="0.39370078740157499" header="0.196850393700787" footer="0.196850393700787"/>
  <pageSetup paperSize="9" orientation="portrait" useFirstPageNumber="1" r:id="rId1"/>
  <headerFooter alignWithMargins="0">
    <oddFooter>&amp;R&amp;"Arial,Regular"&amp;9Page &amp;P+4 of 9</oddFooter>
  </headerFooter>
  <rowBreaks count="1" manualBreakCount="1">
    <brk id="48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"/>
  <sheetViews>
    <sheetView view="pageBreakPreview" topLeftCell="A13" zoomScale="120" zoomScaleNormal="130" zoomScaleSheetLayoutView="120" workbookViewId="0">
      <selection activeCell="A31" sqref="A31"/>
    </sheetView>
  </sheetViews>
  <sheetFormatPr defaultColWidth="8.85546875" defaultRowHeight="13.5"/>
  <cols>
    <col min="1" max="1" width="30.7109375" style="7" customWidth="1"/>
    <col min="2" max="2" width="13" style="8" customWidth="1"/>
    <col min="3" max="3" width="12.140625" style="8" customWidth="1"/>
    <col min="4" max="5" width="13" style="8" customWidth="1"/>
    <col min="6" max="6" width="10.5703125" style="8" customWidth="1"/>
    <col min="7" max="7" width="10.7109375" style="8" customWidth="1"/>
    <col min="8" max="8" width="11.28515625" style="8" customWidth="1"/>
    <col min="9" max="9" width="9.85546875" style="8" customWidth="1"/>
    <col min="10" max="10" width="17.85546875" style="8" customWidth="1"/>
    <col min="11" max="14" width="16.85546875" style="7" customWidth="1"/>
    <col min="15" max="16384" width="8.85546875" style="7"/>
  </cols>
  <sheetData>
    <row r="1" spans="1:10" s="1" customFormat="1">
      <c r="A1" s="33" t="s">
        <v>186</v>
      </c>
      <c r="B1" s="33"/>
      <c r="C1" s="33"/>
      <c r="D1" s="33"/>
      <c r="E1" s="33"/>
    </row>
    <row r="2" spans="1:10" s="1" customFormat="1" ht="11.25" customHeight="1">
      <c r="A2" s="34" t="s">
        <v>187</v>
      </c>
      <c r="B2" s="34"/>
      <c r="C2" s="34"/>
      <c r="D2" s="34"/>
      <c r="E2" s="34"/>
    </row>
    <row r="3" spans="1:10" s="1" customFormat="1" ht="8.25" customHeight="1"/>
    <row r="4" spans="1:10" s="3" customFormat="1" ht="23.25" customHeight="1">
      <c r="A4" s="134" t="s">
        <v>15</v>
      </c>
      <c r="B4" s="135" t="s">
        <v>4</v>
      </c>
      <c r="C4" s="135" t="s">
        <v>5</v>
      </c>
      <c r="D4" s="135"/>
      <c r="E4" s="136" t="s">
        <v>172</v>
      </c>
    </row>
    <row r="5" spans="1:10" s="3" customFormat="1" ht="13.5" customHeight="1">
      <c r="A5" s="134"/>
      <c r="B5" s="135"/>
      <c r="C5" s="135"/>
      <c r="D5" s="135"/>
      <c r="E5" s="136"/>
    </row>
    <row r="6" spans="1:10" s="3" customFormat="1" ht="27">
      <c r="A6" s="134"/>
      <c r="B6" s="135"/>
      <c r="C6" s="29" t="s">
        <v>0</v>
      </c>
      <c r="D6" s="29" t="s">
        <v>6</v>
      </c>
      <c r="E6" s="136"/>
    </row>
    <row r="7" spans="1:10" s="3" customFormat="1" ht="12.75" customHeight="1">
      <c r="A7" s="134"/>
      <c r="B7" s="14" t="s">
        <v>7</v>
      </c>
      <c r="C7" s="14" t="s">
        <v>8</v>
      </c>
      <c r="D7" s="14" t="s">
        <v>9</v>
      </c>
      <c r="E7" s="15" t="s">
        <v>14</v>
      </c>
    </row>
    <row r="8" spans="1:10" s="3" customFormat="1" ht="12.75" customHeight="1">
      <c r="A8" s="4"/>
      <c r="B8" s="16"/>
      <c r="C8" s="17"/>
      <c r="D8" s="16"/>
      <c r="E8" s="26"/>
    </row>
    <row r="9" spans="1:10" s="5" customFormat="1" ht="18.75" customHeight="1">
      <c r="A9" s="66" t="s">
        <v>168</v>
      </c>
      <c r="B9" s="67">
        <v>23361</v>
      </c>
      <c r="C9" s="67">
        <v>1195082</v>
      </c>
      <c r="D9" s="67">
        <v>1186717</v>
      </c>
      <c r="E9" s="67">
        <v>7030675449</v>
      </c>
      <c r="G9" s="49"/>
      <c r="H9" s="49"/>
      <c r="I9" s="49"/>
      <c r="J9" s="49"/>
    </row>
    <row r="10" spans="1:10" s="5" customFormat="1" ht="9.75" customHeight="1">
      <c r="A10" s="66"/>
      <c r="B10" s="67"/>
      <c r="C10" s="67"/>
      <c r="D10" s="67"/>
      <c r="E10" s="67"/>
    </row>
    <row r="11" spans="1:10" s="1" customFormat="1" ht="16.5" customHeight="1">
      <c r="A11" s="68" t="s">
        <v>152</v>
      </c>
      <c r="B11" s="69">
        <v>4364</v>
      </c>
      <c r="C11" s="69">
        <v>188768</v>
      </c>
      <c r="D11" s="69">
        <v>188213</v>
      </c>
      <c r="E11" s="69">
        <v>950255259</v>
      </c>
    </row>
    <row r="12" spans="1:10" s="1" customFormat="1" ht="16.5" customHeight="1">
      <c r="A12" s="68" t="s">
        <v>153</v>
      </c>
      <c r="B12" s="69">
        <v>308</v>
      </c>
      <c r="C12" s="69">
        <v>5996</v>
      </c>
      <c r="D12" s="69">
        <v>5751</v>
      </c>
      <c r="E12" s="69">
        <v>212295708</v>
      </c>
    </row>
    <row r="13" spans="1:10" s="1" customFormat="1" ht="16.5" customHeight="1">
      <c r="A13" s="68" t="s">
        <v>154</v>
      </c>
      <c r="B13" s="69">
        <v>1015</v>
      </c>
      <c r="C13" s="69">
        <v>9553</v>
      </c>
      <c r="D13" s="69">
        <v>8757</v>
      </c>
      <c r="E13" s="69">
        <v>108346766</v>
      </c>
    </row>
    <row r="14" spans="1:10" s="1" customFormat="1" ht="16.5" customHeight="1">
      <c r="A14" s="68" t="s">
        <v>155</v>
      </c>
      <c r="B14" s="69">
        <v>493</v>
      </c>
      <c r="C14" s="69">
        <v>8920</v>
      </c>
      <c r="D14" s="69">
        <v>8758</v>
      </c>
      <c r="E14" s="69">
        <v>22402078</v>
      </c>
    </row>
    <row r="15" spans="1:10" s="1" customFormat="1" ht="16.5" customHeight="1">
      <c r="A15" s="68" t="s">
        <v>156</v>
      </c>
      <c r="B15" s="69">
        <v>2634</v>
      </c>
      <c r="C15" s="69">
        <v>168939</v>
      </c>
      <c r="D15" s="69">
        <v>168383</v>
      </c>
      <c r="E15" s="69">
        <v>1190543601</v>
      </c>
    </row>
    <row r="16" spans="1:10" s="1" customFormat="1" ht="16.5" customHeight="1">
      <c r="A16" s="68" t="s">
        <v>157</v>
      </c>
      <c r="B16" s="69">
        <v>3948</v>
      </c>
      <c r="C16" s="69">
        <v>527508</v>
      </c>
      <c r="D16" s="69">
        <v>526282</v>
      </c>
      <c r="E16" s="69">
        <v>3168135335</v>
      </c>
    </row>
    <row r="17" spans="1:5" s="1" customFormat="1" ht="16.5" customHeight="1">
      <c r="A17" s="68" t="s">
        <v>158</v>
      </c>
      <c r="B17" s="69">
        <v>371</v>
      </c>
      <c r="C17" s="69">
        <v>4096</v>
      </c>
      <c r="D17" s="69">
        <v>3939</v>
      </c>
      <c r="E17" s="69">
        <v>29240132</v>
      </c>
    </row>
    <row r="18" spans="1:5" s="1" customFormat="1" ht="16.5" customHeight="1">
      <c r="A18" s="68" t="s">
        <v>159</v>
      </c>
      <c r="B18" s="69">
        <v>774</v>
      </c>
      <c r="C18" s="69">
        <v>10666</v>
      </c>
      <c r="D18" s="69">
        <v>10007</v>
      </c>
      <c r="E18" s="69">
        <v>69425912</v>
      </c>
    </row>
    <row r="19" spans="1:5" s="1" customFormat="1" ht="16.5" customHeight="1">
      <c r="A19" s="68" t="s">
        <v>160</v>
      </c>
      <c r="B19" s="69">
        <v>1426</v>
      </c>
      <c r="C19" s="69">
        <v>24470</v>
      </c>
      <c r="D19" s="69">
        <v>23856</v>
      </c>
      <c r="E19" s="69">
        <v>101364774</v>
      </c>
    </row>
    <row r="20" spans="1:5" s="1" customFormat="1" ht="16.5" customHeight="1">
      <c r="A20" s="68" t="s">
        <v>161</v>
      </c>
      <c r="B20" s="69">
        <v>2416</v>
      </c>
      <c r="C20" s="69">
        <v>135030</v>
      </c>
      <c r="D20" s="69">
        <v>134504</v>
      </c>
      <c r="E20" s="69">
        <v>385124129</v>
      </c>
    </row>
    <row r="21" spans="1:5" s="1" customFormat="1" ht="16.5" customHeight="1">
      <c r="A21" s="68" t="s">
        <v>162</v>
      </c>
      <c r="B21" s="69">
        <v>1008</v>
      </c>
      <c r="C21" s="69">
        <v>11391</v>
      </c>
      <c r="D21" s="69">
        <v>10601</v>
      </c>
      <c r="E21" s="69">
        <v>167478189</v>
      </c>
    </row>
    <row r="22" spans="1:5" s="1" customFormat="1" ht="16.5" customHeight="1">
      <c r="A22" s="68" t="s">
        <v>163</v>
      </c>
      <c r="B22" s="69">
        <v>772</v>
      </c>
      <c r="C22" s="69">
        <v>11861</v>
      </c>
      <c r="D22" s="69">
        <v>11565</v>
      </c>
      <c r="E22" s="69">
        <v>47528100</v>
      </c>
    </row>
    <row r="23" spans="1:5" s="1" customFormat="1" ht="16.5" customHeight="1">
      <c r="A23" s="68" t="s">
        <v>164</v>
      </c>
      <c r="B23" s="69">
        <v>1031</v>
      </c>
      <c r="C23" s="69">
        <v>24005</v>
      </c>
      <c r="D23" s="69">
        <v>23374</v>
      </c>
      <c r="E23" s="69">
        <v>236732415</v>
      </c>
    </row>
    <row r="24" spans="1:5" s="1" customFormat="1" ht="16.5" customHeight="1">
      <c r="A24" s="68" t="s">
        <v>165</v>
      </c>
      <c r="B24" s="69">
        <v>1335</v>
      </c>
      <c r="C24" s="69">
        <v>29709</v>
      </c>
      <c r="D24" s="69">
        <v>29393</v>
      </c>
      <c r="E24" s="69">
        <v>195502643</v>
      </c>
    </row>
    <row r="25" spans="1:5" s="1" customFormat="1" ht="16.5" customHeight="1">
      <c r="A25" s="68" t="s">
        <v>166</v>
      </c>
      <c r="B25" s="69">
        <v>764</v>
      </c>
      <c r="C25" s="69">
        <v>21875</v>
      </c>
      <c r="D25" s="69">
        <v>21520</v>
      </c>
      <c r="E25" s="69">
        <v>89741624</v>
      </c>
    </row>
    <row r="26" spans="1:5" s="1" customFormat="1" ht="16.5" customHeight="1">
      <c r="A26" s="68" t="s">
        <v>167</v>
      </c>
      <c r="B26" s="69">
        <v>529</v>
      </c>
      <c r="C26" s="69">
        <v>10209</v>
      </c>
      <c r="D26" s="69">
        <v>9858</v>
      </c>
      <c r="E26" s="69">
        <v>50894535</v>
      </c>
    </row>
    <row r="27" spans="1:5" s="8" customFormat="1" ht="27" customHeight="1">
      <c r="A27" s="70" t="s">
        <v>177</v>
      </c>
      <c r="B27" s="140">
        <v>173</v>
      </c>
      <c r="C27" s="140">
        <v>2085</v>
      </c>
      <c r="D27" s="140">
        <v>1954</v>
      </c>
      <c r="E27" s="140">
        <v>5664251</v>
      </c>
    </row>
    <row r="28" spans="1:5">
      <c r="A28" s="137"/>
      <c r="B28" s="137"/>
    </row>
  </sheetData>
  <sheetProtection formatCells="0" formatColumns="0" formatRows="0" insertColumns="0" insertRows="0" insertHyperlinks="0" deleteColumns="0" deleteRows="0" sort="0" autoFilter="0" pivotTables="0"/>
  <mergeCells count="5">
    <mergeCell ref="A4:A7"/>
    <mergeCell ref="B4:B6"/>
    <mergeCell ref="C4:D5"/>
    <mergeCell ref="E4:E6"/>
    <mergeCell ref="A28:B28"/>
  </mergeCells>
  <printOptions horizontalCentered="1"/>
  <pageMargins left="0.39370078740157499" right="0.39370078740157499" top="0.62992125984252001" bottom="0.39370078740157499" header="0.196850393700787" footer="0.196850393700787"/>
  <pageSetup paperSize="9" orientation="portrait" useFirstPageNumber="1" r:id="rId1"/>
  <headerFooter alignWithMargins="0">
    <oddFooter>&amp;R&amp;"Arial,Regular"&amp;9Page &amp;P+6 of 9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3"/>
  <sheetViews>
    <sheetView tabSelected="1" view="pageBreakPreview" zoomScale="120" zoomScaleNormal="120" zoomScaleSheetLayoutView="120" workbookViewId="0">
      <selection activeCell="F51" sqref="F51"/>
    </sheetView>
  </sheetViews>
  <sheetFormatPr defaultColWidth="8.85546875" defaultRowHeight="13.5"/>
  <cols>
    <col min="1" max="1" width="32.7109375" style="7" customWidth="1"/>
    <col min="2" max="2" width="13.7109375" style="8" customWidth="1"/>
    <col min="3" max="3" width="12.7109375" style="8" customWidth="1"/>
    <col min="4" max="4" width="13.42578125" style="8" customWidth="1"/>
    <col min="5" max="5" width="13" style="8" customWidth="1"/>
    <col min="6" max="6" width="10.5703125" style="8" customWidth="1"/>
    <col min="7" max="7" width="10.7109375" style="8" customWidth="1"/>
    <col min="8" max="8" width="11.28515625" style="8" customWidth="1"/>
    <col min="9" max="9" width="9.85546875" style="8" customWidth="1"/>
    <col min="10" max="10" width="17.85546875" style="8" customWidth="1"/>
    <col min="11" max="14" width="16.85546875" style="7" customWidth="1"/>
    <col min="15" max="16384" width="8.85546875" style="7"/>
  </cols>
  <sheetData>
    <row r="1" spans="1:10" s="1" customFormat="1">
      <c r="A1" s="39" t="s">
        <v>170</v>
      </c>
      <c r="B1" s="48"/>
      <c r="C1" s="33"/>
      <c r="D1" s="33"/>
      <c r="E1" s="33"/>
    </row>
    <row r="2" spans="1:10" s="1" customFormat="1" ht="11.25" customHeight="1">
      <c r="A2" s="34"/>
      <c r="B2" s="34"/>
      <c r="C2" s="34"/>
      <c r="D2" s="34"/>
      <c r="E2" s="34"/>
    </row>
    <row r="3" spans="1:10" s="1" customFormat="1" ht="8.25" customHeight="1"/>
    <row r="4" spans="1:10" ht="13.5" customHeight="1">
      <c r="A4" s="134" t="s">
        <v>15</v>
      </c>
      <c r="B4" s="135" t="s">
        <v>173</v>
      </c>
      <c r="C4" s="135"/>
      <c r="D4" s="135"/>
      <c r="E4" s="136" t="s">
        <v>176</v>
      </c>
      <c r="F4" s="7"/>
      <c r="G4" s="7"/>
      <c r="H4" s="7"/>
      <c r="I4" s="7"/>
      <c r="J4" s="7"/>
    </row>
    <row r="5" spans="1:10">
      <c r="A5" s="134"/>
      <c r="B5" s="135"/>
      <c r="C5" s="135"/>
      <c r="D5" s="135"/>
      <c r="E5" s="136"/>
      <c r="F5" s="7"/>
      <c r="G5" s="7"/>
      <c r="H5" s="7"/>
      <c r="I5" s="7"/>
      <c r="J5" s="7"/>
    </row>
    <row r="6" spans="1:10" ht="40.35" customHeight="1">
      <c r="A6" s="134"/>
      <c r="B6" s="29" t="s">
        <v>0</v>
      </c>
      <c r="C6" s="29" t="s">
        <v>1</v>
      </c>
      <c r="D6" s="29" t="s">
        <v>2</v>
      </c>
      <c r="E6" s="136"/>
      <c r="F6" s="7"/>
      <c r="G6" s="7"/>
      <c r="H6" s="7"/>
      <c r="I6" s="7"/>
      <c r="J6" s="7"/>
    </row>
    <row r="7" spans="1:10">
      <c r="A7" s="134"/>
      <c r="B7" s="14" t="s">
        <v>10</v>
      </c>
      <c r="C7" s="14" t="s">
        <v>11</v>
      </c>
      <c r="D7" s="14" t="s">
        <v>12</v>
      </c>
      <c r="E7" s="15" t="s">
        <v>13</v>
      </c>
      <c r="F7" s="7"/>
      <c r="G7" s="7"/>
      <c r="H7" s="7"/>
      <c r="I7" s="7"/>
      <c r="J7" s="7"/>
    </row>
    <row r="8" spans="1:10">
      <c r="A8" s="4"/>
      <c r="B8" s="16"/>
      <c r="C8" s="16"/>
      <c r="D8" s="21"/>
      <c r="E8" s="16"/>
      <c r="F8" s="7"/>
      <c r="G8" s="7"/>
      <c r="H8" s="7"/>
      <c r="I8" s="7"/>
      <c r="J8" s="7"/>
    </row>
    <row r="9" spans="1:10" s="5" customFormat="1" ht="18" customHeight="1">
      <c r="A9" s="5" t="s">
        <v>168</v>
      </c>
      <c r="B9" s="43">
        <v>6198826206</v>
      </c>
      <c r="C9" s="43">
        <v>387456578</v>
      </c>
      <c r="D9" s="43">
        <v>5811369628</v>
      </c>
      <c r="E9" s="43">
        <v>2145237</v>
      </c>
      <c r="G9" s="49"/>
      <c r="H9" s="49"/>
      <c r="I9" s="49"/>
      <c r="J9" s="49"/>
    </row>
    <row r="10" spans="1:10" s="5" customFormat="1" ht="10.5" customHeight="1">
      <c r="B10" s="43"/>
      <c r="C10" s="43"/>
      <c r="D10" s="43"/>
      <c r="E10" s="43"/>
    </row>
    <row r="11" spans="1:10" s="1" customFormat="1" ht="20.100000000000001" customHeight="1">
      <c r="A11" s="1" t="s">
        <v>152</v>
      </c>
      <c r="B11" s="44">
        <v>863244914</v>
      </c>
      <c r="C11" s="44">
        <v>68886053</v>
      </c>
      <c r="D11" s="44">
        <v>794358861</v>
      </c>
      <c r="E11" s="44">
        <v>1792095</v>
      </c>
    </row>
    <row r="12" spans="1:10" s="1" customFormat="1" ht="20.100000000000001" customHeight="1">
      <c r="A12" s="27" t="s">
        <v>153</v>
      </c>
      <c r="B12" s="44">
        <v>148137572</v>
      </c>
      <c r="C12" s="44">
        <v>3593090</v>
      </c>
      <c r="D12" s="44">
        <v>144544482</v>
      </c>
      <c r="E12" s="44">
        <v>244</v>
      </c>
    </row>
    <row r="13" spans="1:10" s="1" customFormat="1" ht="20.100000000000001" customHeight="1">
      <c r="A13" s="27" t="s">
        <v>154</v>
      </c>
      <c r="B13" s="44">
        <v>97378887</v>
      </c>
      <c r="C13" s="44">
        <v>2871881</v>
      </c>
      <c r="D13" s="44">
        <v>94507006</v>
      </c>
      <c r="E13" s="44">
        <v>36298</v>
      </c>
    </row>
    <row r="14" spans="1:10" s="1" customFormat="1" ht="20.100000000000001" customHeight="1">
      <c r="A14" s="27" t="s">
        <v>155</v>
      </c>
      <c r="B14" s="44">
        <v>14964748</v>
      </c>
      <c r="C14" s="44">
        <v>1008296</v>
      </c>
      <c r="D14" s="44">
        <v>13956452</v>
      </c>
      <c r="E14" s="45" t="s">
        <v>171</v>
      </c>
    </row>
    <row r="15" spans="1:10" s="1" customFormat="1" ht="20.100000000000001" customHeight="1">
      <c r="A15" s="27" t="s">
        <v>156</v>
      </c>
      <c r="B15" s="44">
        <v>976271724</v>
      </c>
      <c r="C15" s="44">
        <v>41885744</v>
      </c>
      <c r="D15" s="44">
        <v>934385980</v>
      </c>
      <c r="E15" s="44">
        <v>43401</v>
      </c>
    </row>
    <row r="16" spans="1:10" s="1" customFormat="1" ht="20.100000000000001" customHeight="1">
      <c r="A16" s="27" t="s">
        <v>157</v>
      </c>
      <c r="B16" s="44">
        <v>2898489980</v>
      </c>
      <c r="C16" s="44">
        <v>194081331</v>
      </c>
      <c r="D16" s="44">
        <v>2704408649</v>
      </c>
      <c r="E16" s="44">
        <v>176923</v>
      </c>
    </row>
    <row r="17" spans="1:10" s="1" customFormat="1" ht="20.100000000000001" customHeight="1">
      <c r="A17" s="27" t="s">
        <v>158</v>
      </c>
      <c r="B17" s="44">
        <v>23330966</v>
      </c>
      <c r="C17" s="44">
        <v>644326</v>
      </c>
      <c r="D17" s="44">
        <v>22686640</v>
      </c>
      <c r="E17" s="45">
        <v>7709</v>
      </c>
    </row>
    <row r="18" spans="1:10" s="1" customFormat="1" ht="20.100000000000001" customHeight="1">
      <c r="A18" s="27" t="s">
        <v>159</v>
      </c>
      <c r="B18" s="44">
        <v>50174146</v>
      </c>
      <c r="C18" s="44">
        <v>1879109</v>
      </c>
      <c r="D18" s="44">
        <v>48295037</v>
      </c>
      <c r="E18" s="44">
        <v>413</v>
      </c>
    </row>
    <row r="19" spans="1:10" s="1" customFormat="1" ht="20.100000000000001" customHeight="1">
      <c r="A19" s="27" t="s">
        <v>160</v>
      </c>
      <c r="B19" s="44">
        <v>84727325</v>
      </c>
      <c r="C19" s="44">
        <v>5848362</v>
      </c>
      <c r="D19" s="44">
        <v>78878963</v>
      </c>
      <c r="E19" s="44">
        <v>12509</v>
      </c>
    </row>
    <row r="20" spans="1:10" s="1" customFormat="1" ht="20.100000000000001" customHeight="1">
      <c r="A20" s="27" t="s">
        <v>161</v>
      </c>
      <c r="B20" s="44">
        <v>355855410</v>
      </c>
      <c r="C20" s="44">
        <v>38411102</v>
      </c>
      <c r="D20" s="44">
        <v>317444309</v>
      </c>
      <c r="E20" s="44">
        <v>39614</v>
      </c>
    </row>
    <row r="21" spans="1:10" s="8" customFormat="1" ht="20.100000000000001" customHeight="1">
      <c r="A21" s="27" t="s">
        <v>162</v>
      </c>
      <c r="B21" s="44">
        <v>168322350</v>
      </c>
      <c r="C21" s="44">
        <v>2597993</v>
      </c>
      <c r="D21" s="44">
        <v>165724357</v>
      </c>
      <c r="E21" s="45">
        <v>10</v>
      </c>
    </row>
    <row r="22" spans="1:10" s="8" customFormat="1" ht="20.100000000000001" customHeight="1">
      <c r="A22" s="27" t="s">
        <v>163</v>
      </c>
      <c r="B22" s="44">
        <v>39934394</v>
      </c>
      <c r="C22" s="44">
        <v>1620446</v>
      </c>
      <c r="D22" s="44">
        <v>38313948</v>
      </c>
      <c r="E22" s="44">
        <v>4712</v>
      </c>
    </row>
    <row r="23" spans="1:10" s="8" customFormat="1" ht="20.100000000000001" customHeight="1">
      <c r="A23" s="27" t="s">
        <v>164</v>
      </c>
      <c r="B23" s="44">
        <v>193279811</v>
      </c>
      <c r="C23" s="44">
        <v>6521876</v>
      </c>
      <c r="D23" s="44">
        <v>186757935</v>
      </c>
      <c r="E23" s="44">
        <v>11900</v>
      </c>
    </row>
    <row r="24" spans="1:10" s="8" customFormat="1" ht="20.100000000000001" customHeight="1">
      <c r="A24" s="27" t="s">
        <v>165</v>
      </c>
      <c r="B24" s="44">
        <v>162846926</v>
      </c>
      <c r="C24" s="44">
        <v>7069683</v>
      </c>
      <c r="D24" s="44">
        <v>155777242</v>
      </c>
      <c r="E24" s="45">
        <v>18632</v>
      </c>
    </row>
    <row r="25" spans="1:10" s="8" customFormat="1" ht="20.100000000000001" customHeight="1">
      <c r="A25" s="27" t="s">
        <v>166</v>
      </c>
      <c r="B25" s="44">
        <v>74988100</v>
      </c>
      <c r="C25" s="44">
        <v>8479458</v>
      </c>
      <c r="D25" s="44">
        <v>66508642</v>
      </c>
      <c r="E25" s="44">
        <v>777</v>
      </c>
    </row>
    <row r="26" spans="1:10" s="8" customFormat="1" ht="20.100000000000001" customHeight="1">
      <c r="A26" s="27" t="s">
        <v>167</v>
      </c>
      <c r="B26" s="44">
        <v>42038349</v>
      </c>
      <c r="C26" s="44">
        <v>1797263</v>
      </c>
      <c r="D26" s="44">
        <v>40241086</v>
      </c>
      <c r="E26" s="45" t="s">
        <v>171</v>
      </c>
    </row>
    <row r="27" spans="1:10" s="8" customFormat="1" ht="30" customHeight="1">
      <c r="A27" s="70" t="s">
        <v>197</v>
      </c>
      <c r="B27" s="46">
        <v>4840604</v>
      </c>
      <c r="C27" s="46">
        <v>260565</v>
      </c>
      <c r="D27" s="46">
        <v>4580038</v>
      </c>
      <c r="E27" s="47" t="s">
        <v>171</v>
      </c>
    </row>
    <row r="28" spans="1:10" ht="6" customHeight="1"/>
    <row r="29" spans="1:10" ht="15.75" customHeight="1">
      <c r="A29" s="7" t="s">
        <v>198</v>
      </c>
    </row>
    <row r="30" spans="1:10" ht="15.75" customHeight="1">
      <c r="A30" s="7" t="s">
        <v>199</v>
      </c>
    </row>
    <row r="31" spans="1:10" s="2" customFormat="1">
      <c r="A31" s="137" t="s">
        <v>196</v>
      </c>
      <c r="B31" s="137"/>
      <c r="C31" s="24"/>
      <c r="D31" s="24"/>
      <c r="E31" s="24"/>
      <c r="F31" s="24"/>
      <c r="G31" s="38"/>
      <c r="H31" s="38"/>
      <c r="I31" s="38"/>
      <c r="J31" s="38"/>
    </row>
    <row r="32" spans="1:10">
      <c r="A32" s="138" t="s">
        <v>178</v>
      </c>
      <c r="B32" s="139"/>
      <c r="C32" s="139"/>
      <c r="D32" s="139"/>
      <c r="E32" s="139"/>
      <c r="F32" s="139"/>
    </row>
    <row r="33" spans="1:6">
      <c r="A33" s="57" t="s">
        <v>190</v>
      </c>
      <c r="B33" s="25"/>
      <c r="C33" s="25"/>
      <c r="D33" s="25"/>
      <c r="E33" s="25"/>
      <c r="F33" s="57"/>
    </row>
  </sheetData>
  <sheetProtection formatCells="0" formatColumns="0" formatRows="0" insertColumns="0" insertRows="0" insertHyperlinks="0" deleteColumns="0" deleteRows="0" sort="0" autoFilter="0" pivotTables="0"/>
  <mergeCells count="5">
    <mergeCell ref="A4:A7"/>
    <mergeCell ref="B4:D5"/>
    <mergeCell ref="E4:E6"/>
    <mergeCell ref="A31:B31"/>
    <mergeCell ref="A32:F32"/>
  </mergeCells>
  <printOptions horizontalCentered="1"/>
  <pageMargins left="0.39370078740157499" right="0.39370078740157499" top="0.62992125984252001" bottom="0.39370078740157499" header="0.196850393700787" footer="0.196850393700787"/>
  <pageSetup paperSize="9" orientation="portrait" useFirstPageNumber="1" r:id="rId1"/>
  <headerFooter alignWithMargins="0">
    <oddFooter>&amp;R&amp;"Arial,Regular"&amp;9Page &amp;P+7 of 9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3"/>
  <sheetViews>
    <sheetView view="pageBreakPreview" topLeftCell="A16" zoomScale="120" zoomScaleNormal="120" zoomScaleSheetLayoutView="120" workbookViewId="0">
      <selection activeCell="A27" sqref="A27:D27"/>
    </sheetView>
  </sheetViews>
  <sheetFormatPr defaultColWidth="8.85546875" defaultRowHeight="13.5"/>
  <cols>
    <col min="1" max="1" width="31.7109375" style="7" customWidth="1"/>
    <col min="2" max="2" width="14.42578125" style="7" customWidth="1"/>
    <col min="3" max="3" width="16.85546875" style="7" customWidth="1"/>
    <col min="4" max="4" width="14.28515625" style="7" customWidth="1"/>
    <col min="5" max="16384" width="8.85546875" style="7"/>
  </cols>
  <sheetData>
    <row r="1" spans="1:6" s="1" customFormat="1" ht="13.5" customHeight="1">
      <c r="A1" s="35" t="s">
        <v>189</v>
      </c>
      <c r="B1" s="35"/>
      <c r="C1" s="35"/>
      <c r="D1" s="35"/>
    </row>
    <row r="2" spans="1:6" s="1" customFormat="1" ht="13.5" customHeight="1">
      <c r="A2" s="133" t="s">
        <v>187</v>
      </c>
      <c r="B2" s="133"/>
      <c r="C2" s="133"/>
      <c r="D2" s="133"/>
      <c r="E2" s="133"/>
      <c r="F2" s="133"/>
    </row>
    <row r="3" spans="1:6" s="1" customFormat="1"/>
    <row r="4" spans="1:6" s="3" customFormat="1" ht="23.25" customHeight="1">
      <c r="A4" s="129" t="s">
        <v>15</v>
      </c>
      <c r="B4" s="122" t="s">
        <v>192</v>
      </c>
      <c r="C4" s="129" t="s">
        <v>175</v>
      </c>
      <c r="D4" s="129" t="s">
        <v>174</v>
      </c>
    </row>
    <row r="5" spans="1:6" s="3" customFormat="1" ht="29.25" customHeight="1">
      <c r="A5" s="129"/>
      <c r="B5" s="123"/>
      <c r="C5" s="129"/>
      <c r="D5" s="129"/>
    </row>
    <row r="6" spans="1:6" s="3" customFormat="1" ht="17.25" customHeight="1">
      <c r="A6" s="129"/>
      <c r="B6" s="124"/>
      <c r="C6" s="129"/>
      <c r="D6" s="129"/>
    </row>
    <row r="7" spans="1:6" s="3" customFormat="1" ht="12.75" customHeight="1">
      <c r="A7" s="129"/>
      <c r="B7" s="30" t="s">
        <v>7</v>
      </c>
      <c r="C7" s="30" t="s">
        <v>8</v>
      </c>
      <c r="D7" s="30" t="s">
        <v>9</v>
      </c>
    </row>
    <row r="8" spans="1:6" s="3" customFormat="1" ht="12.75" customHeight="1">
      <c r="A8" s="31"/>
      <c r="B8" s="32"/>
      <c r="C8" s="32"/>
      <c r="D8" s="32"/>
    </row>
    <row r="9" spans="1:6" s="5" customFormat="1" ht="17.25" customHeight="1">
      <c r="A9" s="5" t="s">
        <v>168</v>
      </c>
      <c r="B9" s="43">
        <f>'Table 3_SummStat Reg'!C9/'Table 3_SummStat Reg'!B9</f>
        <v>51.157142245623049</v>
      </c>
      <c r="C9" s="43">
        <f>'Table 3_SummStat Reg_Cont'!C9/'Table 3_SummStat Reg'!D9*1000</f>
        <v>326494.50374436367</v>
      </c>
      <c r="D9" s="36">
        <f>'Table 3_SummStat Reg'!E9/'Table 3_SummStat Reg_Cont'!B9</f>
        <v>1.1341946386873747</v>
      </c>
    </row>
    <row r="10" spans="1:6" s="5" customFormat="1" ht="10.5" customHeight="1">
      <c r="B10" s="43"/>
      <c r="C10" s="43"/>
      <c r="D10" s="42"/>
    </row>
    <row r="11" spans="1:6" s="1" customFormat="1" ht="20.100000000000001" customHeight="1">
      <c r="A11" s="1" t="s">
        <v>152</v>
      </c>
      <c r="B11" s="44">
        <f>'Table 3_SummStat Reg'!C11/'Table 3_SummStat Reg'!B11</f>
        <v>43.255728689275891</v>
      </c>
      <c r="C11" s="44">
        <f>'Table 3_SummStat Reg_Cont'!C11/'Table 3_SummStat Reg'!D11*1000</f>
        <v>366000.50474728103</v>
      </c>
      <c r="D11" s="37">
        <f>'Table 3_SummStat Reg'!E11/'Table 3_SummStat Reg_Cont'!B11</f>
        <v>1.1007945063896432</v>
      </c>
    </row>
    <row r="12" spans="1:6" s="1" customFormat="1" ht="20.100000000000001" customHeight="1">
      <c r="A12" s="27" t="s">
        <v>153</v>
      </c>
      <c r="B12" s="44">
        <f>'Table 3_SummStat Reg'!C12/'Table 3_SummStat Reg'!B12</f>
        <v>19.467532467532468</v>
      </c>
      <c r="C12" s="44">
        <f>'Table 3_SummStat Reg_Cont'!C12/'Table 3_SummStat Reg'!D12*1000</f>
        <v>624776.56059815688</v>
      </c>
      <c r="D12" s="37">
        <f>'Table 3_SummStat Reg'!E12/'Table 3_SummStat Reg_Cont'!B12</f>
        <v>1.4330983364571412</v>
      </c>
    </row>
    <row r="13" spans="1:6" s="1" customFormat="1" ht="20.100000000000001" customHeight="1">
      <c r="A13" s="27" t="s">
        <v>154</v>
      </c>
      <c r="B13" s="44">
        <f>'Table 3_SummStat Reg'!C13/'Table 3_SummStat Reg'!B13</f>
        <v>9.4118226600985224</v>
      </c>
      <c r="C13" s="44">
        <f>'Table 3_SummStat Reg_Cont'!C13/'Table 3_SummStat Reg'!D13*1000</f>
        <v>327952.60934109852</v>
      </c>
      <c r="D13" s="37">
        <f>'Table 3_SummStat Reg'!E13/'Table 3_SummStat Reg_Cont'!B13</f>
        <v>1.1126309751311905</v>
      </c>
    </row>
    <row r="14" spans="1:6" s="1" customFormat="1" ht="20.100000000000001" customHeight="1">
      <c r="A14" s="27" t="s">
        <v>155</v>
      </c>
      <c r="B14" s="44">
        <f>'Table 3_SummStat Reg'!C14/'Table 3_SummStat Reg'!B14</f>
        <v>18.093306288032455</v>
      </c>
      <c r="C14" s="44">
        <f>'Table 3_SummStat Reg_Cont'!C14/'Table 3_SummStat Reg'!D14*1000</f>
        <v>115128.56816624801</v>
      </c>
      <c r="D14" s="37">
        <f>'Table 3_SummStat Reg'!E14/'Table 3_SummStat Reg_Cont'!B14</f>
        <v>1.4969899927482908</v>
      </c>
    </row>
    <row r="15" spans="1:6" s="1" customFormat="1" ht="20.100000000000001" customHeight="1">
      <c r="A15" s="27" t="s">
        <v>156</v>
      </c>
      <c r="B15" s="44">
        <f>'Table 3_SummStat Reg'!C15/'Table 3_SummStat Reg'!B15</f>
        <v>64.137813211845099</v>
      </c>
      <c r="C15" s="44">
        <f>'Table 3_SummStat Reg_Cont'!C15/'Table 3_SummStat Reg'!D15*1000</f>
        <v>248752.80758746431</v>
      </c>
      <c r="D15" s="37">
        <f>'Table 3_SummStat Reg'!E15/'Table 3_SummStat Reg_Cont'!B15</f>
        <v>1.2194797531593775</v>
      </c>
    </row>
    <row r="16" spans="1:6" s="1" customFormat="1" ht="20.100000000000001" customHeight="1">
      <c r="A16" s="27" t="s">
        <v>157</v>
      </c>
      <c r="B16" s="44">
        <f>'Table 3_SummStat Reg'!C16/'Table 3_SummStat Reg'!B16</f>
        <v>133.61398176291794</v>
      </c>
      <c r="C16" s="44">
        <f>'Table 3_SummStat Reg_Cont'!C16/'Table 3_SummStat Reg'!D16*1000</f>
        <v>368778.20446072641</v>
      </c>
      <c r="D16" s="37">
        <f>'Table 3_SummStat Reg'!E16/'Table 3_SummStat Reg_Cont'!B16</f>
        <v>1.0930295970869632</v>
      </c>
    </row>
    <row r="17" spans="1:10" s="1" customFormat="1" ht="20.100000000000001" customHeight="1">
      <c r="A17" s="27" t="s">
        <v>158</v>
      </c>
      <c r="B17" s="44">
        <f>'Table 3_SummStat Reg'!C17/'Table 3_SummStat Reg'!B17</f>
        <v>11.040431266846362</v>
      </c>
      <c r="C17" s="44">
        <f>'Table 3_SummStat Reg_Cont'!C17/'Table 3_SummStat Reg'!D17*1000</f>
        <v>163576.03452652958</v>
      </c>
      <c r="D17" s="37">
        <f>'Table 3_SummStat Reg'!E17/'Table 3_SummStat Reg_Cont'!B17</f>
        <v>1.2532756680542074</v>
      </c>
    </row>
    <row r="18" spans="1:10" s="1" customFormat="1" ht="20.100000000000001" customHeight="1">
      <c r="A18" s="27" t="s">
        <v>159</v>
      </c>
      <c r="B18" s="44">
        <f>'Table 3_SummStat Reg'!C18/'Table 3_SummStat Reg'!B18</f>
        <v>13.780361757105943</v>
      </c>
      <c r="C18" s="44">
        <f>'Table 3_SummStat Reg_Cont'!C18/'Table 3_SummStat Reg'!D18*1000</f>
        <v>187779.45438193265</v>
      </c>
      <c r="D18" s="37">
        <f>'Table 3_SummStat Reg'!E18/'Table 3_SummStat Reg_Cont'!B18</f>
        <v>1.3836989273320168</v>
      </c>
    </row>
    <row r="19" spans="1:10" s="1" customFormat="1" ht="20.100000000000001" customHeight="1">
      <c r="A19" s="27" t="s">
        <v>160</v>
      </c>
      <c r="B19" s="44">
        <f>'Table 3_SummStat Reg'!C19/'Table 3_SummStat Reg'!B19</f>
        <v>17.159887798036465</v>
      </c>
      <c r="C19" s="44">
        <f>'Table 3_SummStat Reg_Cont'!C19/'Table 3_SummStat Reg'!D19*1000</f>
        <v>245152.66599597587</v>
      </c>
      <c r="D19" s="37">
        <f>'Table 3_SummStat Reg'!E19/'Table 3_SummStat Reg_Cont'!B19</f>
        <v>1.1963646202686087</v>
      </c>
    </row>
    <row r="20" spans="1:10" s="1" customFormat="1" ht="20.100000000000001" customHeight="1">
      <c r="A20" s="27" t="s">
        <v>161</v>
      </c>
      <c r="B20" s="44">
        <f>'Table 3_SummStat Reg'!C20/'Table 3_SummStat Reg'!B20</f>
        <v>55.889900662251655</v>
      </c>
      <c r="C20" s="44">
        <f>'Table 3_SummStat Reg_Cont'!C20/'Table 3_SummStat Reg'!D20*1000</f>
        <v>285575.90852316661</v>
      </c>
      <c r="D20" s="37">
        <f>'Table 3_SummStat Reg'!E20/'Table 3_SummStat Reg_Cont'!B20</f>
        <v>1.0822489083417335</v>
      </c>
    </row>
    <row r="21" spans="1:10" s="8" customFormat="1" ht="20.100000000000001" customHeight="1">
      <c r="A21" s="27" t="s">
        <v>162</v>
      </c>
      <c r="B21" s="44">
        <f>'Table 3_SummStat Reg'!C21/'Table 3_SummStat Reg'!B21</f>
        <v>11.300595238095237</v>
      </c>
      <c r="C21" s="44">
        <f>'Table 3_SummStat Reg_Cont'!C21/'Table 3_SummStat Reg'!D21*1000</f>
        <v>245070.55938119045</v>
      </c>
      <c r="D21" s="37">
        <f>'Table 3_SummStat Reg'!E21/'Table 3_SummStat Reg_Cont'!B21</f>
        <v>0.99498485495241717</v>
      </c>
    </row>
    <row r="22" spans="1:10" s="8" customFormat="1" ht="20.100000000000001" customHeight="1">
      <c r="A22" s="27" t="s">
        <v>163</v>
      </c>
      <c r="B22" s="44">
        <f>'Table 3_SummStat Reg'!C22/'Table 3_SummStat Reg'!B22</f>
        <v>15.3639896373057</v>
      </c>
      <c r="C22" s="44">
        <f>'Table 3_SummStat Reg_Cont'!C22/'Table 3_SummStat Reg'!D22*1000</f>
        <v>140116.38564634675</v>
      </c>
      <c r="D22" s="37">
        <f>'Table 3_SummStat Reg'!E22/'Table 3_SummStat Reg_Cont'!B22</f>
        <v>1.1901545319555868</v>
      </c>
    </row>
    <row r="23" spans="1:10" s="8" customFormat="1" ht="20.100000000000001" customHeight="1">
      <c r="A23" s="27" t="s">
        <v>164</v>
      </c>
      <c r="B23" s="44">
        <f>'Table 3_SummStat Reg'!C23/'Table 3_SummStat Reg'!B23</f>
        <v>23.283220174587779</v>
      </c>
      <c r="C23" s="44">
        <f>'Table 3_SummStat Reg_Cont'!C23/'Table 3_SummStat Reg'!D23*1000</f>
        <v>279022.67476683494</v>
      </c>
      <c r="D23" s="37">
        <f>'Table 3_SummStat Reg'!E23/'Table 3_SummStat Reg_Cont'!B23</f>
        <v>1.2248170865605823</v>
      </c>
    </row>
    <row r="24" spans="1:10" s="8" customFormat="1" ht="20.100000000000001" customHeight="1">
      <c r="A24" s="27" t="s">
        <v>165</v>
      </c>
      <c r="B24" s="44">
        <f>'Table 3_SummStat Reg'!C24/'Table 3_SummStat Reg'!B24</f>
        <v>22.253932584269663</v>
      </c>
      <c r="C24" s="44">
        <f>'Table 3_SummStat Reg_Cont'!C24/'Table 3_SummStat Reg'!D24*1000</f>
        <v>240522.6754669479</v>
      </c>
      <c r="D24" s="37">
        <f>'Table 3_SummStat Reg'!E24/'Table 3_SummStat Reg_Cont'!B24</f>
        <v>1.2005301408022895</v>
      </c>
    </row>
    <row r="25" spans="1:10" s="8" customFormat="1" ht="20.100000000000001" customHeight="1">
      <c r="A25" s="27" t="s">
        <v>166</v>
      </c>
      <c r="B25" s="44">
        <f>'Table 3_SummStat Reg'!C25/'Table 3_SummStat Reg'!B25</f>
        <v>28.63219895287958</v>
      </c>
      <c r="C25" s="44">
        <f>'Table 3_SummStat Reg_Cont'!C25/'Table 3_SummStat Reg'!D25*1000</f>
        <v>394026.85873605945</v>
      </c>
      <c r="D25" s="37">
        <f>'Table 3_SummStat Reg'!E25/'Table 3_SummStat Reg_Cont'!B25</f>
        <v>1.1967448701860695</v>
      </c>
    </row>
    <row r="26" spans="1:10" s="8" customFormat="1" ht="20.100000000000001" customHeight="1">
      <c r="A26" s="27" t="s">
        <v>167</v>
      </c>
      <c r="B26" s="44">
        <f>'Table 3_SummStat Reg'!C26/'Table 3_SummStat Reg'!B26</f>
        <v>19.298676748582231</v>
      </c>
      <c r="C26" s="44">
        <f>'Table 3_SummStat Reg_Cont'!C26/'Table 3_SummStat Reg'!D26*1000</f>
        <v>182315.17549198619</v>
      </c>
      <c r="D26" s="37">
        <f>'Table 3_SummStat Reg'!E26/'Table 3_SummStat Reg_Cont'!B26</f>
        <v>1.2106692153871219</v>
      </c>
    </row>
    <row r="27" spans="1:10" s="8" customFormat="1" ht="28.5" customHeight="1">
      <c r="A27" s="70" t="s">
        <v>177</v>
      </c>
      <c r="B27" s="46">
        <f>'Table 3_SummStat Reg'!C27/'Table 3_SummStat Reg'!B27</f>
        <v>12.052023121387283</v>
      </c>
      <c r="C27" s="46">
        <f>'Table 3_SummStat Reg_Cont'!C27/'Table 3_SummStat Reg'!D27*1000</f>
        <v>133349.53940634598</v>
      </c>
      <c r="D27" s="71">
        <f>'Table 3_SummStat Reg'!E27/'Table 3_SummStat Reg_Cont'!B27</f>
        <v>1.170153765934995</v>
      </c>
    </row>
    <row r="28" spans="1:10" ht="6" customHeight="1">
      <c r="B28" s="8"/>
      <c r="C28" s="8"/>
      <c r="D28" s="8"/>
      <c r="E28" s="8"/>
      <c r="F28" s="8"/>
      <c r="G28" s="8"/>
      <c r="H28" s="8"/>
      <c r="I28" s="8"/>
    </row>
    <row r="29" spans="1:10" ht="15.75" customHeight="1">
      <c r="A29" s="7" t="s">
        <v>198</v>
      </c>
      <c r="B29" s="8"/>
      <c r="C29" s="8"/>
      <c r="D29" s="8"/>
      <c r="E29" s="8"/>
      <c r="F29" s="8"/>
      <c r="G29" s="8"/>
      <c r="H29" s="8"/>
      <c r="I29" s="8"/>
      <c r="J29" s="8"/>
    </row>
    <row r="30" spans="1:10" ht="15.75" customHeight="1">
      <c r="A30" s="7" t="s">
        <v>199</v>
      </c>
      <c r="B30" s="8"/>
      <c r="C30" s="8"/>
      <c r="D30" s="8"/>
      <c r="E30" s="8"/>
      <c r="F30" s="8"/>
      <c r="G30" s="8"/>
      <c r="H30" s="8"/>
      <c r="I30" s="8"/>
      <c r="J30" s="8"/>
    </row>
    <row r="31" spans="1:10" s="2" customFormat="1">
      <c r="A31" s="137" t="s">
        <v>196</v>
      </c>
      <c r="B31" s="137"/>
      <c r="C31" s="24"/>
      <c r="D31" s="24"/>
      <c r="E31" s="24"/>
      <c r="F31" s="24"/>
      <c r="G31" s="38"/>
      <c r="H31" s="38"/>
      <c r="I31" s="38"/>
      <c r="J31" s="38"/>
    </row>
    <row r="32" spans="1:10">
      <c r="A32" s="138" t="s">
        <v>178</v>
      </c>
      <c r="B32" s="139"/>
      <c r="C32" s="139"/>
      <c r="D32" s="139"/>
      <c r="E32" s="139"/>
      <c r="F32" s="139"/>
      <c r="G32" s="8"/>
      <c r="H32" s="8"/>
      <c r="I32" s="8"/>
      <c r="J32" s="8"/>
    </row>
    <row r="33" spans="1:10">
      <c r="A33" s="57" t="s">
        <v>190</v>
      </c>
      <c r="B33" s="25"/>
      <c r="C33" s="25"/>
      <c r="D33" s="25"/>
      <c r="E33" s="25"/>
      <c r="F33" s="57"/>
      <c r="G33" s="8"/>
      <c r="H33" s="8"/>
      <c r="I33" s="8"/>
      <c r="J33" s="8"/>
    </row>
  </sheetData>
  <sheetProtection formatCells="0" formatColumns="0" formatRows="0" insertColumns="0" insertRows="0" insertHyperlinks="0" deleteColumns="0" deleteRows="0" sort="0" autoFilter="0" pivotTables="0"/>
  <mergeCells count="7">
    <mergeCell ref="A31:B31"/>
    <mergeCell ref="A32:F32"/>
    <mergeCell ref="A4:A7"/>
    <mergeCell ref="B4:B6"/>
    <mergeCell ref="C4:C6"/>
    <mergeCell ref="D4:D6"/>
    <mergeCell ref="A2:F2"/>
  </mergeCells>
  <printOptions horizontalCentered="1"/>
  <pageMargins left="0.39370078740157499" right="0.39370078740157499" top="0.62992125984252001" bottom="0.39370078740157499" header="0.196850393700787" footer="0.196850393700787"/>
  <pageSetup paperSize="9" orientation="portrait" useFirstPageNumber="1" r:id="rId1"/>
  <headerFooter alignWithMargins="0">
    <oddFooter>&amp;R&amp;"Arial,Regular"&amp;9Page &amp;P+8 of 9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Table 1_Summary Statistics</vt:lpstr>
      <vt:lpstr>Table 1_Summary Statistics_Cont</vt:lpstr>
      <vt:lpstr>Table 2_Selected Indicators</vt:lpstr>
      <vt:lpstr>Table 3_SummStat Reg</vt:lpstr>
      <vt:lpstr>Table 3_SummStat Reg_Cont</vt:lpstr>
      <vt:lpstr>Table 4_Selected Indicators Reg</vt:lpstr>
      <vt:lpstr>'Table 1_Summary Statistics'!Print_Area</vt:lpstr>
      <vt:lpstr>'Table 1_Summary Statistics_Cont'!Print_Area</vt:lpstr>
      <vt:lpstr>'Table 2_Selected Indicators'!Print_Area</vt:lpstr>
      <vt:lpstr>'Table 3_SummStat Reg'!Print_Area</vt:lpstr>
      <vt:lpstr>'Table 3_SummStat Reg_Cont'!Print_Area</vt:lpstr>
      <vt:lpstr>'Table 4_Selected Indicators Reg'!Print_Area</vt:lpstr>
      <vt:lpstr>'Table 1_Summary Statistics'!Print_Titles</vt:lpstr>
      <vt:lpstr>'Table 1_Summary Statistics_Cont'!Print_Titles</vt:lpstr>
      <vt:lpstr>'Table 2_Selected Indicators'!Print_Titles</vt:lpstr>
      <vt:lpstr>'Table 3_SummStat Reg'!Print_Titles</vt:lpstr>
      <vt:lpstr>'Table 3_SummStat Reg_Cont'!Print_Titles</vt:lpstr>
      <vt:lpstr>'Table 4_Selected Indicators Reg'!Print_Titles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NSO</cp:lastModifiedBy>
  <cp:lastPrinted>2024-10-18T02:27:50Z</cp:lastPrinted>
  <dcterms:created xsi:type="dcterms:W3CDTF">2021-08-16T10:32:55Z</dcterms:created>
  <dcterms:modified xsi:type="dcterms:W3CDTF">2024-10-18T02:32:08Z</dcterms:modified>
</cp:coreProperties>
</file>
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.timothy.palima23/Downloads/"/>
    </mc:Choice>
  </mc:AlternateContent>
  <xr:revisionPtr revIDLastSave="0" documentId="13_ncr:1_{234EFB97-6F96-8B4D-A15B-9828DE8FF0FB}" xr6:coauthVersionLast="47" xr6:coauthVersionMax="47" xr10:uidLastSave="{00000000-0000-0000-0000-000000000000}"/>
  <bookViews>
    <workbookView xWindow="7300" yWindow="1340" windowWidth="27240" windowHeight="16440" xr2:uid="{556D5BF5-5579-5E40-99CE-830D6545A516}"/>
  </bookViews>
  <sheets>
    <sheet name="Use_for geocoding" sheetId="4" r:id="rId1"/>
    <sheet name="Graduate Count" sheetId="5" r:id="rId2"/>
    <sheet name="Raw" sheetId="1" r:id="rId3"/>
    <sheet name="Sheet1" sheetId="6" r:id="rId4"/>
  </sheets>
  <definedNames>
    <definedName name="ExternalData_1" localSheetId="0" hidden="1">'Use_for geocoding'!$A$1:$G$354</definedName>
  </definedNames>
  <calcPr calcId="191029"/>
  <pivotCaches>
    <pivotCache cacheId="19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4" l="1"/>
  <c r="D362" i="4"/>
  <c r="F361" i="4"/>
  <c r="D361" i="4"/>
  <c r="C359" i="4"/>
  <c r="F360" i="4"/>
  <c r="E360" i="4"/>
  <c r="D360" i="4"/>
  <c r="C358" i="4"/>
  <c r="C6" i="6" a="1"/>
  <c r="C6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426CC-F7F4-7949-A5E6-09BCC5B24F69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<sst xmlns="http://schemas.openxmlformats.org/spreadsheetml/2006/main" count="11223" uniqueCount="2207">
  <si>
    <t>Provider Name</t>
  </si>
  <si>
    <t>Class Name</t>
  </si>
  <si>
    <t>Region Name</t>
  </si>
  <si>
    <t>Province Name</t>
  </si>
  <si>
    <t>City Name</t>
  </si>
  <si>
    <t>Address</t>
  </si>
  <si>
    <t>focal</t>
  </si>
  <si>
    <t>phone</t>
  </si>
  <si>
    <t>e mail</t>
  </si>
  <si>
    <t>Qualification</t>
  </si>
  <si>
    <t>Trainer Count</t>
  </si>
  <si>
    <t>Enrolled</t>
  </si>
  <si>
    <t>Graduates</t>
  </si>
  <si>
    <t>HUMAN RESOURCE DEVELOPMENT CENTER (HRDC)</t>
  </si>
  <si>
    <t>TTI (School)</t>
  </si>
  <si>
    <t>National Capital Region (NCR)</t>
  </si>
  <si>
    <t>MUNTIPARLASTAPAT</t>
  </si>
  <si>
    <t>Taguig City</t>
  </si>
  <si>
    <t>Philippine-Korea Friendship Center, Bayani Road, Fort Bonifacio, Taguig City</t>
  </si>
  <si>
    <t>DEXTER C. HULLEZA</t>
  </si>
  <si>
    <t>mpltp.hrdc.tvimis@gmail.com</t>
  </si>
  <si>
    <t>3D Animation NC III</t>
  </si>
  <si>
    <t xml:space="preserve">DON BOSCO YOUTH CENTER-TONDO INC. </t>
  </si>
  <si>
    <t>TVIs</t>
  </si>
  <si>
    <t>City of Manila</t>
  </si>
  <si>
    <t>Tondo I/II, City of Manila</t>
  </si>
  <si>
    <t>Bo. Magsaysay, Tondo, Manila</t>
  </si>
  <si>
    <t>Fr. Gaudencio T. Carandang Jr., SDB</t>
  </si>
  <si>
    <t>254-56-59/251-52-60</t>
  </si>
  <si>
    <t>Automotive Servicing (Engine Repair) NC II</t>
  </si>
  <si>
    <t>AUTOHUB INSTITUTE OF TECHNOLOGY, INC.</t>
  </si>
  <si>
    <t>Blk15 FGC Building Crescent Park West, Rizal Drive, Bonifacio Global City, Taguig</t>
  </si>
  <si>
    <t xml:space="preserve">JESUS R. BOCES JR. </t>
  </si>
  <si>
    <t>ait@autohubgroup.com</t>
  </si>
  <si>
    <t>Automotive Servicing NC I</t>
  </si>
  <si>
    <t>GLOBE MARITIME TRAINING CENTER-MANILA, INC.</t>
  </si>
  <si>
    <t>CAMANAVA</t>
  </si>
  <si>
    <t>Valenzuela City</t>
  </si>
  <si>
    <t>Cielo Azul, G. Salazar, Wawang Pulo, Valenzuela City</t>
  </si>
  <si>
    <t>C/E GILBERT B. MILANA,Ph.D</t>
  </si>
  <si>
    <t>734-0160</t>
  </si>
  <si>
    <t>gmtctesda@gmail.com</t>
  </si>
  <si>
    <t>SAMSON COLLEGE OF SCIENCE AND TECHNOLOGY, INC.</t>
  </si>
  <si>
    <t>HEIs</t>
  </si>
  <si>
    <t>Quezon City</t>
  </si>
  <si>
    <t>587 EDSA, Cubao, Quezon City</t>
  </si>
  <si>
    <t>Dante I. Inocencio</t>
  </si>
  <si>
    <t>721-4129 / 414-4631 / 414-6429 / FAX: 723-1648</t>
  </si>
  <si>
    <t>samsoncollege@gmail.com</t>
  </si>
  <si>
    <t>STO. NIÑO DE NOVALICHES SCHOOL INC.</t>
  </si>
  <si>
    <t>36 Buenamar St. Novaliches, Quezon City</t>
  </si>
  <si>
    <t>NELSON Q CRUCIS JR./ TECH VOC DIR</t>
  </si>
  <si>
    <t>8936-1950 / 3418-3989</t>
  </si>
  <si>
    <t>qc.stoninotvimis@gmail.com</t>
  </si>
  <si>
    <t>TECHNO DEVELOPMENT CENTER OF THE PHILIPPINES, INC.</t>
  </si>
  <si>
    <t>PASMAK</t>
  </si>
  <si>
    <t>Pasay City</t>
  </si>
  <si>
    <t>2340 F. B. Harrison St., Pasay City</t>
  </si>
  <si>
    <t>Froilan G. Aguirre</t>
  </si>
  <si>
    <t>556-3819</t>
  </si>
  <si>
    <t>technodevelopment2@yahoo.com</t>
  </si>
  <si>
    <t>TESDA Women's Center</t>
  </si>
  <si>
    <t>TESDA Bldg. 2, Gate 1, TESDA Complex, East Service Road South Luzon Expressway (SLEX), Taguig City</t>
  </si>
  <si>
    <t>MYLENE H. SOMERA</t>
  </si>
  <si>
    <t>twc@tesda.gov.ph</t>
  </si>
  <si>
    <t>VALENZUELA CITY TECHNOLOGICAL COLLEGE</t>
  </si>
  <si>
    <t>LGU</t>
  </si>
  <si>
    <t>Kamagong St., Fortune Vill. 6, Parada, Valenzuela City</t>
  </si>
  <si>
    <t>DR. YOLANDA G. GADON</t>
  </si>
  <si>
    <t>82930775 / 82920480</t>
  </si>
  <si>
    <t>cmnv.valtech.tvimis@gmail.com</t>
  </si>
  <si>
    <t>PAMANTASAN NG LUNGSOD NG MARIKINA</t>
  </si>
  <si>
    <t>PAMAMARISAN</t>
  </si>
  <si>
    <t>Marikina City</t>
  </si>
  <si>
    <t>Rainbow Street, SSS Village, Concepcion Dos, Marikina City</t>
  </si>
  <si>
    <t>MS. JESCKA LOI C. ZAGALA</t>
  </si>
  <si>
    <t>7966-2583 / 7369-8650</t>
  </si>
  <si>
    <t>plmar.techvoc@gmail.com</t>
  </si>
  <si>
    <t>Barangay Health Services NC II</t>
  </si>
  <si>
    <t>7-STAR EDUCATIONAL ACADEMY CORPORATION (7-STAR EDUCATIONAL ACADEMY INC.)</t>
  </si>
  <si>
    <t>Sampaloc, City of Manila</t>
  </si>
  <si>
    <t>Unit 502 5th Floor Fern Bldg 827 P. Paredes St. Sampaloc Manila</t>
  </si>
  <si>
    <t>Jay-ar D. Sta. Ana</t>
  </si>
  <si>
    <t>.</t>
  </si>
  <si>
    <t>7staracademy.exec@gmail.com</t>
  </si>
  <si>
    <t>Barista NC II</t>
  </si>
  <si>
    <t>ASIANTOUCH INTERNATIONAL TRAINING INSTITUTE, INC.</t>
  </si>
  <si>
    <t>No. 14 N. Roxas St., San Roque, Marikina City</t>
  </si>
  <si>
    <t>PRINCES A. PAMPLONA</t>
  </si>
  <si>
    <t>961-7772 / 995-0996</t>
  </si>
  <si>
    <t>asiantouchmarikina@gmail.com</t>
  </si>
  <si>
    <t>CARENET HEALTHCARE INSTITUTE INC.</t>
  </si>
  <si>
    <t>Makati City</t>
  </si>
  <si>
    <t>4th Floor Piedra Bldg., 1174 Chino Roces Ave., San Antonio Village, Makati City</t>
  </si>
  <si>
    <t>GretelWolda C. Gepilano</t>
  </si>
  <si>
    <t>890-4547/890-7594</t>
  </si>
  <si>
    <t>carenet_chi@yahoo.com</t>
  </si>
  <si>
    <t>CARENET HEALTHCARE INSTITUTE, INC.</t>
  </si>
  <si>
    <t>4/F Piedra Bldg, No. 1174 Chino Roces Ave., Makati City</t>
  </si>
  <si>
    <t>-</t>
  </si>
  <si>
    <t>4/F Piedra Bldg. 1174 Chino Roces Ave., San Antonio Village, Makati City</t>
  </si>
  <si>
    <t>890-4547</t>
  </si>
  <si>
    <t>CENTER FOR BARISTA AND TOURISM ACADEMY TRAINING AND ASSESSMENT, INC.</t>
  </si>
  <si>
    <t>3/F Lot 13-A, Blk. 31 cor. Camaro St., Fairview Ave., Fairview, Quezon City</t>
  </si>
  <si>
    <t>GERALD O. CATEDRILLA</t>
  </si>
  <si>
    <t>(02) 428-4094</t>
  </si>
  <si>
    <t>qc.cenbartvimis@gmail.com</t>
  </si>
  <si>
    <t>Center for Excellence in Special Education (Stepping Stone) Foundation, Inc.</t>
  </si>
  <si>
    <t>Parañaque City</t>
  </si>
  <si>
    <t>8001 Del Carmen St., St. Rita Village, BF Homes, Sucat, Parañaque City</t>
  </si>
  <si>
    <t xml:space="preserve">Dayal Nandwani </t>
  </si>
  <si>
    <t>216-7232</t>
  </si>
  <si>
    <t>ronalyn@steppingstone.ph</t>
  </si>
  <si>
    <t>CGROUP SKILLS DEVELOPMENT AND SECURITY TRAINING INSTITUTE INC.</t>
  </si>
  <si>
    <t>Lot 56 Blk LCH - 220 Pajo Street, Quirino 2C, Quezon City</t>
  </si>
  <si>
    <t>GENESIS S. STO. DOMINGO, CHP, MMITHM, D.HUM</t>
  </si>
  <si>
    <t>8299-8511 loc 106</t>
  </si>
  <si>
    <t>cgroupskills@gmail.com</t>
  </si>
  <si>
    <t>COOKO CULINARY AND BARISTA ACADEMY, INC.</t>
  </si>
  <si>
    <t>Pasig City</t>
  </si>
  <si>
    <t>2/F Skygate Bldg., No. 4 E. Rodriguez Jr . Ave (C5), Bagong Ilog, Pasig City)</t>
  </si>
  <si>
    <t>SOO HEE CHANG</t>
  </si>
  <si>
    <t>661-1914</t>
  </si>
  <si>
    <t>cookoinfo@gmail.com</t>
  </si>
  <si>
    <t>GOD BEARER INSTITUTE TRAINING AND ASSESSMENT CENTER, INC.</t>
  </si>
  <si>
    <t>AJBEL Bldg., 9127 San Antonio Valley Avenue, Brgy. SAV-1, Sucat, Parañaque City</t>
  </si>
  <si>
    <t>Glendon C. Gloria</t>
  </si>
  <si>
    <t>551-2408</t>
  </si>
  <si>
    <t>godbearerinstitute@gmail.com</t>
  </si>
  <si>
    <t>HOME CULINARY AND TECHNICAL SCHOOL CORPORATION</t>
  </si>
  <si>
    <t>No. 97 Doña Soledad Better Living, Don Bosco, Parañaque City</t>
  </si>
  <si>
    <t>DAVE DV. NAVARRO</t>
  </si>
  <si>
    <t>239-2860</t>
  </si>
  <si>
    <t>homeculinary@kingsgroup.com.ph</t>
  </si>
  <si>
    <t>MYCHEST SKILLS INSTITUTE CORP.</t>
  </si>
  <si>
    <t>Malate, City of Manila</t>
  </si>
  <si>
    <t>1906 San Pascual St., Brgy. 691, Malate, Manila</t>
  </si>
  <si>
    <t>Alex Delos Santos</t>
  </si>
  <si>
    <t>mychestskills@gmail.com</t>
  </si>
  <si>
    <t xml:space="preserve">NATIONAL INSTITUTE FOR TECHNICAL AND VOCATIONAL CAREERS, INC. </t>
  </si>
  <si>
    <t xml:space="preserve">Unit 11, Llanar Bldg., Bonny Serrano Ave., cor. 10th Ave., Cubao, Quezon City </t>
  </si>
  <si>
    <t>MARK AUGUSTINE L. RODRIGUEZ</t>
  </si>
  <si>
    <t>364-4347</t>
  </si>
  <si>
    <t>nationalinstitute.techvoc@gmail.com</t>
  </si>
  <si>
    <t>NAVOTAS VOCATIONAL TRAINING AND ASSESSMENT (NAVOTAAS) INSTITUTE - ANNEX II</t>
  </si>
  <si>
    <t>Navotas City</t>
  </si>
  <si>
    <t>Governor Pascual St., Barangay Daanghari, Navotas City</t>
  </si>
  <si>
    <t>KATHRYN ANNE S. HILARIO</t>
  </si>
  <si>
    <t>292-2277</t>
  </si>
  <si>
    <t>navotaasinstitute.annex2@gmail.com</t>
  </si>
  <si>
    <t>POWER LINK CENTER FOR ADVANCED TECHNICAL SKILLS DEVELOPMENT INC.</t>
  </si>
  <si>
    <t>2F Marbella II Bldg. 2071 Roxas Blvd., Malate, Manila</t>
  </si>
  <si>
    <t xml:space="preserve">Francis T. Tajanlangit </t>
  </si>
  <si>
    <t>331-3180 / 331-3177 / 742-3400</t>
  </si>
  <si>
    <t>powerlink0615@gmail.com</t>
  </si>
  <si>
    <t>QUEZON CITY SKILLS AND LIVELIHOOD FOUNDATION, INC.</t>
  </si>
  <si>
    <t>6 K-F Street, Barangay Kamuning, Quezon City</t>
  </si>
  <si>
    <t>VALERIE V. BERNARDINO</t>
  </si>
  <si>
    <t>759-5873</t>
  </si>
  <si>
    <t>quezoncityskills_ltc@yahoo.com</t>
  </si>
  <si>
    <t>RASE TRAINING AND ASSESSMENT CENTER INC.</t>
  </si>
  <si>
    <t>Unit 401 DMV Bldg., 2484 Padre Zamora St., Barangay 105, Pasay City</t>
  </si>
  <si>
    <t>GRETELWOLDA C. GEPILANO</t>
  </si>
  <si>
    <t>(02) 8771 5554</t>
  </si>
  <si>
    <t>pasmak.rase.2024@gmail.com</t>
  </si>
  <si>
    <t>RCTI TRAINING AND ASSESSMENT CORP.</t>
  </si>
  <si>
    <t>Ermita, City of Manila</t>
  </si>
  <si>
    <t>402 Bel-Air Apartment 4/F, 1020 Roxas Blvd., Ermita, Manila</t>
  </si>
  <si>
    <t>Ricky M. Purificacion</t>
  </si>
  <si>
    <t>523-7652</t>
  </si>
  <si>
    <t>rcticorp@yahoo.com</t>
  </si>
  <si>
    <t>SMI INSTITUTE INC.</t>
  </si>
  <si>
    <t>Unit 3- A 3rd Flr Wardley Bldg. 1991 San Juan St. Pasay City</t>
  </si>
  <si>
    <t>CRISTINA J. APLASCA</t>
  </si>
  <si>
    <t>smiacademicenter@gmail.com</t>
  </si>
  <si>
    <t>ST. CATHERINE INSTITUTE OF TECHNOLOGY, INC.</t>
  </si>
  <si>
    <t>Malabon City</t>
  </si>
  <si>
    <t>No. 425 Blas St., Hulong Duhat, Malabon City</t>
  </si>
  <si>
    <t>RUTH M. CUNTAPAY</t>
  </si>
  <si>
    <t>8713-6741, 8352-0859, 8736-7278, 09185292561</t>
  </si>
  <si>
    <t>stcatherineinstituteoftechnology@yahoo.com</t>
  </si>
  <si>
    <t>ST. MATTHEW OF BLUMENTRITT INSTITUTE OF TECHNOLOGY (SMBIT). INC.</t>
  </si>
  <si>
    <t>Santa Cruz, City of Manila</t>
  </si>
  <si>
    <t>2449 Rizal Ave. corner Cavite Street, Sta. Cruz, Manila</t>
  </si>
  <si>
    <t>Analou Ong</t>
  </si>
  <si>
    <t>8866-3682 / 7751-8162</t>
  </si>
  <si>
    <t>smbit_2011@yahoo.com.ph</t>
  </si>
  <si>
    <t>TAGUIG MANPOWER TRAINING AND ASSESSMENT CENTER (TMTC)</t>
  </si>
  <si>
    <t>Col. Ballecer St., Brgy. Central Signal Village, Taguig City</t>
  </si>
  <si>
    <t>Evangeline F. Sabater</t>
  </si>
  <si>
    <t>manpowertmtc@gmail.com</t>
  </si>
  <si>
    <t>UNO CAREGIVER AND DOMESTIC MNGT TRAINING, INC.</t>
  </si>
  <si>
    <t>No. 1587 Paradiso Centre, Copernico Street, Brgy. San Isidro, Makati City</t>
  </si>
  <si>
    <t>MARY GRACE ROSALIA GULAN</t>
  </si>
  <si>
    <t>843-5918/844-3231</t>
  </si>
  <si>
    <t>uno_training@yahoo.com</t>
  </si>
  <si>
    <t xml:space="preserve">ACADEMY ASIA SCHOOL OF TECHNOLOGY AND THE ARTS, INC. </t>
  </si>
  <si>
    <t xml:space="preserve">2/F WRC Bldg. No. 47 Gil Fernando Midtown Subd., San Roque, Marikina City </t>
  </si>
  <si>
    <t>MR. JAIME G. DOLERA JR.</t>
  </si>
  <si>
    <t>Tel. No. 234-0996</t>
  </si>
  <si>
    <t>academy.asia@gmail.com</t>
  </si>
  <si>
    <t>Bartending NC II</t>
  </si>
  <si>
    <t xml:space="preserve">ACCESS PASIG COMPUTER &amp; TECHNICAL COLLEGES, INC. </t>
  </si>
  <si>
    <t>No.11 M.H. Del Pilar St., Brgy. San Nicolas, Pasig</t>
  </si>
  <si>
    <t>DONA MARIE ANGELICA O. MARIANO</t>
  </si>
  <si>
    <t>pas@access.edu.ph</t>
  </si>
  <si>
    <t>COLEGIO DE SAN GABRIEL ARCANGEL OF CALOOCAN, INC.</t>
  </si>
  <si>
    <t>Caloocan City</t>
  </si>
  <si>
    <t>Phase 10 Pkg. 6 Blk. 1 Lot 4 Bagong Silang, Caloocan City</t>
  </si>
  <si>
    <t>EUGENIO V. DAUZ, Ph.D.</t>
  </si>
  <si>
    <t>579-40-11</t>
  </si>
  <si>
    <t>cmnv.cdsgacal.tvimis@gmail.com</t>
  </si>
  <si>
    <t>GATEWAYS INSTITUTE OF SCIENCE &amp; TECHNOLOGY, INC. (Mandaluyong)</t>
  </si>
  <si>
    <t>Mandaluyong City</t>
  </si>
  <si>
    <t>3/F Raymundo Bldg. Kalentong St., Mandaluyong City</t>
  </si>
  <si>
    <t>JOSE O. MONTENEGRO</t>
  </si>
  <si>
    <t>534-4478</t>
  </si>
  <si>
    <t>gistian08.mandakalentong@gmail.com</t>
  </si>
  <si>
    <t>INTERNATIONAL TRAINING CENTER AND HOSPITALITY INSTITUTE, INC.</t>
  </si>
  <si>
    <t>Unit 02, 2/F Elena Roces Building, No. 7 Pioneer St., Mandaluyong City</t>
  </si>
  <si>
    <t>Mr. Ulysses D. Campos</t>
  </si>
  <si>
    <t>634-8244 / 634-3300 or 0927-418-7015</t>
  </si>
  <si>
    <t>info@itchi-asia.com</t>
  </si>
  <si>
    <t>Lakewood School of Alabang, Inc.</t>
  </si>
  <si>
    <t>Muntinlupa City</t>
  </si>
  <si>
    <t>Timbol Bldg., No. 21 National Road, Putatan, Muntinlupa City</t>
  </si>
  <si>
    <t>Julita M. Concepcion</t>
  </si>
  <si>
    <t>550-2260/861-0397</t>
  </si>
  <si>
    <t>techvoc.lakewood@gmail.com</t>
  </si>
  <si>
    <t>UNITED INTERNATIONAL MARITIME TRAINING AND ASSESSMENT CENTER INC.</t>
  </si>
  <si>
    <t>4th Floor Sea Tower Bldg. 2332 Roxas Blvd. cor. Arnaiz St. Pasay City</t>
  </si>
  <si>
    <t>Wilhermino S. Maniego</t>
  </si>
  <si>
    <t>uimtac_inc@yahoo.com.ph</t>
  </si>
  <si>
    <t>PASIG CITY INSTITUTE OF SCIENCE AND TECHNOLOGY</t>
  </si>
  <si>
    <t xml:space="preserve">Pio Alvarez St. , Barangay Bambang Pasig City </t>
  </si>
  <si>
    <t>CORINNA V. BUGAWAN</t>
  </si>
  <si>
    <t>706-7977</t>
  </si>
  <si>
    <t>pcistbambang@gmail.com</t>
  </si>
  <si>
    <t>Beauty Care Services (Nail Care) NC II</t>
  </si>
  <si>
    <t>Quezon City Lingkod Bayan Skills Development Center</t>
  </si>
  <si>
    <t>TTI (PTC)</t>
  </si>
  <si>
    <t>Lot 10, Block 17, Dahlia Avenue, Fairview Quezon City</t>
  </si>
  <si>
    <t>EDMAR JAY O. BLANCO</t>
  </si>
  <si>
    <t>799-9092</t>
  </si>
  <si>
    <t>qclbsdc@tesda.gov.ph</t>
  </si>
  <si>
    <t>Biomedical Equipment Servicing NC II</t>
  </si>
  <si>
    <t>Bookkeeping NC III</t>
  </si>
  <si>
    <t>APLUS TECHNICAL AND VOCATIONAL SCHOOL INC.</t>
  </si>
  <si>
    <t>712 JP Rizal Concepcion Uno, Marikina City</t>
  </si>
  <si>
    <t xml:space="preserve">MADONNA V. VITALIANO </t>
  </si>
  <si>
    <t>0915-800-1270</t>
  </si>
  <si>
    <t>aplustechvoc@gmail.com</t>
  </si>
  <si>
    <t xml:space="preserve">ASIAN ENTREPRENEURS TECHNOLOGICAL INSTITUTE, INC. </t>
  </si>
  <si>
    <t>115 E. Santos Ave., Bambang, Pasig City</t>
  </si>
  <si>
    <t>Ms. Marjorie G. Mendenilla</t>
  </si>
  <si>
    <t>7746-0097</t>
  </si>
  <si>
    <t>asianentrepreneurstech2009@gmail.com</t>
  </si>
  <si>
    <t>CITY UNIVERSITY OF PASAY</t>
  </si>
  <si>
    <t>Pasadeña St., Pasay City</t>
  </si>
  <si>
    <t>Dr. ROASANIE F. ESTUCHE</t>
  </si>
  <si>
    <t>cityunipasay@gmail.com</t>
  </si>
  <si>
    <t>FINE INTERNATIONAL TRAINING CENTER, INC.</t>
  </si>
  <si>
    <t xml:space="preserve">518 Narra St. Cembo, Makati City </t>
  </si>
  <si>
    <t>MARY GRACE O. TEJADA</t>
  </si>
  <si>
    <t>750-0626 / 391-1042 / 383-8766 / 391-1042</t>
  </si>
  <si>
    <t>finetrainingcenter@gmail.com</t>
  </si>
  <si>
    <t>GO TEC INTERNATIONAL BUSINESS SCHOOL, INC.</t>
  </si>
  <si>
    <t>Lot-16, Blk-5 Saint Paul St., Lopez Village, Sucat, Parañaque City</t>
  </si>
  <si>
    <t>ANGELITA O. GATUS</t>
  </si>
  <si>
    <t>(02) 73416854</t>
  </si>
  <si>
    <t>gotecbrsr@gmail.com</t>
  </si>
  <si>
    <t>HSL-BRAILLE COLLEGE, INC.</t>
  </si>
  <si>
    <t>26 C. Durian Extension, Pag-asa Avenue, Katuparan, Taguig City</t>
  </si>
  <si>
    <t>HELEN S. LOSBAÑES</t>
  </si>
  <si>
    <t>828-35689 / 09988419695</t>
  </si>
  <si>
    <t>hslbraillecollegeinc@gmail.com</t>
  </si>
  <si>
    <t>IETI College, Inc.</t>
  </si>
  <si>
    <t>No. 5 Molina St., Alabang, Muntinlupa City</t>
  </si>
  <si>
    <t>MELVIE B. ACEDO</t>
  </si>
  <si>
    <t>850-0937/850-0938</t>
  </si>
  <si>
    <t>ietialabang@yahoo.com</t>
  </si>
  <si>
    <t>Imus Computer College, Inc.</t>
  </si>
  <si>
    <t>2/F Aragon Bldg., Alabang-Zapote Rd., Almanza, Las Piñas City</t>
  </si>
  <si>
    <t>Emmanuel P. Del Prado</t>
  </si>
  <si>
    <t>800-4162</t>
  </si>
  <si>
    <t>Infotech Institute of Arts and Sciences, Inc.</t>
  </si>
  <si>
    <t>CAP Bldg., Dr. A. Santos Ave., Sucat, Parañaque City</t>
  </si>
  <si>
    <t>Alan F. Boribor</t>
  </si>
  <si>
    <t>825-6531/470-7793</t>
  </si>
  <si>
    <t>infotechcollege_2017@yahoo.com</t>
  </si>
  <si>
    <t>LA SALLE GREENHILLS, INC.</t>
  </si>
  <si>
    <t>343 Ortigas Ave., Mandaluyong City</t>
  </si>
  <si>
    <t>Mrs. Maria Carmela A. Boncodin</t>
  </si>
  <si>
    <t>721-2000 loc 249 / 721-2000 loc 121</t>
  </si>
  <si>
    <t>alted.aac@lsgh.edu.ph</t>
  </si>
  <si>
    <t>LAURA VICUÑA FOUNDATION, INC.</t>
  </si>
  <si>
    <t>55 Felix Manalo St. Brgy. Pinagkaisahan, Cubao, Quezon City</t>
  </si>
  <si>
    <t xml:space="preserve">Sr. Sheila Marie A. Ducot, FMA </t>
  </si>
  <si>
    <t>8654-4204</t>
  </si>
  <si>
    <t>qc.lvfitvimis@gmail.com</t>
  </si>
  <si>
    <t>Lyceum of ALabang</t>
  </si>
  <si>
    <t>Km. 30 National Road, Tunasan, Muntinlupa City</t>
  </si>
  <si>
    <t>Abigael D. Guda</t>
  </si>
  <si>
    <t>403-8248</t>
  </si>
  <si>
    <t>loatechdept@gmail.com</t>
  </si>
  <si>
    <t>MANILA BUSINESS COLLEGE FOUNDATION, INC.</t>
  </si>
  <si>
    <t>1671 Alvarez St., Sta. Cruz, Manila</t>
  </si>
  <si>
    <t>JAMESON W. CHUA</t>
  </si>
  <si>
    <t>registrar@mbc.edu.ph</t>
  </si>
  <si>
    <t>MARANATHA TECHNOLOGICAL INSTITUTE AND TRAINING CENTER CORPORATION</t>
  </si>
  <si>
    <t>52 Ka82ruhatan Road, Karuhatan, Valenzuela City</t>
  </si>
  <si>
    <t>JONATHAN O. ANDES</t>
  </si>
  <si>
    <t>maranathatechvoc.2022@gmail.com</t>
  </si>
  <si>
    <t>Marymount Academy of Parañaque (MAPI), Inc.</t>
  </si>
  <si>
    <t>J. Villaroman St. Classic Homes, B.F. Homes, Parañaque City</t>
  </si>
  <si>
    <t>Joy Myra S. Tambunting</t>
  </si>
  <si>
    <t>807-5171/75</t>
  </si>
  <si>
    <t>tesda@marymountacademy.edu.ph</t>
  </si>
  <si>
    <t>MOREH ASSESSMENT TRAINING CENTER INCORPORATED</t>
  </si>
  <si>
    <t>Lot 31 Blk 52 Phase 2-A, Bonifacio Ave. Ricahuerta Street Upper Bicutan, Taguig City</t>
  </si>
  <si>
    <t>EDSEL M. MIRAMBIL</t>
  </si>
  <si>
    <t>88389077 / 88390135</t>
  </si>
  <si>
    <t>siredselmontoya@gmail.com</t>
  </si>
  <si>
    <t>PARAÑAQUE CITY COLLEGE</t>
  </si>
  <si>
    <t>Kabihasnan, cor. Coastal Road, Brgy. San Dionisio, Parañaque City</t>
  </si>
  <si>
    <t>ALEJANDRO D. MAGNAYE, DBM</t>
  </si>
  <si>
    <t>962-6958</t>
  </si>
  <si>
    <t>mpltp.pcc.tvimis@gmail.com</t>
  </si>
  <si>
    <t>PHILIPPINE ACADEMY FOR TECHNICAL AND VOCATIONAL SKILLS, INC.</t>
  </si>
  <si>
    <t xml:space="preserve">4/F Maria Compound Bldg., # 14 Nicanor Roxas St. Brgy. San Roque, Marikina City </t>
  </si>
  <si>
    <t>MAYDA LO L. TABANGIN</t>
  </si>
  <si>
    <t>0920-9530092</t>
  </si>
  <si>
    <t>philacademymarikina@gmail.com</t>
  </si>
  <si>
    <t>SAV1 SKILLS TRAINING AND DEVELOPMENT CENTER INC.</t>
  </si>
  <si>
    <t>2nd Floor Fortuna Bldg., 8338 Dr. A. Santos Ave., Brgy. San Isidro, Parañaque City</t>
  </si>
  <si>
    <t>PATERNO P. CLAPIS, JR.</t>
  </si>
  <si>
    <t>09094939012 / 8-825-5914</t>
  </si>
  <si>
    <t>sav1trainingcenter@gmail.com</t>
  </si>
  <si>
    <t>SILVERPOINT TRAINING INSTITUTE OF INDUSTRIAL SECURITY, INC.</t>
  </si>
  <si>
    <t>Unit 401 4th Floor, El Feren’s Bldg., No. 2063-2067 F.B. Harrison St., cor. Gil J. Puyat Ave., Pasay City</t>
  </si>
  <si>
    <t>ANGELIQUE KATE T. SILVA, RN, MBA, DHum</t>
  </si>
  <si>
    <t>02-824-101-36 / 09183466180 / 09054541728</t>
  </si>
  <si>
    <t>silverpoint2022.edu@gmail.com</t>
  </si>
  <si>
    <t>St. Bernadette College of Alabang</t>
  </si>
  <si>
    <t>Km. 23.6 East Service Rd., Udings Cmpd. I, Alabang, Muntinlupa City</t>
  </si>
  <si>
    <t>Felicitas C. Rabonza</t>
  </si>
  <si>
    <t>842-21-39 / 856-66-02/850-57-09</t>
  </si>
  <si>
    <t>tvet@sbca.edu.ph</t>
  </si>
  <si>
    <t>TESDA MANILA TRAINING AND ASSESSMENT CENTER (TMTAC)</t>
  </si>
  <si>
    <t>Paco, City of Manila</t>
  </si>
  <si>
    <t>No. 1314 Mahatma Gandhi St., Paco, Manila</t>
  </si>
  <si>
    <t>VIGNETTE D. NAVASERO</t>
  </si>
  <si>
    <t>tmtac@tesda.gov.ph</t>
  </si>
  <si>
    <t>United Christian Academy College of Asia, Inc.</t>
  </si>
  <si>
    <t>17 Highlight St., Area 4 Fourth Estate Subd., Sucat, Parañaque City</t>
  </si>
  <si>
    <t>Rev. Dr. James C. Sy</t>
  </si>
  <si>
    <t>820-7764</t>
  </si>
  <si>
    <t>ucaphil_college@yahoo.com</t>
  </si>
  <si>
    <t>TRIPLE K'S EAST CAPITOL KITCHEN CORP. DOING BUSINESS UNDER THE NAME AND STYLE OF SPICES AND HERBS TR</t>
  </si>
  <si>
    <t>No. 707 Shaw Blvd., Brgy. Kapitolyo, Pasig City</t>
  </si>
  <si>
    <t>ANGELITA B. GO</t>
  </si>
  <si>
    <t>719-0914</t>
  </si>
  <si>
    <t>triplekseastcapitolkitchencorp@gmail.com</t>
  </si>
  <si>
    <t>Bread and Pastry Production NC II</t>
  </si>
  <si>
    <t>B AND B ACADEMY FOR SKILLS TRAINING AND ASSESSMENT INC.</t>
  </si>
  <si>
    <t>B85 L3 P2C3 KC33 St., Karangalan Village, Manggahan, Pasig City</t>
  </si>
  <si>
    <t xml:space="preserve">LALAINE J. BRINGUELO </t>
  </si>
  <si>
    <t>956-8640/0956-432-9868</t>
  </si>
  <si>
    <t>mlbtraveltours@gmail.com</t>
  </si>
  <si>
    <t xml:space="preserve">SLDM COLLEGES OF QUEZON CITY, INC. </t>
  </si>
  <si>
    <t xml:space="preserve">B1 L1 Salvador Ave. cor., Quirino Highway, Jordan Plains Subd., Quezon City </t>
  </si>
  <si>
    <t>MELODY B. DIGAO</t>
  </si>
  <si>
    <t>292-6536</t>
  </si>
  <si>
    <t>sldmcollegesofqc2014@gmail.com</t>
  </si>
  <si>
    <t>HORIZONS INSTITUTE OF TECHNOLOGY CORPORATION</t>
  </si>
  <si>
    <t>No. 1569 Rizal Ave. Cor. 10th Ave., Grace Park West, Barangay 62, Caloocan City</t>
  </si>
  <si>
    <t>Michael Angelo A. Maga</t>
  </si>
  <si>
    <t>426-8591/09175017675</t>
  </si>
  <si>
    <t>hitacc.am@gmail.com</t>
  </si>
  <si>
    <t>ICROPS INTERNATIONAL ASSESSMENT AND TRAINING CENTER, INC.</t>
  </si>
  <si>
    <t xml:space="preserve">Lot 3 Blk 2 DRJ Village, Old Sauyo Road, Barangay Sauyo, Novaliches, Quezon City </t>
  </si>
  <si>
    <t>SHAHANI LEI D. CAPIRAL</t>
  </si>
  <si>
    <t>369-5707</t>
  </si>
  <si>
    <t>icropsintlassessment@gmail.com</t>
  </si>
  <si>
    <t>ACADEMY FOR INTERNATIONAL CULINARY ARTS, INC.</t>
  </si>
  <si>
    <t xml:space="preserve">Suite U-207 Skyway Twin Tower, 351 Henry P. Javier St., Brgy., Orando Pasig City </t>
  </si>
  <si>
    <t xml:space="preserve">Mr. Michael M. Tiaoqui </t>
  </si>
  <si>
    <t>671-0276 / 671-0277 loc. 110</t>
  </si>
  <si>
    <t>registrar@aicaculinary.com</t>
  </si>
  <si>
    <t>APHRODITE TRAINING AND ASSESSMENT CENTER INC.</t>
  </si>
  <si>
    <t>0721 Navarette St., Arkong Bato, Valenzuela City</t>
  </si>
  <si>
    <t>CRISTINA MARIE M. FELICIANO</t>
  </si>
  <si>
    <t>09194994983 / 0916403254.</t>
  </si>
  <si>
    <t>aphroditetacvalenzuela2023@gmail.com</t>
  </si>
  <si>
    <t>PSAA INTERNATIONAL ACADEMY INC.</t>
  </si>
  <si>
    <t>Pandacan, City of Manila</t>
  </si>
  <si>
    <t>1745 Abdon St., Brgy. 843, Pandacan, Manila</t>
  </si>
  <si>
    <t>Riza D. Sorima-Matias</t>
  </si>
  <si>
    <t>563-8105</t>
  </si>
  <si>
    <t>psaamlatvet2011@gmail.com</t>
  </si>
  <si>
    <t>Arellano University, Inc.</t>
  </si>
  <si>
    <t>2600 Legarda St Sampaloc, Manila</t>
  </si>
  <si>
    <t>Dr. Francisco P.V. Cayco, President</t>
  </si>
  <si>
    <t>734-7371/735-3215</t>
  </si>
  <si>
    <t>autesdaoffice@arellano.edu.ph</t>
  </si>
  <si>
    <t>HIGH PERFORMANCE INTERNATIONAL TRAINING CENTER AND TRADE TEST, INC.</t>
  </si>
  <si>
    <t>1718 Mendoza Guazon St., Brgy. 831, Paco, Manila</t>
  </si>
  <si>
    <t>SAMUELITA C. LEE</t>
  </si>
  <si>
    <t>256-8642/697-2940/697-2721</t>
  </si>
  <si>
    <t>highperformance2773@gmail.com</t>
  </si>
  <si>
    <t>ST. MICHAEL ARCANGEL TECHNOLOGICAL INSTITUTE, INC.</t>
  </si>
  <si>
    <t>No. 101 Rodriguez St. Santolan Road, Malabon City</t>
  </si>
  <si>
    <t>VICTOR COLUMBUS C. CANTA</t>
  </si>
  <si>
    <t>734-0042</t>
  </si>
  <si>
    <t>smati.malabon@gmail.com</t>
  </si>
  <si>
    <t>PHILIPPINE SCHOOL FOR TECHNOLOGY DEVELOPMENT AND INNOVATION INC.</t>
  </si>
  <si>
    <t>Corner De Leon Street, Purok 1-A Kabatuhan Street, Mapulang Lupa, Valenzuela City</t>
  </si>
  <si>
    <t>Arvin C. Mamites</t>
  </si>
  <si>
    <t>(02) 750-3718</t>
  </si>
  <si>
    <t>philschooltechdevinno@gmail.com</t>
  </si>
  <si>
    <t>GLOBETEK SCIENCE FOUNDATION INC.</t>
  </si>
  <si>
    <t>7781 Saint Paul Road, San Antonio, Makati City</t>
  </si>
  <si>
    <t>JOSEPHINE B. LAGUATAN</t>
  </si>
  <si>
    <t>(02) 519-1470 to 71/(02) 8899-7781/0917-884-4873</t>
  </si>
  <si>
    <t>globetek.tvitesda@gmail.com</t>
  </si>
  <si>
    <t>SACRED HEART TECHNICAL &amp; VOCATIONAL ASSESSMENT CENTER INC.</t>
  </si>
  <si>
    <t xml:space="preserve">Quirino Highway corner Zabarte Road, Bgy. Kaligayahan Quezon City </t>
  </si>
  <si>
    <t>CHRISTOPHER ALFRED F. AZANZA</t>
  </si>
  <si>
    <t>939-1712, 939-2154</t>
  </si>
  <si>
    <t>qc.sacredheart.t2mis@gmail.com</t>
  </si>
  <si>
    <t>COLLEGE OF SAINT AMATIEL INC.</t>
  </si>
  <si>
    <t xml:space="preserve">118 Interior Gen. Luna St., Brgy. Ibaba Malabon City </t>
  </si>
  <si>
    <t>PEPITO B. TRUMATA</t>
  </si>
  <si>
    <t>497-7929</t>
  </si>
  <si>
    <t>cmnv.saintamatiel.t2mis@gmail.com</t>
  </si>
  <si>
    <t>ST. THOMAS AQUINAS INSTITUTE OF CALOOCAN INC.</t>
  </si>
  <si>
    <t>#31 Dagohoy Street corner Caimito St., Brgy. 079, Caloocan City</t>
  </si>
  <si>
    <t>EFREN E. MORENO, JR.</t>
  </si>
  <si>
    <t>02-86530178 / 09082367204</t>
  </si>
  <si>
    <t>thomas.center23@gmail.com</t>
  </si>
  <si>
    <t>CABALEN TRAINING INSTITUTE CORP.</t>
  </si>
  <si>
    <t>54 J.P. Rizal St. Project 4, Quezon City</t>
  </si>
  <si>
    <t>Lorena C. Salvador</t>
  </si>
  <si>
    <t>(02) 911-1584 loc 12</t>
  </si>
  <si>
    <t>cti@cabalen.ph</t>
  </si>
  <si>
    <t>APICIUS CULINARY ARTS AND HOTEL MANAGEMENT, INC.</t>
  </si>
  <si>
    <t>3/F LT Bldg., 8281 Dr. A. Santos Ave., Sucat, Parañaque City</t>
  </si>
  <si>
    <t>IRENE H. ESPINOSA</t>
  </si>
  <si>
    <t>8298640/2271487</t>
  </si>
  <si>
    <t>executive.assistant@apicius.edu.ph</t>
  </si>
  <si>
    <t>Lexus Academy Training and Assessment Center, Inc.</t>
  </si>
  <si>
    <t>58-B. Sta. Monica, Pasay City</t>
  </si>
  <si>
    <t>Donita Rose P. Moreno</t>
  </si>
  <si>
    <t>834-7362</t>
  </si>
  <si>
    <t>lexusacademyinc@gmail.com</t>
  </si>
  <si>
    <t>Integrated Movement Academy, Inc.</t>
  </si>
  <si>
    <t>Las Piñas City</t>
  </si>
  <si>
    <t>No. 33 Gloria Diaz St., BF Resort Village, Las Piñas City</t>
  </si>
  <si>
    <t>Glecita R. Buan</t>
  </si>
  <si>
    <t>871-2133/775-5016/552-9001</t>
  </si>
  <si>
    <t>info.imaiph@gmail.com</t>
  </si>
  <si>
    <t>MILESTONE TECHNOLOGICAL INSTITUTE, INC.</t>
  </si>
  <si>
    <t>3F JLB Bldg., Km 12 MacArthur Highway, Marulas, Valenzuela City</t>
  </si>
  <si>
    <t>FERNANDO S. LIBAO JR.</t>
  </si>
  <si>
    <t>85538078 / 09569771169</t>
  </si>
  <si>
    <t>milestone.camanava2022@gmail.com</t>
  </si>
  <si>
    <t>SAINT FRANCIS OF ASSISI COLLEGE OF ALABANG INC.</t>
  </si>
  <si>
    <t>19 Ilaya St., Alabang, Muntinlupa City</t>
  </si>
  <si>
    <t>Danilo J. Solis</t>
  </si>
  <si>
    <t>sfacalabangtvi@gmail.com</t>
  </si>
  <si>
    <t>TRINITY POLYTECHNIC COLLEGE, INC.</t>
  </si>
  <si>
    <t>Isagani Campo St., Bankers Village 2, Barangay 184, Caloocan City</t>
  </si>
  <si>
    <t>ENGR. MARIZEN S. MANALO</t>
  </si>
  <si>
    <t>85631125 / 09066928678</t>
  </si>
  <si>
    <t>trinitycaloocantvimis@gmail.com</t>
  </si>
  <si>
    <t>ST. MICHAEL CAREER FOCUSED ENHANCEMENT, INC.</t>
  </si>
  <si>
    <t>3/F, Maria Compound Bldg., 14 Nicanor Roxas St., Brgy. San Roque, Marikina City</t>
  </si>
  <si>
    <t>AMANDA BIANCA DIAZ DE RIVERA RODRIGUEZ</t>
  </si>
  <si>
    <t>961-7772</t>
  </si>
  <si>
    <t>stmichaelcareer.focused@gmail.com</t>
  </si>
  <si>
    <t>ASIA SOURCE ICOLLEGE INC.</t>
  </si>
  <si>
    <t>One Victoria Plaza, A. Mabini, Kapasigan, Pasig City</t>
  </si>
  <si>
    <t>DARIO S. ESPINEDA</t>
  </si>
  <si>
    <t>637-9895</t>
  </si>
  <si>
    <t>asiasource.academics@gmail.com</t>
  </si>
  <si>
    <t>Gateways Institute of Science and Technology, Inc.</t>
  </si>
  <si>
    <t>2/F Herminia Bldg., Commonwealth Ave., North Fairview, Quezon City</t>
  </si>
  <si>
    <t>Jose O. Montenegro</t>
  </si>
  <si>
    <t>930-4478 / 938-1834 / 09285595446</t>
  </si>
  <si>
    <t>gist.fairview2010@gmail.com</t>
  </si>
  <si>
    <t>CENTER FOR ASIAN CULINARY STUDIES INC.</t>
  </si>
  <si>
    <t>San Juan City</t>
  </si>
  <si>
    <t>175 Paterno Street, San Juan City</t>
  </si>
  <si>
    <t>EUGENIO RAMON R. GONZALEZ</t>
  </si>
  <si>
    <t>725-5089; 650-3282; 09773473277</t>
  </si>
  <si>
    <t>cacschef@gmail.com</t>
  </si>
  <si>
    <t>LCU</t>
  </si>
  <si>
    <t>Brazil St., Greenheights Subd. Phase 1 (Main) Concepcion Uno Marikina City</t>
  </si>
  <si>
    <t>JACQUELINE M. CALAYCAY RN, MAN, MSN</t>
  </si>
  <si>
    <t>Tel. 369-8650 / 369-4927</t>
  </si>
  <si>
    <t>FPTI-PUNLAAN SCHOOL</t>
  </si>
  <si>
    <t>No. 173 M. Paterno St., San Juan City</t>
  </si>
  <si>
    <t>Maria Theresa E. Nabatar</t>
  </si>
  <si>
    <t>727-0581 to 82 / 722-5671</t>
  </si>
  <si>
    <t>reg@punlaanschool.edu.ph</t>
  </si>
  <si>
    <t>UST ANGELICUM COLLEGE, INC.</t>
  </si>
  <si>
    <t>112 M.J. Cuenco St., Brgy. Sto. Domingo, Quezon City</t>
  </si>
  <si>
    <t>REV. FR. JOHN STEPHEN P. BESA, O.P.</t>
  </si>
  <si>
    <t>712-1745/ 732-3725/ 732-4239</t>
  </si>
  <si>
    <t>registrar@ustangelicum.edu.ph</t>
  </si>
  <si>
    <t>MAGSAYSAY CENTER FOR HOSPITALITY AND CULINARY ARTS, INC.</t>
  </si>
  <si>
    <t>G/F and 2/F Commercial Space Pioneer, Woodlands Tower 1 and 2, EDSA corner Pioneer St., Mandaluyong City</t>
  </si>
  <si>
    <t xml:space="preserve">PAOLO SANTINO A. GUEVARA </t>
  </si>
  <si>
    <t>721-1540</t>
  </si>
  <si>
    <t>warly.pacol@mihca.edu.ph</t>
  </si>
  <si>
    <t>Treston International College, Inc.</t>
  </si>
  <si>
    <t>Treston Building, 32nd St. corner C5 Road, Bonifacio Global City</t>
  </si>
  <si>
    <t>MARIA CAROLINA C. ABANIL</t>
  </si>
  <si>
    <t>819-6180</t>
  </si>
  <si>
    <t>mverian@treston.edu.ph</t>
  </si>
  <si>
    <t>ST. THERESE OF THE CHILD JESUS INSTITUTE OF ARTS AND SCIENCES, INC.</t>
  </si>
  <si>
    <t>4th Floor Wardley Bldg., 1991 Taft Avenue cor. San Juan St., Barangay 36, Pasay City</t>
  </si>
  <si>
    <t>MELVIN M. CRISOSTOMO</t>
  </si>
  <si>
    <t>521-7362 / 710-4211</t>
  </si>
  <si>
    <t>thereseinstitute@gmail.com</t>
  </si>
  <si>
    <t>Miesha Training Academy and Assessment Center, Inc.</t>
  </si>
  <si>
    <t>Bonanza Bldg. II, Block 1 Lot 6 Hilltop Subd., Putol na Daan St., Greater Lagro, Quezon City</t>
  </si>
  <si>
    <t>APRIL V. NUEDA</t>
  </si>
  <si>
    <t>09494508000 / 751-6420</t>
  </si>
  <si>
    <t>miesha.inc@gmail.com</t>
  </si>
  <si>
    <t>NAVOTAS VOCATIONAL TRAINING AND ASSESSMENT (NAVOTAAS) INSTITUTE</t>
  </si>
  <si>
    <t>Block 24, Phase II Area I, Dalag St. Kaunlaran Village Brgy. NBBS, Navotas City</t>
  </si>
  <si>
    <t>283-7200</t>
  </si>
  <si>
    <t>navotaasinstitute.annex1@gmail.com</t>
  </si>
  <si>
    <t>HOSPITALITY INSTITUTE OF AMERICA-PHILIPPINES INC.</t>
  </si>
  <si>
    <t>2/F UNIVERSITY CENTER BLDG., C.M. RECTO AVE., ZONE 041 BRGY. 395 SAMPALOC MANILA</t>
  </si>
  <si>
    <t>Kristian B. Vicuña</t>
  </si>
  <si>
    <t>806-43-55/ 09178598213/09084698962</t>
  </si>
  <si>
    <t>kristian.hiap@gmail.com</t>
  </si>
  <si>
    <t>DELTA TECHNOLOGICAL INSTITUTE INC.</t>
  </si>
  <si>
    <t>15 Indamaria Street, Barangay Potrero, Malabon City</t>
  </si>
  <si>
    <t>MICHAEL CARLOS CASTRO</t>
  </si>
  <si>
    <t>8710-5975 / 09175741982</t>
  </si>
  <si>
    <t>deltatechnological@gmail.com</t>
  </si>
  <si>
    <t>MANILA CULINARY &amp; HOSPITALITY ACADEMY, INC.</t>
  </si>
  <si>
    <t>663 J. Wright, Brgy. Batis, San Juan City</t>
  </si>
  <si>
    <t>CHERRYL CHUA</t>
  </si>
  <si>
    <t>7234926 / 7242756</t>
  </si>
  <si>
    <t>mchacademy.registrar@gmail.com</t>
  </si>
  <si>
    <t>3rd Floor Times Plaza Building, United Nations cor. Taft Ave., Ermita, Manila</t>
  </si>
  <si>
    <t>PAOLO SANTINO A. GUEVARA</t>
  </si>
  <si>
    <t>524-9996 loc.308/523-8538</t>
  </si>
  <si>
    <t>jewel.evangelista@mihca.edu.ph</t>
  </si>
  <si>
    <t>EMMANUEL JOHN INSTITUTE OF SCIENCE &amp; TECHNOLOGY, INC.</t>
  </si>
  <si>
    <t>No. 237 M.H. del Pliar St., Grace Park, Caloocan City</t>
  </si>
  <si>
    <t>MARLON S. PAGUIO</t>
  </si>
  <si>
    <t>332-3060</t>
  </si>
  <si>
    <t>cmnv.ejistcaloocan.t2mis@gmail.com</t>
  </si>
  <si>
    <t>CHEF MARITIME MANAGEMENT SERVICES TRAINING AND ASSESSMENT CENTER CORP.</t>
  </si>
  <si>
    <t>2nd Floor Seagull Avenue cor. First Street, Barangay San Miguel, Taguig City</t>
  </si>
  <si>
    <t>NELSON J. ALBANIEL</t>
  </si>
  <si>
    <t>09458823769 / 09298084047</t>
  </si>
  <si>
    <t>chefmaritime02taguigmain@gmail.com</t>
  </si>
  <si>
    <t>WORLD CITI, INC. DOING BUSINESS UNDER THE NAME AND STYLE OF WORLD CITI COLLEGES AND WORLD CITI MEDIC</t>
  </si>
  <si>
    <t>960 Aurora Boulevard, Cubao, Quezon City</t>
  </si>
  <si>
    <t>MELISSA F. TAROY</t>
  </si>
  <si>
    <t>9138380/4384580</t>
  </si>
  <si>
    <t>worldciticolleges2@gmail.com</t>
  </si>
  <si>
    <t>PERPETUAL HELP TECHNOLOGICAL SCHOOL, INC.</t>
  </si>
  <si>
    <t xml:space="preserve">64 Espiritu St., Tinajeros, Malabon City </t>
  </si>
  <si>
    <t>ALBERTO V. GOMEZ</t>
  </si>
  <si>
    <t>446-6765</t>
  </si>
  <si>
    <t>cmnv.perpetualhelp.t2mis@gmail.com</t>
  </si>
  <si>
    <t>IAB INTERNATIONAL TRAINING CENTER INC.</t>
  </si>
  <si>
    <t>3rd Floor Family Life Center Bristol St. North Fairview, Quezon City</t>
  </si>
  <si>
    <t>Pacquito Lcaba</t>
  </si>
  <si>
    <t>0933-8548105</t>
  </si>
  <si>
    <t>iabinternational.trainingcenter@gmail.com</t>
  </si>
  <si>
    <t>RIGHT FOCUS TRAINING CENTER, INC.</t>
  </si>
  <si>
    <t>RFTC Bldg., 1400 Pampanga Street, Sta. Cruz, Manila</t>
  </si>
  <si>
    <t>ROSALINDA O. FERNANDEZ</t>
  </si>
  <si>
    <t>02-75013324/ 02-77291903/ 0995-3920549</t>
  </si>
  <si>
    <t>rightfocus.diploma@gmail.com</t>
  </si>
  <si>
    <t>Bernardo College</t>
  </si>
  <si>
    <t>Bernardo College Compound, Pulanglupa I, Las Piñas City</t>
  </si>
  <si>
    <t>Maria Jesusan- Bernardo Guinto</t>
  </si>
  <si>
    <t>873-3330</t>
  </si>
  <si>
    <t>bernardocollege@yahoo.com</t>
  </si>
  <si>
    <t>MILLENNIUM PROPERTIES AND BROKERAGE INCORPORATED - ASTORIA CULINARY &amp; HOSPITALITY INSTITUTE</t>
  </si>
  <si>
    <t>No. 22 Gen. Araneta and Lukban Streets, Barangay San Antonio, Pasig City</t>
  </si>
  <si>
    <t xml:space="preserve">FELIMON J. REGALADO JR. </t>
  </si>
  <si>
    <t>788-1847</t>
  </si>
  <si>
    <t>training@astoriaplaza.com</t>
  </si>
  <si>
    <t>MOVERS INTERNATIONAL SCHOOL, INC.</t>
  </si>
  <si>
    <t>481 Real St., Alabang-Zapote Road, Almanza Uno, Las Piñas City</t>
  </si>
  <si>
    <t>MA. VERONICA S. ESTOR</t>
  </si>
  <si>
    <t>632 72577896 / 09178781978</t>
  </si>
  <si>
    <t>moversint.tesda@gmail.com</t>
  </si>
  <si>
    <t>Arandia College, Inc.</t>
  </si>
  <si>
    <t>Lot 1, Block 1, F. Valarao St., Airport Village, Moonwalk, Parañaque City</t>
  </si>
  <si>
    <t>FDr. Dr. Yolanda Dela Cruz Arandia</t>
  </si>
  <si>
    <t>822-4701/822-4711</t>
  </si>
  <si>
    <t>arandiacollegeinc.tac@gmail.com</t>
  </si>
  <si>
    <t>TRINITY POLYTECHNIC COLLEGE INC.</t>
  </si>
  <si>
    <t>892 Alfina Building, Quirino Highway, Gulod, Quezon City</t>
  </si>
  <si>
    <t>Maria Rosario V. Ceballo</t>
  </si>
  <si>
    <t>738-1713</t>
  </si>
  <si>
    <t>qc.trinitytvimis@gmail.com</t>
  </si>
  <si>
    <t>GLOBAL CENTER OF EDUCATION MANAGEMENT SCIENCE AND TECHNOLOGY CORP.</t>
  </si>
  <si>
    <t>7 Cabatuhan Road Deparo, Barangay 168 Caloocan City</t>
  </si>
  <si>
    <t>ATTY. SALVADOR B. BELARO JR.</t>
  </si>
  <si>
    <t>(02) 938-9575/09257622699</t>
  </si>
  <si>
    <t>gcemsat2019@gmail.com</t>
  </si>
  <si>
    <t>INFOTECH COLLEGE OF ARTS AND SCIENCES PHILIPPINES, INC.</t>
  </si>
  <si>
    <t>3rd Floor Buenviaje Bldg., Felix Ave., cor. Marcos Highway, Midtown III Subd., San Roque, Marikina City</t>
  </si>
  <si>
    <t>MR. JOHN PAULO C. CAHAPAY</t>
  </si>
  <si>
    <t>8641-7104/09981881309</t>
  </si>
  <si>
    <t>icasmarcoshighway@gmail.com</t>
  </si>
  <si>
    <t>INTEGRATED INNOVATION AND HOSPITALITY COLLEGES, INC.</t>
  </si>
  <si>
    <t>Buenamar Subdivision, Buenamar Drive, Brgy. Novaliches Proper, Novaliches, District 5, Quezon City</t>
  </si>
  <si>
    <t>JOEY Q. MANALO</t>
  </si>
  <si>
    <t>754-9645</t>
  </si>
  <si>
    <t>qc.integratedinnovation.t2mis@gmail.com</t>
  </si>
  <si>
    <t>MANILA ATELIER OF FOOD ARTS AND HOSPITALITY, INC.</t>
  </si>
  <si>
    <t>537 UNITED NATIONS AVENUE, ERMITA, MANILA</t>
  </si>
  <si>
    <t>Jovito E. Rodriguez</t>
  </si>
  <si>
    <t>995-3650 / 998-6153</t>
  </si>
  <si>
    <t>mlaatelier17@gmail.com</t>
  </si>
  <si>
    <t>Asia Source College of Arts and Technology, Inc.</t>
  </si>
  <si>
    <t>4/F Gate 3 Plaza, Lawton Avenue cor. Juliano Ave., AFPOVAI Phase lll, Western Bicutan, Taguig City</t>
  </si>
  <si>
    <t>Dario S. Espineda</t>
  </si>
  <si>
    <t>553-5202/869-8824</t>
  </si>
  <si>
    <t>GLOBAL CULINARY &amp; HOSPITALITY ACADEMY, INC.</t>
  </si>
  <si>
    <t>4/F Millenium Place Bldg., Meralco Ave. and Sapphire Road, Ortigas Center, Brgy. San Antonio, Pasig City</t>
  </si>
  <si>
    <t>Benjamin N. Ledesma Jr.</t>
  </si>
  <si>
    <t>633-6382 / 638-9183</t>
  </si>
  <si>
    <t>registrar.globalacademy@gmail.com</t>
  </si>
  <si>
    <t>C. I. Plaza Bldg. Zabarte Road Novaliches, Quezon City</t>
  </si>
  <si>
    <t>Javelyn B. Pineda</t>
  </si>
  <si>
    <t>qc.integinnovationtvimis@gmail.com</t>
  </si>
  <si>
    <t>OUR LADY OF LOURDES COLLEGE INC</t>
  </si>
  <si>
    <t xml:space="preserve">5037 Gen. T. de Leon St. Valenzuela City </t>
  </si>
  <si>
    <t>DR. ADELIA C. DEMETILLO</t>
  </si>
  <si>
    <t>293-9372/293-5009</t>
  </si>
  <si>
    <t>cmnv.ollci.tvimis@gmail.com</t>
  </si>
  <si>
    <t>ST. LOUISE DE MARILLAC INTERNATIONAL FOUNDATION, INC.</t>
  </si>
  <si>
    <t>B34 L4 Adelfa St., Evergreen Executive Village, Bagumbong, Caloocan City</t>
  </si>
  <si>
    <t>MELINDA B. MENDOZA, DBA</t>
  </si>
  <si>
    <t>930-1752</t>
  </si>
  <si>
    <t>stlouisedemarillac2015@gmail.com</t>
  </si>
  <si>
    <t>DIVINE MERCY COLLEGE FOUNDATION, INC.</t>
  </si>
  <si>
    <t>129 Jose P. Bautista Avenue, Caloocan City</t>
  </si>
  <si>
    <t>MA. PAULA ISABELLA M. SALANDANAN</t>
  </si>
  <si>
    <t>361-19-22/350-83-67/362-31-47</t>
  </si>
  <si>
    <t>tesda@dmcfi.edu.ph</t>
  </si>
  <si>
    <t>SANTA CELERINA INSTITUTE OF TECHNOLOGY (SCITEC) INC.</t>
  </si>
  <si>
    <t>2248 Rizal Avenue, Brgy. 347, Sta. Cruz, Manila</t>
  </si>
  <si>
    <t>CELERINA T. MONTORIO</t>
  </si>
  <si>
    <t>7257-7856</t>
  </si>
  <si>
    <t>scitec.manila@gmail.com</t>
  </si>
  <si>
    <t>EMMAUS CHRISTIAN SCHOOLS, INCORPORATED</t>
  </si>
  <si>
    <t>No. 309 M.H. del Pilar Road, Malanday Valenzuela City</t>
  </si>
  <si>
    <t>Francesca Kitchie F. Espanto</t>
  </si>
  <si>
    <t>443-4048/931-4227/426-5211</t>
  </si>
  <si>
    <t>tvioffice@emmauschristianschool.net</t>
  </si>
  <si>
    <t>SHIP HOTEL CRUISE INSTITUTE OF THE PHILS., INC.</t>
  </si>
  <si>
    <t>22nd Flr., BDO Plaza, Paseo de Roxas cor. Makati Avenue, 1227 Salcedo Village, Makati City</t>
  </si>
  <si>
    <t>Yvette Marie F. Mago</t>
  </si>
  <si>
    <t>892-8280/894-3270</t>
  </si>
  <si>
    <t>yvette.mago@yahoo.com</t>
  </si>
  <si>
    <t>MAVI ARTS AND VOCATIONAL INSTITUTE, INC.</t>
  </si>
  <si>
    <t>1036-A MORONG ST. BGY. 205 TONDO MANILA</t>
  </si>
  <si>
    <t>ROSALIN B. ORDOÑA</t>
  </si>
  <si>
    <t>251-3665</t>
  </si>
  <si>
    <t>maviartsvocationalinstitute@gmail.com</t>
  </si>
  <si>
    <t>Integrated Innovation and Hospitality Colleges, Inc.</t>
  </si>
  <si>
    <t>Lots 1 and 2, Block 11, Nissan St., Zabarte Road Extension, Brixton Ville Subdivision Bgy. 175, Camarin, Caloocan City</t>
  </si>
  <si>
    <t>iihcollegebrixton2020@gmail.com</t>
  </si>
  <si>
    <t>Olivarez College, Inc.</t>
  </si>
  <si>
    <t>Dr. A. Santos Ave., Barangay San Dionisio, Parañaque City</t>
  </si>
  <si>
    <t>Dr. Eric L. Olivarez</t>
  </si>
  <si>
    <t>825-71-89, 825-71-19 fax - 825-87-12</t>
  </si>
  <si>
    <t>Ocp.tesda@olivarezcollege.edu.ph</t>
  </si>
  <si>
    <t>ELECTRON COLLEGE OF TECHNICAL EDUCATION CORPORATION (FORMERLY: ELECTRON TECHNICAL TRAINING CENTER, I</t>
  </si>
  <si>
    <t>No. 664 Electron Bldg. Quirino Highway, Bagbag Novaliches, Quezon City</t>
  </si>
  <si>
    <t>Dominador V. Solis</t>
  </si>
  <si>
    <t>418-2232/ 352-0081 / 954-0483</t>
  </si>
  <si>
    <t>electroncollegetesda@gmail.com</t>
  </si>
  <si>
    <t>International School for Culinary Arts and Hotel Management Quezon City, Inc.</t>
  </si>
  <si>
    <t>4/F FBR Arcade, Katipunan Avenue, Quezon City</t>
  </si>
  <si>
    <t>Ralph Pinza</t>
  </si>
  <si>
    <t>926-8888/ 920-1481/ 426-7672</t>
  </si>
  <si>
    <t>ralph.pinza@iscahm.com</t>
  </si>
  <si>
    <t>St. Francis de Assissi Educational Foundation, Inc.</t>
  </si>
  <si>
    <t>045 Admiral Village, Talon III, Las Piñas City</t>
  </si>
  <si>
    <t>468-633/800-3097</t>
  </si>
  <si>
    <t>solisdanilo@yahoo.com</t>
  </si>
  <si>
    <t>West Bay Colleges, Inc.</t>
  </si>
  <si>
    <t>No. 103 A. Bunye St. Alabang, Muntinlupa City</t>
  </si>
  <si>
    <t>Bettina B. Chiongbian</t>
  </si>
  <si>
    <t>850-2956/850-3163/850-3028</t>
  </si>
  <si>
    <t>tesda@wbc.edu.ph</t>
  </si>
  <si>
    <t>3rd Floor, Maria Compound Bldg., 14 Nicanor Roxas St. Brgy. San Roque, Marikina City</t>
  </si>
  <si>
    <t>AMANDA BIANCA DDR. RODRIGUEZ</t>
  </si>
  <si>
    <t>795-05057</t>
  </si>
  <si>
    <t>stmichaelcareer.pasmak@gmail.com</t>
  </si>
  <si>
    <t>SYLT FIRST GOURMET ACADEMY INC.</t>
  </si>
  <si>
    <t>Capitol GreenStreet, Capitol Hills Golf Club, Capitol Hills Drive, Old Balara, Quezon City</t>
  </si>
  <si>
    <t>951-9655 / 951-1687</t>
  </si>
  <si>
    <t>student@firstgourmetacademy.com</t>
  </si>
  <si>
    <t>Unit 1011-1012, Lower ground level, East Wing, Shangri-La Plaza Mall, Mandaluyong City</t>
  </si>
  <si>
    <t>MS. ROSALY A. LAGATIC</t>
  </si>
  <si>
    <t>951-9655/ 951-1687</t>
  </si>
  <si>
    <t>ortigas@firstgourmetacademy.com</t>
  </si>
  <si>
    <t>ASIAN CAREGIVING AND TECHNOLOGY EDUCATION CENTERS, INC.</t>
  </si>
  <si>
    <t>419 D &amp; I Building EDSA Avenue, Barangay 86 Caloocan City</t>
  </si>
  <si>
    <t>Jonas Jay D. Lorenzo</t>
  </si>
  <si>
    <t>8366-3975</t>
  </si>
  <si>
    <t>actecschool.caloocan@gmail.com</t>
  </si>
  <si>
    <t>CALITY CARE TRAINING AND ASSESSMENT INC.</t>
  </si>
  <si>
    <t>118 Armstrong Avenue corner Glen St., Moonwalk Village, Phase 2, Parañaque City</t>
  </si>
  <si>
    <t>Rona E. Cabrido</t>
  </si>
  <si>
    <t>calitycaretraining@gmail.com</t>
  </si>
  <si>
    <t>COCHA CENTRE OF CULINARY HOTEL ARTS TRAINING AND ASSESSMENT INC.</t>
  </si>
  <si>
    <t>Unit C, 2/F, Lourdes Arcade, No. 986 Tandang Sora Ave., Quezon City</t>
  </si>
  <si>
    <t>Estela C. Liban</t>
  </si>
  <si>
    <t>436-5781 / 435-6857</t>
  </si>
  <si>
    <t>cochaculinary@gmail.com</t>
  </si>
  <si>
    <t>DEAN &amp; DELUCA (PHILIPPINES) INC.</t>
  </si>
  <si>
    <t>Enterprise/Company</t>
  </si>
  <si>
    <t>Ore Central, 9th Avenue Corner 31st Street, Bonifacio Global City, Taguig City</t>
  </si>
  <si>
    <t>MARISSA B. CABANTING</t>
  </si>
  <si>
    <t>(02) 88891129 loc. 109</t>
  </si>
  <si>
    <t>tesda.deandeluca@gmail.com</t>
  </si>
  <si>
    <t>ASIA PACIFIC CAREGIVER &amp; HEALTHCARE TRAINING CENTER, INC.</t>
  </si>
  <si>
    <t>Room 501, Panorama Building, 1139 EDSA, Quezon City (former address: Unit 501, 5th Floor , Panorama Building, 1139 EDSA Quezon City)</t>
  </si>
  <si>
    <t>Marlina S. Tan</t>
  </si>
  <si>
    <t>(02) 410-3331</t>
  </si>
  <si>
    <t>apcaregiversinc@gmail.com</t>
  </si>
  <si>
    <t>Caregiving NC II</t>
  </si>
  <si>
    <t>PHILIPPINE INSTITUTE OF MEDICAL TRAINING AND DEVELOPMENT INC.</t>
  </si>
  <si>
    <t>De Oro Bldg. Sierra, Madre St. Sierra Madre Side, Malamig, Mandaluyong City</t>
  </si>
  <si>
    <t>Nicu A. Godinez. RME, HD, Ph.D.</t>
  </si>
  <si>
    <t>7001-1137/ 09355705573</t>
  </si>
  <si>
    <t>piom.training@gmail.com</t>
  </si>
  <si>
    <t>Caregiving (Elderly) NC II</t>
  </si>
  <si>
    <t>DA VINCI ALLIED HEALTH SCIENCES TRAINING INSTITUTE INC.</t>
  </si>
  <si>
    <t>3/F Avisha Center, #94 Gil Fernando Ave., Sta. Elena, Marikina City</t>
  </si>
  <si>
    <t>KRISTIANE ANTON P PADILLA</t>
  </si>
  <si>
    <t>0916-608-5492</t>
  </si>
  <si>
    <t>davinci.institute.2020@gmail.com</t>
  </si>
  <si>
    <t>EJ TRAINING AND ASSESSMENT CENTER INC.</t>
  </si>
  <si>
    <t>Lot 1-C Mangga Street, corner Lawaan Street, Amparo Subdivision, Barangay 179, District 3, Caloocan City</t>
  </si>
  <si>
    <t>CAROLINA C. CONSTANTINO</t>
  </si>
  <si>
    <t>trainingcenterej@gmail.com</t>
  </si>
  <si>
    <t>MOTHER THERESA INSTITUTE OF TECHNOLOGY AND ASSESSMENT CENTER INC.</t>
  </si>
  <si>
    <t>No. 11 E. Manalo Avenue, Paliparan, Sto. Niño, Marikina City</t>
  </si>
  <si>
    <t>REMEDIOS A. VILLANUEVA</t>
  </si>
  <si>
    <t>948-0402</t>
  </si>
  <si>
    <t>geugenio11@yahoo.com</t>
  </si>
  <si>
    <t>A &amp; A Bldg., 120 P. Jacinto cor. Boni Serrano St. Calaanan East, Caloocan City</t>
  </si>
  <si>
    <t xml:space="preserve">Jonas Jay D. Lorenzo </t>
  </si>
  <si>
    <t>366-3975/ 367-8233/ 366-9282</t>
  </si>
  <si>
    <t>SOCIO INTER SKILLS TRAINING ACADEMY (SISTA) INC.</t>
  </si>
  <si>
    <t>185B, J.P. Rizal St., Barangay Tejeros, Makati City</t>
  </si>
  <si>
    <t>RIDGIE S. ORINA</t>
  </si>
  <si>
    <t>0917-864-5551</t>
  </si>
  <si>
    <t>sociointerskillstvi@gmail.com</t>
  </si>
  <si>
    <t>MARY CHILES HOSPITAL, INC. DOING BUSINESS UNDER THE NAME AND STYLE OF MARY CHILES GEN. HOSPITAL; MARY CHILES COLLEGE AND MCC CHILDBIRTH AND WOMEN'S CENTER</t>
  </si>
  <si>
    <t>667 F.T. Dalupan Sr. Street, Sampaloc, Manila</t>
  </si>
  <si>
    <t>Marivic C. Diaz</t>
  </si>
  <si>
    <t xml:space="preserve"> 735-54-3 / 735-5341 Loc 286</t>
  </si>
  <si>
    <t>mcctvet@gmail.com</t>
  </si>
  <si>
    <t>ABEST RESOURCE DEVELOPMENT INC.</t>
  </si>
  <si>
    <t xml:space="preserve">2814-I Violeta Court F.B. Harrison St., Pasay City </t>
  </si>
  <si>
    <t>JOHN RHEN S. SAGER</t>
  </si>
  <si>
    <t>556-5174</t>
  </si>
  <si>
    <t>abestresource2009@gmail.com</t>
  </si>
  <si>
    <t>GOLD LANE INTERNATIONAL TRAINING SKILLS, INC.</t>
  </si>
  <si>
    <t>618 Gamban St., Brgy. 138, Pasay City</t>
  </si>
  <si>
    <t>GERALD CHRISTOPHER M. NUÑEZ</t>
  </si>
  <si>
    <t>894-20-51</t>
  </si>
  <si>
    <t>goldlaneinternationaltraining@gmail.com</t>
  </si>
  <si>
    <t>WCU SKILLS ACADEMY INC.</t>
  </si>
  <si>
    <t>3rd Floor PMJ Building, Evangelista corner Cuangco Street, Brgy. Pio Del Pilar, Makati City</t>
  </si>
  <si>
    <t>CARMENCITA D. UY</t>
  </si>
  <si>
    <t>(02) 8709-0600</t>
  </si>
  <si>
    <t>wcuskillsacademy@gmail.com</t>
  </si>
  <si>
    <t>CAP TRAINING AND ASSESSMENT CENTER INC.</t>
  </si>
  <si>
    <t>421 El Grande St., B.F. Homes, Parañaque City</t>
  </si>
  <si>
    <t>Cherry May D. Quinsay</t>
  </si>
  <si>
    <t>505-4912</t>
  </si>
  <si>
    <t>mpltp.captraining.tvimis@gmail.com</t>
  </si>
  <si>
    <t xml:space="preserve">OUR LADY OF GUADALUPE COLLEGE, INC., </t>
  </si>
  <si>
    <t>Siera Madre Cor. Esteban St., Mandaluyong City</t>
  </si>
  <si>
    <t>MS. MA. VICTORIA T. VERGEL DE DIOS</t>
  </si>
  <si>
    <t>Tel. 535-5885 - 86</t>
  </si>
  <si>
    <t>olgctess@gmail.com</t>
  </si>
  <si>
    <t>ST. AUGUSTINE COLLEGE-LAS PIÑAS CITY INC. (FORMERLY: ST. AUGUSTINE SCHOOL OF NURSING - LAS PIÑAS CITY, INC.)</t>
  </si>
  <si>
    <t>165 Real St. Alabang, Zapote Rd., Pamplona 1, Las Piñas City</t>
  </si>
  <si>
    <t>Rona M. Tolentino</t>
  </si>
  <si>
    <t>sasn_laspinas@amaes.edu.ph</t>
  </si>
  <si>
    <t>Emilio Aguinaldo Educational Corporation Doing Business Under The Name And Style Of Aguinaldo International School And Emilio Aguinaldo College (formerly: Emilio Aguinaldo College)</t>
  </si>
  <si>
    <t>1113-1117 San Marcelino St., cor., Gonzales St., Ermita, Manila</t>
  </si>
  <si>
    <t>JOSE PAULO E. CAMPOS, Ed.D.</t>
  </si>
  <si>
    <t>521-2710 loc. 5602</t>
  </si>
  <si>
    <t>eacsmidwiferycaregiver@gmail.com</t>
  </si>
  <si>
    <t>PRO-TECH SKILLS DEVELOPMENT CENTER CORPORATION</t>
  </si>
  <si>
    <t>6488 P. Medina St., Pio Del Pilar, Makati City</t>
  </si>
  <si>
    <t>JOSE LORENZO E. BEECH</t>
  </si>
  <si>
    <t>(02) 526-4838</t>
  </si>
  <si>
    <t>Joelo@pro-techcorp.com</t>
  </si>
  <si>
    <t>CORINTH GLOBAL JAPANESE LANGUAGE AND CULTURE SKILLS TRAINING AND ASSESSMENT CENTER, INCORPORATED (FORMERLY: CORINTH GLOBAL JAPANESE LANGUAGE AND SKILLS TRAINING CENTER INC.)</t>
  </si>
  <si>
    <t>No. 6586 Dahlia St., San Dionisio, Gatchalian 1, Parañaque City</t>
  </si>
  <si>
    <t>Deborah Z. Daquis</t>
  </si>
  <si>
    <t>822-9120</t>
  </si>
  <si>
    <t>cgjst@yahoo.com.ph</t>
  </si>
  <si>
    <t>ILEAD - MEDIC SCHOOL FOR HEALTH CARE SCIENCES INC.</t>
  </si>
  <si>
    <t>Santa Ana, City of Manila</t>
  </si>
  <si>
    <t>3381 Tuazon Bldg., Brgy. 893, New Panaderos, Sta. Ana, Manila</t>
  </si>
  <si>
    <t>Dr. Chaysee Jan D. Sibug, Ph.D, RN</t>
  </si>
  <si>
    <t>(02) 8638 2613</t>
  </si>
  <si>
    <t>ileadmedicschoolmla@gmail.com</t>
  </si>
  <si>
    <t>EMMANUEL HEALTHCARE SKILLS TRAINING AND ASSESSMENT CENTER, INC.</t>
  </si>
  <si>
    <t>1060 Panay St., Barangay 556, Sampaloc, Manila</t>
  </si>
  <si>
    <t>Mart Anthony D. Barroga</t>
  </si>
  <si>
    <t>358-7070</t>
  </si>
  <si>
    <t>machobarroga@gmail.com</t>
  </si>
  <si>
    <t>CPDC TRAINING &amp; TESTING CORP.</t>
  </si>
  <si>
    <t>Lontoc cor. Virata St. near Samaca II, Brgy. Calzada, Taguig City</t>
  </si>
  <si>
    <t>Ralph Emerson M. Mactal</t>
  </si>
  <si>
    <t>cpdccorp@gmail.com</t>
  </si>
  <si>
    <t>N.T. Language Inc.</t>
  </si>
  <si>
    <t>6/F NT Center Bldg., Alabang-Zapote Rd., Tierra Nueva Village, Muntinlupa City</t>
  </si>
  <si>
    <t xml:space="preserve">Mr. Toffey Reyes </t>
  </si>
  <si>
    <t>842-8207 / 0927-9561243</t>
  </si>
  <si>
    <t>ntli.cgv@gmail.com</t>
  </si>
  <si>
    <t>St. Augustine School of Nursing - Las Piñas City, Inc.</t>
  </si>
  <si>
    <t>873-4060/873-5841</t>
  </si>
  <si>
    <t>Talon Dos Institute of Technology</t>
  </si>
  <si>
    <t>Cynthia Ugalde St., BF Resort Village,Talon II, Las Pinas City</t>
  </si>
  <si>
    <t>Pablito Ugali Jr.</t>
  </si>
  <si>
    <t>552-73-95</t>
  </si>
  <si>
    <t>tesda_tdit@yahoo.com.ph</t>
  </si>
  <si>
    <t>Chinese General Hospital Colleges, Inc. (Formerly: Chinese General College of Nursing and Liberal Arts, Inc.)</t>
  </si>
  <si>
    <t>No. 286 Blumentritt Street, Sta. Cruz, Manila</t>
  </si>
  <si>
    <t>Vilma P. Albo, RM, RN, MAN</t>
  </si>
  <si>
    <t>711-4141 loc. 601</t>
  </si>
  <si>
    <t>vilma_albo@yahoo.com</t>
  </si>
  <si>
    <t>University of Perpetual Help Rizal</t>
  </si>
  <si>
    <t>Pamplona III, Las Pinas City</t>
  </si>
  <si>
    <t>Arnaldo S. De Guzman, STh.D.</t>
  </si>
  <si>
    <t>871-06-39 loc. 202</t>
  </si>
  <si>
    <t>tesda.laspinas@perpetualdalta.edu.ph</t>
  </si>
  <si>
    <t>ST. PAUL UNIVERSITY QUEZON CITY, INC.</t>
  </si>
  <si>
    <t>Gilmore Ave. corner Aurora Blvd., Cubao, Quezon City</t>
  </si>
  <si>
    <t>Maria Luz Lourdes M. Paulino</t>
  </si>
  <si>
    <t>726-7986 to 88/ 722-1865</t>
  </si>
  <si>
    <t>spuqc.ccdals2020@gmail.com</t>
  </si>
  <si>
    <t>YAMAHEI TRAINING AND ASSESSMENT CENTER CORPORATION</t>
  </si>
  <si>
    <t>10 San Mauricio St., Brgy. Batis, San Juan City</t>
  </si>
  <si>
    <t>MARIA ROSANNA S. REYES</t>
  </si>
  <si>
    <t>570-7437</t>
  </si>
  <si>
    <t>info@yamaheitaacc.com</t>
  </si>
  <si>
    <t>DR. CARLOS S. LANTING COLLEGE, INC. (FORMERLY DR. CARLOS S. LANTING SCHOOL OF MIDWIFERY, INCORPORATE</t>
  </si>
  <si>
    <t>16 Tandang Sora Avenue, Quezon City</t>
  </si>
  <si>
    <t>939-7229 / 930-5299</t>
  </si>
  <si>
    <t>recordsregistrar@yahoo.com</t>
  </si>
  <si>
    <t>LUXEBEAUTE INTERNATIONAL ACADEMY INC.</t>
  </si>
  <si>
    <t>No. 257 4F, Unit1, RMR Centre, Doña Soledad Extension Avenue, Brgy. Don Bosco, Parañaque City</t>
  </si>
  <si>
    <t>REMEDIOS O. ABAD</t>
  </si>
  <si>
    <t>(02) 7149 5188 / 09178623894 / 09153742986</t>
  </si>
  <si>
    <t>luxebeaute.it@gmail.com</t>
  </si>
  <si>
    <t>UNIVERSAL COLLEGES OF PARAÑAQUE INC. (FORMERLY: UNIVERSAL COLLEGE OF NURSING INC.)</t>
  </si>
  <si>
    <t>8273 Dr. A. Santos Avenue, Sucat, Parañaque City</t>
  </si>
  <si>
    <t>Domingo T. Tay</t>
  </si>
  <si>
    <t>820-4276/829-8615</t>
  </si>
  <si>
    <t>uctesdadepartment@gmail.com</t>
  </si>
  <si>
    <t>FURIO AND ASSOCIATES REVIEW AND HEALTHCARE TRAINING CENTER INC.</t>
  </si>
  <si>
    <t>160 Pascual 1, Sucat, San Antonio, Parañaque City</t>
  </si>
  <si>
    <t>MARILOU P. FURIO</t>
  </si>
  <si>
    <t>MARTINEZ TRAINING CENTER FOR HEALTH SERVICES, INC.</t>
  </si>
  <si>
    <t>3rd Flr. Martinez Memorial Hospital, 198 A. Mabini St., Maypajo, Caloocan City</t>
  </si>
  <si>
    <t>285-5091 / 288-4279/ 288-8861</t>
  </si>
  <si>
    <t>SAKURA CAREGIVER AND HEALTHCARE SCHOOL, INC.</t>
  </si>
  <si>
    <t>#3 Aria Street, Sta. Cecilia Village, Talon Dos, Las Piñas City</t>
  </si>
  <si>
    <t>ARIEL G. TAN</t>
  </si>
  <si>
    <t>imie@sakuracaregiver.com</t>
  </si>
  <si>
    <t>D.M. Consunji Technical Training Center, Inc.</t>
  </si>
  <si>
    <t xml:space="preserve">DMCI Compound, C-5 Rd., Brgy. Ususan, Taguig City </t>
  </si>
  <si>
    <t>Marlon T. Tadeo</t>
  </si>
  <si>
    <t>570-6419/20</t>
  </si>
  <si>
    <t>LAUGNTADEO@YAHOO.COM</t>
  </si>
  <si>
    <t>Carpentry NC II</t>
  </si>
  <si>
    <t>PASAY-MAKATI DISTRICT TRAINING AND ASSESSMENT CENTER (PMDTAC)</t>
  </si>
  <si>
    <t>Building 15, TESDA Complex, East Service Road, South Superhighway, Taguig City</t>
  </si>
  <si>
    <t>VERNADETTE D. FLORES-GONZALES</t>
  </si>
  <si>
    <t>pmdtac@tesda.gov.ph</t>
  </si>
  <si>
    <t>QTEK TRAINING AND ASSESSMENT CENTER INC.</t>
  </si>
  <si>
    <t>10 A.H. Poblador St., Brgy. Hagdan Bato, Libis, Mandaluyong City</t>
  </si>
  <si>
    <t xml:space="preserve">MARIA CRISELLA O. BINAYUG </t>
  </si>
  <si>
    <t>964-2237 / 0917-300-5827 / 0942-0359736</t>
  </si>
  <si>
    <t>mcobinayug@qtekcenter.com</t>
  </si>
  <si>
    <t>Commercial Cooking NC III</t>
  </si>
  <si>
    <t>Commercial Cooking NC IV</t>
  </si>
  <si>
    <t>A1VENTURES TECHNICAL AND VOCATIONAL ACADEMY INC.</t>
  </si>
  <si>
    <t>815 Room 301, 3rd Floor CSP Building Que-zon Ave Santa Cruz, Quezon City</t>
  </si>
  <si>
    <t>KRISTINA MARIE R. CHUA</t>
  </si>
  <si>
    <t>A1VENTURESTECHVOCCORP@GMAIL.COM</t>
  </si>
  <si>
    <t>Computer Systems Servicing NC II</t>
  </si>
  <si>
    <t>ACLC COLLEGE OF MANILA, INC.</t>
  </si>
  <si>
    <t>Sampaloc Manila 2355 Legarda Corner Manrique Sts. Barangay 416 Sampaloc, City of Manila</t>
  </si>
  <si>
    <t>ARIZA N. BIHASA</t>
  </si>
  <si>
    <t>.373-3901 loc 8283/09175075807/09228561278</t>
  </si>
  <si>
    <t>aclccollegeofmanila@gmail.com</t>
  </si>
  <si>
    <t>ARAYA SKILLS DEVELOPMENT INSTITUTE, CORP.</t>
  </si>
  <si>
    <t>Unit 302, 304 and 1502 Jafer Place Building Eisenhower St. Greenhills, San Juan City</t>
  </si>
  <si>
    <t>Ms. Teresa A. Jondonero</t>
  </si>
  <si>
    <t>727-6731 / 985-5895</t>
  </si>
  <si>
    <t>arayaskillsdic@gmail.com</t>
  </si>
  <si>
    <t>ASIAN CHRISTIAN THEOLOGICAL SCHOOL &amp; COLLEGES INC.</t>
  </si>
  <si>
    <t>503 Eagle St., Blk 5, G2 Village, Brgy. Pinagsama, Taguig City</t>
  </si>
  <si>
    <t>JOVENCIO GAGTAN</t>
  </si>
  <si>
    <t>666-3946 / 09272331562</t>
  </si>
  <si>
    <t>actscolleges2008@gmail.com</t>
  </si>
  <si>
    <t>BELART TRAINING AND ASSESSSMENT CENTER INC.</t>
  </si>
  <si>
    <t>682 Shaw Blvd., Kapitolyo, Pasig City</t>
  </si>
  <si>
    <t>BRYAN ARTHUR M. DAVID</t>
  </si>
  <si>
    <t>bryan_david902@yahoo.com</t>
  </si>
  <si>
    <t>BLUERIDGE PACIFIC INSTITUTE, INC.</t>
  </si>
  <si>
    <t>Binondo, City of Manila</t>
  </si>
  <si>
    <t>No. 357 W. Burke St., Binondo, Manila</t>
  </si>
  <si>
    <t>RODOLFO C. REYES</t>
  </si>
  <si>
    <t>blueridgepacific@yahoo.com</t>
  </si>
  <si>
    <t>BOWLINE TRAINING &amp; ASSESSMENT CENTER, INC.</t>
  </si>
  <si>
    <t>No. 9 Martilyete St., Midtwon Subd., San Roque, Marikina City</t>
  </si>
  <si>
    <t>DANILO BLASITO A. FERNANDEZ</t>
  </si>
  <si>
    <t>682-0165/645-0444</t>
  </si>
  <si>
    <t>bowline.center2007@gmail.com</t>
  </si>
  <si>
    <t xml:space="preserve">CANE TOWN COLLEGES OF THE PHILIPPINES, INC. DOING BUSINESS UNDER THE NAME AND STYLE OF PROFESSIONAL </t>
  </si>
  <si>
    <t>2nd Floor Rear Ablaza Building, 117 E. Rodriguez Sr. Avenue, Quezon City</t>
  </si>
  <si>
    <t>LENIE M. SANTIAGO</t>
  </si>
  <si>
    <t>353-7981</t>
  </si>
  <si>
    <t>canetowncollegesofthephils12@gmail.com</t>
  </si>
  <si>
    <t>CAPELLAN INSTITUTE OF TECHNOLOGY, INC.</t>
  </si>
  <si>
    <t>No. 35 Dr. Pilapil St., Sagad, Pasig City</t>
  </si>
  <si>
    <t xml:space="preserve"> Engr. Benedicto A. Capellan</t>
  </si>
  <si>
    <t>641-5648/642-0702</t>
  </si>
  <si>
    <t>citpasig@gmail.com</t>
  </si>
  <si>
    <t xml:space="preserve">CENTRAL INSTITUTE OF TECHNOLOGY OF QUEZON CITY, INC. </t>
  </si>
  <si>
    <t>2nd Floor Our Home Bldg., 114 Malakas St. Diliman, Quezon City</t>
  </si>
  <si>
    <t xml:space="preserve">Cecilio B. Pingkian </t>
  </si>
  <si>
    <t>(02) 925-2554  435-7010</t>
  </si>
  <si>
    <t>cit_2013@yahoo.com</t>
  </si>
  <si>
    <t>E-GLOBAL INTERNATIONAL COMMUNICATIONS, INC.</t>
  </si>
  <si>
    <t xml:space="preserve">Mezzanine A 707 Shaw Blvd., Brgy. Kapitolyo, Pasig City </t>
  </si>
  <si>
    <t>EMERSON CHESTER KIM B. GO</t>
  </si>
  <si>
    <t>584-7200/0917-5187073</t>
  </si>
  <si>
    <t>eglobalinternationalcom@gmail.com</t>
  </si>
  <si>
    <t>GRACE MANILA LEARNING INSTITUTE INC.</t>
  </si>
  <si>
    <t>LP2 2F 2311 Taft Ave. Cor. Castro Streets, Malate-Barangay 709, Manila</t>
  </si>
  <si>
    <t>ROBINA MARIE K. TAN</t>
  </si>
  <si>
    <t>0917-627-2464</t>
  </si>
  <si>
    <t>GManilaLearningInstitute@gmail.com</t>
  </si>
  <si>
    <t>HEADSTART TRAINING CENTER CORP.</t>
  </si>
  <si>
    <t>4F St. Jerome Mansion, 82 Victoneta Ave., Potrero, Malabon City</t>
  </si>
  <si>
    <t>FLORINDA V. VALERA</t>
  </si>
  <si>
    <t>headstartcenter1@gmail.com</t>
  </si>
  <si>
    <t>HONORIO LOPEZ TECHNICAL INSTITUTE INC.</t>
  </si>
  <si>
    <t>3rd Floor, Primeblock Building, Tutuban Center, C.M. Recto Avenue, Barangay 247, Tondo, Manila</t>
  </si>
  <si>
    <t xml:space="preserve">Honorio Ramon Lopez </t>
  </si>
  <si>
    <t>02-82984556</t>
  </si>
  <si>
    <t>HonoriolopezTII@gmail.com</t>
  </si>
  <si>
    <t>HYPER YOUNG INSTITUTE OF TECHNOLOGY INC.</t>
  </si>
  <si>
    <t>113 M.H. Del Pilar Street Palatiw, Pasig City</t>
  </si>
  <si>
    <t>AYESA V. PABELLANO</t>
  </si>
  <si>
    <t>250-1464</t>
  </si>
  <si>
    <t>hyperyoung2018@gmail.com</t>
  </si>
  <si>
    <t>87 Dream Flower Andrea 2, Rosario, Pasig City</t>
  </si>
  <si>
    <t>MS. AYESA V. PABELLANO</t>
  </si>
  <si>
    <t>7007-9416</t>
  </si>
  <si>
    <t>hyitadmin@hyperyoung2018.com</t>
  </si>
  <si>
    <t>IMMACULADA CONCEPCION COLLEGE OF SOLDIERS HILLS CALOOCAN CITY INC.</t>
  </si>
  <si>
    <t>Soldiers Hills III Subd.,Brgy. 180, Tala, Caloocan City</t>
  </si>
  <si>
    <t>MARCELINO VINCENTE AGANA, Ph.D.</t>
  </si>
  <si>
    <t>89359986 / 87094225</t>
  </si>
  <si>
    <t>icctvet@immaculada.edu.ph</t>
  </si>
  <si>
    <t>INTERFACE COMPUTER COLLEGE INC.</t>
  </si>
  <si>
    <t>990 MCM Building, Quezon Blvd., Brgy. 464, Zone 46, District IV, Sampaloc, Manila</t>
  </si>
  <si>
    <t>EMILY M. DIMLA, PhD</t>
  </si>
  <si>
    <t>733-9825/ 733-9453/ 733-9457</t>
  </si>
  <si>
    <t>information@interface.edu.ph</t>
  </si>
  <si>
    <t>INTERFACE COMPUTER COLLEGE, INC.</t>
  </si>
  <si>
    <t>Doña Lolita Bldg., 10th Ave. cor. Rizal Ave., Ext., Caloocan City</t>
  </si>
  <si>
    <t>366-7271</t>
  </si>
  <si>
    <t>International Electronics and Technical Institute (Las Piñas), Inc.</t>
  </si>
  <si>
    <t>3/F &amp; 4/F Navarro Bldg., Real St., Pamplona III, Las Piñas City</t>
  </si>
  <si>
    <t>Rolando B. Rodillo, Jr.</t>
  </si>
  <si>
    <t>874-47-65 / 871-4351</t>
  </si>
  <si>
    <t>ieti.laspinas1974@gmail.com</t>
  </si>
  <si>
    <t>INTERNATIONAL ELECTRONICS AND TECHNICAL INSTITUTE, INC.</t>
  </si>
  <si>
    <t>Room 402, 4th Floor Guadalupe Comm'l Complex Guadalupe, Makati City</t>
  </si>
  <si>
    <t>Sidney L. Resurreccion</t>
  </si>
  <si>
    <t>882-0435</t>
  </si>
  <si>
    <t>ietimakati@yahoo.com</t>
  </si>
  <si>
    <t>KAIZEN TECH INSTITUTE OF MANILA INC.</t>
  </si>
  <si>
    <t>GF/3F 1745 Abdon St., Otis, Pandacan, Manila</t>
  </si>
  <si>
    <t>PHILIP JOHN L. SORIMA</t>
  </si>
  <si>
    <t>0961-120-7812</t>
  </si>
  <si>
    <t>kaizentechmanila@gmail.com</t>
  </si>
  <si>
    <t>MARY GRACE INTERNATIONAL EDUCATION INC.</t>
  </si>
  <si>
    <t>3rd Floor Gateway Building Taft Avenue Cartimar Shopping Center, Barangay 39, Pasay City</t>
  </si>
  <si>
    <t>MARY GRACE ROSALIA N. GULAN</t>
  </si>
  <si>
    <t>0917-527-7351</t>
  </si>
  <si>
    <t>marygrace.international@gmail.com</t>
  </si>
  <si>
    <t>MFI POLYTECHNIC INSTITUTE, INC.</t>
  </si>
  <si>
    <t>MFI Bldg., Ortigas Ave., Pasig City</t>
  </si>
  <si>
    <t>NOEL M. DUMAGUIT</t>
  </si>
  <si>
    <t>632-0756 to 67/ 631-1294/631-3838</t>
  </si>
  <si>
    <t>pasig@mfi.edu.ph</t>
  </si>
  <si>
    <t>MINDBANK TRAINING &amp; SKILLS CORPORATION</t>
  </si>
  <si>
    <t>138 Timog Avenue Quezon City</t>
  </si>
  <si>
    <t>RAYMUND A. IGNACIO</t>
  </si>
  <si>
    <t>263-4819</t>
  </si>
  <si>
    <t>mindbankcorp@gmail.com</t>
  </si>
  <si>
    <t>MINDTECH TRAINING &amp; DEVELOPMENT INSTITUTE, INC.</t>
  </si>
  <si>
    <t xml:space="preserve">No. 163 Dr. Sixto Avenue, Brgy. Rosario, Pasig City </t>
  </si>
  <si>
    <t>CARMINA ABEGAIL B. DIMAYUGA</t>
  </si>
  <si>
    <t>mtdi.training@gmail.com</t>
  </si>
  <si>
    <t>OPTIMUM SKILLS SOURCE INSTITUTE CORP.</t>
  </si>
  <si>
    <t>Unit 1105 &amp; 1106 Jafer Place, Eisenhower St., Greenhills, San Juan City</t>
  </si>
  <si>
    <t>MA. ELENA A. PASIA</t>
  </si>
  <si>
    <t>optimumskillssic@gmail.com</t>
  </si>
  <si>
    <t>PHILIPPINE CALL CENTER INSTITUTE INC.</t>
  </si>
  <si>
    <t>3/F Sterling Annex, 2302 Chino Roces Ext., Brgy. Magallanes, Makati City</t>
  </si>
  <si>
    <t>KRISTELLE LYNNE P. ONG</t>
  </si>
  <si>
    <t>pccimakati0522@gmail.com</t>
  </si>
  <si>
    <t>RGTECH INSTITUTE AND ASSESSMENT CENTER</t>
  </si>
  <si>
    <t>3rd floor 7 Sumulong Hi-way, corner M. Cruz St., Santo Niño, Marikina City</t>
  </si>
  <si>
    <t>Gladys T. Chua</t>
  </si>
  <si>
    <t>pmms.rgtech.tvimis@gmail.com</t>
  </si>
  <si>
    <t>RVN TECH-VOC INC.</t>
  </si>
  <si>
    <t>No. 2 Inda Maria Road, Brgy. Potrero, Malabon City</t>
  </si>
  <si>
    <t>RIZALINA R. PATIO</t>
  </si>
  <si>
    <t>788-1082</t>
  </si>
  <si>
    <t>cmnv.rvnti.tvimis@Gmail.com</t>
  </si>
  <si>
    <t>SAINT MARK TECHNICAL VOCATIONAL INSTITUTE INC.</t>
  </si>
  <si>
    <t>580 FLORENTINO TORRES BRGY. 303 STA. CRUZ, MANILA</t>
  </si>
  <si>
    <t>VERN T. MONTORIO</t>
  </si>
  <si>
    <t>757-0405 / 09367186943</t>
  </si>
  <si>
    <t>saintmarktechvoc@gmail.com</t>
  </si>
  <si>
    <t>SEA GEM TRAINING AND ASSESSMENT CENTER, INC.</t>
  </si>
  <si>
    <t>Grd. Flr. Marbella II Bldg. 2071 Roxas Blvd. Brgy. 701, Malate, Manila</t>
  </si>
  <si>
    <t xml:space="preserve">RIZALINA D. CORDOVA </t>
  </si>
  <si>
    <t>252-1192</t>
  </si>
  <si>
    <t>seagem629@gmail.com</t>
  </si>
  <si>
    <t>ST. JUDEL INSTITUTE OF TECHNOLOGY ,INC.</t>
  </si>
  <si>
    <t>2nd Floor Macta Bldg. No. 30 Karuhatan road , Valenzuela city</t>
  </si>
  <si>
    <t>432-9304/ 443-0533/ 432-9332</t>
  </si>
  <si>
    <t>sjit07@yahoo.com</t>
  </si>
  <si>
    <t>ST. PETER VELLE TECHNICAL TRAINING CENTER, INC.</t>
  </si>
  <si>
    <t xml:space="preserve">No. 92 Mc Arthur Highway, Marulas, Valenzuela City </t>
  </si>
  <si>
    <t>MARILEN S. GAMOTEA</t>
  </si>
  <si>
    <t>444-1939</t>
  </si>
  <si>
    <t>stpetervelle2003@yahoo.com.ph</t>
  </si>
  <si>
    <t>TELECALL INSTITUTE OF TECHNOLOGY INC.</t>
  </si>
  <si>
    <t>5/F, 15F, 25/F Raffles Corporate Center, F. Ortigas Jr. Rd, San Antonio Ortigas Center, Pasig City</t>
  </si>
  <si>
    <t>MR. DENNIS CALVIN D. TAN</t>
  </si>
  <si>
    <t>420-6488/ 09163093032</t>
  </si>
  <si>
    <t>pmms.telecall.tvimis@gmail.com</t>
  </si>
  <si>
    <t>TESDA-NAVOTAAS TRAINING INSTITUTE</t>
  </si>
  <si>
    <t>C3 Road, corner Virgo Drive, Brgy. NBBS Kaunlaran, Navotas City</t>
  </si>
  <si>
    <t>PAUL JOHN P. RAMOS</t>
  </si>
  <si>
    <t>(02)82827276</t>
  </si>
  <si>
    <t>tnti@tesda.gov.ph</t>
  </si>
  <si>
    <t>TRAINING CENTER FOR SKILLS AND DEVELOPMENT, INC.</t>
  </si>
  <si>
    <t>Queen Rose Bldg. San Andres cor. L. Guinto St. Barangay 723 Malate Manila</t>
  </si>
  <si>
    <t>Maria Therese L. Quintos</t>
  </si>
  <si>
    <t>395-1727</t>
  </si>
  <si>
    <t>tcsdi.2018@gmail.com</t>
  </si>
  <si>
    <t>UNITED INSTITUTE FOR BUSINESS AND TECHNOLOGY ASSESSMENT INC.</t>
  </si>
  <si>
    <t>348 J.p. Rizal Street Brgy. Sto Niño Marikina City</t>
  </si>
  <si>
    <t>Vennelisa De Guzman Valenzuela</t>
  </si>
  <si>
    <t>245-9473</t>
  </si>
  <si>
    <t>uibtai@gmail.com</t>
  </si>
  <si>
    <t>XAVIER TECHNICAL TRAINING CENTER, CORP.</t>
  </si>
  <si>
    <t>267 B. &amp; C E. Dela Paz St. Sto. Niño, Marikina City</t>
  </si>
  <si>
    <t>MS. MERLINDA L. QUINTELA</t>
  </si>
  <si>
    <t>475-1492</t>
  </si>
  <si>
    <t>xaviermarikina99@gmail.com</t>
  </si>
  <si>
    <t>MUNTIPARLASTAPAT DISTRICT TRAINING AND ASSESSMENT CENTER</t>
  </si>
  <si>
    <t>Bldg. 9, (formerly Pinoy Bayanihan Project) TESDA Complex, East Service Road, South Luzon Expressway, Taguig City</t>
  </si>
  <si>
    <t>MARLON A. FELIX</t>
  </si>
  <si>
    <t>8-886-5306</t>
  </si>
  <si>
    <t>mdtac@tesda.gov.ph</t>
  </si>
  <si>
    <t>Construction Painting NC II</t>
  </si>
  <si>
    <t>(S.J.B.) SAINT JOHN BOSCO I.A.S. INC. - (Mandaluyong Branch)</t>
  </si>
  <si>
    <t>55 Shaw Blvd., Mandaluyong City</t>
  </si>
  <si>
    <t>Danilo S. Velez Jr.</t>
  </si>
  <si>
    <t>Tel. 535-1595</t>
  </si>
  <si>
    <t>sjbkalentong1996@gmail.com</t>
  </si>
  <si>
    <t>Contact Center Services NC II</t>
  </si>
  <si>
    <t>AMAZING GRACE TECHNICAL TRAINING INSTITUTE</t>
  </si>
  <si>
    <t>74 Cambridge St. cor. New York St. Brgy. E. Rodriguez, Cubao, Quezon City</t>
  </si>
  <si>
    <t>Leticia O. Ogbac</t>
  </si>
  <si>
    <t>(02) 282-5585 / 0918-8031447 /09175489048</t>
  </si>
  <si>
    <t>l_ogbac@yahoo.com</t>
  </si>
  <si>
    <t>AMERICAN TESOL INSTITUTE PHIL. INC.</t>
  </si>
  <si>
    <t xml:space="preserve">Mezzanine B 707 Shaw Blvd., Brgy. Kapitolyo, Pasig City </t>
  </si>
  <si>
    <t>KYLE JUSTIN B. GO</t>
  </si>
  <si>
    <t>584-7200/ 0917-5187073</t>
  </si>
  <si>
    <t>americantesolinstitute01@gmail.com</t>
  </si>
  <si>
    <t>BLUECHIP TRAINING CENTER INC.</t>
  </si>
  <si>
    <t>4 2nd West Crame, San Juan City</t>
  </si>
  <si>
    <t xml:space="preserve">Rodell King Alcantara </t>
  </si>
  <si>
    <t>8521-9958/ 09192898785</t>
  </si>
  <si>
    <t>bluechiptrainingcenterph@gmail.com</t>
  </si>
  <si>
    <t>CENTER FOR INTERNATIONAL INDUSTRIES COMPETENCE CORP.</t>
  </si>
  <si>
    <t>4/F 656 Del Monte Ave., Brgy. Talayan, Quezon City</t>
  </si>
  <si>
    <t>ARRISH C. ALTAVANO</t>
  </si>
  <si>
    <t>298-2162</t>
  </si>
  <si>
    <t>altavano.arrish@gmail.com</t>
  </si>
  <si>
    <t>ECLARO ACADEMY, INC.</t>
  </si>
  <si>
    <t>No. 7 Zuzuarregui, brgy. Holy Spirit, Old Balara, Quezon City</t>
  </si>
  <si>
    <t>Joseph Lornito G. Beaniza</t>
  </si>
  <si>
    <t>(02) 441-0501</t>
  </si>
  <si>
    <t>eclaroacademytesda@gmail.com</t>
  </si>
  <si>
    <t>GARDNER COLLEGE DILIMAN, INC.</t>
  </si>
  <si>
    <t>Archipelago Building, 29 North Avenue, Bagong Pag-asa, Quezon City</t>
  </si>
  <si>
    <t>INES M. BASAEN</t>
  </si>
  <si>
    <t>926-2948 / 925-5640</t>
  </si>
  <si>
    <t>pgodoy.gardner@gmail.com</t>
  </si>
  <si>
    <t>GLOBAL INFINITY TRAINING CENTER INC.</t>
  </si>
  <si>
    <t>121 3A Forab Bldg.Building Kamuning Road Kamuning, Quezon City</t>
  </si>
  <si>
    <t>OFELIA B. ANDRADA</t>
  </si>
  <si>
    <t>7001-4760</t>
  </si>
  <si>
    <t>globalinfinity023@gmail.com</t>
  </si>
  <si>
    <t>Informatics College - Northgate, Inc.</t>
  </si>
  <si>
    <t>Indo-China Drive, Northgate Cyberzone, Filinvest Corporate City, Alabang, Muntinlupa City</t>
  </si>
  <si>
    <t>Mary Grace A. Sumagaysay</t>
  </si>
  <si>
    <t>772-24-72/74/76</t>
  </si>
  <si>
    <t>msumagaysay@informatics.com.ph</t>
  </si>
  <si>
    <t>INFORMATICS COLLEGE-MANILA INC.</t>
  </si>
  <si>
    <t>Quiapo, City of Manila</t>
  </si>
  <si>
    <t>Ground to 4th Floor BDO C.M. Recto San Sebastian Branch Building, 2070 C.M. Recto Avenue, Quiapo, Manila</t>
  </si>
  <si>
    <t>ROLAN M. MACARANG</t>
  </si>
  <si>
    <t>488-3034/ 488-3358/ 488-3031</t>
  </si>
  <si>
    <t>rmacarang@informatics.com.ph</t>
  </si>
  <si>
    <t>INNOVATIVE TECHNICAL INSTITUTE INC.</t>
  </si>
  <si>
    <t>Km 16 Mc Arthur Highway Malanday, Valenzuela City</t>
  </si>
  <si>
    <t>Hilario F. Narida</t>
  </si>
  <si>
    <t>206-9807</t>
  </si>
  <si>
    <t>innovativetechnicalinstitute@gmail.com</t>
  </si>
  <si>
    <t>OERIDIAN TRAINING SOLUTIONS INC.</t>
  </si>
  <si>
    <t>3/F CLMC Bldg., 259 EDSA corner Connecticut St., Mandaluyong City</t>
  </si>
  <si>
    <t>MS. Maria Anchy M. Ang</t>
  </si>
  <si>
    <t>721-9862</t>
  </si>
  <si>
    <t>info@oeridian.com</t>
  </si>
  <si>
    <t>SOUTHERN LUZON TECHNOLOGICAL COLLEGE FOUNDATION, INC.</t>
  </si>
  <si>
    <t>No. 28 San Lorenzo St., Brgy. Kapitolyo, Pasig City</t>
  </si>
  <si>
    <t>359-3913 / 636-7090</t>
  </si>
  <si>
    <t>pasig@sltcfi.com</t>
  </si>
  <si>
    <t>SPRING LEAF (SL) TECHNICALS: TRAINING AND DEVELOPMENT CENTER INC.</t>
  </si>
  <si>
    <t>15-17 Magdula Bldg, MacArthur Highway Marulas Valenzuela City</t>
  </si>
  <si>
    <t>ROSE JASMIN R. KIM</t>
  </si>
  <si>
    <t>966-9614</t>
  </si>
  <si>
    <t>springleaftechnicals@yahoo.com</t>
  </si>
  <si>
    <t>30 M. Santos St., Santolan, Malabon City</t>
  </si>
  <si>
    <t>TECHVOC SKILLS INC.</t>
  </si>
  <si>
    <t>1789 Dimasalang Street, Sta. Cruz, Manila</t>
  </si>
  <si>
    <t>Melody S. Cruz</t>
  </si>
  <si>
    <t>712-2381/ 247-7651</t>
  </si>
  <si>
    <t>techvoc_skills.incorporated@yahoo.com</t>
  </si>
  <si>
    <t>WELEARN TRAINING AND ASSESSMENT CENTER FOR LIVELIHOOD DEVELOPMENT INC.</t>
  </si>
  <si>
    <t>31 Zabarte Road, Barangay Kaligayahan, Novaliches, Quezon City</t>
  </si>
  <si>
    <t>TERESITA P. SANTIAGO</t>
  </si>
  <si>
    <t>8788-7633</t>
  </si>
  <si>
    <t>welearntrainingph@gmail.com</t>
  </si>
  <si>
    <t>Cookery NC II</t>
  </si>
  <si>
    <t>ALEANZA INSTITUTE ONE INC.</t>
  </si>
  <si>
    <t>Unit 1, 2F Autometics Center Bldg., 2257 Don Chino Roces Ave. Extn. Magallanes, Makati City</t>
  </si>
  <si>
    <t>ROBERTO LUIS PENGSON</t>
  </si>
  <si>
    <t>aleanza.institute@gmail.com</t>
  </si>
  <si>
    <t>CLEAR VOCATION INSTITUTE FOR SKILLS TRAINING &amp; ASSESSMENT CORP.</t>
  </si>
  <si>
    <t>2nd Floor Primark Town Center, G. Araneta Avenue cor. Quezon Avenue, Quezon City</t>
  </si>
  <si>
    <t>FRANCO LINO V. CLARIDAD</t>
  </si>
  <si>
    <t>8545-4984 / 0948-619362</t>
  </si>
  <si>
    <t>qc.clearvoctvimis@gmail.com</t>
  </si>
  <si>
    <t>IETI COLLEGE OF SCIENCE &amp; TECHNOLOGY (MARIKINA), INC.</t>
  </si>
  <si>
    <t>34 Lark St., Sta Elena, Marikina City</t>
  </si>
  <si>
    <t>MS. ANALYN A. NAVARRETE</t>
  </si>
  <si>
    <t>882-0492 / 682-3445</t>
  </si>
  <si>
    <t>ietimarikina8@yahoo.com</t>
  </si>
  <si>
    <t>Metropolitan Occupational Science and Technology Institute Corp.</t>
  </si>
  <si>
    <t>2/F ELI Building, Lot 10-B, Blk 15, #42 5th Ave., Brgy. Socorro, Cubao, Quezon City (former address: 2nd Floor, ELI Bldg., Boni Serrano cor. 6th Ave., Murphy, Cubao, Quezon City)</t>
  </si>
  <si>
    <t>9115122 / 9127189</t>
  </si>
  <si>
    <t>mostinstitute2004@yahoo.com</t>
  </si>
  <si>
    <t>PHILIPPINE SEAFARERS TRAINING CENTER</t>
  </si>
  <si>
    <t>938 Arlegui Street cor. Aguila Streets, Quiapo, Manila</t>
  </si>
  <si>
    <t>ELISA ABUID CAYAB</t>
  </si>
  <si>
    <t>734-8897/ 734-1651/ 734-8898</t>
  </si>
  <si>
    <t>pstc_25anniv@yahoo.com</t>
  </si>
  <si>
    <t>SELAH INTERNATIONAL TRAINING AND ASSESSMENT INC.</t>
  </si>
  <si>
    <t>2410 3rd and 4th Floor, Jose Abad Santos Street, Tondo, Manila</t>
  </si>
  <si>
    <t>BRYAN L. VARGAS</t>
  </si>
  <si>
    <t>selahtrainingandassessment@gmail.com</t>
  </si>
  <si>
    <t>STI- COLLEGE MARIKINA INC.</t>
  </si>
  <si>
    <t>289 L. De Guzman St., Concepcion, Marikina City</t>
  </si>
  <si>
    <t>VILMA C. CAPARROS</t>
  </si>
  <si>
    <t>TeleFax: 948-2978 / 997-6601 / 948-2978 / 942-330</t>
  </si>
  <si>
    <t>karen.ocampo@marikina.sti.edu</t>
  </si>
  <si>
    <t>TCAI INC.</t>
  </si>
  <si>
    <t>Unit SFO C (2C) Classica 1 Bldg., H.V. Dela Costa Street, Salcedo Village Brgy. Bel-Air, Makati City</t>
  </si>
  <si>
    <t>GENARO JOSE L. CORDOVA</t>
  </si>
  <si>
    <t>tcaiinctesda@gmail.com</t>
  </si>
  <si>
    <t>DE OCAMPO MEMORIAL COLLEGE, INC.</t>
  </si>
  <si>
    <t>3200 R. Magsaysay Blvd, Sta. Mesa, Manila</t>
  </si>
  <si>
    <t>DR. VICENTE ANTONIO A. DE OCAMPO,DMD, M.A. ED.</t>
  </si>
  <si>
    <t>715-6445/715-0967</t>
  </si>
  <si>
    <t>domcfbregistrar@gmail.com</t>
  </si>
  <si>
    <t>Dental Hygiene NC IV</t>
  </si>
  <si>
    <t>Dental Laboratory Technology Services (Fixed Dentures/Restorations) NC II</t>
  </si>
  <si>
    <t>THE ALPS TECHNOLOGY ACADEMY (TATA), INC.</t>
  </si>
  <si>
    <t>4th Floor, Maga Center Paseo de Magallanes, Magallanes Village Makati City</t>
  </si>
  <si>
    <t>Marjorie G. Kobayashi</t>
  </si>
  <si>
    <t>851 5762/851 0958/854 3800</t>
  </si>
  <si>
    <t>alpstech.edu.ph@gmail.com</t>
  </si>
  <si>
    <t>Dental Laboratory Technology Services (Removable Dentures/Appliances) NC II</t>
  </si>
  <si>
    <t>Dental Laboratory Technology Services NC I</t>
  </si>
  <si>
    <t>NATIONAL UNIVERSITY</t>
  </si>
  <si>
    <t>551 M.F. Jhocson St., Sampaloc, Manila</t>
  </si>
  <si>
    <t>749-8221</t>
  </si>
  <si>
    <t>Dental Technology NC IV</t>
  </si>
  <si>
    <t>Domestic Work NC II</t>
  </si>
  <si>
    <t>ARV TRADE TEST AND TRAINING CENTER, INC.</t>
  </si>
  <si>
    <t>Suite 504 Unlad Condominium, 1665 Taft Ave., Malate, Manila</t>
  </si>
  <si>
    <t>Rebecca S. Valdez</t>
  </si>
  <si>
    <t>530-0321/ 450-1988</t>
  </si>
  <si>
    <t>CIRCLE TEST TRAINING AND ASSESSMENT CENTER INC.</t>
  </si>
  <si>
    <t>2648 Dian Street, Brgy. 757, Zone 82, District 5, Malate, Sta. Ana, Manila</t>
  </si>
  <si>
    <t>JESSIE C. DANAO</t>
  </si>
  <si>
    <t>(02) 7-005-8968</t>
  </si>
  <si>
    <t>circletest0614@gmail.com</t>
  </si>
  <si>
    <t>FAIR EMPLOYMENT TRAINING &amp; ASSESSMENT CENTER, INC.</t>
  </si>
  <si>
    <t>3rd Floor, Matheus Bldg., Armstrong Ave., Moonwalk Village, Phase 2, Parañaque City</t>
  </si>
  <si>
    <t>Maria Aurora Amada C. Gloria</t>
  </si>
  <si>
    <t>810-1829</t>
  </si>
  <si>
    <t>mpltp.fairemployment.tvimis@gmail.com</t>
  </si>
  <si>
    <t>FIL-WORK TRAINING CENTER AND TRADE TEST, INC.</t>
  </si>
  <si>
    <t>987 Don Ysidoro St., Brgy. 727 Malate, Manila</t>
  </si>
  <si>
    <t>MARLYN V. VALDEZ</t>
  </si>
  <si>
    <t>563-0103/559-0412</t>
  </si>
  <si>
    <t>GOLDEN CHI TRAINING AND ASSESSMENT CENTER, INC.</t>
  </si>
  <si>
    <t>Unit L Time Square Bldg., 8145 Dr. A. Santos Ave., Sucat, Parañaque City</t>
  </si>
  <si>
    <t>MA. LUZ D. ESTORQUE</t>
  </si>
  <si>
    <t>886-3078</t>
  </si>
  <si>
    <t>mpltp.goldenchitesdaofficial@gmail.com</t>
  </si>
  <si>
    <t>High Vision Training Center, Inc.</t>
  </si>
  <si>
    <t>3rd Floor, Annex Bldg., A. Francisco Gold Condominium 1, 784 EDSA, Kamias, Quezon City</t>
  </si>
  <si>
    <t>453-58-75</t>
  </si>
  <si>
    <t>ILOILO ABUNDANT LIFE RESOURCE CORPORATION</t>
  </si>
  <si>
    <t>Lot 3 Block 11 Phase 3 Central Bicutan, Taguig City</t>
  </si>
  <si>
    <t>Ella Mae Gabayaran</t>
  </si>
  <si>
    <t>iloiloabuntantliferesourcescorp@yahoo.com</t>
  </si>
  <si>
    <t>KIMMY INTERNATIONAL TRAINING &amp; TESTING, INC.</t>
  </si>
  <si>
    <t>13 Miller St. S.F.D.M., Quezon City</t>
  </si>
  <si>
    <t>Sheba N. Alida</t>
  </si>
  <si>
    <t>282-3197</t>
  </si>
  <si>
    <t>kittiphilippines@gmail.com</t>
  </si>
  <si>
    <t>KING EAGLE TRAINING AND ASSESSMENT CENTER CORPORATION</t>
  </si>
  <si>
    <t>2nd Floor Mirben Building C. #8 Bernardo Compound, Mc Arthur St., Luzon Avenue, Pasong Tamo, Quezon City</t>
  </si>
  <si>
    <t>932-1529</t>
  </si>
  <si>
    <t>LOK YEE TRAINING AND ASSESSMENT CENTRE INC.</t>
  </si>
  <si>
    <t>19 Daffodil St., Pilar Village, Las Piñas City</t>
  </si>
  <si>
    <t>ROWENA D. SUMALPONG</t>
  </si>
  <si>
    <t>02-8886-5541</t>
  </si>
  <si>
    <t>lokyeeinstitution2024@gmail.com</t>
  </si>
  <si>
    <t>LUCKY HOME MANDARIN RESOURCE TRAINING AND SKILLS DEVELOPMENT INC.</t>
  </si>
  <si>
    <t>2nd, 4th &amp; 5th ACV Building, 1862 Remedios St. Cor. San Marcelino St. Malate, Manila</t>
  </si>
  <si>
    <t>MARGARET C. MORALES</t>
  </si>
  <si>
    <t>8355-7012</t>
  </si>
  <si>
    <t>luckytraining168@gmail.com</t>
  </si>
  <si>
    <t>MARYMEI SKILLS TRAINING CENTER OF THE PHILS. CORP.</t>
  </si>
  <si>
    <t>No. 615 Inez St., Gamban, Pasay City</t>
  </si>
  <si>
    <t>RACHEL M. OYANON</t>
  </si>
  <si>
    <t>8942051/09159757011/09295648971</t>
  </si>
  <si>
    <t>marymeiskillstrainingcenter@yahoo.com</t>
  </si>
  <si>
    <t>PRINCE GIRON INTERNATIONAL TRAINING CENTRE, INC.</t>
  </si>
  <si>
    <t>No. 1461 Pedro Gil Street, Paco, Manila</t>
  </si>
  <si>
    <t xml:space="preserve">ENGR. DENNIS V. LUNA </t>
  </si>
  <si>
    <t>522-2581 / 521-6807</t>
  </si>
  <si>
    <t>princegiron_inc@yahoo.com.ph</t>
  </si>
  <si>
    <t>PRINCE ZMT TRAINING AND ASSESSMENT CENTER INC.</t>
  </si>
  <si>
    <t>2nd and 3rd Floor EDAR Bldg., 8202 Dr. A. Santos Avenue, Brgy. San Isidro, Parañaque City</t>
  </si>
  <si>
    <t>John Michael G. Manansala</t>
  </si>
  <si>
    <t>(632) 7358 4639 / +63 947 894 8551</t>
  </si>
  <si>
    <t>princezmttrainingcenter@gmail.com</t>
  </si>
  <si>
    <t>UNIVERSAL TREKKER SKILLS DEVELOPMENT AND TRAINING CENTER, INC.</t>
  </si>
  <si>
    <t>No. 1645 Angel Linao St. Brgy. 687, Paco, Manila</t>
  </si>
  <si>
    <t>Glenn Paul P. Cabrera</t>
  </si>
  <si>
    <t>232-5807</t>
  </si>
  <si>
    <t>WTS TECHNOLOGY GLOBAL TRAINING INSTITUTE INC.</t>
  </si>
  <si>
    <t>1726-B Road 2 Corner Road 7 Fabie Estate Sta. Ana, Manila</t>
  </si>
  <si>
    <t>CRESENCIA T. LANSANG</t>
  </si>
  <si>
    <t>907-9285</t>
  </si>
  <si>
    <t>wts.2018ph@gmail.com</t>
  </si>
  <si>
    <t>CITY OF MALABON POLYTECHNIC INSTITUTE</t>
  </si>
  <si>
    <t>Gov. Pascual Ave., Brgy. Baritan, Malabon City</t>
  </si>
  <si>
    <t>DR. MOSES KAENEL V. BERGADO</t>
  </si>
  <si>
    <t>282-3088</t>
  </si>
  <si>
    <t>cmpimanpower@yahoo.com.ph</t>
  </si>
  <si>
    <t>Dressmaking NC II</t>
  </si>
  <si>
    <t>MANDALUYONG MANPOWER AND TECHNICAL-VOCATIONAL TRAINING CENTER</t>
  </si>
  <si>
    <t>Welfareville Compound, Barangay Addition Hills., Mandaluyong City</t>
  </si>
  <si>
    <t>MS. MARIA MAJELLA G. TAMPINCO</t>
  </si>
  <si>
    <t>531-5159</t>
  </si>
  <si>
    <t>manpowermandaluyong@gmail.com</t>
  </si>
  <si>
    <t>SLIM'S FASHION AND ARTS SCHOOL</t>
  </si>
  <si>
    <t>3rd Floor, Slim's Building, 2310 Chino Roces Avenue, Makati City.</t>
  </si>
  <si>
    <t>Conchitina Nocom-Arciaga</t>
  </si>
  <si>
    <t>506-5869/ 843-2109/ 887-3390</t>
  </si>
  <si>
    <t>inquiries@slimsfashion.com</t>
  </si>
  <si>
    <t>Driving (Articulated Vehicle) NC III</t>
  </si>
  <si>
    <t>Driving (Passenger Bus/Straight Truck) NC III</t>
  </si>
  <si>
    <t>TOP CHOICE TRAINING INSTITUTE AND ASSESSMENT CENTER INC.</t>
  </si>
  <si>
    <t>4F 2610 Aurora St., cor. Tecson St., Sta. Cruz, Manila</t>
  </si>
  <si>
    <t>COTELO, JAHZIEL VILLARUZ</t>
  </si>
  <si>
    <t>02-8423-2559</t>
  </si>
  <si>
    <t>topchoicemanila2023@gmail.com</t>
  </si>
  <si>
    <t>Top Choice Training Institute and Assessment Center</t>
  </si>
  <si>
    <t>0030 Ninoy Aquino Avenue, Brgy. San Dionisio, Parañaque City</t>
  </si>
  <si>
    <t>JAHZIEL B. VILLARUZ-.COTELO</t>
  </si>
  <si>
    <t>423-2559</t>
  </si>
  <si>
    <t>topchoicetech14@gmail.com</t>
  </si>
  <si>
    <t>EXCELSIOR CENTER FOR TECHNOLOGY AND INNOVATION INC.</t>
  </si>
  <si>
    <t>San Miguel, City of Manila</t>
  </si>
  <si>
    <t>514 B 3rd St., San Beda Subdivision, San Miguel - Barangay 638, City of Manila</t>
  </si>
  <si>
    <t>EDHEL DIONNE C. PUA</t>
  </si>
  <si>
    <t>8734-5688</t>
  </si>
  <si>
    <t>excelsior.innovation.technology@gmail.com</t>
  </si>
  <si>
    <t>Driving NC II</t>
  </si>
  <si>
    <t xml:space="preserve">FIRST GEAR TECHNICAL INSTITUTE AND ASSESSMENT CENTER, INC. </t>
  </si>
  <si>
    <t>No. 1092 Chino Roces Ave., Brgy. Tejeros, Makati City</t>
  </si>
  <si>
    <t>VANESSA N. DEL ROSARIO</t>
  </si>
  <si>
    <t xml:space="preserve">919-0350/ 754-2107 </t>
  </si>
  <si>
    <t>firstgeartech@yahoo.com.ph</t>
  </si>
  <si>
    <t>PHILIPPINE NATIONAL POLICE LOGISTICS SUPPORT SERVICE</t>
  </si>
  <si>
    <t>Camp BGen Rafael T. Crame, Quezon City</t>
  </si>
  <si>
    <t>PLTCOL RONALD A ALMIROL</t>
  </si>
  <si>
    <t>723-0401 loc. 6413</t>
  </si>
  <si>
    <t>lss.training23@gmail.com</t>
  </si>
  <si>
    <t>RAJJ ASSESSMENT AND TRAINING CENTER CORPORATION</t>
  </si>
  <si>
    <t>505 Quirino Avenue, 3rd Floor Roligon Building, Brgy. Tambo, Parañaque City</t>
  </si>
  <si>
    <t>JONALIZ L. CABALUNA</t>
  </si>
  <si>
    <t>rajj.atcc@gmail.com</t>
  </si>
  <si>
    <t>RICHBAR INSTITUTE OF TECHNICAL SKILLS</t>
  </si>
  <si>
    <t>Blk. 15 Lot. 24, Congressional Road, Rainbow Village 5 Phase 1 Bagumbong Caloocan City</t>
  </si>
  <si>
    <t>VIBAR R. ANASTACIO, JR.</t>
  </si>
  <si>
    <t>955-40-99</t>
  </si>
  <si>
    <t>richbarinstitute@gmail.com</t>
  </si>
  <si>
    <t>RMC EAGLES TRAINING AND ASSESSMENT CENTER INC.</t>
  </si>
  <si>
    <t>Area -A 603 ZCS Building, Zabarte Road, Brgy. 175, Caloocan City</t>
  </si>
  <si>
    <t>JIENDY T. ANTONES</t>
  </si>
  <si>
    <t>091694320858 / 09054180148</t>
  </si>
  <si>
    <t>rmceagles3@gmail.com</t>
  </si>
  <si>
    <t>TESDA PAMAMARISAN TRAINING AND ASSESSMENT CENTER (TPTAC)</t>
  </si>
  <si>
    <t>Rm. 304, 3rd Floor, NTTA Bldg., MPC Compound, Mayor Chanyungco St. Brgy. Sta. Elena, Marikina City</t>
  </si>
  <si>
    <t>CHRISTIAN JOSEPH C. AGUILAR</t>
  </si>
  <si>
    <t>8570-9893/ 7728-8871</t>
  </si>
  <si>
    <t>tptac@tesda.gov.ph</t>
  </si>
  <si>
    <t>Electrical Installation and Maintenance NC II</t>
  </si>
  <si>
    <t>AVIATION TECHNICAL SCHOOL OF COTABATO</t>
  </si>
  <si>
    <t>Mezzanine Floor, Lot 5 Sta. Agueda cor. Queensway, Pascor Drive Brgy. Sto. Niño, Parañaque City</t>
  </si>
  <si>
    <t>Bernald Joseph J. Juare</t>
  </si>
  <si>
    <t>(02) 8776 - 8588</t>
  </si>
  <si>
    <t>atscadmin@atsc.space</t>
  </si>
  <si>
    <t>DON BOSCO TECHNICAL COLLEGE, INC.</t>
  </si>
  <si>
    <t>Gen. Kalentong St, Mandaluyong City</t>
  </si>
  <si>
    <t>FR. RONILO A. JAVINES, SDB</t>
  </si>
  <si>
    <t>531-8081 to 85 / 531-6644</t>
  </si>
  <si>
    <t>dbmanda@one-bosco.org</t>
  </si>
  <si>
    <t>DYNAMIC CHRISTIAN SCHOOL OF TECHNOLOGY, INC.</t>
  </si>
  <si>
    <t>No. 84-A to 86-D McAthur Highway, Marulas, Valenzuela City</t>
  </si>
  <si>
    <t>Simma L. Yang</t>
  </si>
  <si>
    <t>293-03-32</t>
  </si>
  <si>
    <t>dcst_2011@yahoo.com</t>
  </si>
  <si>
    <t>ELECTRON COLLEGE OF TECHNICAL EDUCATION CORPORATION</t>
  </si>
  <si>
    <t>598 Mc Arthur Hi-way, Malanday, Valenzuela City</t>
  </si>
  <si>
    <t>DR. DOMINADOR V. SOLIS</t>
  </si>
  <si>
    <t>4182232 / 4005563</t>
  </si>
  <si>
    <t>electroncollege2@gmail.com</t>
  </si>
  <si>
    <t>INTERNATIONAL ELECTRONICS AND TECHNICAL INSTITUTE (ALABANG), INC.</t>
  </si>
  <si>
    <t>IETI Building, Molina St., Alabang, Muntinlupa City</t>
  </si>
  <si>
    <t>850-0937/850-0938/772-5290</t>
  </si>
  <si>
    <t>JEM JOB EXCELLENCE AND MASTERY ASSESSMENT AND TRAINING CENTER INC.</t>
  </si>
  <si>
    <t>No. 263 EML Bldg., Doña Soledad Extension, Better Living Subd., Brgy. Don Bosco Parañaque City</t>
  </si>
  <si>
    <t>FRANCIS ALCANTARA</t>
  </si>
  <si>
    <t>02-8807-5073</t>
  </si>
  <si>
    <t>jemtrainingschool@gmail.com</t>
  </si>
  <si>
    <t>JERETECH TRAINING AND ASSESSMENT CENTER, INC.</t>
  </si>
  <si>
    <t>Billingham Building, Unit 101-103, 11 Bagong Calzada, Brgy. Ususan, Taguig City</t>
  </si>
  <si>
    <t>Marilou J. Lactaoen</t>
  </si>
  <si>
    <t>664-2703</t>
  </si>
  <si>
    <t>jeretech2018@gmail.com</t>
  </si>
  <si>
    <t>MECHATRONICS TECHNOLOGIES CORP.</t>
  </si>
  <si>
    <t>699 Tandang Sora Avenue, Old Balara, Quezon City</t>
  </si>
  <si>
    <t>Gamaliel F. Itao, PEE, M. Entr.</t>
  </si>
  <si>
    <t>928-3307 / 937-6236</t>
  </si>
  <si>
    <t>qc.mtctvimis@gmail.com</t>
  </si>
  <si>
    <t>MT. CHARMEL SCIENCE AND TECHNICAL INSTITUTE INC.</t>
  </si>
  <si>
    <t>789 Quirino Hiway, Gulod, Quezon City</t>
  </si>
  <si>
    <t>MS. CARMEN A. DIOKNO, PHD</t>
  </si>
  <si>
    <t>401-7603</t>
  </si>
  <si>
    <t>mountcharmelschool@yahoo.com</t>
  </si>
  <si>
    <t>SEAMAC INTERNATIONAL TRAINING INSTITUTE, INC.</t>
  </si>
  <si>
    <t>867 G Tolentino Street, Sampaloc, Manila</t>
  </si>
  <si>
    <t>TERESITA Y. MARCOS. MSBM</t>
  </si>
  <si>
    <t>736-2279</t>
  </si>
  <si>
    <t>ne.guarina@seamac.ph.education</t>
  </si>
  <si>
    <t>No. 919 Aurora Blvd., Cubao, Quezon City</t>
  </si>
  <si>
    <t>438-7442</t>
  </si>
  <si>
    <t>Electrical Installation and Maintenance NC III</t>
  </si>
  <si>
    <t>Electronic Products Assembly and Servicing NC II</t>
  </si>
  <si>
    <t>PULXAR TVI, INC.</t>
  </si>
  <si>
    <t>3/F No. 86 Bayani Road, AFPOVAI Phase 5, Brgy. Western Bicutan, Taguig City</t>
  </si>
  <si>
    <t>GINALYN P. RAMBOYONG</t>
  </si>
  <si>
    <t>775-0575 / 894-5030 / 09399276507</t>
  </si>
  <si>
    <t>pulxartviinc3@gmail.com</t>
  </si>
  <si>
    <t>METRO VISION EMS AND DISASTER MANAGEMENT TRAINING AND ASSESSMENT CENTER, INC.</t>
  </si>
  <si>
    <t>No. 9-G Malvar St., San Antonio, Pasig City</t>
  </si>
  <si>
    <t>MELIEZZA JOEY V. VILLARUZ</t>
  </si>
  <si>
    <t>546-9443</t>
  </si>
  <si>
    <t>metrovision.ems@gmail.com</t>
  </si>
  <si>
    <t>Emergency Medical Services NC II</t>
  </si>
  <si>
    <t>Events Management Services NC III</t>
  </si>
  <si>
    <t>BRILLIANT MINDS REVIEW AND TRAINING SCHOOL CORP.</t>
  </si>
  <si>
    <t>Units 2113 – 2114 2nd Floor VV. Soliven Bldg.,  EDSA – Greenhills, San Juan City</t>
  </si>
  <si>
    <t>MA. CHRISTINA LOURDES P. SOLIVEN</t>
  </si>
  <si>
    <t>966-5142</t>
  </si>
  <si>
    <t>brilliantmindstrainingcenter@gmail.com</t>
  </si>
  <si>
    <t>CONCORDIA COLLEGE, INC.</t>
  </si>
  <si>
    <t>1739 P. Gil Street, Paco, Manila</t>
  </si>
  <si>
    <t>Sr. Ana J. Amar, DC</t>
  </si>
  <si>
    <t>563-4352/564-2001</t>
  </si>
  <si>
    <t>tesda@laconcordia.edu.ph</t>
  </si>
  <si>
    <t>D' BEAUTY TREND CENTER INSTITUTE INC.</t>
  </si>
  <si>
    <t>2nd Floor Unit D &amp; E, 2250 MCF Bldg., Taft Avenue, Corner College Road, Pasay City</t>
  </si>
  <si>
    <t>Irish Joy D. Dames</t>
  </si>
  <si>
    <t>0915 299 4488</t>
  </si>
  <si>
    <t>dbeautytrendcenterinstitute@gmail.com</t>
  </si>
  <si>
    <t>D' BEAUTY TREND CENTER INSTITUTE, INC.</t>
  </si>
  <si>
    <t>J&amp;M Building 159-N Mapayapa St., 19th Ave., East Rembo, Makati City</t>
  </si>
  <si>
    <t>IRISH JOY D. DAMES</t>
  </si>
  <si>
    <t>0915-299-4488</t>
  </si>
  <si>
    <t>beautytrendofficial@gmail.com</t>
  </si>
  <si>
    <t>EXCEL TECHNICAL SKILLS AND CAREER CENTER, INC.</t>
  </si>
  <si>
    <t>201 Mahogany Street cor. Marcos Hi-way, Barangay Santolan , Pasig City</t>
  </si>
  <si>
    <t>GEORGINA B. BANZON</t>
  </si>
  <si>
    <t>8656-1738</t>
  </si>
  <si>
    <t>exceltscc2015@gmail.com</t>
  </si>
  <si>
    <t>INFORMATION HUB INC.</t>
  </si>
  <si>
    <t>L11 B13 EP Village Phase 2, Western Bicutan, Taguig City</t>
  </si>
  <si>
    <t>DENNIS M. SANTIAGO</t>
  </si>
  <si>
    <t>0908-865-0545</t>
  </si>
  <si>
    <t>informationhubinc888@gmail.com</t>
  </si>
  <si>
    <t>LTC TRAINING, ASSESSMENT AND MULTI SERVICES, INC.</t>
  </si>
  <si>
    <t>Light Tower Center II, 2nd Floor, 5441 Curie St., Barangay Palanan, Makati City</t>
  </si>
  <si>
    <t>LOREN LARKSPUR T. CASTIGADOR</t>
  </si>
  <si>
    <t>7254-0275 / 0995-980-8051</t>
  </si>
  <si>
    <t>ltc.tamsi@gmail.com</t>
  </si>
  <si>
    <t>OUR LADY OF GUADALUPE TECHNICAL AND VOCATIONAL TRAINING SCHOOL CORP.</t>
  </si>
  <si>
    <t>71 RGG Bldg. Kamias Road Pinyahan, Quezon City</t>
  </si>
  <si>
    <t>GIRLIE ONG-GENATO</t>
  </si>
  <si>
    <t>0908-8671630</t>
  </si>
  <si>
    <t>qc.ourladyofguadalupetvimis@gmail.com</t>
  </si>
  <si>
    <t>PINOY SKILLS ACADEMY INC.</t>
  </si>
  <si>
    <t>121 The Beech Panay Avenue South Triangle, Quezon City</t>
  </si>
  <si>
    <t>RODEN M. RAMOS</t>
  </si>
  <si>
    <t>8373-8434</t>
  </si>
  <si>
    <t>pinoyskillsacademy@gmail.com</t>
  </si>
  <si>
    <t>SABAS SKILLS DEVELOPMENT AND ASSESSMENT CENTER, INC.</t>
  </si>
  <si>
    <t>3003 South Road, Raminel Subd. Valenzuela City</t>
  </si>
  <si>
    <t>JOEL S. SABAS</t>
  </si>
  <si>
    <t>292-2210</t>
  </si>
  <si>
    <t>sabasskills@gmail.com</t>
  </si>
  <si>
    <t>SECTOR EAST TRAINING SOLUTIONS INC.</t>
  </si>
  <si>
    <t>2nd Floor #8 Jacamar St., Brgy. Sta. Elena, Marikina City</t>
  </si>
  <si>
    <t xml:space="preserve">RYAN ULYSSES CRUZ </t>
  </si>
  <si>
    <t>0916-337-5200</t>
  </si>
  <si>
    <t>admin@setsi.ph</t>
  </si>
  <si>
    <t>SIMPLICITY ACADEMY INC.</t>
  </si>
  <si>
    <t>Simplicity Fairview Building, Lot 11 Block 2, Benevento Ave. Greater Lagro, Quezon City</t>
  </si>
  <si>
    <t>Antoni Martin Gutierrez Escalona</t>
  </si>
  <si>
    <t>0917-5929949</t>
  </si>
  <si>
    <t>simplicityacademy.fairview@gmail.com</t>
  </si>
  <si>
    <t>SOUTH COMPEDGE COLLEGE, INC.</t>
  </si>
  <si>
    <t>Protacio Building, 260 Quirino Avenue, Baclaran, Parañaque City</t>
  </si>
  <si>
    <t>JENNIFER U. DELA CRUZ</t>
  </si>
  <si>
    <t>208-2247</t>
  </si>
  <si>
    <t>southcompedgecollege@yahoo.com</t>
  </si>
  <si>
    <t>ST. FRANCIS TECHNICAL INSTITUTE CENTER FOR DEVELOPMENT, TRAINING AND COMPETENCY ASSESSMENT, INC.</t>
  </si>
  <si>
    <t>No. 0030 Zapote St. PHHC Camarin Area-D Camarin Road, Caloocan City</t>
  </si>
  <si>
    <t>Rey L. Guimbangunan</t>
  </si>
  <si>
    <t>514-5119/ 2853297</t>
  </si>
  <si>
    <t>cmnv.stfrancistechnical.t2mis@gmail.com</t>
  </si>
  <si>
    <t>ST. LORENZO RUIZ TRAINING AND ASSESSMENT CENTER, (SLRTACI) INC.</t>
  </si>
  <si>
    <t>2199 2nd Flr. Robert Street, Zone 4 Barangay 13 District 1, Pasay City</t>
  </si>
  <si>
    <t>EUGENE M. RUIZ</t>
  </si>
  <si>
    <t>0995-813-8316</t>
  </si>
  <si>
    <t>St.lorenzoruiztesda2023@gmail.com</t>
  </si>
  <si>
    <t>TRIDENT-ASSESSMENT AND TECHNICAL TRAINING CENTER INC.</t>
  </si>
  <si>
    <t>Unit M03 and 2nd Floor Consuelo Building, 116 Benin Street Corner EDSA Monumento, Zone 8, Barangay 86, Caloocan City</t>
  </si>
  <si>
    <t>REA A. ROQUE</t>
  </si>
  <si>
    <t>trident.tvi2023@gmail.com</t>
  </si>
  <si>
    <t>WCC AERONAUTICAL AND TECHNOLOGICAL COLLEGE - NORTH MANILA, INC.</t>
  </si>
  <si>
    <t>461 William Shaw St., Caloocan City</t>
  </si>
  <si>
    <t>Raymond Patrick V. Guico</t>
  </si>
  <si>
    <t>wccatcnm.tesdaoffice@gmail.com</t>
  </si>
  <si>
    <t>Laborlink Technical Institute Corporation</t>
  </si>
  <si>
    <t>112 Old Samson Rd. Balintawak, Quezon City</t>
  </si>
  <si>
    <t>Antonio M. Dimayuga Jr.</t>
  </si>
  <si>
    <t xml:space="preserve">413-4225 </t>
  </si>
  <si>
    <t>laborlinktechnical@yahoo.com</t>
  </si>
  <si>
    <t>Shielded Metal Arc Welding (SMAW) NC II</t>
  </si>
  <si>
    <t>(S.J.B.) SAINT JOHN BOSCO I.A.S. INC. - (Pasig Branch)</t>
  </si>
  <si>
    <t>2nd Floor, St. John Bosco Bldg., Pasig Bldg., cor. Dr. Sixto Antonio Ave., Caniogan, Pasig City</t>
  </si>
  <si>
    <t>Marilyn D. Barcelona</t>
  </si>
  <si>
    <t>470-8800 / 6424190</t>
  </si>
  <si>
    <t>sjbosco1996@yahoo.com</t>
  </si>
  <si>
    <t>Food and Beverage Services NC II</t>
  </si>
  <si>
    <t>ACADEMY FOR LEISURE AND TOURISM INC.</t>
  </si>
  <si>
    <t>2/F Horizon Center, 100 Andrews Avenue, Pasay City</t>
  </si>
  <si>
    <t>MA. THERESA S. LLAMAS</t>
  </si>
  <si>
    <t>admissions@academyforleisuretourism.com</t>
  </si>
  <si>
    <t>CANADIAN TOURISM AND HOSPITALITY INSTITUTE, INC.</t>
  </si>
  <si>
    <t>2/F Paragon Plaza, EDSA corner Reliance St., Mandaluyong City</t>
  </si>
  <si>
    <t>JENNIFER AYAP</t>
  </si>
  <si>
    <t>451-1657 / 5847343</t>
  </si>
  <si>
    <t>cthitraining@gmail.com</t>
  </si>
  <si>
    <t>MARY THE QUEEN COLLEGE OF QUEZON CITY, INC.</t>
  </si>
  <si>
    <t>Commonwealth Ave., Road., 44 Diliman, Quezon City</t>
  </si>
  <si>
    <t>Jan Carla R. Tan</t>
  </si>
  <si>
    <t>341-0336</t>
  </si>
  <si>
    <t>qc.marythequeencollege.t2mis@gmail.com</t>
  </si>
  <si>
    <t>MOTHER IGNACIA NATIONAL SOCIAL APOSTOLATE CENTER</t>
  </si>
  <si>
    <t xml:space="preserve">NGO/Foundation </t>
  </si>
  <si>
    <t>126 Rosales St. Payatas A, Quezon City</t>
  </si>
  <si>
    <t>S. Ma. Lolieta Ariza, RVM</t>
  </si>
  <si>
    <t>330-8287</t>
  </si>
  <si>
    <t>minsacpayatas028@gmail.com</t>
  </si>
  <si>
    <t>OUR LADY OF LOURDES COLLEGE OF NOVALICHES (OLLCN) INC.</t>
  </si>
  <si>
    <t>No. 9 Nightingale St. and No. 14 Woodpecker St., Zabarte Subdivision, Novaliches, Quezon City</t>
  </si>
  <si>
    <t>Ma. Lourdes L. Ocampo, Ed. D</t>
  </si>
  <si>
    <t>(02) 939-6829</t>
  </si>
  <si>
    <t>office@ollcn.ph.education</t>
  </si>
  <si>
    <t>OVERSEAS ACADEMY SKILLS &amp; ASSESSMENT CENTER INC.</t>
  </si>
  <si>
    <t>2078 Edison St. Brgy San Isidro, Makati City</t>
  </si>
  <si>
    <t>Esperanza H. Pascual</t>
  </si>
  <si>
    <t>815-7051/463-8911</t>
  </si>
  <si>
    <t>overseasacademyskills@yahoo.com</t>
  </si>
  <si>
    <t>Food and Beverage Services NC III</t>
  </si>
  <si>
    <t>Front Office Services NC II</t>
  </si>
  <si>
    <t>Game Programming NC III</t>
  </si>
  <si>
    <t>INTERNATIONAL TRAINING FOR ENHANCEMENT &amp; ASSESSMENT CENTER, INC.</t>
  </si>
  <si>
    <t>52 Iphor Bldg. Doña Soledad Ave., Brgy. Don Bosco, Bicutan, Parañaque City</t>
  </si>
  <si>
    <t>JUNEL V. FETALINO</t>
  </si>
  <si>
    <t>738-8450</t>
  </si>
  <si>
    <t>jfetalino@iteac.edu.ph</t>
  </si>
  <si>
    <t>Shielded Metal Arc Welding (SMAW) NC I</t>
  </si>
  <si>
    <t>Stars and Rainbow Academy, Inc.</t>
  </si>
  <si>
    <t>RECRAA Bldg., Vitalez Cmpd., Sucat, Paranaque City</t>
  </si>
  <si>
    <t>Ma. Cristina B. Tafalla</t>
  </si>
  <si>
    <t>826-81-69 825-7956 loc. 50 826-8169 fax</t>
  </si>
  <si>
    <t>starsandrainbow2016@gmail.com</t>
  </si>
  <si>
    <t>Health Care Services NC II</t>
  </si>
  <si>
    <t>AISTAC ALPHA INNOVATIVE SKILLS TRAINING AND ASSESSMENT CENTER INC. DOING BUSINESS UNDER AISTAC ALPHA</t>
  </si>
  <si>
    <t>Sto. Niño Village, Agnes St. Tunasan, Muntinlupa City</t>
  </si>
  <si>
    <t>Norma R. Respicio</t>
  </si>
  <si>
    <t>09338582077/ 02-8292 5857</t>
  </si>
  <si>
    <t>info@aistac.org</t>
  </si>
  <si>
    <t>Heavy Equipment Operation (Forklift) NC II</t>
  </si>
  <si>
    <t>GLOBAL OVERSEAS TRAINING INSTITUTE FOR HEAVY EQUIPMENT OPERATORS &amp; SKILLS DEVELOPMENT (GOTHED), INC.</t>
  </si>
  <si>
    <t>248 B. C. Dela Paz Street, Barangay Caniogan, Pasig City</t>
  </si>
  <si>
    <t>Guiller S. Castillo</t>
  </si>
  <si>
    <t>Tel. 628-0016</t>
  </si>
  <si>
    <t>gotihedtraining@yahoo.com</t>
  </si>
  <si>
    <t>NOBLE VISION TRAINING AND ASSESSMENT INSTITUTE INC.</t>
  </si>
  <si>
    <t>125 San Guillermo St., Jarger Homes Dulo, Brgy. Bayanan</t>
  </si>
  <si>
    <t>AIZA T. RUFO</t>
  </si>
  <si>
    <t>475-4194 / 0908-7777-670</t>
  </si>
  <si>
    <t>noblevisiontraininginstitute@gmail.com</t>
  </si>
  <si>
    <t>TECHNO SPEAR TRAINING CENTER OF THE PHILIPPINES INCORPORATED</t>
  </si>
  <si>
    <t>11 Apitong St., Marikina Heights, Marikina City</t>
  </si>
  <si>
    <t>RONALYN L. ARIZA</t>
  </si>
  <si>
    <t>401-7671</t>
  </si>
  <si>
    <t>technospear@yahoo.com</t>
  </si>
  <si>
    <t>Heavy Equipment Operation (Hydraulic Excavator) NC II</t>
  </si>
  <si>
    <t>Hilot (Wellness Massage) NC II</t>
  </si>
  <si>
    <t>AVALONE TRAINING AND DEVELOPMENT FOUNDATION, INC.</t>
  </si>
  <si>
    <t>M1 5th Floor 2296 F.B. Harrison St., Pasay City</t>
  </si>
  <si>
    <t>ATTY. DAVID F. DACLAG</t>
  </si>
  <si>
    <t>avalone_training@yahoo.com</t>
  </si>
  <si>
    <t>DR. R.A. FERNANDO SCHOOL OF HEALTHCARE TECHNOLOGY, INC.</t>
  </si>
  <si>
    <t>No. 1991 San Juan St., Wardley Bldg. 3/F, Brgy. 36, Zone 3, Pasay City</t>
  </si>
  <si>
    <t>Ms. Marylou H. Fernando</t>
  </si>
  <si>
    <t>742-1585</t>
  </si>
  <si>
    <t>rafhealthcaretech@gmail.com</t>
  </si>
  <si>
    <t>E-JUVENEX'S ACADEMY, INC. DOING BUSINESS UNDER JUVENEX'S TRAINING CENTER; JUVENEX'S MASSAGE SPA</t>
  </si>
  <si>
    <t>116-A Hillcrest Condominium, E. Rodriguez Cubao, Quezon City</t>
  </si>
  <si>
    <t>Joenathan Villavelez</t>
  </si>
  <si>
    <t>0999-996-1241 / 0917-624-5923</t>
  </si>
  <si>
    <t>ejuvenexsacademy2019@gmail.com</t>
  </si>
  <si>
    <t>MARIKINA SKILLS TRAINING AND ASSESSMENT CENTER INC.</t>
  </si>
  <si>
    <t>Blk 3 Lot 11 Champaca III Street, Brgy. Fortune, Marikina City</t>
  </si>
  <si>
    <t xml:space="preserve">CORNELIA L. LAYOSA </t>
  </si>
  <si>
    <t>0943-011-7575</t>
  </si>
  <si>
    <t>mstaci17@gmail.com</t>
  </si>
  <si>
    <t>Housekeeping NC II</t>
  </si>
  <si>
    <t>BCL SKILLS DEVELOPMENT CORP.</t>
  </si>
  <si>
    <t>34 Gov. Pascual Avenue, Acacia, Malabon City</t>
  </si>
  <si>
    <t>OFELIA L. CALPITO</t>
  </si>
  <si>
    <t>bcl.malabon+training@gmail.com</t>
  </si>
  <si>
    <t>CAPT. WILIJADO P. ABUID FOUNDATION, INC.</t>
  </si>
  <si>
    <t>2nd and 3rd Floor, AIMS Campus, Arnaiz St. Corner Roxas Blvd. Barangay 13, Pasay City</t>
  </si>
  <si>
    <t>DR. ARLENE ABUID-PADERANGA</t>
  </si>
  <si>
    <t>8831-1525/0928-483-7486</t>
  </si>
  <si>
    <t>capt.wpaf@yahoo.com</t>
  </si>
  <si>
    <t>RIDGE TECHNICAL SCHOOL AND DEVELOPMENT CORP.</t>
  </si>
  <si>
    <t>#0176 9th East Avenue Barangay 104 Grace Park Caloocan City</t>
  </si>
  <si>
    <t>RAQUEL F. FORMENTO</t>
  </si>
  <si>
    <t>912-8781/382-6284</t>
  </si>
  <si>
    <t>cmnv.ridge.t2mis@gmail.com</t>
  </si>
  <si>
    <t>SKILLS FOR ENTREPRENEURSHIP, EMPLOYMENT AND DEVELOPMENT CENTER CORP.</t>
  </si>
  <si>
    <t>Unit 339 Landcom Ville II, Mindanao Avenue, Tandang Sora, Quezon City</t>
  </si>
  <si>
    <t>Merlyn L. Pinili</t>
  </si>
  <si>
    <t>506-6861</t>
  </si>
  <si>
    <t>seed_tcc@yahoo.com</t>
  </si>
  <si>
    <t>Housekeeping NC III</t>
  </si>
  <si>
    <t>Illustration NC II</t>
  </si>
  <si>
    <t>Instrumentation and Control Servicing NC II</t>
  </si>
  <si>
    <t>METROLOGYX TRAINING &amp; ASSESSMENT CENTER INC.</t>
  </si>
  <si>
    <t>4/F Inocencio Bldg., 98 Sen. Gil Puyat Ave., Brgy. 009, Pasay City</t>
  </si>
  <si>
    <t>Teodoro Jose D. Punzalan</t>
  </si>
  <si>
    <t>manila.metrologyx@gmail.com</t>
  </si>
  <si>
    <t>Machining NC II</t>
  </si>
  <si>
    <t>Masonry NC I</t>
  </si>
  <si>
    <t>Masonry NC II</t>
  </si>
  <si>
    <t>Mechatronics Servicing NC II</t>
  </si>
  <si>
    <t>MFI Polytechnic Institute, Inc. (Formerly: MFI Foundation, Inc.)</t>
  </si>
  <si>
    <t>MFI Pasay Campus, 2240 MFI Bldg., Taft Avenue, Brgy. 058, Pasay City</t>
  </si>
  <si>
    <t>Noel M. Dumaguit</t>
  </si>
  <si>
    <t xml:space="preserve"> 846-5142/846-5143</t>
  </si>
  <si>
    <t>pasay@mfi.edu.ph</t>
  </si>
  <si>
    <t>REGIONAL TRAINING CENTER - NCR</t>
  </si>
  <si>
    <t>TTI (RTC)</t>
  </si>
  <si>
    <t>Building 14, Gate 2, TESDA Complex East Service Road, South Luzon Expressway (SLEX), Fort Bonifacio, Taguig City</t>
  </si>
  <si>
    <t>GILBERT M. CASTRO</t>
  </si>
  <si>
    <t>rtcncr@tesda.gov.ph</t>
  </si>
  <si>
    <t>Mechatronics Servicing NC III</t>
  </si>
  <si>
    <t>Mechatronics Servicing NC IV</t>
  </si>
  <si>
    <t>Medical Transcription NC II</t>
  </si>
  <si>
    <t>Motorcycle/Small Engine Servicing NC II</t>
  </si>
  <si>
    <t>Pharmacy Services NC III</t>
  </si>
  <si>
    <t>PHILIPPINE CENTER FOR CREATIVE IMAGING, INC.</t>
  </si>
  <si>
    <t>Kodak Building 2247 Chino Roces Avenue, Brgy. Bangkal, Makati City</t>
  </si>
  <si>
    <t>MARY JOSSA T. MIRANDA</t>
  </si>
  <si>
    <t>tesda.pcci@gmail.com</t>
  </si>
  <si>
    <t>Photography NC II</t>
  </si>
  <si>
    <t>MEPF TECHNOLOGICAL INSTITUTE (MTI) INC.</t>
  </si>
  <si>
    <t>4th Floor RCDC Bldg. , 154 Roosevelt Avenue, Brgy. Paraiso, Quezon City</t>
  </si>
  <si>
    <t>Alberto T. Cabael</t>
  </si>
  <si>
    <t>404-5127</t>
  </si>
  <si>
    <t>mepfmti2004@gmail.com</t>
  </si>
  <si>
    <t>Plumbing NC I</t>
  </si>
  <si>
    <t>Plumbing NC II</t>
  </si>
  <si>
    <t>Plumbing NC III</t>
  </si>
  <si>
    <t>Programming (Java) NC III</t>
  </si>
  <si>
    <t>DIGITAL ARTS TECHNOLOGY TRAINING CENTER, INC</t>
  </si>
  <si>
    <t>No. 2 Ipil St., Victorino Compound 1, Marikina City</t>
  </si>
  <si>
    <t>MS. CAROLYN M. DE CHAVEZ</t>
  </si>
  <si>
    <t>8725-7578</t>
  </si>
  <si>
    <t>digitalartstech01@gmail.com</t>
  </si>
  <si>
    <t>EXPERTS TECHNOLOGY ASSESSMENT AND TRAINING CENTER, INC.</t>
  </si>
  <si>
    <t xml:space="preserve">5th Floor Araneta Square Brgy 76, Monumento Caloocan City </t>
  </si>
  <si>
    <t xml:space="preserve">Wynjie I. Abergos </t>
  </si>
  <si>
    <t>283-8710</t>
  </si>
  <si>
    <t>expertstech888@gmail.com</t>
  </si>
  <si>
    <t>JOYSIS TECH VOC INC.</t>
  </si>
  <si>
    <t>No. 1 Inda Maria Road, Potrero, Malabon City</t>
  </si>
  <si>
    <t>VIRGILIO V. GUILLERMO</t>
  </si>
  <si>
    <t>09488441461 / 09567331509</t>
  </si>
  <si>
    <t>info@joysistvi.edu.ph</t>
  </si>
  <si>
    <t>No. 2217 SATA Corp. Building, Taft Avenue, Barangay 38, Pasay City</t>
  </si>
  <si>
    <t>ENGR. KEITH T. MONTORIO, ECE, ECT</t>
  </si>
  <si>
    <t>(02) 7257-7856 / 0968-321-0705</t>
  </si>
  <si>
    <t>scitec.pasmak@gmail.com</t>
  </si>
  <si>
    <t>PV Systems Installation NC II</t>
  </si>
  <si>
    <t>RAC Servicing (DomRAC) NC II</t>
  </si>
  <si>
    <t>DON BOSCO TECHNICAL INSTITUTE OF MAKATI, INC.</t>
  </si>
  <si>
    <t>A. Arnaiz Ave., Cor. Chino Roces Ave., Makati City</t>
  </si>
  <si>
    <t>Fr. Jerry T. Santos</t>
  </si>
  <si>
    <t>892-0107-09 / 817-5807</t>
  </si>
  <si>
    <t>dbmakati.registrar@one-bosco.org</t>
  </si>
  <si>
    <t>Rigging NC I</t>
  </si>
  <si>
    <t>PROBATON TECHNICAL SKILLS INSTITUTE INC.</t>
  </si>
  <si>
    <t>MRB Complex, Brgy. Commonwealth, Quezon City</t>
  </si>
  <si>
    <t>ABRAHAM G. GOLEÑA</t>
  </si>
  <si>
    <t>qc.probatoninctvimis@gmail.com</t>
  </si>
  <si>
    <t>Scaffolding Works (Supported Type Scaffold) NC II</t>
  </si>
  <si>
    <t>FOREMOST ACCREDITATION SECURITY TRAINING SCHOOL (FASTS), INC.</t>
  </si>
  <si>
    <t>34 Gov. W. Pascual Avenue, Acacia, Malabon City</t>
  </si>
  <si>
    <t>235-69-12/69-42</t>
  </si>
  <si>
    <t>fasts.malabon@gmail.com</t>
  </si>
  <si>
    <t>Security Services NC II</t>
  </si>
  <si>
    <t>PHILIPPINE WELDING TECHNOLOGY SKILLS AND SERVICES CENTER INC.</t>
  </si>
  <si>
    <t>586 Gov. A. Pascual St., San Roque, Navotas, Metro Manila</t>
  </si>
  <si>
    <t>JOSE MARIE DOROY</t>
  </si>
  <si>
    <t>philweldtech@yahoo.com</t>
  </si>
  <si>
    <t>GRAND TRAINING AND ASSESSMENT CENTER, INCORPORATED</t>
  </si>
  <si>
    <t>Block 2, Lot 1 Gigatech Bldg. 1, Duhat Mon El Subdivision, San Antonio, Parañaque City</t>
  </si>
  <si>
    <t>FRANCIS T. TAJANLANGIT</t>
  </si>
  <si>
    <t>gtacinc.2022@gmail.com</t>
  </si>
  <si>
    <t>PCA MARIVALLEY CONSTRUCTORS ASSOCIATION, INC.</t>
  </si>
  <si>
    <t xml:space="preserve">No. 20 Russet corner Rainbow Street, SSS Village, Concepcion Dos, Marikina City </t>
  </si>
  <si>
    <t>ALELI S. DE JESUS</t>
  </si>
  <si>
    <t>momcygrace@gmail.com</t>
  </si>
  <si>
    <t>Gas Metal Arc Welding (GMAW) NC II</t>
  </si>
  <si>
    <t>ROUNDED SYSTEMS INC.</t>
  </si>
  <si>
    <t>810 Fabella St., Plainview, Mandaluyong City</t>
  </si>
  <si>
    <t>ZHON MICHAEL B. BELLO</t>
  </si>
  <si>
    <t>535-9119 / 5323570/531-0437</t>
  </si>
  <si>
    <t>roundedsystemsinc@gmail.com</t>
  </si>
  <si>
    <t>KABAKA MANPOWER TRAINING AND ASSESSMENT CENTER, INC.</t>
  </si>
  <si>
    <t>Jesus Street cor. Nagtahan, Pandacan, Manila</t>
  </si>
  <si>
    <t>AMADO S. BAGATSING</t>
  </si>
  <si>
    <t>028247-3441</t>
  </si>
  <si>
    <t>mlakabaka.tvimis@gmail.com</t>
  </si>
  <si>
    <t>Shielded Metal Arc Welding (SMAW) NC III</t>
  </si>
  <si>
    <t>BRIGHT FUTURE SKILLS TRAINING AND ASSESSMENT CENTER INC.</t>
  </si>
  <si>
    <t>Block 10 Lot 6 Emerald St., Millionaires Village, Novaliches Proper, Quezon City</t>
  </si>
  <si>
    <t>ROBERT C. PALISOC</t>
  </si>
  <si>
    <t>7955-0875 / 0926-3928290</t>
  </si>
  <si>
    <t>brightfutureskills2021@gmail.com</t>
  </si>
  <si>
    <t>DIVERSIFIED CORPORATION</t>
  </si>
  <si>
    <t xml:space="preserve">No. 826 Fabella St., Plainview, Mandaluyong City </t>
  </si>
  <si>
    <t>ZHON MARC B. BELLO MSc.</t>
  </si>
  <si>
    <t>535-9119 / 5323570</t>
  </si>
  <si>
    <t>training@diversifiedcorporation.ph</t>
  </si>
  <si>
    <t>XAVIER TECHNICAL TRAINING CENTER CORP.</t>
  </si>
  <si>
    <t>A &amp; B Quirino Highway corner Tansinco Drive Greenfields I Subd., Brgy. Kaligayahan Novaliches, Quezon City</t>
  </si>
  <si>
    <t>Gertie E. Quintela</t>
  </si>
  <si>
    <t>990-5086 / 781-4852</t>
  </si>
  <si>
    <t>xaviernova0109@gmail.com</t>
  </si>
  <si>
    <t>Flux-Cored Arc Welding (FCAW) NC II</t>
  </si>
  <si>
    <t>MINDBRIDGE RESOURCES CORPORATION</t>
  </si>
  <si>
    <t>Lot 33 Far East Corner Citizen Ave., Bankers Village I, Brgy. 171 Bagumbong, Caloocan City</t>
  </si>
  <si>
    <t>DR. ROWIE A. ORQUITA</t>
  </si>
  <si>
    <t>mindbridge.lpgmatrainingcenter@gmail.com</t>
  </si>
  <si>
    <t xml:space="preserve">WELDING INDUSTRIES OF THE PHILIPPINES, INCORPORATED </t>
  </si>
  <si>
    <t>No. 111 Baesa Road, caloocan City</t>
  </si>
  <si>
    <t>FERDINAND M. TUBALLA</t>
  </si>
  <si>
    <t>362-7581 to 84</t>
  </si>
  <si>
    <t>wssdc.wip@gmail.com</t>
  </si>
  <si>
    <t>Gas Tungsten Arc Welding (GTAW) NC II</t>
  </si>
  <si>
    <t>VALENZUELA CITY POLYTECHNIC COLLEGE</t>
  </si>
  <si>
    <t>Kamagong St. Fortune Village 6, Parada, Valenzuela City</t>
  </si>
  <si>
    <t>Dr. Yolanda G. Gadon</t>
  </si>
  <si>
    <t>292-0480 / 293-0775</t>
  </si>
  <si>
    <t>valenzuela.polytechnic@gmail.com</t>
  </si>
  <si>
    <t>Ships' Catering (Ships' Cooks) NC III</t>
  </si>
  <si>
    <t>CHEF JHON'S TRAINING AND ASSESSMENT INC.</t>
  </si>
  <si>
    <t>4th Floor Tiaoqui Bldg. Sta. Cruz Plaza, Ronquillo St. Sta. Cruz Manila</t>
  </si>
  <si>
    <t>WILFREDO M. PROTACIO JR.</t>
  </si>
  <si>
    <t>83547592 / 0998446996</t>
  </si>
  <si>
    <t>chefjhonstrainingandassessment@gmail.com</t>
  </si>
  <si>
    <t>SEATECH MARITIME TRAINING AND ASSESSMENT CENTER INC.</t>
  </si>
  <si>
    <t>Ground Floor Trinity Bldg., TM Kalaw St., Ermita, Manila</t>
  </si>
  <si>
    <t>RHEA P. DE LOS REYES</t>
  </si>
  <si>
    <t>0962-995-8471/0905-231-3493/(02) 5310-2095</t>
  </si>
  <si>
    <t>seatech.tesda@gmail.com</t>
  </si>
  <si>
    <t>SOUTHERN INSTITUTE OF MARITIME STUDIES-MANILA INC.</t>
  </si>
  <si>
    <t>2/F The Grand Place Building, 1424 M.H. Del Pilar Street, Ermita, Manila</t>
  </si>
  <si>
    <t>Norma J. Blasquez</t>
  </si>
  <si>
    <t>254-8225</t>
  </si>
  <si>
    <t>sims_manila@yahoo.com</t>
  </si>
  <si>
    <t>UNITED MARINE TRAINING CENTER, INC.</t>
  </si>
  <si>
    <t>Marlow Bldg., 2120 Leon Guinto Street, Malate, Manila</t>
  </si>
  <si>
    <t>Engr. Donald B. Bautista</t>
  </si>
  <si>
    <t>528-1527/ 400-9941</t>
  </si>
  <si>
    <t>Ship's Catering Services NC I</t>
  </si>
  <si>
    <t>FAR EAST MARITIME FOUNDATION INC.</t>
  </si>
  <si>
    <t>10/F Victoria Bldg., UN Avenue, Ermita, Manila</t>
  </si>
  <si>
    <t>CIELITO S. FERIAS</t>
  </si>
  <si>
    <t>526-2427</t>
  </si>
  <si>
    <t>INTERNATIONAL MARITIME EDUCATION CENTER CORPORATION</t>
  </si>
  <si>
    <t>8th-9th Floors, 10-B 10th Floor, 11th and 12-B 12th Floor Maritime Plaza Bldg., A. Flores St. corner Cortada St. Ermita, Manila</t>
  </si>
  <si>
    <t>MARY ANNE S. MADRIAGA</t>
  </si>
  <si>
    <t>824-2412</t>
  </si>
  <si>
    <t>info@imecc.ph</t>
  </si>
  <si>
    <t>NE PLUS ULTRA TRAINING CENTER CORPORATION</t>
  </si>
  <si>
    <t>No. 1381 San Marcelino Street, Ermita, Manila</t>
  </si>
  <si>
    <t>JESUS C. ESCALA</t>
  </si>
  <si>
    <t>242-6582/242-6581</t>
  </si>
  <si>
    <t>training@nputc.com</t>
  </si>
  <si>
    <t>UNITED SEAFARER'S MARITIME CENTER, INC.</t>
  </si>
  <si>
    <t>G/F YMCA of Manila Buidling Antonio Villegas St., Ermita, Manila</t>
  </si>
  <si>
    <t>CAPT. CESARIO S. CORNEJO JR.</t>
  </si>
  <si>
    <t>241-0881</t>
  </si>
  <si>
    <t>usmci2010@gmail.com</t>
  </si>
  <si>
    <t>AGILE INSITUTE OF SLAUGHTERING &amp; BUTCHERING CORP.</t>
  </si>
  <si>
    <t>3772 Sinilyasi St. cor. Lapulapu Ave. Ext., Dagatdagatan, Caloocan city</t>
  </si>
  <si>
    <t>ETHEL C. BRIONES</t>
  </si>
  <si>
    <t>285-5201</t>
  </si>
  <si>
    <t>agileslaughtering1955@yahoo.com.ph</t>
  </si>
  <si>
    <t>Slaughtering Operations (Swine) NC II</t>
  </si>
  <si>
    <t>D' RISING SUN TRAINING CENTER PHILS. INC.</t>
  </si>
  <si>
    <t>2F Loza Business Center, Lilac Avenue, Hacienda Heights, Concepcion Dos, Marikina City</t>
  </si>
  <si>
    <t>Aubrey S. Belardo</t>
  </si>
  <si>
    <t>0917-572-5893</t>
  </si>
  <si>
    <t>drisingsun.marikina@gmail.com</t>
  </si>
  <si>
    <t>D' Rising Sun Training Center Phils., Inc.</t>
  </si>
  <si>
    <t>3/F DLA Bldg. National Road, Putatan, Muntinlupa City</t>
  </si>
  <si>
    <t>781-0331</t>
  </si>
  <si>
    <t>aubreybelardo@gmail.com</t>
  </si>
  <si>
    <t>Microcadd Institute Incorporated</t>
  </si>
  <si>
    <t>5/F Doña Consolation Bldg., #602 Gen Santos St., Araneta Center, Cubao Quezon City</t>
  </si>
  <si>
    <t>Rowena Ugalde</t>
  </si>
  <si>
    <t>911-2055/ 911-6650</t>
  </si>
  <si>
    <t>mcadtechvoc@gmail.com</t>
  </si>
  <si>
    <t>Technical Drafting NC II</t>
  </si>
  <si>
    <t>UPTITUDE TRAINING CORP.</t>
  </si>
  <si>
    <t>Unit 305 - 306 West City Plaza, 66 West Avenue West Triangle, Quezon City</t>
  </si>
  <si>
    <t>Erlbert T. Besar</t>
  </si>
  <si>
    <t>0956-8740561</t>
  </si>
  <si>
    <t>uptitudeqc@gmail.com</t>
  </si>
  <si>
    <t>Dela Rama Bldg. Buenamar St. Buenamar Subd. Novaliches, Quezon City</t>
  </si>
  <si>
    <t>7754-9645</t>
  </si>
  <si>
    <t>qc.iihnovatvimis@gmail.com</t>
  </si>
  <si>
    <t>Tile Setting NC II</t>
  </si>
  <si>
    <t>PHIL ASIA SKILLS TRAINING AND ASSESSMENT CENTER, INC.</t>
  </si>
  <si>
    <t>PSS Lacolina Multipurpose Hall, PSS Lacolina, Santan Street, Fortune, Marikina City</t>
  </si>
  <si>
    <t>MS. VALERIE M. CONTAOE</t>
  </si>
  <si>
    <t>philasiancr08@gmail.com</t>
  </si>
  <si>
    <t>8837 Colmena St. Brgy. Olympia Makati City</t>
  </si>
  <si>
    <t>MARIA CRISELLA O. BINAYUG</t>
  </si>
  <si>
    <t>(+63) 29642237 / 09173005827 / 09173001527</t>
  </si>
  <si>
    <t>jjlbinayug@qtekcenter.com</t>
  </si>
  <si>
    <t>Tourism Promotion Services NC II</t>
  </si>
  <si>
    <t>Trainers Methodology Level I</t>
  </si>
  <si>
    <t>National TVET Trainers Academy</t>
  </si>
  <si>
    <t>NTTA Bldg., Mayor Chanyungco St., Sta. Elena, Marikina City</t>
  </si>
  <si>
    <t>Stephen I. Cezar</t>
  </si>
  <si>
    <t>655-6577 / 655-7065</t>
  </si>
  <si>
    <t>ntta@tesda.gov.ph</t>
  </si>
  <si>
    <t>Travel Services NC II</t>
  </si>
  <si>
    <t>Visual Graphic Design NC III</t>
  </si>
  <si>
    <t>ONE STOP WAREHOUSING SOLUTIONS, INC</t>
  </si>
  <si>
    <t>AFP RSBS, Industrial Park, Western Bicutan, Taguig City</t>
  </si>
  <si>
    <t>SHERYL N. GUTIERREZ</t>
  </si>
  <si>
    <t>sheryl.gutierrez@msl.com.ph</t>
  </si>
  <si>
    <t>Warehousing Services NC II</t>
  </si>
  <si>
    <t>Row Labels</t>
  </si>
  <si>
    <t>Grand Total</t>
  </si>
  <si>
    <t>Sum of Graduates</t>
  </si>
  <si>
    <t>2814-I Violeta Court F.B. Harrison St., Pasay City</t>
  </si>
  <si>
    <t>ACADEMY ASIA SCHOOL OF TECHNOLOGY AND THE ARTS, INC. </t>
  </si>
  <si>
    <t>2/F WRC Bldg. No. 47 Gil Fernando Midtown Subd., San Roque, Marikina City</t>
  </si>
  <si>
    <t>Suite U-207 Skyway Twin Tower, 351 Henry P. Javier St., Brgy., Orando Pasig City</t>
  </si>
  <si>
    <t>ACCESS PASIG COMPUTER &amp; TECHNICAL COLLEGES, INC. </t>
  </si>
  <si>
    <t>Mezzanine B 707 Shaw Blvd., Brgy. Kapitolyo, Pasig City</t>
  </si>
  <si>
    <t>ASIAN ENTREPRENEURS TECHNOLOGICAL INSTITUTE, INC. </t>
  </si>
  <si>
    <t>Units 2113 – 2114 2nd Floor VV. Soliven Bldg.,  EDSA – Greenhills, San Juan City</t>
  </si>
  <si>
    <t>CANE TOWN COLLEGES OF THE PHILIPPINES, INC. DOING BUSINESS UNDER THE NAME AND STYLE OF PROFESSIONAL </t>
  </si>
  <si>
    <t>CENTRAL INSTITUTE OF TECHNOLOGY OF QUEZON CITY, INC. </t>
  </si>
  <si>
    <t>118 Interior Gen. Luna St., Brgy. Ibaba Malabon City</t>
  </si>
  <si>
    <t>DMCI Compound, C-5 Rd., Brgy. Ususan, Taguig City</t>
  </si>
  <si>
    <t>No. 826 Fabella St., Plainview, Mandaluyong City</t>
  </si>
  <si>
    <t>DON BOSCO YOUTH CENTER-TONDO INC. </t>
  </si>
  <si>
    <t>Mezzanine A 707 Shaw Blvd., Brgy. Kapitolyo, Pasig City</t>
  </si>
  <si>
    <t>5th Floor Araneta Square Brgy 76, Monumento Caloocan City</t>
  </si>
  <si>
    <t>518 Narra St. Cembo, Makati City</t>
  </si>
  <si>
    <t>FIRST GEAR TECHNICAL INSTITUTE AND ASSESSMENT CENTER, INC. </t>
  </si>
  <si>
    <t>Lot 3 Blk 2 DRJ Village, Old Sauyo Road, Barangay Sauyo, Novaliches, Quezon City</t>
  </si>
  <si>
    <t>No. 163 Dr. Sixto Avenue, Brgy. Rosario, Pasig City</t>
  </si>
  <si>
    <t>NGO/Foundation </t>
  </si>
  <si>
    <t>NATIONAL INSTITUTE FOR TECHNICAL AND VOCATIONAL CAREERS, INC. </t>
  </si>
  <si>
    <t>Unit 11, Llanar Bldg., Bonny Serrano Ave., cor. 10th Ave., Cubao, Quezon City</t>
  </si>
  <si>
    <t>OUR LADY OF GUADALUPE COLLEGE, INC., </t>
  </si>
  <si>
    <t>5037 Gen. T. de Leon St. Valenzuela City</t>
  </si>
  <si>
    <t>Pio Alvarez St. , Barangay Bambang Pasig City </t>
  </si>
  <si>
    <t>No. 20 Russet corner Rainbow Street, SSS Village, Concepcion Dos, Marikina City</t>
  </si>
  <si>
    <t>64 Espiritu St., Tinajeros, Malabon City</t>
  </si>
  <si>
    <t>4/F Maria Compound Bldg., # 14 Nicanor Roxas St. Brgy. San Roque, Marikina City</t>
  </si>
  <si>
    <t>Quirino Highway corner Zabarte Road, Bgy. Kaligayahan Quezon City </t>
  </si>
  <si>
    <t>SLDM COLLEGES OF QUEZON CITY, INC. </t>
  </si>
  <si>
    <t>B1 L1 Salvador Ave. cor., Quirino Highway, Jordan Plains Subd., Quezon City</t>
  </si>
  <si>
    <t>No. 92 Mc Arthur Highway, Marulas, Valenzuela City</t>
  </si>
  <si>
    <t>WELDING INDUSTRIES OF THE PHILIPPINES, INCORPORATED </t>
  </si>
  <si>
    <t>lat</t>
  </si>
  <si>
    <t>lon</t>
  </si>
  <si>
    <t>formatted</t>
  </si>
  <si>
    <t>55 Shaw Boulevard, Mandaluyong, 1550 Metro Manila, Philippines</t>
  </si>
  <si>
    <t>Hudson, 215 Dr. Sixto Antonio Avenue, Pasig, 1606 Metro Manila, Philippines</t>
  </si>
  <si>
    <t>827 P. Paredes Street, Manila, 1015 Metro Manila, Philippines</t>
  </si>
  <si>
    <t>Quezon City, Metro Manila, Philippines</t>
  </si>
  <si>
    <t>Pasay, National Capital District, Philippines</t>
  </si>
  <si>
    <t>Grissini Ristorante Marikina, B4 L3 Gil Fernando, Marikina, 1800 Metro Manila, Philippines</t>
  </si>
  <si>
    <t>Skyway Twin Towers, 351 Captain Henry Javier Street, Pasig, 1019 Metro Manila, Philippines</t>
  </si>
  <si>
    <t>100 Andrews Avenue, Pasay, 1232 National Capital District, Philippines</t>
  </si>
  <si>
    <t>11 Del Pilar Street, Pasig, 1602 Metro Manila, Philippines</t>
  </si>
  <si>
    <t>Sampaloc, Manila, National Capital District, Philippines</t>
  </si>
  <si>
    <t>Caloocan, National Capital District, Philippines</t>
  </si>
  <si>
    <t>Saint Agnes Street, Muntinlupa, 1773 Metro Manila, Philippines</t>
  </si>
  <si>
    <t>Grab Philippines, 2251 Chino Roces Avenue, Makati, 1231 Metro Manila, Philippines</t>
  </si>
  <si>
    <t>Quezon City, National Capital District, Philippines</t>
  </si>
  <si>
    <t>707 Shaw Boulevard, Pasig, 1603 Metro Manila, Philippines</t>
  </si>
  <si>
    <t>0721 F. Navarette Street, Valenzuela, 1444 Metro Manila, Philippines</t>
  </si>
  <si>
    <t>Sucat, Muntinlupa, Metro Manila, Philippines</t>
  </si>
  <si>
    <t>Concepcion Uno, Marikina, Metro Manila, Philippines</t>
  </si>
  <si>
    <t>Arandia College, Lot 1 Block 1 F. Valarao Street, Parañaque, 1709 Metro Manila, Philippines</t>
  </si>
  <si>
    <t>Jafer Place, Eisenhower Street, San Juan, 1504 Metro Manila, Philippines</t>
  </si>
  <si>
    <t>Legarda Street, 2600 Legarda Street, Manila, 1213 Metro Manila, Philippines</t>
  </si>
  <si>
    <t>1665 Taft Avenue, Manila, 1004 Metro Manila, Philippines</t>
  </si>
  <si>
    <t>Western Bicutan, Taguig, Metro Manila, Philippines</t>
  </si>
  <si>
    <t>One Mercedes Plaza, Victoria Road, Pasig, 1606 Metro Manila, Philippines</t>
  </si>
  <si>
    <t>Asian Caregiving and Technology Education Centers, Inc, Aguinaldo Highway, Bacoor, 4103 CV, Philippines</t>
  </si>
  <si>
    <t>Asian Christian Theological School &amp; Colleges, 503 Eagle Street, Taguig, 1649 Metro Manila, Philippines</t>
  </si>
  <si>
    <t>115 E. Santos Avenue, Pasig, 1601 Metro Manila, Philippines</t>
  </si>
  <si>
    <t>14 M. A. Roxas Street, Marikina, 1801 Metro Manila, Philippines</t>
  </si>
  <si>
    <t>St. Luke's Medical Center Global City, Rizal Drive, Taguig, 1635 Metro Manila, Philippines</t>
  </si>
  <si>
    <t>Pasay City Hall, F. B. Harrison Street, Pasay, 1709 Metro Manila, Philippines</t>
  </si>
  <si>
    <t>Paranaque City, National Capital District, Philippines</t>
  </si>
  <si>
    <t>Pasig, Philippines</t>
  </si>
  <si>
    <t>Malabon, National Capital District, Philippines</t>
  </si>
  <si>
    <t>682 Shaw Boulevard, Pasig, 1603 Metro Manila, Philippines</t>
  </si>
  <si>
    <t>Bernardo College, P. Diego Cera Avenue, Las Pinas, 1740 National Capital District, Philippines</t>
  </si>
  <si>
    <t>4 2nd West Crame Road, San Juan, 1504 Metro Manila, Philippines</t>
  </si>
  <si>
    <t>Burke Street, Manila, 1006 Metro Manila, Philippines</t>
  </si>
  <si>
    <t>Great Seas Mariners Training &amp; Assessment Center, 937 P. Paredes Street, Manila, 1003 National Capital District, Philippines</t>
  </si>
  <si>
    <t>Emerald, Quezon City, 1125 Metro Manila, Philippines</t>
  </si>
  <si>
    <t>San Fernando, PM, Philippines</t>
  </si>
  <si>
    <t>54 Jose P. Rizal Street, Quezon City, 1109 Metro Manila, Philippines</t>
  </si>
  <si>
    <t>Paranaque, National Capital District, Philippines</t>
  </si>
  <si>
    <t>Mandaluyong City, National Capital District, Philippines</t>
  </si>
  <si>
    <t>Ablaza Building, 117 E. Rodriguez Sr. Avenue, Quezon City, 1113 Metro Manila, Philippines</t>
  </si>
  <si>
    <t>BF Homes, Parañaque, Metro Manila, Philippines</t>
  </si>
  <si>
    <t>Barangay 132 Zone 13 Multipurpose Hall, Pasay, 1231 National Capital District, Philippines</t>
  </si>
  <si>
    <t>1174 Chino Roces Avenue, Makati, 1203 Metro Manila, Philippines</t>
  </si>
  <si>
    <t>Citystate Savings Bank, 2113 Chino Roces Avenue, Makati, 1231 Metro Manila, Philippines</t>
  </si>
  <si>
    <t>Center For Asian Culinary Studies, 175 M. J. Paterno Street, San Juan, 1550 Metro Manila, Philippines</t>
  </si>
  <si>
    <t>Fairview Barangay Hall, Dahlia Avenue, Quezon City, 1122 Metro Manila, Philippines</t>
  </si>
  <si>
    <t>Stepping Stone, 8001 Del Carmen Street, Parañaque, 1718 Metro Manila, Philippines</t>
  </si>
  <si>
    <t>656 Del Monte Avenue, Quezon City, 1104 Metro Manila, Philippines</t>
  </si>
  <si>
    <t>114 Malakas Street, Quezon City, 1100 Metro Manila, Philippines</t>
  </si>
  <si>
    <t>220 Pajo Street, Quezon City, 1102 Metro Manila, Philippines</t>
  </si>
  <si>
    <t>Santa Cruz Street, Manila, 1111 National Capital District, Philippines</t>
  </si>
  <si>
    <t>Room 405 4th Floor, Portal West, Silliman Avenue, Dumaguete, 6200 NR, Philippines</t>
  </si>
  <si>
    <t>Asia United Bank, 286 Blumentritt Street, Manila, 1114 Metro Manila, Philippines</t>
  </si>
  <si>
    <t>Manila, National Capital District, Philippines</t>
  </si>
  <si>
    <t>Governor Wenceslao Pascual Avenue, Malabon, 1474 National Capital District, Philippines</t>
  </si>
  <si>
    <t>Pasay City, National Capital District, Philippines</t>
  </si>
  <si>
    <t>Home Center - Primark, Deparo Road, Caloocan, 1420 Metro Manila, Philippines</t>
  </si>
  <si>
    <t>Tandang Sora, Caloocan, 1410 Metro Manila, Philippines</t>
  </si>
  <si>
    <t>4 Bagong Silang, 4301 QZ, Philippines</t>
  </si>
  <si>
    <t>E. Rodriguez Jr. Avenue, Pasig, 1644 Metro Manila, Philippines</t>
  </si>
  <si>
    <t>Dahlia Street, Paranaque, 1232 National Capital District, Philippines</t>
  </si>
  <si>
    <t>Antero Virata Street, Taguig, 1637 National Capital District, Philippines</t>
  </si>
  <si>
    <t>Panorama Compound, Taguig, 1630 National Capital District, Philippines</t>
  </si>
  <si>
    <t>19th Avenue, Taguig, 1643 Metro Manila, Philippines</t>
  </si>
  <si>
    <t>Loza Business Center, Lilac Street, Marikina, 1811 Metro Manila, Philippines</t>
  </si>
  <si>
    <t>National Road, Muntinlupa, 1770 Metro Manila, Philippines</t>
  </si>
  <si>
    <t>Dialysis Center, Government Center, San Simon, 2015 PM, Philippines</t>
  </si>
  <si>
    <t>3200 R. Magsaysay Boulevard, Manila, 1213 Metro Manila, Philippines</t>
  </si>
  <si>
    <t>Asia United Bank, 288 Roosevelt Street, San Juan, 1502 Metro Manila, Philippines</t>
  </si>
  <si>
    <t>2nd Street North, 4114 CV, Philippines</t>
  </si>
  <si>
    <t>Doctor Jose Fabella Road, Mandaluyong, 1550 Metro Manila, Philippines</t>
  </si>
  <si>
    <t>129 J. P. Bautista Street, Caloocan, 1406 Metro Manila, Philippines</t>
  </si>
  <si>
    <t>Don Chino Roces Avenue, Makati, 1230 National Capital District, Philippines</t>
  </si>
  <si>
    <t>Magsaysay Boulevard, Manila, 1016 National Capital District, Philippines</t>
  </si>
  <si>
    <t>Dr. Carlos Lanting College Annex Building, 16 Tandang Sora Avenue, Quezon City, 1116 Metro Manila, Philippines</t>
  </si>
  <si>
    <t>Barangay (Holy Spirit) Health Center, Faustino Street, Quezon City, 1127 Metro Manila, Philippines</t>
  </si>
  <si>
    <t>Malanday, RI, Philippines</t>
  </si>
  <si>
    <t>Quirino Highway, Quezon City, 1116 Metro Manila, Philippines</t>
  </si>
  <si>
    <t>Emilio Aguinaldo College, 1113-1117 San Marcelino Street, Manila, 1007 Metro Manila, Philippines</t>
  </si>
  <si>
    <t>1060 Panay Street, Manila, 1132 Metro Manila, Philippines</t>
  </si>
  <si>
    <t>Heroes del '96 Street, Caloocan, 1406 Metro Manila, Philippines</t>
  </si>
  <si>
    <t>M Lhuillier, M. H. del Pilar Road, Valenzuela, 1444 Metro Manila, Philippines</t>
  </si>
  <si>
    <t>514 b 3rd Street, Manila, 1005 Metro Manila, Philippines</t>
  </si>
  <si>
    <t>Tenacity Skills Training Institute and Assessment Center, Inc., MacArthur Highway, Aringay, 2503 LU, Philippines</t>
  </si>
  <si>
    <t>UN Avenue, A. Mabini Street, Manila, 1000 Metro Manila, Philippines</t>
  </si>
  <si>
    <t>987 Don Ysidoro Street, Manila, 1004 Metro Manila, Philippines</t>
  </si>
  <si>
    <t>518 Narra Street, Taguig, 1640 National Capital District, Philippines</t>
  </si>
  <si>
    <t>Makati City, National Capital District, Philippines</t>
  </si>
  <si>
    <t>San Juan, National Capital District, Philippines</t>
  </si>
  <si>
    <t>160 Pascual, Parañaque, 1700 National Capital District, Philippines</t>
  </si>
  <si>
    <t>35 North Avenue, Quezon City, 1105 National Capital District, Philippines</t>
  </si>
  <si>
    <t>Mandaluyong, National Capital District, Philippines</t>
  </si>
  <si>
    <t>Commonwealth Avenue, Quezon City, 1122 Metro Manila, Philippines</t>
  </si>
  <si>
    <t>Caloocan National Science and Technology High School, 7 Congress Road, Caloocan, 1404 National Capital District, Philippines</t>
  </si>
  <si>
    <t>Pasig City, National Capital District, Philippines</t>
  </si>
  <si>
    <t>121 Kamuning Road, Quezon City, 1103 Metro Manila, Philippines</t>
  </si>
  <si>
    <t>248 C. Dela Paz Street, Pasig, 1605 National Capital District, Philippines</t>
  </si>
  <si>
    <t>Meridian Maritime Training Center, Kalaw Avenue, Manila, 1000 Metro Manila, Philippines</t>
  </si>
  <si>
    <t>7781 Saint Paul Road, Makati, 1203 Metro Manila, Philippines</t>
  </si>
  <si>
    <t>Saint Paul Street, Paranaque, 1620 National Capital District, Philippines</t>
  </si>
  <si>
    <t>9127 San Crispin Street, Parañaque, 1700 Metro Manila, Philippines</t>
  </si>
  <si>
    <t>618 Gamban Street, Pasay, 1233 National Capital District, Philippines</t>
  </si>
  <si>
    <t>Duhat, Paranaque, 1620 National Capital District, Philippines</t>
  </si>
  <si>
    <t>1718 Paz Mendoza Guazon Street, Manila, 1007 Metro Manila, Philippines</t>
  </si>
  <si>
    <t>EDSA, 784 EDSA, Quezon City, 1111 Metro Manila, Philippines</t>
  </si>
  <si>
    <t>Dr. A. Santos Avenue, Muntinlupa, 1719 Metro Manila, Philippines</t>
  </si>
  <si>
    <t>Golden Galleon Ship Management Services, 3rd Floor PNTC Recoletos Street, Manila, 1002 Metro Manila, Philippines</t>
  </si>
  <si>
    <t>384 Rizal Avenue Extension, Caloocan, 1477 National Capital District, Philippines</t>
  </si>
  <si>
    <t>Bayani Road, Taguig, 1634 Metro Manila, Philippines</t>
  </si>
  <si>
    <t>Bristol Street, Quezon City, 1121 Metro Manila, Philippines</t>
  </si>
  <si>
    <t>SYNERGY ASSESSMENT &amp; TRAINING CENTER, President Jose P. Laurel Highway, Malvar, 4233 Batangas, Philippines</t>
  </si>
  <si>
    <t>34 Lark Street, Marikina, 1800 Metro Manila, Philippines</t>
  </si>
  <si>
    <t>T. Molina Street, Muntinlupa, 1781 Metro Manila, Philippines</t>
  </si>
  <si>
    <t>Taguig City Hall Driveway, Taguig, 1637 Metro Manila, Philippines</t>
  </si>
  <si>
    <t>Tala, Philippines</t>
  </si>
  <si>
    <t>Alabang-Zapote Road, Muntinlupa, 1776 National Capital District, Philippines</t>
  </si>
  <si>
    <t>Indo-China Drive, Muntinlupa, 1789 Metro Manila, Philippines</t>
  </si>
  <si>
    <t>2070 C. M. Recto Avenue, Manila, 1001 Metro Manila, Philippines</t>
  </si>
  <si>
    <t>Alley 2, Pasig, 1601 Metro Manila, Philippines</t>
  </si>
  <si>
    <t>VCC Auto Trader, 226 Marcos Highway, Pasig, 1610 Metro Manila, Philippines</t>
  </si>
  <si>
    <t>Km. 16 MacArthur Highway, Valenzuela, 1444 Metro Manila, Philippines</t>
  </si>
  <si>
    <t>Santo Niño de Novaliches School, 36 Buenamar Street, Quezon City, 1125 Metro Manila, Philippines</t>
  </si>
  <si>
    <t>89A Gloria Diaz Street, Las Pinas, 1743 National Capital District, Philippines</t>
  </si>
  <si>
    <t>990 Quezon Boulevard, Manila, 1001 Metro Manila, Philippines</t>
  </si>
  <si>
    <t>Kryon motorcycle parts, 384 Rizal Avenue Extension, Caloocan, 1406 Metro Manila, Philippines</t>
  </si>
  <si>
    <t>Real Street, Las Pinas, 4102 National Capital District, Philippines</t>
  </si>
  <si>
    <t>Cathedral Food Avenue, 402 Cabildo Street, Manila, 1002 Metro Manila, Philippines</t>
  </si>
  <si>
    <t>10 A-B ANGELES ST, Angeles Street, Quezon City, 1101 Metro Manila, Philippines</t>
  </si>
  <si>
    <t>Katipunan Avenue, Quezon City, 1109 Metro Manila, Philippines</t>
  </si>
  <si>
    <t>132 Pioneer Street, Mandaluyong, 1603 National Capital District, Philippines</t>
  </si>
  <si>
    <t>52 Doña Soledad Avenue, Paranaque, 1620 National Capital District, Philippines</t>
  </si>
  <si>
    <t>ELIM School for Values &amp; Excellence, San Jose, 3121 NE, Philippines</t>
  </si>
  <si>
    <t>Jade Building, Nexus Street, Taguig, 1630 Metro Manila, Philippines</t>
  </si>
  <si>
    <t>City of San Fernando Tech-Voc Senior High School, San Fernando, 2000 PM, Philippines</t>
  </si>
  <si>
    <t>1745 B. Abdon Street, Manila, 1011 Metro Manila, Philippines</t>
  </si>
  <si>
    <t>13 Miller Street, Quezon City, 1105 Metro Manila, Philippines</t>
  </si>
  <si>
    <t>Luzon Avenue, Luzon Footbridge, Quezon City, 1128 Metro Manila, Philippines</t>
  </si>
  <si>
    <t>La Salle Green Hills, 343 Ortigas Avenue, Mandaluyong, 1556 Metro Manila, Philippines</t>
  </si>
  <si>
    <t>Reyes Compound, 112 Old Samson Road, Quezon City, 1106 Metro Manila, Philippines</t>
  </si>
  <si>
    <t>256 Felix Y. Manalo Street, Taguig, 3610 Metro Manila, Philippines</t>
  </si>
  <si>
    <t>58-b Santa Monica Street, Pasay, 1305 National Capital District, Philippines</t>
  </si>
  <si>
    <t>5441 Curie Street, Makati, 1235 Metro Manila, Philippines</t>
  </si>
  <si>
    <t>National Road, Muntinlupa, 1773 Metro Manila, Philippines</t>
  </si>
  <si>
    <t>Manila Culinary and Hospitality Academy, 663 J. Wright Street, San Juan, 1500 Metro Manila, Philippines</t>
  </si>
  <si>
    <t>Welfareville Main Health Center, Barangay Road, Mandaluyong, 1550 Metro Manila, Philippines</t>
  </si>
  <si>
    <t>537 United Nations Avenue, Manila, 1000 Metro Manila, Philippines</t>
  </si>
  <si>
    <t>1671 Alvarez Street, Manila, 1003 Metro Manila, Philippines</t>
  </si>
  <si>
    <t>Valenzuela City, National Capital District, Philippines</t>
  </si>
  <si>
    <t>198 A. Mabini Street, Caloocan, 1410 Metro Manila, Philippines</t>
  </si>
  <si>
    <t>Br. Andrew Gonzalez Building Taft Avenue, Manila, 1004 National Capital District, Philippines</t>
  </si>
  <si>
    <t>Diliman Doctors Hospital, 251 Commonwealth Avenue, Quezon City, 1119 Metro Manila, Philippines</t>
  </si>
  <si>
    <t>Jose Villaroman Street, Paranaque, 1752 National Capital District, Philippines</t>
  </si>
  <si>
    <t>Tandang Sora Avenue, 699 Tandang Sora Avenue, Quezon City, 1116 Metro Manila, Philippines</t>
  </si>
  <si>
    <t>Mang Inasal, 154 Fernando Poe Jr. Avenue, Quezon City, 1104 Metro Manila, Philippines</t>
  </si>
  <si>
    <t>5th Avenue, Quezon City, 1109 Metro Manila, Philippines</t>
  </si>
  <si>
    <t>Ortigas Avenue, Pasig City, 0401 National Capital District, Philippines</t>
  </si>
  <si>
    <t>Pasay City North High School – Tramo Campus – Annex, Tramo Street, Pasay, 1304 Metro Manila, Philippines</t>
  </si>
  <si>
    <t>General Santos Street, Quezon City, 1107 Metro Manila, Philippines</t>
  </si>
  <si>
    <t>Putol na Daan, Quezon City, 1118 Metro Manila, Philippines</t>
  </si>
  <si>
    <t>138 Timog Avenue, Quezon City, 1103 Metro Manila, Philippines</t>
  </si>
  <si>
    <t>Bagumbong, AP, Philippines</t>
  </si>
  <si>
    <t>Marikina City, National Capital District, Philippines</t>
  </si>
  <si>
    <t>481 Real Street, Las Pinas, 4102 National Capital District, Philippines</t>
  </si>
  <si>
    <t>South Luzon Expressway, Muntinlupa, 1751 National Capital District, Philippines</t>
  </si>
  <si>
    <t>1906 San Pascual Street, Manila, 1004 Metro Manila, Philippines</t>
  </si>
  <si>
    <t>Colonel Bonny Serrano Avenue, Quezon City, 1110 Metro Manila, Philippines</t>
  </si>
  <si>
    <t>Mayor Juan Chanyungco Street, Marikina, 1803 National Capital District, Philippines</t>
  </si>
  <si>
    <t>National University, 551 M. F. Jhocson Street, Manila, 1008 Metro Manila, Philippines</t>
  </si>
  <si>
    <t>Navotas, National Capital District, Philippines</t>
  </si>
  <si>
    <t>San Marcelino Street, Manila, 1000 Metro Manila, Philippines</t>
  </si>
  <si>
    <t>303 San Guillermo Street, Muntinlupa, 1773 National Capital District, Philippines</t>
  </si>
  <si>
    <t>Doctor Abad Santos Avenue, Paranaque, 1620 National Capital District, Philippines</t>
  </si>
  <si>
    <t>Hermosa Industrial Park Avenue, 2111 BA, Philippines</t>
  </si>
  <si>
    <t>Eisenhower Street, San Juan, 1502 Metro Manila, Philippines</t>
  </si>
  <si>
    <t>5037 General T. De Leon Street, Valenzuela City, 0550 National Capital District, Philippines</t>
  </si>
  <si>
    <t>Woodpecker Street, Quezon City, 1124 Metro Manila, Philippines</t>
  </si>
  <si>
    <t>2078 Edison Street, Pasay, 1306 National Capital District, Philippines</t>
  </si>
  <si>
    <t>Rainbow Street, Marikina, 1811 Metro Manila, Philippines</t>
  </si>
  <si>
    <t>Pasig City Institute of Science and Technology, Pio Alvarez Street, Pasig, 1601 Metro Manila, Philippines</t>
  </si>
  <si>
    <t>Concepcion Dos, Marikina, Metro Manila, Philippines</t>
  </si>
  <si>
    <t>64 E. Espiritu Street, Malabon, 1480 National Capital District, Philippines</t>
  </si>
  <si>
    <t>Santan Street, Marikina, 1809 Metro Manila, Philippines</t>
  </si>
  <si>
    <t>25 Nicanor Roxas Street, Marikina, 1803 National Capital District, Philippines</t>
  </si>
  <si>
    <t>Philippine Center for Creative Imaging, 2247 Chino Roces Avenue, Makati, 1231 Metro Manila, Philippines</t>
  </si>
  <si>
    <t>Asian Development Bank, 6 ADB Avenue, Mandaluyong, 1550 National Capital District, Philippines</t>
  </si>
  <si>
    <t>Rafael Crame, General de los Reyes Street, Quezon City, 1111 Metro Manila, Philippines</t>
  </si>
  <si>
    <t>1 A. Bonifacio Street, Manila, 1552 National Capital District, Philippines</t>
  </si>
  <si>
    <t>Roxas Boulevard, Manila, 1004 Metro Manila, Philippines</t>
  </si>
  <si>
    <t>Pedro Gil Street, Manila, 1007 Metro Manila, Philippines</t>
  </si>
  <si>
    <t>Dr. A. Santos Avenue, 8202 Dr. A. Santos Avenue, Muntinlupa, 1719 Metro Manila, Philippines</t>
  </si>
  <si>
    <t>6488 P. Medina Street, Makati, 1230 Metro Manila, Philippines</t>
  </si>
  <si>
    <t>Solidarity of Asian Trade Unions Foundation (SATU), Lot 11, Blk 73, Don Mariano Marcos Avenue, Brgy. North Fairview Commonwealth Avenue, Quezon City, 1121 Metro Manila, Philippines</t>
  </si>
  <si>
    <t>Lot 13 Block 86 Bayani Road, Taguig, 1630 National Capital District, Philippines</t>
  </si>
  <si>
    <t>10 A. H. Poblador Street, Mandaluyong, 1550 Metro Manila, Philippines</t>
  </si>
  <si>
    <t>Falcon Learning Center, 22 Dahlia Avenue, Quezon City, 1122 Metro Manila, Philippines</t>
  </si>
  <si>
    <t>Quezon City Skills &amp; Livelihood Foundation, 6 K-F Street, Quezon City, 1103 National Capital District, Philippines</t>
  </si>
  <si>
    <t>Parañaque City Police &amp; Fire Station, 505 Quirino Avenue, Parañaque, 1700 Metro Manila, Philippines</t>
  </si>
  <si>
    <t>1020 Roxas Boulevard, Manila, 1000 Metro Manila, Philippines</t>
  </si>
  <si>
    <t>14 South Luzon Expressway, Taguig, 1634 Metro Manila, Philippines</t>
  </si>
  <si>
    <t>Victorious Christian Montessori College, 323 Congressional Road, General Mariano Alvarez, 4117 CV, Philippines</t>
  </si>
  <si>
    <t>Caloocan City Business High School, Sikatuna Extention, Caloocan, 1124 National Capital District, Philippines</t>
  </si>
  <si>
    <t>1400b Pampanga Street, Manila, 1014 Metro Manila, Philippines</t>
  </si>
  <si>
    <t>603 Zabarte Road, Caloocan, 1422 Metro Manila, Philippines</t>
  </si>
  <si>
    <t>810 Doctor Jose Fabella Road, Mandaluyong, 1550 Metro Manila, Philippines</t>
  </si>
  <si>
    <t>Maria Concepcion Roa Street, Las Pinas, 1743 National Capital District, Philippines</t>
  </si>
  <si>
    <t>3003 South Road, Valenzuela, 1443 Metro Manila, Philippines</t>
  </si>
  <si>
    <t>Kaligayahan, Quezon City, Metro Manila, Philippines</t>
  </si>
  <si>
    <t>19 Ilaya Street, Muntinlupa, 1781 Metro Manila, Philippines</t>
  </si>
  <si>
    <t>Aria Street, Las Piñas, 1242 Metro Manila, Philippines</t>
  </si>
  <si>
    <t>EDSA, Quezon City, 1109 Metro Manila, Philippines</t>
  </si>
  <si>
    <t>2248 Rizal Avenue, Manila, 1942 Metro Manila, Philippines</t>
  </si>
  <si>
    <t>8338 Dr. A. Santos Avenue, Paranaque, 1620 National Capital District, Philippines</t>
  </si>
  <si>
    <t>2071 Roxas Boulevard, Manila, 1004 Metro Manila, Philippines</t>
  </si>
  <si>
    <t>867 G. Tolentino Street, Manila, 1015 Metro Manila, Philippines</t>
  </si>
  <si>
    <t>Kalaw Street, 4301 QZ, Philippines</t>
  </si>
  <si>
    <t>NHA NCR East Sector District Office, East Bank Road, Pasig, 1607 National Capital District, Philippines</t>
  </si>
  <si>
    <t>1227 Paseo de Roxas, Makati, 1209 National Capital District, Philippines</t>
  </si>
  <si>
    <t>Greater Lagro, Quezon City, Metro Manila, Philippines</t>
  </si>
  <si>
    <t>Mindanao Avenue, Quezon City, 1100 Metro Manila, Philippines</t>
  </si>
  <si>
    <t>1027 F. Salvador Avenue, Quezon City, 1123 Metro Manila, Philippines</t>
  </si>
  <si>
    <t>DHL, 2310 Chino Roces Avenue, Makati, 1231 Metro Manila, Philippines</t>
  </si>
  <si>
    <t>Spada Wellness Center, 1991 San Juan Street, Pasay, 1306 Metro Manila, Philippines</t>
  </si>
  <si>
    <t>185b Jose P. Rizal Avenue, Makati, 1210 Metro Manila, Philippines</t>
  </si>
  <si>
    <t>260 Quirino Avenue, Paranaque, 1302 National Capital District, Philippines</t>
  </si>
  <si>
    <t>Star of Manila, 1331 Marcelo Hilario del Pilar Street, Manila, 1000 Metro Manila, Philippines</t>
  </si>
  <si>
    <t>34 San Lorenzo Street, Pasig, 1603 Metro Manila, Philippines</t>
  </si>
  <si>
    <t>Cebu Pacific Training and Development Center, Domestic Road, Paranaque, 1302 National Capital District, Philippines</t>
  </si>
  <si>
    <t>Asia United Bank, 303 Alabang-Zapote Road, Las Piñas, 1242 Metro Manila, Philippines</t>
  </si>
  <si>
    <t>Pasong Diable Bridge East, East Service Road, Muntinlupa, 1781 Metro Manila, Philippines</t>
  </si>
  <si>
    <t>Lola Helen Panciteria, 425 Jose P. Rizal Street, Marikina, 1800 Metro Manila, Philippines</t>
  </si>
  <si>
    <t>South Admiral Village, Parañaque District 2, Parañaque, Metro Manila, Philippines</t>
  </si>
  <si>
    <t>Karuhatan Barangay Hall, Karuhatan Road, Valenzuela City, 0560 National Capital District, Philippines</t>
  </si>
  <si>
    <t>St. Louise De Mardillac International Foundation Inc., B34 L4 Adelfa Street, Caloocan, 1421 Metro Manila, Philippines</t>
  </si>
  <si>
    <t>Aurora Boulevard &amp; Katipunan Avenue, Aurora Boulevard, Quezon City, 1108 Metro Manila, Philippines</t>
  </si>
  <si>
    <t>MacArthur Highway, Valenzuela, 1444 Metro Manila, Philippines</t>
  </si>
  <si>
    <t>Ground Floor Unit 4 De Sylca Bldg Manuel M. Garcia Road, Davao City, 8000 DR, Philippines</t>
  </si>
  <si>
    <t>289 J. L. de Guzman Street, 2432 PN, Philippines</t>
  </si>
  <si>
    <t>Capitol Hills Drive, Quezon City, 1119 Metro Manila, Philippines</t>
  </si>
  <si>
    <t>Taguig, National Capital District, Philippines</t>
  </si>
  <si>
    <t>Cynthia Ugalde Street, Las Pinas, 1743 National Capital District, Philippines</t>
  </si>
  <si>
    <t>Dela Costa Street, 1750 CV, Philippines</t>
  </si>
  <si>
    <t>Pasay City Rescue Unit, 2340 F. B. Harrison Street, Pasay, 1709 Metro Manila, Philippines</t>
  </si>
  <si>
    <t>Apitong Street, 11 Apitong Street, Marikina, 1810 Metro Manila, Philippines</t>
  </si>
  <si>
    <t>1789 Dimasalang Road, Manila, 1014 Metro Manila, Philippines</t>
  </si>
  <si>
    <t>Mahatma Gandhi Street, Manila, 1007 Metro Manila, Philippines</t>
  </si>
  <si>
    <t>rm marikina 1, Mayor Gil Fernando Avenue, Marikina, 1801 Metro Manila, Philippines</t>
  </si>
  <si>
    <t>JV's Peak Bldg. 2, Davao City, 8021 DR, Philippines</t>
  </si>
  <si>
    <t>C-3 Road, Navotas, 1472 Metro Manila, Philippines</t>
  </si>
  <si>
    <t>Paseo de Magallanes, Pasay, 1233 National Capital District, Philippines</t>
  </si>
  <si>
    <t>0030 Ninoy Aquino Avenue, Paranaque, 1705 National Capital District, Philippines</t>
  </si>
  <si>
    <t>Asia United Bank, 175 Mayon Street, Quezon City, 1114 Metro Manila, Philippines</t>
  </si>
  <si>
    <t>116 Benin Street, Malabon, 1475 National Capital District, Philippines</t>
  </si>
  <si>
    <t>The Hungry Pita, 892 Quirino Highway, Quezon City, 1117 Metro Manila, Philippines</t>
  </si>
  <si>
    <t>Isagani Campo Street, Caloocan, 1400 Metro Manila, Philippines</t>
  </si>
  <si>
    <t>Honda Cars Shaw Blvd, Shaw Boulevard, Mandaluyong, 1550 Metro Manila, Philippines</t>
  </si>
  <si>
    <t>17 Highlight, Parañaque, 1700 Metro Manila, Philippines</t>
  </si>
  <si>
    <t>242 J. P. Rizal Street, Marikina, 1803 National Capital District, Philippines</t>
  </si>
  <si>
    <t>2332 Cor. Mango Street, Caloocan, 1124 National Capital District, Philippines</t>
  </si>
  <si>
    <t>United Marine Training Centre, 2120 Leon Guinto Street, Manila, 1004 Metro Manila, Philippines</t>
  </si>
  <si>
    <t>A. Villegas Street, Manila, 1000 Metro Manila, Philippines</t>
  </si>
  <si>
    <t>PSBank, 8387 Dr. A. Santos Avenue, Parañaque, 1700 Metro Manila, Philippines</t>
  </si>
  <si>
    <t>Angel Linao Street, Manila, 1007 Metro Manila, Philippines</t>
  </si>
  <si>
    <t>University of Perpetual Help System DALTA, Narra Street, Las Piñas, 1242 Metro Manila, Philippines</t>
  </si>
  <si>
    <t>Copernico Street, Pasay, 1306 National Capital District, Philippines</t>
  </si>
  <si>
    <t>112 Cuenco Street, Quezon City, 1121 Metro Manila, Philippines</t>
  </si>
  <si>
    <t>Kamagong Street, Valenzuela, 1442 Metro Manila, Philippines</t>
  </si>
  <si>
    <t>Valenzuela City Technological College, Kamagong Street, Valenzuela, 1440 Metro Manila, Philippines</t>
  </si>
  <si>
    <t>WCC Aeronautical and Technological College, William Shaw Street, Caloocan, 1470 Metro Manila, Philippines</t>
  </si>
  <si>
    <t>Caloocan City, National Capital District, Philippines</t>
  </si>
  <si>
    <t>31 Zabarte Road, Quezon City, 1124 Metro Manila, Philippines</t>
  </si>
  <si>
    <t>A. Bunye Street, Muntinlupa, 1781 LG, Philippines</t>
  </si>
  <si>
    <t>Aurora Boulevard, Quezon City, 1109 Metro Manila, Philippines</t>
  </si>
  <si>
    <t>267 E. Dela Paz Street, Marikina, 1801 Metro Manila, Philippines</t>
  </si>
  <si>
    <t>10 San Mauricio Street, San Juan, 1500 Metro Manila, Philippines</t>
  </si>
  <si>
    <t>Manila City</t>
  </si>
  <si>
    <t>Municipality</t>
  </si>
  <si>
    <t>Municipality Code</t>
  </si>
  <si>
    <t>PH1303901</t>
  </si>
  <si>
    <t>PH1307404</t>
  </si>
  <si>
    <t>PH1307602</t>
  </si>
  <si>
    <t>PH1307403</t>
  </si>
  <si>
    <t>PH1307607</t>
  </si>
  <si>
    <t>PH1307402</t>
  </si>
  <si>
    <t>PH1307501</t>
  </si>
  <si>
    <t>PH1307401</t>
  </si>
  <si>
    <t>PH1307504</t>
  </si>
  <si>
    <t>PH1307604</t>
  </si>
  <si>
    <t>PH1307502</t>
  </si>
  <si>
    <t>PH1307405</t>
  </si>
  <si>
    <t>PH1307603</t>
  </si>
  <si>
    <t>PH1307503</t>
  </si>
  <si>
    <t>PH1307601</t>
  </si>
  <si>
    <t>Pateros</t>
  </si>
  <si>
    <t>PH1307606</t>
  </si>
  <si>
    <t>Graduate Count</t>
  </si>
  <si>
    <t>PH1307605</t>
  </si>
  <si>
    <t>Average 'Graduates' and median of 'Graduates'</t>
  </si>
  <si>
    <t>Avg of Graduates</t>
  </si>
  <si>
    <t>Median of Graduates</t>
  </si>
  <si>
    <t>(past average)</t>
  </si>
  <si>
    <t>(past 1000)</t>
  </si>
  <si>
    <t>(below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</si>
</sst>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0"/>
      <color rgb="FF000000"/>
      <name val="Segoe UI"/>
      <charset val="1"/>
    </font>
    <font>
      <sz val="10"/>
      <color rgb="FF000000"/>
      <name val="Arial"/>
      <family val="2"/>
    </font>
    <font>
      <sz val="10"/>
      <color theme="0"/>
      <name val="Segoe UI"/>
      <charset val="1"/>
    </font>
    <font>
      <sz val="10"/>
      <color theme="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i/>
      <sz val="11"/>
      <color rgb="FF000000"/>
      <name val="Calibri"/>
      <family val="2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top" readingOrder="1"/>
    </xf>
    <xf numFmtId="0" fontId="2" fillId="0" borderId="1" xfId="0" applyFont="1" applyBorder="1" applyAlignment="1">
      <alignment vertical="top" readingOrder="1"/>
    </xf>
    <xf numFmtId="0" fontId="2" fillId="0" borderId="2" xfId="0" applyFont="1" applyBorder="1" applyAlignment="1">
      <alignment vertical="top" readingOrder="1"/>
    </xf>
    <xf numFmtId="0" fontId="1" fillId="0" borderId="3" xfId="0" applyFont="1" applyBorder="1" applyAlignment="1">
      <alignment vertical="top" readingOrder="1"/>
    </xf>
    <xf numFmtId="0" fontId="2" fillId="0" borderId="3" xfId="0" applyFont="1" applyBorder="1" applyAlignment="1">
      <alignment vertical="top" readingOrder="1"/>
    </xf>
    <xf numFmtId="0" fontId="2" fillId="0" borderId="0" xfId="0" applyFont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4" fillId="0" borderId="1" xfId="0" applyFont="1" applyBorder="1" applyAlignment="1">
      <alignment vertical="top" readingOrder="1"/>
    </xf>
    <xf numFmtId="0" fontId="4" fillId="0" borderId="2" xfId="0" applyFont="1" applyBorder="1" applyAlignment="1">
      <alignment vertical="top" readingOrder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0" fillId="0" borderId="4" xfId="0" applyBorder="1"/>
    <xf numFmtId="0" fontId="0" fillId="0" borderId="5" xfId="0" applyBorder="1"/>
    <xf numFmtId="0" fontId="10" fillId="0" borderId="0" xfId="0" applyFont="1" applyAlignment="1">
      <alignment horizontal="left" vertical="center"/>
    </xf>
    <xf numFmtId="0" fontId="11" fillId="2" borderId="0" xfId="0" applyFont="1" applyFill="1"/>
    <xf numFmtId="0" fontId="0" fillId="0" borderId="0" xfId="0" applyNumberForma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/>
        <bottom style="thin">
          <color rgb="FFD3D3D3"/>
        </bottom>
        <vertical/>
        <horizontal/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0" indent="0" justifyLastLine="0" shrinkToFit="0" readingOrder="1"/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general" vertical="top" textRotation="0" wrapText="0" indent="0" justifyLastLine="0" shrinkToFit="0" readingOrder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T Palima" refreshedDate="45807.341979745368" createdVersion="8" refreshedVersion="8" minRefreshableVersion="3" recordCount="849" xr:uid="{DCFCF589-E8D4-864B-A825-52CA90DC6922}">
  <cacheSource type="worksheet">
    <worksheetSource name="Table5"/>
  </cacheSource>
  <cacheFields count="13">
    <cacheField name="Provider Name" numFmtId="0">
      <sharedItems count="353">
        <s v="HUMAN RESOURCE DEVELOPMENT CENTER (HRDC)"/>
        <s v="DON BOSCO YOUTH CENTER-TONDO INC. "/>
        <s v="AUTOHUB INSTITUTE OF TECHNOLOGY, INC."/>
        <s v="GLOBE MARITIME TRAINING CENTER-MANILA, INC."/>
        <s v="SAMSON COLLEGE OF SCIENCE AND TECHNOLOGY, INC."/>
        <s v="STO. NIÑO DE NOVALICHES SCHOOL INC."/>
        <s v="TECHNO DEVELOPMENT CENTER OF THE PHILIPPINES, INC."/>
        <s v="TESDA Women's Center"/>
        <s v="VALENZUELA CITY TECHNOLOGICAL COLLEGE"/>
        <s v="PAMANTASAN NG LUNGSOD NG MARIKINA"/>
        <s v="7-STAR EDUCATIONAL ACADEMY CORPORATION (7-STAR EDUCATIONAL ACADEMY INC.)"/>
        <s v="ASIANTOUCH INTERNATIONAL TRAINING INSTITUTE, INC."/>
        <s v="CARENET HEALTHCARE INSTITUTE INC."/>
        <s v="CARENET HEALTHCARE INSTITUTE, INC."/>
        <s v="CENTER FOR BARISTA AND TOURISM ACADEMY TRAINING AND ASSESSMENT, INC."/>
        <s v="Center for Excellence in Special Education (Stepping Stone) Foundation, Inc."/>
        <s v="CGROUP SKILLS DEVELOPMENT AND SECURITY TRAINING INSTITUTE INC."/>
        <s v="COOKO CULINARY AND BARISTA ACADEMY, INC."/>
        <s v="GOD BEARER INSTITUTE TRAINING AND ASSESSMENT CENTER, INC."/>
        <s v="HOME CULINARY AND TECHNICAL SCHOOL CORPORATION"/>
        <s v="MYCHEST SKILLS INSTITUTE CORP."/>
        <s v="NATIONAL INSTITUTE FOR TECHNICAL AND VOCATIONAL CAREERS, INC. "/>
        <s v="NAVOTAS VOCATIONAL TRAINING AND ASSESSMENT (NAVOTAAS) INSTITUTE - ANNEX II"/>
        <s v="POWER LINK CENTER FOR ADVANCED TECHNICAL SKILLS DEVELOPMENT INC."/>
        <s v="QUEZON CITY SKILLS AND LIVELIHOOD FOUNDATION, INC."/>
        <s v="RASE TRAINING AND ASSESSMENT CENTER INC."/>
        <s v="RCTI TRAINING AND ASSESSMENT CORP."/>
        <s v="SMI INSTITUTE INC."/>
        <s v="ST. CATHERINE INSTITUTE OF TECHNOLOGY, INC."/>
        <s v="ST. MATTHEW OF BLUMENTRITT INSTITUTE OF TECHNOLOGY (SMBIT). INC."/>
        <s v="TAGUIG MANPOWER TRAINING AND ASSESSMENT CENTER (TMTC)"/>
        <s v="UNO CAREGIVER AND DOMESTIC MNGT TRAINING, INC."/>
        <s v="ACADEMY ASIA SCHOOL OF TECHNOLOGY AND THE ARTS, INC. "/>
        <s v="ACCESS PASIG COMPUTER &amp; TECHNICAL COLLEGES, INC. "/>
        <s v="COLEGIO DE SAN GABRIEL ARCANGEL OF CALOOCAN, INC."/>
        <s v="GATEWAYS INSTITUTE OF SCIENCE &amp; TECHNOLOGY, INC. (Mandaluyong)"/>
        <s v="INTERNATIONAL TRAINING CENTER AND HOSPITALITY INSTITUTE, INC."/>
        <s v="Lakewood School of Alabang, Inc."/>
        <s v="UNITED INTERNATIONAL MARITIME TRAINING AND ASSESSMENT CENTER INC."/>
        <s v="PASIG CITY INSTITUTE OF SCIENCE AND TECHNOLOGY"/>
        <s v="Quezon City Lingkod Bayan Skills Development Center"/>
        <s v="APLUS TECHNICAL AND VOCATIONAL SCHOOL INC."/>
        <s v="ASIAN ENTREPRENEURS TECHNOLOGICAL INSTITUTE, INC. "/>
        <s v="CITY UNIVERSITY OF PASAY"/>
        <s v="FINE INTERNATIONAL TRAINING CENTER, INC."/>
        <s v="GO TEC INTERNATIONAL BUSINESS SCHOOL, INC."/>
        <s v="HSL-BRAILLE COLLEGE, INC."/>
        <s v="IETI College, Inc."/>
        <s v="Imus Computer College, Inc."/>
        <s v="Infotech Institute of Arts and Sciences, Inc."/>
        <s v="LA SALLE GREENHILLS, INC."/>
        <s v="LAURA VICUÑA FOUNDATION, INC."/>
        <s v="Lyceum of ALabang"/>
        <s v="MANILA BUSINESS COLLEGE FOUNDATION, INC."/>
        <s v="MARANATHA TECHNOLOGICAL INSTITUTE AND TRAINING CENTER CORPORATION"/>
        <s v="Marymount Academy of Parañaque (MAPI), Inc."/>
        <s v="MOREH ASSESSMENT TRAINING CENTER INCORPORATED"/>
        <s v="PARAÑAQUE CITY COLLEGE"/>
        <s v="PHILIPPINE ACADEMY FOR TECHNICAL AND VOCATIONAL SKILLS, INC."/>
        <s v="SAV1 SKILLS TRAINING AND DEVELOPMENT CENTER INC."/>
        <s v="SILVERPOINT TRAINING INSTITUTE OF INDUSTRIAL SECURITY, INC."/>
        <s v="St. Bernadette College of Alabang"/>
        <s v="TESDA MANILA TRAINING AND ASSESSMENT CENTER (TMTAC)"/>
        <s v="United Christian Academy College of Asia, Inc."/>
        <s v="TRIPLE K'S EAST CAPITOL KITCHEN CORP. DOING BUSINESS UNDER THE NAME AND STYLE OF SPICES AND HERBS TR"/>
        <s v="B AND B ACADEMY FOR SKILLS TRAINING AND ASSESSMENT INC."/>
        <s v="SLDM COLLEGES OF QUEZON CITY, INC. "/>
        <s v="HORIZONS INSTITUTE OF TECHNOLOGY CORPORATION"/>
        <s v="ICROPS INTERNATIONAL ASSESSMENT AND TRAINING CENTER, INC."/>
        <s v="ACADEMY FOR INTERNATIONAL CULINARY ARTS, INC."/>
        <s v="APHRODITE TRAINING AND ASSESSMENT CENTER INC."/>
        <s v="PSAA INTERNATIONAL ACADEMY INC."/>
        <s v="Arellano University, Inc."/>
        <s v="HIGH PERFORMANCE INTERNATIONAL TRAINING CENTER AND TRADE TEST, INC."/>
        <s v="ST. MICHAEL ARCANGEL TECHNOLOGICAL INSTITUTE, INC."/>
        <s v="PHILIPPINE SCHOOL FOR TECHNOLOGY DEVELOPMENT AND INNOVATION INC."/>
        <s v="GLOBETEK SCIENCE FOUNDATION INC."/>
        <s v="SACRED HEART TECHNICAL &amp; VOCATIONAL ASSESSMENT CENTER INC."/>
        <s v="COLLEGE OF SAINT AMATIEL INC."/>
        <s v="ST. THOMAS AQUINAS INSTITUTE OF CALOOCAN INC."/>
        <s v="CABALEN TRAINING INSTITUTE CORP."/>
        <s v="APICIUS CULINARY ARTS AND HOTEL MANAGEMENT, INC."/>
        <s v="Lexus Academy Training and Assessment Center, Inc."/>
        <s v="Integrated Movement Academy, Inc."/>
        <s v="MILESTONE TECHNOLOGICAL INSTITUTE, INC."/>
        <s v="SAINT FRANCIS OF ASSISI COLLEGE OF ALABANG INC."/>
        <s v="TRINITY POLYTECHNIC COLLEGE, INC."/>
        <s v="ST. MICHAEL CAREER FOCUSED ENHANCEMENT, INC."/>
        <s v="ASIA SOURCE ICOLLEGE INC."/>
        <s v="Gateways Institute of Science and Technology, Inc."/>
        <s v="CENTER FOR ASIAN CULINARY STUDIES INC."/>
        <s v="FPTI-PUNLAAN SCHOOL"/>
        <s v="UST ANGELICUM COLLEGE, INC."/>
        <s v="MAGSAYSAY CENTER FOR HOSPITALITY AND CULINARY ARTS, INC."/>
        <s v="Treston International College, Inc."/>
        <s v="ST. THERESE OF THE CHILD JESUS INSTITUTE OF ARTS AND SCIENCES, INC."/>
        <s v="Miesha Training Academy and Assessment Center, Inc."/>
        <s v="NAVOTAS VOCATIONAL TRAINING AND ASSESSMENT (NAVOTAAS) INSTITUTE"/>
        <s v="HOSPITALITY INSTITUTE OF AMERICA-PHILIPPINES INC."/>
        <s v="DELTA TECHNOLOGICAL INSTITUTE INC."/>
        <s v="MANILA CULINARY &amp; HOSPITALITY ACADEMY, INC."/>
        <s v="EMMANUEL JOHN INSTITUTE OF SCIENCE &amp; TECHNOLOGY, INC."/>
        <s v="CHEF MARITIME MANAGEMENT SERVICES TRAINING AND ASSESSMENT CENTER CORP."/>
        <s v="WORLD CITI, INC. DOING BUSINESS UNDER THE NAME AND STYLE OF WORLD CITI COLLEGES AND WORLD CITI MEDIC"/>
        <s v="PERPETUAL HELP TECHNOLOGICAL SCHOOL, INC."/>
        <s v="IAB INTERNATIONAL TRAINING CENTER INC."/>
        <s v="RIGHT FOCUS TRAINING CENTER, INC."/>
        <s v="Bernardo College"/>
        <s v="MILLENNIUM PROPERTIES AND BROKERAGE INCORPORATED - ASTORIA CULINARY &amp; HOSPITALITY INSTITUTE"/>
        <s v="MOVERS INTERNATIONAL SCHOOL, INC."/>
        <s v="Arandia College, Inc."/>
        <s v="TRINITY POLYTECHNIC COLLEGE INC."/>
        <s v="GLOBAL CENTER OF EDUCATION MANAGEMENT SCIENCE AND TECHNOLOGY CORP."/>
        <s v="INFOTECH COLLEGE OF ARTS AND SCIENCES PHILIPPINES, INC."/>
        <s v="INTEGRATED INNOVATION AND HOSPITALITY COLLEGES, INC."/>
        <s v="MANILA ATELIER OF FOOD ARTS AND HOSPITALITY, INC."/>
        <s v="Asia Source College of Arts and Technology, Inc."/>
        <s v="GLOBAL CULINARY &amp; HOSPITALITY ACADEMY, INC."/>
        <s v="OUR LADY OF LOURDES COLLEGE INC"/>
        <s v="ST. LOUISE DE MARILLAC INTERNATIONAL FOUNDATION, INC."/>
        <s v="DIVINE MERCY COLLEGE FOUNDATION, INC."/>
        <s v="SANTA CELERINA INSTITUTE OF TECHNOLOGY (SCITEC) INC."/>
        <s v="EMMAUS CHRISTIAN SCHOOLS, INCORPORATED"/>
        <s v="SHIP HOTEL CRUISE INSTITUTE OF THE PHILS., INC."/>
        <s v="MAVI ARTS AND VOCATIONAL INSTITUTE, INC."/>
        <s v="Olivarez College, Inc."/>
        <s v="ELECTRON COLLEGE OF TECHNICAL EDUCATION CORPORATION (FORMERLY: ELECTRON TECHNICAL TRAINING CENTER, I"/>
        <s v="International School for Culinary Arts and Hotel Management Quezon City, Inc."/>
        <s v="St. Francis de Assissi Educational Foundation, Inc."/>
        <s v="West Bay Colleges, Inc."/>
        <s v="SYLT FIRST GOURMET ACADEMY INC."/>
        <s v="ASIAN CAREGIVING AND TECHNOLOGY EDUCATION CENTERS, INC."/>
        <s v="CALITY CARE TRAINING AND ASSESSMENT INC."/>
        <s v="COCHA CENTRE OF CULINARY HOTEL ARTS TRAINING AND ASSESSMENT INC."/>
        <s v="DEAN &amp; DELUCA (PHILIPPINES) INC."/>
        <s v="ASIA PACIFIC CAREGIVER &amp; HEALTHCARE TRAINING CENTER, INC."/>
        <s v="PHILIPPINE INSTITUTE OF MEDICAL TRAINING AND DEVELOPMENT INC."/>
        <s v="DA VINCI ALLIED HEALTH SCIENCES TRAINING INSTITUTE INC."/>
        <s v="EJ TRAINING AND ASSESSMENT CENTER INC."/>
        <s v="MOTHER THERESA INSTITUTE OF TECHNOLOGY AND ASSESSMENT CENTER INC."/>
        <s v="SOCIO INTER SKILLS TRAINING ACADEMY (SISTA) INC."/>
        <s v="MARY CHILES HOSPITAL, INC. DOING BUSINESS UNDER THE NAME AND STYLE OF MARY CHILES GEN. HOSPITAL; MARY CHILES COLLEGE AND MCC CHILDBIRTH AND WOMEN'S CENTER"/>
        <s v="ABEST RESOURCE DEVELOPMENT INC."/>
        <s v="GOLD LANE INTERNATIONAL TRAINING SKILLS, INC."/>
        <s v="WCU SKILLS ACADEMY INC."/>
        <s v="CAP TRAINING AND ASSESSMENT CENTER INC."/>
        <s v="OUR LADY OF GUADALUPE COLLEGE, INC., "/>
        <s v="ST. AUGUSTINE COLLEGE-LAS PIÑAS CITY INC. (FORMERLY: ST. AUGUSTINE SCHOOL OF NURSING - LAS PIÑAS CITY, INC.)"/>
        <s v="Emilio Aguinaldo Educational Corporation Doing Business Under The Name And Style Of Aguinaldo International School And Emilio Aguinaldo College (formerly: Emilio Aguinaldo College)"/>
        <s v="PRO-TECH SKILLS DEVELOPMENT CENTER CORPORATION"/>
        <s v="CORINTH GLOBAL JAPANESE LANGUAGE AND CULTURE SKILLS TRAINING AND ASSESSMENT CENTER, INCORPORATED (FORMERLY: CORINTH GLOBAL JAPANESE LANGUAGE AND SKILLS TRAINING CENTER INC.)"/>
        <s v="ILEAD - MEDIC SCHOOL FOR HEALTH CARE SCIENCES INC."/>
        <s v="EMMANUEL HEALTHCARE SKILLS TRAINING AND ASSESSMENT CENTER, INC."/>
        <s v="CPDC TRAINING &amp; TESTING CORP."/>
        <s v="N.T. Language Inc."/>
        <s v="St. Augustine School of Nursing - Las Piñas City, Inc."/>
        <s v="Talon Dos Institute of Technology"/>
        <s v="Chinese General Hospital Colleges, Inc. (Formerly: Chinese General College of Nursing and Liberal Arts, Inc.)"/>
        <s v="University of Perpetual Help Rizal"/>
        <s v="ST. PAUL UNIVERSITY QUEZON CITY, INC."/>
        <s v="YAMAHEI TRAINING AND ASSESSMENT CENTER CORPORATION"/>
        <s v="DR. CARLOS S. LANTING COLLEGE, INC. (FORMERLY DR. CARLOS S. LANTING SCHOOL OF MIDWIFERY, INCORPORATE"/>
        <s v="LUXEBEAUTE INTERNATIONAL ACADEMY INC."/>
        <s v="UNIVERSAL COLLEGES OF PARAÑAQUE INC. (FORMERLY: UNIVERSAL COLLEGE OF NURSING INC.)"/>
        <s v="FURIO AND ASSOCIATES REVIEW AND HEALTHCARE TRAINING CENTER INC."/>
        <s v="MARTINEZ TRAINING CENTER FOR HEALTH SERVICES, INC."/>
        <s v="SAKURA CAREGIVER AND HEALTHCARE SCHOOL, INC."/>
        <s v="D.M. Consunji Technical Training Center, Inc."/>
        <s v="PASAY-MAKATI DISTRICT TRAINING AND ASSESSMENT CENTER (PMDTAC)"/>
        <s v="QTEK TRAINING AND ASSESSMENT CENTER INC."/>
        <s v="A1VENTURES TECHNICAL AND VOCATIONAL ACADEMY INC."/>
        <s v="ACLC COLLEGE OF MANILA, INC."/>
        <s v="ARAYA SKILLS DEVELOPMENT INSTITUTE, CORP."/>
        <s v="ASIAN CHRISTIAN THEOLOGICAL SCHOOL &amp; COLLEGES INC."/>
        <s v="BELART TRAINING AND ASSESSSMENT CENTER INC."/>
        <s v="BLUERIDGE PACIFIC INSTITUTE, INC."/>
        <s v="BOWLINE TRAINING &amp; ASSESSMENT CENTER, INC."/>
        <s v="CANE TOWN COLLEGES OF THE PHILIPPINES, INC. DOING BUSINESS UNDER THE NAME AND STYLE OF PROFESSIONAL "/>
        <s v="CAPELLAN INSTITUTE OF TECHNOLOGY, INC."/>
        <s v="CENTRAL INSTITUTE OF TECHNOLOGY OF QUEZON CITY, INC. "/>
        <s v="E-GLOBAL INTERNATIONAL COMMUNICATIONS, INC."/>
        <s v="GRACE MANILA LEARNING INSTITUTE INC."/>
        <s v="HEADSTART TRAINING CENTER CORP."/>
        <s v="HONORIO LOPEZ TECHNICAL INSTITUTE INC."/>
        <s v="HYPER YOUNG INSTITUTE OF TECHNOLOGY INC."/>
        <s v="IMMACULADA CONCEPCION COLLEGE OF SOLDIERS HILLS CALOOCAN CITY INC."/>
        <s v="INTERFACE COMPUTER COLLEGE INC."/>
        <s v="INTERFACE COMPUTER COLLEGE, INC."/>
        <s v="International Electronics and Technical Institute (Las Piñas), Inc."/>
        <s v="INTERNATIONAL ELECTRONICS AND TECHNICAL INSTITUTE, INC."/>
        <s v="KAIZEN TECH INSTITUTE OF MANILA INC."/>
        <s v="MARY GRACE INTERNATIONAL EDUCATION INC."/>
        <s v="MFI POLYTECHNIC INSTITUTE, INC."/>
        <s v="MINDBANK TRAINING &amp; SKILLS CORPORATION"/>
        <s v="MINDTECH TRAINING &amp; DEVELOPMENT INSTITUTE, INC."/>
        <s v="OPTIMUM SKILLS SOURCE INSTITUTE CORP."/>
        <s v="PHILIPPINE CALL CENTER INSTITUTE INC."/>
        <s v="RGTECH INSTITUTE AND ASSESSMENT CENTER"/>
        <s v="RVN TECH-VOC INC."/>
        <s v="SAINT MARK TECHNICAL VOCATIONAL INSTITUTE INC."/>
        <s v="SEA GEM TRAINING AND ASSESSMENT CENTER, INC."/>
        <s v="ST. JUDEL INSTITUTE OF TECHNOLOGY ,INC."/>
        <s v="ST. PETER VELLE TECHNICAL TRAINING CENTER, INC."/>
        <s v="TELECALL INSTITUTE OF TECHNOLOGY INC."/>
        <s v="TESDA-NAVOTAAS TRAINING INSTITUTE"/>
        <s v="TRAINING CENTER FOR SKILLS AND DEVELOPMENT, INC."/>
        <s v="UNITED INSTITUTE FOR BUSINESS AND TECHNOLOGY ASSESSMENT INC."/>
        <s v="XAVIER TECHNICAL TRAINING CENTER, CORP."/>
        <s v="MUNTIPARLASTAPAT DISTRICT TRAINING AND ASSESSMENT CENTER"/>
        <s v="(S.J.B.) SAINT JOHN BOSCO I.A.S. INC. - (Mandaluyong Branch)"/>
        <s v="AMAZING GRACE TECHNICAL TRAINING INSTITUTE"/>
        <s v="AMERICAN TESOL INSTITUTE PHIL. INC."/>
        <s v="BLUECHIP TRAINING CENTER INC."/>
        <s v="CENTER FOR INTERNATIONAL INDUSTRIES COMPETENCE CORP."/>
        <s v="ECLARO ACADEMY, INC."/>
        <s v="GARDNER COLLEGE DILIMAN, INC."/>
        <s v="GLOBAL INFINITY TRAINING CENTER INC."/>
        <s v="Informatics College - Northgate, Inc."/>
        <s v="INFORMATICS COLLEGE-MANILA INC."/>
        <s v="INNOVATIVE TECHNICAL INSTITUTE INC."/>
        <s v="OERIDIAN TRAINING SOLUTIONS INC."/>
        <s v="SOUTHERN LUZON TECHNOLOGICAL COLLEGE FOUNDATION, INC."/>
        <s v="SPRING LEAF (SL) TECHNICALS: TRAINING AND DEVELOPMENT CENTER INC."/>
        <s v="TECHVOC SKILLS INC."/>
        <s v="WELEARN TRAINING AND ASSESSMENT CENTER FOR LIVELIHOOD DEVELOPMENT INC."/>
        <s v="ALEANZA INSTITUTE ONE INC."/>
        <s v="CLEAR VOCATION INSTITUTE FOR SKILLS TRAINING &amp; ASSESSMENT CORP."/>
        <s v="IETI COLLEGE OF SCIENCE &amp; TECHNOLOGY (MARIKINA), INC."/>
        <s v="Metropolitan Occupational Science and Technology Institute Corp."/>
        <s v="PHILIPPINE SEAFARERS TRAINING CENTER"/>
        <s v="SELAH INTERNATIONAL TRAINING AND ASSESSMENT INC."/>
        <s v="STI- COLLEGE MARIKINA INC."/>
        <s v="TCAI INC."/>
        <s v="DE OCAMPO MEMORIAL COLLEGE, INC."/>
        <s v="THE ALPS TECHNOLOGY ACADEMY (TATA), INC."/>
        <s v="NATIONAL UNIVERSITY"/>
        <s v="ARV TRADE TEST AND TRAINING CENTER, INC."/>
        <s v="CIRCLE TEST TRAINING AND ASSESSMENT CENTER INC."/>
        <s v="FAIR EMPLOYMENT TRAINING &amp; ASSESSMENT CENTER, INC."/>
        <s v="FIL-WORK TRAINING CENTER AND TRADE TEST, INC."/>
        <s v="GOLDEN CHI TRAINING AND ASSESSMENT CENTER, INC."/>
        <s v="High Vision Training Center, Inc."/>
        <s v="ILOILO ABUNDANT LIFE RESOURCE CORPORATION"/>
        <s v="KIMMY INTERNATIONAL TRAINING &amp; TESTING, INC."/>
        <s v="KING EAGLE TRAINING AND ASSESSMENT CENTER CORPORATION"/>
        <s v="LOK YEE TRAINING AND ASSESSMENT CENTRE INC."/>
        <s v="LUCKY HOME MANDARIN RESOURCE TRAINING AND SKILLS DEVELOPMENT INC."/>
        <s v="MARYMEI SKILLS TRAINING CENTER OF THE PHILS. CORP."/>
        <s v="PRINCE GIRON INTERNATIONAL TRAINING CENTRE, INC."/>
        <s v="PRINCE ZMT TRAINING AND ASSESSMENT CENTER INC."/>
        <s v="UNIVERSAL TREKKER SKILLS DEVELOPMENT AND TRAINING CENTER, INC."/>
        <s v="WTS TECHNOLOGY GLOBAL TRAINING INSTITUTE INC."/>
        <s v="CITY OF MALABON POLYTECHNIC INSTITUTE"/>
        <s v="MANDALUYONG MANPOWER AND TECHNICAL-VOCATIONAL TRAINING CENTER"/>
        <s v="SLIM'S FASHION AND ARTS SCHOOL"/>
        <s v="TOP CHOICE TRAINING INSTITUTE AND ASSESSMENT CENTER INC."/>
        <s v="Top Choice Training Institute and Assessment Center"/>
        <s v="EXCELSIOR CENTER FOR TECHNOLOGY AND INNOVATION INC."/>
        <s v="FIRST GEAR TECHNICAL INSTITUTE AND ASSESSMENT CENTER, INC. "/>
        <s v="PHILIPPINE NATIONAL POLICE LOGISTICS SUPPORT SERVICE"/>
        <s v="RAJJ ASSESSMENT AND TRAINING CENTER CORPORATION"/>
        <s v="RICHBAR INSTITUTE OF TECHNICAL SKILLS"/>
        <s v="RMC EAGLES TRAINING AND ASSESSMENT CENTER INC."/>
        <s v="TESDA PAMAMARISAN TRAINING AND ASSESSMENT CENTER (TPTAC)"/>
        <s v="AVIATION TECHNICAL SCHOOL OF COTABATO"/>
        <s v="DON BOSCO TECHNICAL COLLEGE, INC."/>
        <s v="DYNAMIC CHRISTIAN SCHOOL OF TECHNOLOGY, INC."/>
        <s v="ELECTRON COLLEGE OF TECHNICAL EDUCATION CORPORATION"/>
        <s v="INTERNATIONAL ELECTRONICS AND TECHNICAL INSTITUTE (ALABANG), INC."/>
        <s v="JEM JOB EXCELLENCE AND MASTERY ASSESSMENT AND TRAINING CENTER INC."/>
        <s v="JERETECH TRAINING AND ASSESSMENT CENTER, INC."/>
        <s v="MECHATRONICS TECHNOLOGIES CORP."/>
        <s v="MT. CHARMEL SCIENCE AND TECHNICAL INSTITUTE INC."/>
        <s v="SEAMAC INTERNATIONAL TRAINING INSTITUTE, INC."/>
        <s v="PULXAR TVI, INC."/>
        <s v="METRO VISION EMS AND DISASTER MANAGEMENT TRAINING AND ASSESSMENT CENTER, INC."/>
        <s v="BRILLIANT MINDS REVIEW AND TRAINING SCHOOL CORP."/>
        <s v="CONCORDIA COLLEGE, INC."/>
        <s v="D' BEAUTY TREND CENTER INSTITUTE INC."/>
        <s v="D' BEAUTY TREND CENTER INSTITUTE, INC."/>
        <s v="EXCEL TECHNICAL SKILLS AND CAREER CENTER, INC."/>
        <s v="INFORMATION HUB INC."/>
        <s v="LTC TRAINING, ASSESSMENT AND MULTI SERVICES, INC."/>
        <s v="OUR LADY OF GUADALUPE TECHNICAL AND VOCATIONAL TRAINING SCHOOL CORP."/>
        <s v="PINOY SKILLS ACADEMY INC."/>
        <s v="SABAS SKILLS DEVELOPMENT AND ASSESSMENT CENTER, INC."/>
        <s v="SECTOR EAST TRAINING SOLUTIONS INC."/>
        <s v="SIMPLICITY ACADEMY INC."/>
        <s v="SOUTH COMPEDGE COLLEGE, INC."/>
        <s v="ST. FRANCIS TECHNICAL INSTITUTE CENTER FOR DEVELOPMENT, TRAINING AND COMPETENCY ASSESSMENT, INC."/>
        <s v="ST. LORENZO RUIZ TRAINING AND ASSESSMENT CENTER, (SLRTACI) INC."/>
        <s v="TRIDENT-ASSESSMENT AND TECHNICAL TRAINING CENTER INC."/>
        <s v="WCC AERONAUTICAL AND TECHNOLOGICAL COLLEGE - NORTH MANILA, INC."/>
        <s v="Laborlink Technical Institute Corporation"/>
        <s v="(S.J.B.) SAINT JOHN BOSCO I.A.S. INC. - (Pasig Branch)"/>
        <s v="ACADEMY FOR LEISURE AND TOURISM INC."/>
        <s v="CANADIAN TOURISM AND HOSPITALITY INSTITUTE, INC."/>
        <s v="MARY THE QUEEN COLLEGE OF QUEZON CITY, INC."/>
        <s v="MOTHER IGNACIA NATIONAL SOCIAL APOSTOLATE CENTER"/>
        <s v="OUR LADY OF LOURDES COLLEGE OF NOVALICHES (OLLCN) INC."/>
        <s v="OVERSEAS ACADEMY SKILLS &amp; ASSESSMENT CENTER INC."/>
        <s v="INTERNATIONAL TRAINING FOR ENHANCEMENT &amp; ASSESSMENT CENTER, INC."/>
        <s v="Stars and Rainbow Academy, Inc."/>
        <s v="AISTAC ALPHA INNOVATIVE SKILLS TRAINING AND ASSESSMENT CENTER INC. DOING BUSINESS UNDER AISTAC ALPHA"/>
        <s v="GLOBAL OVERSEAS TRAINING INSTITUTE FOR HEAVY EQUIPMENT OPERATORS &amp; SKILLS DEVELOPMENT (GOTHED), INC."/>
        <s v="NOBLE VISION TRAINING AND ASSESSMENT INSTITUTE INC."/>
        <s v="TECHNO SPEAR TRAINING CENTER OF THE PHILIPPINES INCORPORATED"/>
        <s v="AVALONE TRAINING AND DEVELOPMENT FOUNDATION, INC."/>
        <s v="DR. R.A. FERNANDO SCHOOL OF HEALTHCARE TECHNOLOGY, INC."/>
        <s v="E-JUVENEX'S ACADEMY, INC. DOING BUSINESS UNDER JUVENEX'S TRAINING CENTER; JUVENEX'S MASSAGE SPA"/>
        <s v="MARIKINA SKILLS TRAINING AND ASSESSMENT CENTER INC."/>
        <s v="BCL SKILLS DEVELOPMENT CORP."/>
        <s v="CAPT. WILIJADO P. ABUID FOUNDATION, INC."/>
        <s v="RIDGE TECHNICAL SCHOOL AND DEVELOPMENT CORP."/>
        <s v="SKILLS FOR ENTREPRENEURSHIP, EMPLOYMENT AND DEVELOPMENT CENTER CORP."/>
        <s v="METROLOGYX TRAINING &amp; ASSESSMENT CENTER INC."/>
        <s v="MFI Polytechnic Institute, Inc. (Formerly: MFI Foundation, Inc.)"/>
        <s v="REGIONAL TRAINING CENTER - NCR"/>
        <s v="PHILIPPINE CENTER FOR CREATIVE IMAGING, INC."/>
        <s v="MEPF TECHNOLOGICAL INSTITUTE (MTI) INC."/>
        <s v="DIGITAL ARTS TECHNOLOGY TRAINING CENTER, INC"/>
        <s v="EXPERTS TECHNOLOGY ASSESSMENT AND TRAINING CENTER, INC."/>
        <s v="JOYSIS TECH VOC INC."/>
        <s v="DON BOSCO TECHNICAL INSTITUTE OF MAKATI, INC."/>
        <s v="PROBATON TECHNICAL SKILLS INSTITUTE INC."/>
        <s v="FOREMOST ACCREDITATION SECURITY TRAINING SCHOOL (FASTS), INC."/>
        <s v="PHILIPPINE WELDING TECHNOLOGY SKILLS AND SERVICES CENTER INC."/>
        <s v="GRAND TRAINING AND ASSESSMENT CENTER, INCORPORATED"/>
        <s v="PCA MARIVALLEY CONSTRUCTORS ASSOCIATION, INC."/>
        <s v="ROUNDED SYSTEMS INC."/>
        <s v="KABAKA MANPOWER TRAINING AND ASSESSMENT CENTER, INC."/>
        <s v="BRIGHT FUTURE SKILLS TRAINING AND ASSESSMENT CENTER INC."/>
        <s v="DIVERSIFIED CORPORATION"/>
        <s v="XAVIER TECHNICAL TRAINING CENTER CORP."/>
        <s v="MINDBRIDGE RESOURCES CORPORATION"/>
        <s v="WELDING INDUSTRIES OF THE PHILIPPINES, INCORPORATED "/>
        <s v="VALENZUELA CITY POLYTECHNIC COLLEGE"/>
        <s v="CHEF JHON'S TRAINING AND ASSESSMENT INC."/>
        <s v="SEATECH MARITIME TRAINING AND ASSESSMENT CENTER INC."/>
        <s v="SOUTHERN INSTITUTE OF MARITIME STUDIES-MANILA INC."/>
        <s v="UNITED MARINE TRAINING CENTER, INC."/>
        <s v="FAR EAST MARITIME FOUNDATION INC."/>
        <s v="INTERNATIONAL MARITIME EDUCATION CENTER CORPORATION"/>
        <s v="NE PLUS ULTRA TRAINING CENTER CORPORATION"/>
        <s v="UNITED SEAFARER'S MARITIME CENTER, INC."/>
        <s v="AGILE INSITUTE OF SLAUGHTERING &amp; BUTCHERING CORP."/>
        <s v="D' RISING SUN TRAINING CENTER PHILS. INC."/>
        <s v="D' Rising Sun Training Center Phils., Inc."/>
        <s v="Microcadd Institute Incorporated"/>
        <s v="UPTITUDE TRAINING CORP."/>
        <s v="PHIL ASIA SKILLS TRAINING AND ASSESSMENT CENTER, INC."/>
        <s v="National TVET Trainers Academy"/>
        <s v="ONE STOP WAREHOUSING SOLUTIONS, INC"/>
      </sharedItems>
    </cacheField>
    <cacheField name="Class Name" numFmtId="0">
      <sharedItems/>
    </cacheField>
    <cacheField name="Region Name" numFmtId="0">
      <sharedItems/>
    </cacheField>
    <cacheField name="Province Name" numFmtId="0">
      <sharedItems/>
    </cacheField>
    <cacheField name="City Name" numFmtId="0">
      <sharedItems/>
    </cacheField>
    <cacheField name="Address" numFmtId="0">
      <sharedItems/>
    </cacheField>
    <cacheField name="focal" numFmtId="0">
      <sharedItems containsBlank="1"/>
    </cacheField>
    <cacheField name="phone" numFmtId="0">
      <sharedItems containsMixedTypes="1" containsNumber="1" containsInteger="1" minValue="2474130" maxValue="9954887275"/>
    </cacheField>
    <cacheField name="e mail" numFmtId="0">
      <sharedItems containsBlank="1"/>
    </cacheField>
    <cacheField name="Qualification" numFmtId="0">
      <sharedItems/>
    </cacheField>
    <cacheField name="Trainer Count" numFmtId="0">
      <sharedItems containsSemiMixedTypes="0" containsString="0" containsNumber="1" containsInteger="1" minValue="0" maxValue="17"/>
    </cacheField>
    <cacheField name="Enrolled" numFmtId="0">
      <sharedItems containsSemiMixedTypes="0" containsString="0" containsNumber="1" containsInteger="1" minValue="0" maxValue="2569"/>
    </cacheField>
    <cacheField name="Graduates" numFmtId="0">
      <sharedItems containsSemiMixedTypes="0" containsString="0" containsNumber="1" containsInteger="1" minValue="0" maxValue="27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9">
  <r>
    <x v="0"/>
    <s v="TTI (School)"/>
    <s v="National Capital Region (NCR)"/>
    <s v="MUNTIPARLASTAPAT"/>
    <s v="Taguig City"/>
    <s v="Philippine-Korea Friendship Center, Bayani Road, Fort Bonifacio, Taguig City"/>
    <s v="DEXTER C. HULLEZA"/>
    <n v="9182178647"/>
    <s v="mpltp.hrdc.tvimis@gmail.com"/>
    <s v="3D Animation NC III"/>
    <n v="1"/>
    <n v="42"/>
    <n v="30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Automotive Servicing (Engine Repair) NC II"/>
    <n v="1"/>
    <n v="78"/>
    <n v="114"/>
  </r>
  <r>
    <x v="2"/>
    <s v="TVIs"/>
    <s v="National Capital Region (NCR)"/>
    <s v="MUNTIPARLASTAPAT"/>
    <s v="Taguig City"/>
    <s v="Blk15 FGC Building Crescent Park West, Rizal Drive, Bonifacio Global City, Taguig"/>
    <s v="JESUS R. BOCES JR. "/>
    <n v="9175572100"/>
    <s v="ait@autohubgroup.com"/>
    <s v="Automotive Servicing NC I"/>
    <n v="2"/>
    <n v="27"/>
    <n v="58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Automotive Servicing NC I"/>
    <n v="1"/>
    <n v="91"/>
    <n v="120"/>
  </r>
  <r>
    <x v="3"/>
    <s v="TVIs"/>
    <s v="National Capital Region (NCR)"/>
    <s v="CAMANAVA"/>
    <s v="Valenzuela City"/>
    <s v="Cielo Azul, G. Salazar, Wawang Pulo, Valenzuela City"/>
    <s v="C/E GILBERT B. MILANA,Ph.D"/>
    <s v="734-0160"/>
    <s v="gmtctesda@gmail.com"/>
    <s v="Automotive Servicing NC I"/>
    <n v="1"/>
    <n v="19"/>
    <n v="9"/>
  </r>
  <r>
    <x v="4"/>
    <s v="HEIs"/>
    <s v="National Capital Region (NCR)"/>
    <s v="Quezon City"/>
    <s v="Quezon City"/>
    <s v="587 EDSA, Cubao, Quezon City"/>
    <s v="Dante I. Inocencio"/>
    <s v="721-4129 / 414-4631 / 414-6429 / FAX: 723-1648"/>
    <s v="samsoncollege@gmail.com"/>
    <s v="Automotive Servicing NC I"/>
    <n v="2"/>
    <n v="70"/>
    <n v="62"/>
  </r>
  <r>
    <x v="5"/>
    <s v="TVIs"/>
    <s v="National Capital Region (NCR)"/>
    <s v="Quezon City"/>
    <s v="Quezon City"/>
    <s v="36 Buenamar St. Novaliches, Quezon City"/>
    <s v="NELSON Q CRUCIS JR./ TECH VOC DIR"/>
    <s v="8936-1950 / 3418-3989"/>
    <s v="qc.stoninotvimis@gmail.com"/>
    <s v="Automotive Servicing NC I"/>
    <n v="2"/>
    <n v="250"/>
    <n v="286"/>
  </r>
  <r>
    <x v="6"/>
    <s v="TVIs"/>
    <s v="National Capital Region (NCR)"/>
    <s v="PASMAK"/>
    <s v="Pasay City"/>
    <s v="2340 F. B. Harrison St., Pasay City"/>
    <s v="Froilan G. Aguirre"/>
    <s v="556-3819"/>
    <s v="technodevelopment2@yahoo.com"/>
    <s v="Automotive Servicing NC I"/>
    <n v="1"/>
    <n v="48"/>
    <n v="25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Automotive Servicing NC I"/>
    <n v="1"/>
    <n v="25"/>
    <n v="25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Automotive Servicing NC I"/>
    <n v="1"/>
    <n v="27"/>
    <n v="11"/>
  </r>
  <r>
    <x v="9"/>
    <s v="LGU"/>
    <s v="National Capital Region (NCR)"/>
    <s v="PAMAMARISAN"/>
    <s v="Marikina City"/>
    <s v="Rainbow Street, SSS Village, Concepcion Dos, Marikina City"/>
    <s v="MS. JESCKA LOI C. ZAGALA"/>
    <s v="7966-2583 / 7369-8650"/>
    <s v="plmar.techvoc@gmail.com"/>
    <s v="Barangay Health Services NC II"/>
    <n v="1"/>
    <n v="25"/>
    <n v="24"/>
  </r>
  <r>
    <x v="10"/>
    <s v="TVIs"/>
    <s v="National Capital Region (NCR)"/>
    <s v="City of Manila"/>
    <s v="Sampaloc, City of Manila"/>
    <s v="Unit 502 5th Floor Fern Bldg 827 P. Paredes St. Sampaloc Manila"/>
    <s v="Jay-ar D. Sta. Ana"/>
    <s v="."/>
    <s v="7staracademy.exec@gmail.com"/>
    <s v="Barista NC II"/>
    <n v="2"/>
    <n v="60"/>
    <n v="58"/>
  </r>
  <r>
    <x v="11"/>
    <s v="TVIs"/>
    <s v="National Capital Region (NCR)"/>
    <s v="PAMAMARISAN"/>
    <s v="Marikina City"/>
    <s v="No. 14 N. Roxas St., San Roque, Marikina City"/>
    <s v="PRINCES A. PAMPLONA"/>
    <s v="961-7772 / 995-0996"/>
    <s v="asiantouchmarikina@gmail.com"/>
    <s v="Barista NC II"/>
    <n v="3"/>
    <n v="348"/>
    <n v="259"/>
  </r>
  <r>
    <x v="12"/>
    <s v="TVIs"/>
    <s v="National Capital Region (NCR)"/>
    <s v="PASMAK"/>
    <s v="Makati City"/>
    <s v="4th Floor Piedra Bldg., 1174 Chino Roces Ave., San Antonio Village, Makati City"/>
    <s v="GretelWolda C. Gepilano"/>
    <s v="890-4547/890-7594"/>
    <s v="carenet_chi@yahoo.com"/>
    <s v="Barista NC II"/>
    <n v="8"/>
    <n v="1115"/>
    <n v="1180"/>
  </r>
  <r>
    <x v="13"/>
    <s v="TVIs"/>
    <s v="National Capital Region (NCR)"/>
    <s v="City of Manila"/>
    <s v="Tondo I/II, City of Manila"/>
    <s v="4/F Piedra Bldg, No. 1174 Chino Roces Ave., Makati City"/>
    <s v="GretelWolda C. Gepilano"/>
    <s v="-"/>
    <s v="carenet_chi@yahoo.com"/>
    <s v="Barista NC II"/>
    <n v="3"/>
    <n v="102"/>
    <n v="48"/>
  </r>
  <r>
    <x v="13"/>
    <s v="TVIs"/>
    <s v="National Capital Region (NCR)"/>
    <s v="MUNTIPARLASTAPAT"/>
    <s v="Taguig City"/>
    <s v="4/F Piedra Bldg. 1174 Chino Roces Ave., San Antonio Village, Makati City"/>
    <s v="GretelWolda C. Gepilano"/>
    <s v="890-4547"/>
    <s v="carenet_chi@yahoo.com"/>
    <s v="Barista NC II"/>
    <n v="3"/>
    <n v="100"/>
    <n v="100"/>
  </r>
  <r>
    <x v="14"/>
    <s v="TVIs"/>
    <s v="National Capital Region (NCR)"/>
    <s v="Quezon City"/>
    <s v="Quezon City"/>
    <s v="3/F Lot 13-A, Blk. 31 cor. Camaro St., Fairview Ave., Fairview, Quezon City"/>
    <s v="GERALD O. CATEDRILLA"/>
    <s v="(02) 428-4094"/>
    <s v="qc.cenbartvimis@gmail.com"/>
    <s v="Barista NC II"/>
    <n v="4"/>
    <n v="218"/>
    <n v="155"/>
  </r>
  <r>
    <x v="15"/>
    <s v="LGU"/>
    <s v="National Capital Region (NCR)"/>
    <s v="MUNTIPARLASTAPAT"/>
    <s v="Parañaque City"/>
    <s v="8001 Del Carmen St., St. Rita Village, BF Homes, Sucat, Parañaque City"/>
    <s v="Dayal Nandwani "/>
    <s v="216-7232"/>
    <s v="ronalyn@steppingstone.ph"/>
    <s v="Barista NC II"/>
    <n v="1"/>
    <n v="48"/>
    <n v="36"/>
  </r>
  <r>
    <x v="16"/>
    <s v="TVIs"/>
    <s v="National Capital Region (NCR)"/>
    <s v="Quezon City"/>
    <s v="Quezon City"/>
    <s v="Lot 56 Blk LCH - 220 Pajo Street, Quirino 2C, Quezon City"/>
    <s v="GENESIS S. STO. DOMINGO, CHP, MMITHM, D.HUM"/>
    <s v="8299-8511 loc 106"/>
    <s v="cgroupskills@gmail.com"/>
    <s v="Barista NC II"/>
    <n v="1"/>
    <n v="57"/>
    <n v="28"/>
  </r>
  <r>
    <x v="17"/>
    <s v="TVIs"/>
    <s v="National Capital Region (NCR)"/>
    <s v="PAMAMARISAN"/>
    <s v="Pasig City"/>
    <s v="2/F Skygate Bldg., No. 4 E. Rodriguez Jr . Ave (C5), Bagong Ilog, Pasig City)"/>
    <s v="SOO HEE CHANG"/>
    <s v="661-1914"/>
    <s v="cookoinfo@gmail.com"/>
    <s v="Barista NC II"/>
    <n v="1"/>
    <n v="141"/>
    <n v="159"/>
  </r>
  <r>
    <x v="18"/>
    <s v="TVIs"/>
    <s v="National Capital Region (NCR)"/>
    <s v="MUNTIPARLASTAPAT"/>
    <s v="Parañaque City"/>
    <s v="AJBEL Bldg., 9127 San Antonio Valley Avenue, Brgy. SAV-1, Sucat, Parañaque City"/>
    <s v="Glendon C. Gloria"/>
    <s v="551-2408"/>
    <s v="godbearerinstitute@gmail.com"/>
    <s v="Barista NC II"/>
    <n v="1"/>
    <n v="79"/>
    <n v="74"/>
  </r>
  <r>
    <x v="19"/>
    <s v="TVIs"/>
    <s v="National Capital Region (NCR)"/>
    <s v="MUNTIPARLASTAPAT"/>
    <s v="Parañaque City"/>
    <s v="No. 97 Doña Soledad Better Living, Don Bosco, Parañaque City"/>
    <s v="DAVE DV. NAVARRO"/>
    <s v="239-2860"/>
    <s v="homeculinary@kingsgroup.com.ph"/>
    <s v="Barista NC II"/>
    <n v="1"/>
    <n v="25"/>
    <n v="0"/>
  </r>
  <r>
    <x v="20"/>
    <s v="TVIs"/>
    <s v="National Capital Region (NCR)"/>
    <s v="City of Manila"/>
    <s v="Malate, City of Manila"/>
    <s v="1906 San Pascual St., Brgy. 691, Malate, Manila"/>
    <s v="Alex Delos Santos"/>
    <n v="9331028163"/>
    <s v="mychestskills@gmail.com"/>
    <s v="Barista NC II"/>
    <n v="2"/>
    <n v="401"/>
    <n v="385"/>
  </r>
  <r>
    <x v="21"/>
    <s v="TVIs"/>
    <s v="National Capital Region (NCR)"/>
    <s v="Quezon City"/>
    <s v="Quezon City"/>
    <s v="Unit 11, Llanar Bldg., Bonny Serrano Ave., cor. 10th Ave., Cubao, Quezon City "/>
    <s v="MARK AUGUSTINE L. RODRIGUEZ"/>
    <s v="364-4347"/>
    <s v="nationalinstitute.techvoc@gmail.com"/>
    <s v="Barista NC II"/>
    <n v="5"/>
    <n v="770"/>
    <n v="860"/>
  </r>
  <r>
    <x v="22"/>
    <s v="LGU"/>
    <s v="National Capital Region (NCR)"/>
    <s v="CAMANAVA"/>
    <s v="Navotas City"/>
    <s v="Governor Pascual St., Barangay Daanghari, Navotas City"/>
    <s v="KATHRYN ANNE S. HILARIO"/>
    <s v="292-2277"/>
    <s v="navotaasinstitute.annex2@gmail.com"/>
    <s v="Barista NC II"/>
    <n v="1"/>
    <n v="107"/>
    <n v="98"/>
  </r>
  <r>
    <x v="23"/>
    <s v="TVIs"/>
    <s v="National Capital Region (NCR)"/>
    <s v="City of Manila"/>
    <s v="Malate, City of Manila"/>
    <s v="2F Marbella II Bldg. 2071 Roxas Blvd., Malate, Manila"/>
    <s v="Francis T. Tajanlangit "/>
    <s v="331-3180 / 331-3177 / 742-3400"/>
    <s v="powerlink0615@gmail.com"/>
    <s v="Barista NC II"/>
    <n v="5"/>
    <n v="482"/>
    <n v="397"/>
  </r>
  <r>
    <x v="24"/>
    <s v="TVIs"/>
    <s v="National Capital Region (NCR)"/>
    <s v="Quezon City"/>
    <s v="Quezon City"/>
    <s v="6 K-F Street, Barangay Kamuning, Quezon City"/>
    <s v="VALERIE V. BERNARDINO"/>
    <s v="759-5873"/>
    <s v="quezoncityskills_ltc@yahoo.com"/>
    <s v="Barista NC II"/>
    <n v="2"/>
    <n v="60"/>
    <n v="56"/>
  </r>
  <r>
    <x v="25"/>
    <s v="TVIs"/>
    <s v="National Capital Region (NCR)"/>
    <s v="PASMAK"/>
    <s v="Pasay City"/>
    <s v="Unit 401 DMV Bldg., 2484 Padre Zamora St., Barangay 105, Pasay City"/>
    <s v="GretelWolda C. Gepilano"/>
    <s v="(02) 8771 5554"/>
    <s v="pasmak.rase.2024@gmail.com"/>
    <s v="Barista NC II"/>
    <n v="4"/>
    <n v="123"/>
    <n v="0"/>
  </r>
  <r>
    <x v="26"/>
    <s v="TVIs"/>
    <s v="National Capital Region (NCR)"/>
    <s v="City of Manila"/>
    <s v="Ermita, City of Manila"/>
    <s v="402 Bel-Air Apartment 4/F, 1020 Roxas Blvd., Ermita, Manila"/>
    <s v="Ricky M. Purificacion"/>
    <s v="523-7652"/>
    <s v="rcticorp@yahoo.com"/>
    <s v="Barista NC II"/>
    <n v="2"/>
    <n v="66"/>
    <n v="59"/>
  </r>
  <r>
    <x v="27"/>
    <s v="TVIs"/>
    <s v="National Capital Region (NCR)"/>
    <s v="PASMAK"/>
    <s v="Pasay City"/>
    <s v="Unit 3- A 3rd Flr Wardley Bldg. 1991 San Juan St. Pasay City"/>
    <s v="CRISTINA J. APLASCA"/>
    <n v="2474130"/>
    <s v="smiacademicenter@gmail.com"/>
    <s v="Barista NC II"/>
    <n v="3"/>
    <n v="158"/>
    <n v="158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Barista NC II"/>
    <n v="0"/>
    <n v="0"/>
    <n v="55"/>
  </r>
  <r>
    <x v="29"/>
    <s v="TVIs"/>
    <s v="National Capital Region (NCR)"/>
    <s v="City of Manila"/>
    <s v="Santa Cruz, City of Manila"/>
    <s v="2449 Rizal Ave. corner Cavite Street, Sta. Cruz, Manila"/>
    <s v="Analou Ong"/>
    <s v="8866-3682 / 7751-8162"/>
    <s v="smbit_2011@yahoo.com.ph"/>
    <s v="Barista NC II"/>
    <n v="2"/>
    <n v="54"/>
    <n v="54"/>
  </r>
  <r>
    <x v="30"/>
    <s v="LGU"/>
    <s v="National Capital Region (NCR)"/>
    <s v="MUNTIPARLASTAPAT"/>
    <s v="Taguig City"/>
    <s v="Col. Ballecer St., Brgy. Central Signal Village, Taguig City"/>
    <s v="Evangeline F. Sabater"/>
    <n v="9297015428"/>
    <s v="manpowertmtc@gmail.com"/>
    <s v="Barista NC II"/>
    <n v="2"/>
    <n v="201"/>
    <n v="183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Barista NC II"/>
    <n v="2"/>
    <n v="289"/>
    <n v="252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Barista NC II"/>
    <n v="2"/>
    <n v="127"/>
    <n v="145"/>
  </r>
  <r>
    <x v="32"/>
    <s v="TVIs"/>
    <s v="National Capital Region (NCR)"/>
    <s v="PAMAMARISAN"/>
    <s v="Marikina City"/>
    <s v="2/F WRC Bldg. No. 47 Gil Fernando Midtown Subd., San Roque, Marikina City "/>
    <s v="MR. JAIME G. DOLERA JR."/>
    <s v="Tel. No. 234-0996"/>
    <s v="academy.asia@gmail.com"/>
    <s v="Bartending NC II"/>
    <n v="1"/>
    <n v="98"/>
    <n v="124"/>
  </r>
  <r>
    <x v="33"/>
    <s v="TVIs"/>
    <s v="National Capital Region (NCR)"/>
    <s v="PAMAMARISAN"/>
    <s v="Pasig City"/>
    <s v="No.11 M.H. Del Pilar St., Brgy. San Nicolas, Pasig"/>
    <s v="DONA MARIE ANGELICA O. MARIANO"/>
    <n v="9088130738"/>
    <s v="pas@access.edu.ph"/>
    <s v="Bartending NC II"/>
    <n v="1"/>
    <n v="108"/>
    <n v="106"/>
  </r>
  <r>
    <x v="34"/>
    <s v="TVIs"/>
    <s v="National Capital Region (NCR)"/>
    <s v="CAMANAVA"/>
    <s v="Caloocan City"/>
    <s v="Phase 10 Pkg. 6 Blk. 1 Lot 4 Bagong Silang, Caloocan City"/>
    <s v="EUGENIO V. DAUZ, Ph.D."/>
    <s v="579-40-11"/>
    <s v="cmnv.cdsgacal.tvimis@gmail.com"/>
    <s v="Bartending NC II"/>
    <n v="1"/>
    <n v="47"/>
    <n v="45"/>
  </r>
  <r>
    <x v="35"/>
    <s v="TVIs"/>
    <s v="National Capital Region (NCR)"/>
    <s v="PAMAMARISAN"/>
    <s v="Mandaluyong City"/>
    <s v="3/F Raymundo Bldg. Kalentong St., Mandaluyong City"/>
    <s v="JOSE O. MONTENEGRO"/>
    <s v="534-4478"/>
    <s v="gistian08.mandakalentong@gmail.com"/>
    <s v="Bartending NC II"/>
    <n v="1"/>
    <n v="50"/>
    <n v="50"/>
  </r>
  <r>
    <x v="18"/>
    <s v="TVIs"/>
    <s v="National Capital Region (NCR)"/>
    <s v="MUNTIPARLASTAPAT"/>
    <s v="Parañaque City"/>
    <s v="AJBEL Bldg., 9127 San Antonio Valley Avenue, Brgy. SAV-1, Sucat, Parañaque City"/>
    <s v="Glendon C. Gloria"/>
    <s v="551-2408"/>
    <s v="godbearerinstitute@gmail.com"/>
    <s v="Bartending NC II"/>
    <n v="1"/>
    <n v="25"/>
    <n v="0"/>
  </r>
  <r>
    <x v="36"/>
    <s v="TVIs"/>
    <s v="National Capital Region (NCR)"/>
    <s v="PAMAMARISAN"/>
    <s v="Mandaluyong City"/>
    <s v="Unit 02, 2/F Elena Roces Building, No. 7 Pioneer St., Mandaluyong City"/>
    <s v="Mr. Ulysses D. Campos"/>
    <s v="634-8244 / 634-3300 or 0927-418-7015"/>
    <s v="info@itchi-asia.com"/>
    <s v="Bartending NC II"/>
    <n v="2"/>
    <n v="100"/>
    <n v="87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Bartending NC II"/>
    <n v="0"/>
    <n v="0"/>
    <n v="12"/>
  </r>
  <r>
    <x v="25"/>
    <s v="TVIs"/>
    <s v="National Capital Region (NCR)"/>
    <s v="PASMAK"/>
    <s v="Pasay City"/>
    <s v="Unit 401 DMV Bldg., 2484 Padre Zamora St., Barangay 105, Pasay City"/>
    <s v="GRETELWOLDA C. GEPILANO"/>
    <s v="(02) 8771 5554"/>
    <s v="pasmak.rase.2024@gmail.com"/>
    <s v="Bartending NC II"/>
    <n v="1"/>
    <n v="25"/>
    <n v="0"/>
  </r>
  <r>
    <x v="27"/>
    <s v="TVIs"/>
    <s v="National Capital Region (NCR)"/>
    <s v="PASMAK"/>
    <s v="Pasay City"/>
    <s v="Unit 3- A 3rd Flr Wardley Bldg. 1991 San Juan St. Pasay City"/>
    <s v="CRISTINA J. APLASCA"/>
    <n v="2474130"/>
    <s v="smiacademicenter@gmail.com"/>
    <s v="Bartending NC II"/>
    <n v="1"/>
    <n v="48"/>
    <n v="48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Bartending NC II"/>
    <n v="1"/>
    <n v="140"/>
    <n v="151"/>
  </r>
  <r>
    <x v="38"/>
    <s v="TVIs"/>
    <s v="National Capital Region (NCR)"/>
    <s v="PASMAK"/>
    <s v="Pasay City"/>
    <s v="4th Floor Sea Tower Bldg. 2332 Roxas Blvd. cor. Arnaiz St. Pasay City"/>
    <s v="Wilhermino S. Maniego"/>
    <n v="8230918"/>
    <s v="uimtac_inc@yahoo.com.ph"/>
    <s v="Bartending NC II"/>
    <n v="1"/>
    <n v="5"/>
    <n v="0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Bartending NC II"/>
    <n v="1"/>
    <n v="116"/>
    <n v="62"/>
  </r>
  <r>
    <x v="39"/>
    <s v="LGU"/>
    <s v="National Capital Region (NCR)"/>
    <s v="PAMAMARISAN"/>
    <s v="Pasig City"/>
    <s v="Pio Alvarez St. , Barangay Bambang Pasig City "/>
    <s v="CORINNA V. BUGAWAN"/>
    <s v="706-7977"/>
    <s v="pcistbambang@gmail.com"/>
    <s v="Beauty Care Services (Nail Care) NC II"/>
    <n v="1"/>
    <n v="3"/>
    <n v="0"/>
  </r>
  <r>
    <x v="40"/>
    <s v="TTI (PTC)"/>
    <s v="National Capital Region (NCR)"/>
    <s v="Quezon City"/>
    <s v="Quezon City"/>
    <s v="Lot 10, Block 17, Dahlia Avenue, Fairview Quezon City"/>
    <s v="EDMAR JAY O. BLANCO"/>
    <s v="799-9092"/>
    <s v="qclbsdc@tesda.gov.ph"/>
    <s v="Biomedical Equipment Servicing NC II"/>
    <n v="1"/>
    <n v="28"/>
    <n v="22"/>
  </r>
  <r>
    <x v="33"/>
    <s v="TVIs"/>
    <s v="National Capital Region (NCR)"/>
    <s v="PAMAMARISAN"/>
    <s v="Pasig City"/>
    <s v="No.11 M.H. Del Pilar St., Brgy. San Nicolas, Pasig"/>
    <s v="DONA MARIE ANGELICA O. MARIANO"/>
    <n v="9088130738"/>
    <s v="pas@access.edu.ph"/>
    <s v="Bookkeeping NC III"/>
    <n v="1"/>
    <n v="206"/>
    <n v="186"/>
  </r>
  <r>
    <x v="41"/>
    <s v="TVIs"/>
    <s v="National Capital Region (NCR)"/>
    <s v="PAMAMARISAN"/>
    <s v="Marikina City"/>
    <s v="712 JP Rizal Concepcion Uno, Marikina City"/>
    <s v="MADONNA V. VITALIANO "/>
    <s v="0915-800-1270"/>
    <s v="aplustechvoc@gmail.com"/>
    <s v="Bookkeeping NC III"/>
    <n v="2"/>
    <n v="262"/>
    <n v="214"/>
  </r>
  <r>
    <x v="42"/>
    <s v="TVIs"/>
    <s v="National Capital Region (NCR)"/>
    <s v="PAMAMARISAN"/>
    <s v="Pasig City"/>
    <s v="115 E. Santos Ave., Bambang, Pasig City"/>
    <s v="Ms. Marjorie G. Mendenilla"/>
    <s v="7746-0097"/>
    <s v="asianentrepreneurstech2009@gmail.com"/>
    <s v="Bookkeeping NC III"/>
    <n v="1"/>
    <n v="113"/>
    <n v="106"/>
  </r>
  <r>
    <x v="43"/>
    <s v="TVIs"/>
    <s v="National Capital Region (NCR)"/>
    <s v="PASMAK"/>
    <s v="Pasay City"/>
    <s v="Pasadeña St., Pasay City"/>
    <s v="Dr. ROASANIE F. ESTUCHE"/>
    <n v="5511342"/>
    <s v="cityunipasay@gmail.com"/>
    <s v="Bookkeeping NC III"/>
    <n v="1"/>
    <n v="50"/>
    <n v="0"/>
  </r>
  <r>
    <x v="34"/>
    <s v="TVIs"/>
    <s v="National Capital Region (NCR)"/>
    <s v="CAMANAVA"/>
    <s v="Caloocan City"/>
    <s v="Phase 10 Pkg. 6 Blk. 1 Lot 4 Bagong Silang, Caloocan City"/>
    <s v="EUGENIO V. DAUZ, Ph.D."/>
    <s v="579-40-11"/>
    <s v="cmnv.cdsgacal.tvimis@gmail.com"/>
    <s v="Bookkeeping NC III"/>
    <n v="0"/>
    <n v="0"/>
    <n v="24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Bookkeeping NC III"/>
    <n v="1"/>
    <n v="172"/>
    <n v="151"/>
  </r>
  <r>
    <x v="44"/>
    <s v="TVIs"/>
    <s v="National Capital Region (NCR)"/>
    <s v="PASMAK"/>
    <s v="Makati City"/>
    <s v="518 Narra St. Cembo, Makati City "/>
    <s v="MARY GRACE O. TEJADA"/>
    <s v="750-0626 / 391-1042 / 383-8766 / 391-1042"/>
    <s v="finetrainingcenter@gmail.com"/>
    <s v="Bookkeeping NC III"/>
    <n v="2"/>
    <n v="81"/>
    <n v="73"/>
  </r>
  <r>
    <x v="45"/>
    <s v="TVIs"/>
    <s v="National Capital Region (NCR)"/>
    <s v="MUNTIPARLASTAPAT"/>
    <s v="Parañaque City"/>
    <s v="Lot-16, Blk-5 Saint Paul St., Lopez Village, Sucat, Parañaque City"/>
    <s v="ANGELITA O. GATUS"/>
    <s v="(02) 73416854"/>
    <s v="gotecbrsr@gmail.com"/>
    <s v="Bookkeeping NC III"/>
    <n v="1"/>
    <n v="33"/>
    <n v="33"/>
  </r>
  <r>
    <x v="46"/>
    <s v="HEIs"/>
    <s v="National Capital Region (NCR)"/>
    <s v="MUNTIPARLASTAPAT"/>
    <s v="Taguig City"/>
    <s v="26 C. Durian Extension, Pag-asa Avenue, Katuparan, Taguig City"/>
    <s v="HELEN S. LOSBAÑES"/>
    <s v="828-35689 / 09988419695"/>
    <s v="hslbraillecollegeinc@gmail.com"/>
    <s v="Bookkeeping NC III"/>
    <n v="1"/>
    <n v="47"/>
    <n v="37"/>
  </r>
  <r>
    <x v="47"/>
    <s v="TVIs"/>
    <s v="National Capital Region (NCR)"/>
    <s v="MUNTIPARLASTAPAT"/>
    <s v="Muntinlupa City"/>
    <s v="No. 5 Molina St., Alabang, Muntinlupa City"/>
    <s v="MELVIE B. ACEDO"/>
    <s v="850-0937/850-0938"/>
    <s v="ietialabang@yahoo.com"/>
    <s v="Bookkeeping NC III"/>
    <n v="1"/>
    <n v="24"/>
    <n v="24"/>
  </r>
  <r>
    <x v="48"/>
    <s v="TVIs"/>
    <s v="National Capital Region (NCR)"/>
    <s v="MUNTIPARLASTAPAT"/>
    <s v="Muntinlupa City"/>
    <s v="2/F Aragon Bldg., Alabang-Zapote Rd., Almanza, Las Piñas City"/>
    <s v="Emmanuel P. Del Prado"/>
    <s v="800-4162"/>
    <m/>
    <s v="Bookkeeping NC III"/>
    <n v="0"/>
    <n v="0"/>
    <n v="19"/>
  </r>
  <r>
    <x v="49"/>
    <s v="TVIs"/>
    <s v="National Capital Region (NCR)"/>
    <s v="MUNTIPARLASTAPAT"/>
    <s v="Parañaque City"/>
    <s v="CAP Bldg., Dr. A. Santos Ave., Sucat, Parañaque City"/>
    <s v="Alan F. Boribor"/>
    <s v="825-6531/470-7793"/>
    <s v="infotechcollege_2017@yahoo.com"/>
    <s v="Bookkeeping NC III"/>
    <n v="1"/>
    <n v="25"/>
    <n v="25"/>
  </r>
  <r>
    <x v="50"/>
    <s v="HEIs"/>
    <s v="National Capital Region (NCR)"/>
    <s v="PAMAMARISAN"/>
    <s v="Mandaluyong City"/>
    <s v="343 Ortigas Ave., Mandaluyong City"/>
    <s v="Mrs. Maria Carmela A. Boncodin"/>
    <s v="721-2000 loc 249 / 721-2000 loc 121"/>
    <s v="alted.aac@lsgh.edu.ph"/>
    <s v="Bookkeeping NC III"/>
    <n v="2"/>
    <n v="71"/>
    <n v="13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Bookkeeping NC III"/>
    <n v="3"/>
    <n v="63"/>
    <n v="36"/>
  </r>
  <r>
    <x v="51"/>
    <s v="TVIs"/>
    <s v="National Capital Region (NCR)"/>
    <s v="Quezon City"/>
    <s v="Quezon City"/>
    <s v="55 Felix Manalo St. Brgy. Pinagkaisahan, Cubao, Quezon City"/>
    <s v="Sr. Sheila Marie A. Ducot, FMA "/>
    <s v="8654-4204"/>
    <s v="qc.lvfitvimis@gmail.com"/>
    <s v="Bookkeeping NC III"/>
    <n v="2"/>
    <n v="54"/>
    <n v="51"/>
  </r>
  <r>
    <x v="52"/>
    <s v="TVIs"/>
    <s v="National Capital Region (NCR)"/>
    <s v="MUNTIPARLASTAPAT"/>
    <s v="Muntinlupa City"/>
    <s v="Km. 30 National Road, Tunasan, Muntinlupa City"/>
    <s v="Abigael D. Guda"/>
    <s v="403-8248"/>
    <s v="loatechdept@gmail.com"/>
    <s v="Bookkeeping NC III"/>
    <n v="1"/>
    <n v="8"/>
    <n v="8"/>
  </r>
  <r>
    <x v="53"/>
    <s v="TVIs"/>
    <s v="National Capital Region (NCR)"/>
    <s v="City of Manila"/>
    <s v="Santa Cruz, City of Manila"/>
    <s v="1671 Alvarez St., Sta. Cruz, Manila"/>
    <s v="JAMESON W. CHUA"/>
    <s v="."/>
    <s v="registrar@mbc.edu.ph"/>
    <s v="Bookkeeping NC III"/>
    <n v="1"/>
    <n v="27"/>
    <n v="25"/>
  </r>
  <r>
    <x v="54"/>
    <s v="TVIs"/>
    <s v="National Capital Region (NCR)"/>
    <s v="CAMANAVA"/>
    <s v="Valenzuela City"/>
    <s v="52 Ka82ruhatan Road, Karuhatan, Valenzuela City"/>
    <s v="JONATHAN O. ANDES"/>
    <n v="82340614"/>
    <s v="maranathatechvoc.2022@gmail.com"/>
    <s v="Bookkeeping NC III"/>
    <n v="2"/>
    <n v="193"/>
    <n v="153"/>
  </r>
  <r>
    <x v="55"/>
    <s v="TVIs"/>
    <s v="National Capital Region (NCR)"/>
    <s v="MUNTIPARLASTAPAT"/>
    <s v="Parañaque City"/>
    <s v="J. Villaroman St. Classic Homes, B.F. Homes, Parañaque City"/>
    <s v="Joy Myra S. Tambunting"/>
    <s v="807-5171/75"/>
    <s v="tesda@marymountacademy.edu.ph"/>
    <s v="Bookkeeping NC III"/>
    <n v="1"/>
    <n v="145"/>
    <n v="110"/>
  </r>
  <r>
    <x v="56"/>
    <s v="TVIs"/>
    <s v="National Capital Region (NCR)"/>
    <s v="MUNTIPARLASTAPAT"/>
    <s v="Taguig City"/>
    <s v="Lot 31 Blk 52 Phase 2-A, Bonifacio Ave. Ricahuerta Street Upper Bicutan, Taguig City"/>
    <s v="EDSEL M. MIRAMBIL"/>
    <s v="88389077 / 88390135"/>
    <s v="siredselmontoya@gmail.com"/>
    <s v="Bookkeeping NC III"/>
    <n v="1"/>
    <n v="1"/>
    <n v="0"/>
  </r>
  <r>
    <x v="57"/>
    <s v="TVIs"/>
    <s v="National Capital Region (NCR)"/>
    <s v="MUNTIPARLASTAPAT"/>
    <s v="Parañaque City"/>
    <s v="Kabihasnan, cor. Coastal Road, Brgy. San Dionisio, Parañaque City"/>
    <s v="ALEJANDRO D. MAGNAYE, DBM"/>
    <s v="962-6958"/>
    <s v="mpltp.pcc.tvimis@gmail.com"/>
    <s v="Bookkeeping NC III"/>
    <n v="0"/>
    <n v="0"/>
    <n v="6"/>
  </r>
  <r>
    <x v="58"/>
    <s v="TVIs"/>
    <s v="National Capital Region (NCR)"/>
    <s v="PAMAMARISAN"/>
    <s v="Marikina City"/>
    <s v="4/F Maria Compound Bldg., # 14 Nicanor Roxas St. Brgy. San Roque, Marikina City "/>
    <s v="MAYDA LO L. TABANGIN"/>
    <s v="0920-9530092"/>
    <s v="philacademymarikina@gmail.com"/>
    <s v="Bookkeeping NC III"/>
    <n v="2"/>
    <n v="213"/>
    <n v="163"/>
  </r>
  <r>
    <x v="59"/>
    <s v="TVIs"/>
    <s v="National Capital Region (NCR)"/>
    <s v="MUNTIPARLASTAPAT"/>
    <s v="Parañaque City"/>
    <s v="2nd Floor Fortuna Bldg., 8338 Dr. A. Santos Ave., Brgy. San Isidro, Parañaque City"/>
    <s v="PATERNO P. CLAPIS, JR."/>
    <s v="09094939012 / 8-825-5914"/>
    <s v="sav1trainingcenter@gmail.com"/>
    <s v="Bookkeeping NC III"/>
    <n v="2"/>
    <n v="223"/>
    <n v="173"/>
  </r>
  <r>
    <x v="60"/>
    <s v="TVIs"/>
    <s v="National Capital Region (NCR)"/>
    <s v="PASMAK"/>
    <s v="Pasay City"/>
    <s v="Unit 401 4th Floor, El Feren’s Bldg., No. 2063-2067 F.B. Harrison St., cor. Gil J. Puyat Ave., Pasay City"/>
    <s v="ANGELIQUE KATE T. SILVA, RN, MBA, DHum"/>
    <s v="02-824-101-36 / 09183466180 / 09054541728"/>
    <s v="silverpoint2022.edu@gmail.com"/>
    <s v="Bookkeeping NC III"/>
    <n v="2"/>
    <n v="96"/>
    <n v="96"/>
  </r>
  <r>
    <x v="61"/>
    <s v="TVIs"/>
    <s v="National Capital Region (NCR)"/>
    <s v="MUNTIPARLASTAPAT"/>
    <s v="Muntinlupa City"/>
    <s v="Km. 23.6 East Service Rd., Udings Cmpd. I, Alabang, Muntinlupa City"/>
    <s v="Felicitas C. Rabonza"/>
    <s v="842-21-39 / 856-66-02/850-57-09"/>
    <s v="tvet@sbca.edu.ph"/>
    <s v="Bookkeeping NC III"/>
    <n v="1"/>
    <n v="50"/>
    <n v="21"/>
  </r>
  <r>
    <x v="62"/>
    <s v="TTI (PTC)"/>
    <s v="National Capital Region (NCR)"/>
    <s v="City of Manila"/>
    <s v="Paco, City of Manila"/>
    <s v="No. 1314 Mahatma Gandhi St., Paco, Manila"/>
    <s v="VIGNETTE D. NAVASERO"/>
    <n v="85168347"/>
    <s v="tmtac@tesda.gov.ph"/>
    <s v="Bookkeeping NC III"/>
    <n v="2"/>
    <n v="192"/>
    <n v="157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Bookkeeping NC III"/>
    <n v="2"/>
    <n v="310"/>
    <n v="333"/>
  </r>
  <r>
    <x v="63"/>
    <s v="TVIs"/>
    <s v="National Capital Region (NCR)"/>
    <s v="MUNTIPARLASTAPAT"/>
    <s v="Parañaque City"/>
    <s v="17 Highlight St., Area 4 Fourth Estate Subd., Sucat, Parañaque City"/>
    <s v="Rev. Dr. James C. Sy"/>
    <s v="820-7764"/>
    <s v="ucaphil_college@yahoo.com"/>
    <s v="Bookkeeping NC III"/>
    <n v="1"/>
    <n v="25"/>
    <n v="0"/>
  </r>
  <r>
    <x v="64"/>
    <s v="TVIs"/>
    <s v="National Capital Region (NCR)"/>
    <s v="PAMAMARISAN"/>
    <s v="Pasig City"/>
    <s v="No. 707 Shaw Blvd., Brgy. Kapitolyo, Pasig City"/>
    <s v="ANGELITA B. GO"/>
    <s v="719-0914"/>
    <s v="triplekseastcapitolkitchencorp@gmail.com"/>
    <s v="Bread and Pastry Production NC II"/>
    <n v="3"/>
    <n v="691"/>
    <n v="727"/>
  </r>
  <r>
    <x v="65"/>
    <s v="TVIs"/>
    <s v="National Capital Region (NCR)"/>
    <s v="PAMAMARISAN"/>
    <s v="Pasig City"/>
    <s v="B85 L3 P2C3 KC33 St., Karangalan Village, Manggahan, Pasig City"/>
    <s v="LALAINE J. BRINGUELO "/>
    <s v="956-8640/0956-432-9868"/>
    <s v="mlbtraveltours@gmail.com"/>
    <s v="Bread and Pastry Production NC II"/>
    <n v="2"/>
    <n v="521"/>
    <n v="538"/>
  </r>
  <r>
    <x v="66"/>
    <s v="TVIs"/>
    <s v="National Capital Region (NCR)"/>
    <s v="Quezon City"/>
    <s v="Quezon City"/>
    <s v="B1 L1 Salvador Ave. cor., Quirino Highway, Jordan Plains Subd., Quezon City "/>
    <s v="MELODY B. DIGAO"/>
    <s v="292-6536"/>
    <s v="sldmcollegesofqc2014@gmail.com"/>
    <s v="Bread and Pastry Production NC II"/>
    <n v="2"/>
    <n v="453"/>
    <n v="505"/>
  </r>
  <r>
    <x v="11"/>
    <s v="TVIs"/>
    <s v="National Capital Region (NCR)"/>
    <s v="PAMAMARISAN"/>
    <s v="Marikina City"/>
    <s v="No. 14 N. Roxas St., San Roque, Marikina City"/>
    <s v="PRINCES A. PAMPLONA"/>
    <s v="961-7772 / 995-0996"/>
    <s v="asiantouchmarikina@gmail.com"/>
    <s v="Bread and Pastry Production NC II"/>
    <n v="3"/>
    <n v="590"/>
    <n v="478"/>
  </r>
  <r>
    <x v="67"/>
    <s v="TVIs"/>
    <s v="National Capital Region (NCR)"/>
    <s v="CAMANAVA"/>
    <s v="Caloocan City"/>
    <s v="No. 1569 Rizal Ave. Cor. 10th Ave., Grace Park West, Barangay 62, Caloocan City"/>
    <s v="Michael Angelo A. Maga"/>
    <s v="426-8591/09175017675"/>
    <s v="hitacc.am@gmail.com"/>
    <s v="Bread and Pastry Production NC II"/>
    <n v="2"/>
    <n v="406"/>
    <n v="462"/>
  </r>
  <r>
    <x v="68"/>
    <s v="TVIs"/>
    <s v="National Capital Region (NCR)"/>
    <s v="Quezon City"/>
    <s v="Quezon City"/>
    <s v="Lot 3 Blk 2 DRJ Village, Old Sauyo Road, Barangay Sauyo, Novaliches, Quezon City "/>
    <s v="SHAHANI LEI D. CAPIRAL"/>
    <s v="369-5707"/>
    <s v="icropsintlassessment@gmail.com"/>
    <s v="Bread and Pastry Production NC II"/>
    <n v="2"/>
    <n v="365"/>
    <n v="442"/>
  </r>
  <r>
    <x v="69"/>
    <s v="TVIs"/>
    <s v="National Capital Region (NCR)"/>
    <s v="PAMAMARISAN"/>
    <s v="Pasig City"/>
    <s v="Suite U-207 Skyway Twin Tower, 351 Henry P. Javier St., Brgy., Orando Pasig City "/>
    <s v="Mr. Michael M. Tiaoqui "/>
    <s v="671-0276 / 671-0277 loc. 110"/>
    <s v="registrar@aicaculinary.com"/>
    <s v="Bread and Pastry Production NC II"/>
    <n v="3"/>
    <n v="327"/>
    <n v="409"/>
  </r>
  <r>
    <x v="20"/>
    <s v="TVIs"/>
    <s v="National Capital Region (NCR)"/>
    <s v="City of Manila"/>
    <s v="Malate, City of Manila"/>
    <s v="1906 San Pascual St., Brgy. 691, Malate, Manila"/>
    <s v="Alex Delos Santos"/>
    <n v="9331028163"/>
    <s v="mychestskills@gmail.com"/>
    <s v="Bread and Pastry Production NC II"/>
    <n v="5"/>
    <n v="457"/>
    <n v="397"/>
  </r>
  <r>
    <x v="70"/>
    <s v="TVIs"/>
    <s v="National Capital Region (NCR)"/>
    <s v="CAMANAVA"/>
    <s v="Valenzuela City"/>
    <s v="0721 Navarette St., Arkong Bato, Valenzuela City"/>
    <s v="CRISTINA MARIE M. FELICIANO"/>
    <s v="09194994983 / 0916403254."/>
    <s v="aphroditetacvalenzuela2023@gmail.com"/>
    <s v="Bread and Pastry Production NC II"/>
    <n v="2"/>
    <n v="397"/>
    <n v="394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Bread and Pastry Production NC II"/>
    <n v="4"/>
    <n v="452"/>
    <n v="384"/>
  </r>
  <r>
    <x v="72"/>
    <s v="HEIs"/>
    <s v="National Capital Region (NCR)"/>
    <s v="City of Manila"/>
    <s v="Sampaloc, City of Manila"/>
    <s v="2600 Legarda St Sampaloc, Manila"/>
    <s v="Dr. Francisco P.V. Cayco, President"/>
    <s v="734-7371/735-3215"/>
    <s v="autesdaoffice@arellano.edu.ph"/>
    <s v="Bread and Pastry Production NC II"/>
    <n v="2"/>
    <n v="352"/>
    <n v="352"/>
  </r>
  <r>
    <x v="73"/>
    <s v="TVIs"/>
    <s v="National Capital Region (NCR)"/>
    <s v="City of Manila"/>
    <s v="Paco, City of Manila"/>
    <s v="1718 Mendoza Guazon St., Brgy. 831, Paco, Manila"/>
    <s v="SAMUELITA C. LEE"/>
    <s v="256-8642/697-2940/697-2721"/>
    <s v="highperformance2773@gmail.com"/>
    <s v="Bread and Pastry Production NC II"/>
    <n v="3"/>
    <n v="380"/>
    <n v="351"/>
  </r>
  <r>
    <x v="36"/>
    <s v="TVIs"/>
    <s v="National Capital Region (NCR)"/>
    <s v="PAMAMARISAN"/>
    <s v="Mandaluyong City"/>
    <s v="Unit 02, 2/F Elena Roces Building, No. 7 Pioneer St., Mandaluyong City"/>
    <s v="Mr. Ulysses D. Campos"/>
    <s v="634-8244 / 634-3300 or 0927-418-7015"/>
    <s v="info@itchi-asia.com"/>
    <s v="Bread and Pastry Production NC II"/>
    <n v="3"/>
    <n v="263"/>
    <n v="344"/>
  </r>
  <r>
    <x v="23"/>
    <s v="TVIs"/>
    <s v="National Capital Region (NCR)"/>
    <s v="City of Manila"/>
    <s v="Malate, City of Manila"/>
    <s v="2F Marbella II Bldg. 2071 Roxas Blvd., Malate, Manila"/>
    <s v="Francis T. Tajanlangit "/>
    <s v="331-3180 / 331-3177 / 742-3400"/>
    <s v="powerlink0615@gmail.com"/>
    <s v="Bread and Pastry Production NC II"/>
    <n v="5"/>
    <n v="401"/>
    <n v="342"/>
  </r>
  <r>
    <x v="30"/>
    <s v="LGU"/>
    <s v="National Capital Region (NCR)"/>
    <s v="MUNTIPARLASTAPAT"/>
    <s v="Taguig City"/>
    <s v="Col. Ballecer St., Brgy. Central Signal Village, Taguig City"/>
    <s v="Evangeline F. Sabater"/>
    <n v="9297015428"/>
    <s v="manpowertmtc@gmail.com"/>
    <s v="Bread and Pastry Production NC II"/>
    <n v="4"/>
    <n v="199"/>
    <n v="342"/>
  </r>
  <r>
    <x v="74"/>
    <s v="TVIs"/>
    <s v="National Capital Region (NCR)"/>
    <s v="CAMANAVA"/>
    <s v="Malabon City"/>
    <s v="No. 101 Rodriguez St. Santolan Road, Malabon City"/>
    <s v="VICTOR COLUMBUS C. CANTA"/>
    <s v="734-0042"/>
    <s v="smati.malabon@gmail.com"/>
    <s v="Bread and Pastry Production NC II"/>
    <n v="2"/>
    <n v="233"/>
    <n v="341"/>
  </r>
  <r>
    <x v="75"/>
    <s v="TVIs"/>
    <s v="National Capital Region (NCR)"/>
    <s v="CAMANAVA"/>
    <s v="Valenzuela City"/>
    <s v="Corner De Leon Street, Purok 1-A Kabatuhan Street, Mapulang Lupa, Valenzuela City"/>
    <s v="Arvin C. Mamites"/>
    <s v="(02) 750-3718"/>
    <s v="philschooltechdevinno@gmail.com"/>
    <s v="Bread and Pastry Production NC II"/>
    <n v="2"/>
    <n v="188"/>
    <n v="339"/>
  </r>
  <r>
    <x v="76"/>
    <s v="TVIs"/>
    <s v="National Capital Region (NCR)"/>
    <s v="PASMAK"/>
    <s v="Makati City"/>
    <s v="7781 Saint Paul Road, San Antonio, Makati City"/>
    <s v="JOSEPHINE B. LAGUATAN"/>
    <s v="(02) 519-1470 to 71/(02) 8899-7781/0917-884-4873"/>
    <s v="globetek.tvitesda@gmail.com"/>
    <s v="Bread and Pastry Production NC II"/>
    <n v="4"/>
    <n v="348"/>
    <n v="326"/>
  </r>
  <r>
    <x v="77"/>
    <s v="TVIs"/>
    <s v="National Capital Region (NCR)"/>
    <s v="Quezon City"/>
    <s v="Quezon City"/>
    <s v="Quirino Highway corner Zabarte Road, Bgy. Kaligayahan Quezon City "/>
    <s v="CHRISTOPHER ALFRED F. AZANZA"/>
    <s v="939-1712, 939-2154"/>
    <s v="qc.sacredheart.t2mis@gmail.com"/>
    <s v="Bread and Pastry Production NC II"/>
    <n v="3"/>
    <n v="144"/>
    <n v="316"/>
  </r>
  <r>
    <x v="35"/>
    <s v="TVIs"/>
    <s v="National Capital Region (NCR)"/>
    <s v="PAMAMARISAN"/>
    <s v="Mandaluyong City"/>
    <s v="3/F Raymundo Bldg. Kalentong St., Mandaluyong City"/>
    <s v="JOSE O. MONTENEGRO"/>
    <s v="534-4478"/>
    <s v="gistian08.mandakalentong@gmail.com"/>
    <s v="Bread and Pastry Production NC II"/>
    <n v="2"/>
    <n v="315"/>
    <n v="307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Bread and Pastry Production NC II"/>
    <n v="1"/>
    <n v="179"/>
    <n v="306"/>
  </r>
  <r>
    <x v="78"/>
    <s v="TVIs"/>
    <s v="National Capital Region (NCR)"/>
    <s v="CAMANAVA"/>
    <s v="Malabon City"/>
    <s v="118 Interior Gen. Luna St., Brgy. Ibaba Malabon City "/>
    <s v="PEPITO B. TRUMATA"/>
    <s v="497-7929"/>
    <s v="cmnv.saintamatiel.t2mis@gmail.com"/>
    <s v="Bread and Pastry Production NC II"/>
    <n v="2"/>
    <n v="256"/>
    <n v="299"/>
  </r>
  <r>
    <x v="79"/>
    <s v="TVIs"/>
    <s v="National Capital Region (NCR)"/>
    <s v="CAMANAVA"/>
    <s v="Caloocan City"/>
    <s v="#31 Dagohoy Street corner Caimito St., Brgy. 079, Caloocan City"/>
    <s v="EFREN E. MORENO, JR."/>
    <s v="02-86530178 / 09082367204"/>
    <s v="thomas.center23@gmail.com"/>
    <s v="Bread and Pastry Production NC II"/>
    <n v="4"/>
    <n v="383"/>
    <n v="298"/>
  </r>
  <r>
    <x v="80"/>
    <s v="TVIs"/>
    <s v="National Capital Region (NCR)"/>
    <s v="Quezon City"/>
    <s v="Quezon City"/>
    <s v="54 J.P. Rizal St. Project 4, Quezon City"/>
    <s v="Lorena C. Salvador"/>
    <s v="(02) 911-1584 loc 12"/>
    <s v="cti@cabalen.ph"/>
    <s v="Bread and Pastry Production NC II"/>
    <n v="3"/>
    <n v="302"/>
    <n v="285"/>
  </r>
  <r>
    <x v="81"/>
    <s v="TVIs"/>
    <s v="National Capital Region (NCR)"/>
    <s v="MUNTIPARLASTAPAT"/>
    <s v="Parañaque City"/>
    <s v="3/F LT Bldg., 8281 Dr. A. Santos Ave., Sucat, Parañaque City"/>
    <s v="IRENE H. ESPINOSA"/>
    <s v="8298640/2271487"/>
    <s v="executive.assistant@apicius.edu.ph"/>
    <s v="Bread and Pastry Production NC II"/>
    <n v="2"/>
    <n v="89"/>
    <n v="259"/>
  </r>
  <r>
    <x v="27"/>
    <s v="TVIs"/>
    <s v="National Capital Region (NCR)"/>
    <s v="PASMAK"/>
    <s v="Pasay City"/>
    <s v="Unit 3- A 3rd Flr Wardley Bldg. 1991 San Juan St. Pasay City"/>
    <s v="CRISTINA J. APLASCA"/>
    <n v="2474130"/>
    <s v="smiacademicenter@gmail.com"/>
    <s v="Bread and Pastry Production NC II"/>
    <n v="4"/>
    <n v="208"/>
    <n v="259"/>
  </r>
  <r>
    <x v="82"/>
    <s v="TVIs"/>
    <s v="National Capital Region (NCR)"/>
    <s v="PASMAK"/>
    <s v="Pasay City"/>
    <s v="58-B. Sta. Monica, Pasay City"/>
    <s v="Donita Rose P. Moreno"/>
    <s v="834-7362"/>
    <s v="lexusacademyinc@gmail.com"/>
    <s v="Bread and Pastry Production NC II"/>
    <n v="1"/>
    <n v="208"/>
    <n v="231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Bread and Pastry Production NC II"/>
    <n v="2"/>
    <n v="221"/>
    <n v="221"/>
  </r>
  <r>
    <x v="83"/>
    <s v="TVIs"/>
    <s v="National Capital Region (NCR)"/>
    <s v="MUNTIPARLASTAPAT"/>
    <s v="Las Piñas City"/>
    <s v="No. 33 Gloria Diaz St., BF Resort Village, Las Piñas City"/>
    <s v="Glecita R. Buan"/>
    <s v="871-2133/775-5016/552-9001"/>
    <s v="info.imaiph@gmail.com"/>
    <s v="Bread and Pastry Production NC II"/>
    <n v="2"/>
    <n v="156"/>
    <n v="213"/>
  </r>
  <r>
    <x v="32"/>
    <s v="TVIs"/>
    <s v="National Capital Region (NCR)"/>
    <s v="PAMAMARISAN"/>
    <s v="Marikina City"/>
    <s v="2/F WRC Bldg. No. 47 Gil Fernando Midtown Subd., San Roque, Marikina City "/>
    <s v="MR. JAIME G. DOLERA JR."/>
    <s v="Tel. No. 234-0996"/>
    <s v="academy.asia@gmail.com"/>
    <s v="Bread and Pastry Production NC II"/>
    <n v="2"/>
    <n v="258"/>
    <n v="208"/>
  </r>
  <r>
    <x v="84"/>
    <s v="TVIs"/>
    <s v="National Capital Region (NCR)"/>
    <s v="CAMANAVA"/>
    <s v="Valenzuela City"/>
    <s v="3F JLB Bldg., Km 12 MacArthur Highway, Marulas, Valenzuela City"/>
    <s v="FERNANDO S. LIBAO JR."/>
    <s v="85538078 / 09569771169"/>
    <s v="milestone.camanava2022@gmail.com"/>
    <s v="Bread and Pastry Production NC II"/>
    <n v="6"/>
    <n v="225"/>
    <n v="200"/>
  </r>
  <r>
    <x v="85"/>
    <s v="TVIs"/>
    <s v="National Capital Region (NCR)"/>
    <s v="MUNTIPARLASTAPAT"/>
    <s v="Muntinlupa City"/>
    <s v="19 Ilaya St., Alabang, Muntinlupa City"/>
    <s v="Danilo J. Solis"/>
    <n v="9153152821"/>
    <s v="sfacalabangtvi@gmail.com"/>
    <s v="Bread and Pastry Production NC II"/>
    <n v="2"/>
    <n v="193"/>
    <n v="197"/>
  </r>
  <r>
    <x v="86"/>
    <s v="TVIs"/>
    <s v="National Capital Region (NCR)"/>
    <s v="CAMANAVA"/>
    <s v="Caloocan City"/>
    <s v="Isagani Campo St., Bankers Village 2, Barangay 184, Caloocan City"/>
    <s v="ENGR. MARIZEN S. MANALO"/>
    <s v="85631125 / 09066928678"/>
    <s v="trinitycaloocantvimis@gmail.com"/>
    <s v="Bread and Pastry Production NC II"/>
    <n v="2"/>
    <n v="159"/>
    <n v="197"/>
  </r>
  <r>
    <x v="87"/>
    <s v="TVIs"/>
    <s v="National Capital Region (NCR)"/>
    <s v="PAMAMARISAN"/>
    <s v="Marikina City"/>
    <s v="3/F, Maria Compound Bldg., 14 Nicanor Roxas St., Brgy. San Roque, Marikina City"/>
    <s v="AMANDA BIANCA DIAZ DE RIVERA RODRIGUEZ"/>
    <s v="961-7772"/>
    <s v="stmichaelcareer.focused@gmail.com"/>
    <s v="Bread and Pastry Production NC II"/>
    <n v="7"/>
    <n v="392"/>
    <n v="194"/>
  </r>
  <r>
    <x v="88"/>
    <s v="TVIs"/>
    <s v="National Capital Region (NCR)"/>
    <s v="PAMAMARISAN"/>
    <s v="Pasig City"/>
    <s v="One Victoria Plaza, A. Mabini, Kapasigan, Pasig City"/>
    <s v="DARIO S. ESPINEDA"/>
    <s v="637-9895"/>
    <s v="asiasource.academics@gmail.com"/>
    <s v="Bread and Pastry Production NC II"/>
    <n v="4"/>
    <n v="234"/>
    <n v="180"/>
  </r>
  <r>
    <x v="89"/>
    <s v="TVIs"/>
    <s v="National Capital Region (NCR)"/>
    <s v="Quezon City"/>
    <s v="Quezon City"/>
    <s v="2/F Herminia Bldg., Commonwealth Ave., North Fairview, Quezon City"/>
    <s v="Jose O. Montenegro"/>
    <s v="930-4478 / 938-1834 / 09285595446"/>
    <s v="gist.fairview2010@gmail.com"/>
    <s v="Bread and Pastry Production NC II"/>
    <n v="1"/>
    <n v="188"/>
    <n v="173"/>
  </r>
  <r>
    <x v="39"/>
    <s v="LGU"/>
    <s v="National Capital Region (NCR)"/>
    <s v="PAMAMARISAN"/>
    <s v="Pasig City"/>
    <s v="Pio Alvarez St. , Barangay Bambang Pasig City "/>
    <s v="CORINNA V. BUGAWAN"/>
    <s v="706-7977"/>
    <s v="pcistbambang@gmail.com"/>
    <s v="Bread and Pastry Production NC II"/>
    <n v="2"/>
    <n v="177"/>
    <n v="170"/>
  </r>
  <r>
    <x v="90"/>
    <s v="TVIs"/>
    <s v="National Capital Region (NCR)"/>
    <s v="PAMAMARISAN"/>
    <s v="San Juan City"/>
    <s v="175 Paterno Street, San Juan City"/>
    <s v="EUGENIO RAMON R. GONZALEZ"/>
    <s v="725-5089; 650-3282; 09773473277"/>
    <s v="cacschef@gmail.com"/>
    <s v="Bread and Pastry Production NC II"/>
    <n v="5"/>
    <n v="148"/>
    <n v="165"/>
  </r>
  <r>
    <x v="22"/>
    <s v="LGU"/>
    <s v="National Capital Region (NCR)"/>
    <s v="CAMANAVA"/>
    <s v="Navotas City"/>
    <s v="Governor Pascual St., Barangay Daanghari, Navotas City"/>
    <s v="KATHRYN ANNE S. HILARIO"/>
    <s v="292-2277"/>
    <s v="navotaasinstitute.annex2@gmail.com"/>
    <s v="Bread and Pastry Production NC II"/>
    <n v="1"/>
    <n v="209"/>
    <n v="165"/>
  </r>
  <r>
    <x v="9"/>
    <s v="LCU"/>
    <s v="National Capital Region (NCR)"/>
    <s v="PAMAMARISAN"/>
    <s v="Marikina City"/>
    <s v="Brazil St., Greenheights Subd. Phase 1 (Main) Concepcion Uno Marikina City"/>
    <s v="JACQUELINE M. CALAYCAY RN, MAN, MSN"/>
    <s v="Tel. 369-8650 / 369-4927"/>
    <s v="plmar.techvoc@gmail.com"/>
    <s v="Bread and Pastry Production NC II"/>
    <n v="3"/>
    <n v="124"/>
    <n v="165"/>
  </r>
  <r>
    <x v="91"/>
    <s v="TVIs"/>
    <s v="National Capital Region (NCR)"/>
    <s v="PAMAMARISAN"/>
    <s v="San Juan City"/>
    <s v="No. 173 M. Paterno St., San Juan City"/>
    <s v="Maria Theresa E. Nabatar"/>
    <s v="727-0581 to 82 / 722-5671"/>
    <s v="reg@punlaanschool.edu.ph"/>
    <s v="Bread and Pastry Production NC II"/>
    <n v="1"/>
    <n v="199"/>
    <n v="160"/>
  </r>
  <r>
    <x v="92"/>
    <s v="HEIs"/>
    <s v="National Capital Region (NCR)"/>
    <s v="Quezon City"/>
    <s v="Quezon City"/>
    <s v="112 M.J. Cuenco St., Brgy. Sto. Domingo, Quezon City"/>
    <s v="REV. FR. JOHN STEPHEN P. BESA, O.P."/>
    <s v="712-1745/ 732-3725/ 732-4239"/>
    <s v="registrar@ustangelicum.edu.ph"/>
    <s v="Bread and Pastry Production NC II"/>
    <n v="1"/>
    <n v="139"/>
    <n v="155"/>
  </r>
  <r>
    <x v="93"/>
    <s v="TVIs"/>
    <s v="National Capital Region (NCR)"/>
    <s v="PAMAMARISAN"/>
    <s v="Mandaluyong City"/>
    <s v="G/F and 2/F Commercial Space Pioneer, Woodlands Tower 1 and 2, EDSA corner Pioneer St., Mandaluyong City"/>
    <s v="PAOLO SANTINO A. GUEVARA "/>
    <s v="721-1540"/>
    <s v="warly.pacol@mihca.edu.ph"/>
    <s v="Bread and Pastry Production NC II"/>
    <n v="1"/>
    <n v="172"/>
    <n v="152"/>
  </r>
  <r>
    <x v="94"/>
    <s v="TVIs"/>
    <s v="National Capital Region (NCR)"/>
    <s v="MUNTIPARLASTAPAT"/>
    <s v="Taguig City"/>
    <s v="Treston Building, 32nd St. corner C5 Road, Bonifacio Global City"/>
    <s v="MARIA CAROLINA C. ABANIL"/>
    <s v="819-6180"/>
    <s v="mverian@treston.edu.ph"/>
    <s v="Bread and Pastry Production NC II"/>
    <n v="2"/>
    <n v="51"/>
    <n v="152"/>
  </r>
  <r>
    <x v="95"/>
    <s v="TVIs"/>
    <s v="National Capital Region (NCR)"/>
    <s v="PASMAK"/>
    <s v="Pasay City"/>
    <s v="4th Floor Wardley Bldg., 1991 Taft Avenue cor. San Juan St., Barangay 36, Pasay City"/>
    <s v="MELVIN M. CRISOSTOMO"/>
    <s v="521-7362 / 710-4211"/>
    <s v="thereseinstitute@gmail.com"/>
    <s v="Bread and Pastry Production NC II"/>
    <n v="1"/>
    <n v="147"/>
    <n v="147"/>
  </r>
  <r>
    <x v="96"/>
    <s v="TVIs"/>
    <s v="National Capital Region (NCR)"/>
    <s v="Quezon City"/>
    <s v="Quezon City"/>
    <s v="Bonanza Bldg. II, Block 1 Lot 6 Hilltop Subd., Putol na Daan St., Greater Lagro, Quezon City"/>
    <s v="APRIL V. NUEDA"/>
    <s v="09494508000 / 751-6420"/>
    <s v="miesha.inc@gmail.com"/>
    <s v="Bread and Pastry Production NC II"/>
    <n v="2"/>
    <n v="136"/>
    <n v="134"/>
  </r>
  <r>
    <x v="97"/>
    <s v="LGU"/>
    <s v="National Capital Region (NCR)"/>
    <s v="CAMANAVA"/>
    <s v="Navotas City"/>
    <s v="Block 24, Phase II Area I, Dalag St. Kaunlaran Village Brgy. NBBS, Navotas City"/>
    <s v="KATHRYN ANNE S. HILARIO"/>
    <s v="283-7200"/>
    <s v="navotaasinstitute.annex1@gmail.com"/>
    <s v="Bread and Pastry Production NC II"/>
    <n v="1"/>
    <n v="148"/>
    <n v="134"/>
  </r>
  <r>
    <x v="98"/>
    <s v="TVIs"/>
    <s v="National Capital Region (NCR)"/>
    <s v="City of Manila"/>
    <s v="Sampaloc, City of Manila"/>
    <s v="2/F UNIVERSITY CENTER BLDG., C.M. RECTO AVE., ZONE 041 BRGY. 395 SAMPALOC MANILA"/>
    <s v="Kristian B. Vicuña"/>
    <s v="806-43-55/ 09178598213/09084698962"/>
    <s v="kristian.hiap@gmail.com"/>
    <s v="Bread and Pastry Production NC II"/>
    <n v="1"/>
    <n v="181"/>
    <n v="131"/>
  </r>
  <r>
    <x v="99"/>
    <s v="TVIs"/>
    <s v="National Capital Region (NCR)"/>
    <s v="CAMANAVA"/>
    <s v="Malabon City"/>
    <s v="15 Indamaria Street, Barangay Potrero, Malabon City"/>
    <s v="MICHAEL CARLOS CASTRO"/>
    <s v="8710-5975 / 09175741982"/>
    <s v="deltatechnological@gmail.com"/>
    <s v="Bread and Pastry Production NC II"/>
    <n v="1"/>
    <n v="133"/>
    <n v="129"/>
  </r>
  <r>
    <x v="100"/>
    <s v="TVIs"/>
    <s v="National Capital Region (NCR)"/>
    <s v="PAMAMARISAN"/>
    <s v="San Juan City"/>
    <s v="663 J. Wright, Brgy. Batis, San Juan City"/>
    <s v="CHERRYL CHUA"/>
    <s v="7234926 / 7242756"/>
    <s v="mchacademy.registrar@gmail.com"/>
    <s v="Bread and Pastry Production NC II"/>
    <n v="3"/>
    <n v="158"/>
    <n v="127"/>
  </r>
  <r>
    <x v="93"/>
    <s v="TVIs"/>
    <s v="National Capital Region (NCR)"/>
    <s v="City of Manila"/>
    <s v="Ermita, City of Manila"/>
    <s v="3rd Floor Times Plaza Building, United Nations cor. Taft Ave., Ermita, Manila"/>
    <s v="PAOLO SANTINO A. GUEVARA"/>
    <s v="524-9996 loc.308/523-8538"/>
    <s v="jewel.evangelista@mihca.edu.ph"/>
    <s v="Bread and Pastry Production NC II"/>
    <n v="2"/>
    <n v="153"/>
    <n v="125"/>
  </r>
  <r>
    <x v="101"/>
    <s v="TVIs"/>
    <s v="National Capital Region (NCR)"/>
    <s v="CAMANAVA"/>
    <s v="Caloocan City"/>
    <s v="No. 237 M.H. del Pliar St., Grace Park, Caloocan City"/>
    <s v="MARLON S. PAGUIO"/>
    <s v="332-3060"/>
    <s v="cmnv.ejistcaloocan.t2mis@gmail.com"/>
    <s v="Bread and Pastry Production NC II"/>
    <n v="1"/>
    <n v="36"/>
    <n v="124"/>
  </r>
  <r>
    <x v="102"/>
    <s v="TVIs"/>
    <s v="National Capital Region (NCR)"/>
    <s v="MUNTIPARLASTAPAT"/>
    <s v="Taguig City"/>
    <s v="2nd Floor Seagull Avenue cor. First Street, Barangay San Miguel, Taguig City"/>
    <s v="NELSON J. ALBANIEL"/>
    <s v="09458823769 / 09298084047"/>
    <s v="chefmaritime02taguigmain@gmail.com"/>
    <s v="Bread and Pastry Production NC II"/>
    <n v="2"/>
    <n v="123"/>
    <n v="123"/>
  </r>
  <r>
    <x v="61"/>
    <s v="TVIs"/>
    <s v="National Capital Region (NCR)"/>
    <s v="MUNTIPARLASTAPAT"/>
    <s v="Muntinlupa City"/>
    <s v="Km. 23.6 East Service Rd., Udings Cmpd. I, Alabang, Muntinlupa City"/>
    <s v="Felicitas C. Rabonza"/>
    <s v="842-21-39 / 856-66-02/850-57-09"/>
    <s v="tvet@sbca.edu.ph"/>
    <s v="Bread and Pastry Production NC II"/>
    <n v="1"/>
    <n v="172"/>
    <n v="122"/>
  </r>
  <r>
    <x v="103"/>
    <s v="TVIs"/>
    <s v="National Capital Region (NCR)"/>
    <s v="Quezon City"/>
    <s v="Quezon City"/>
    <s v="960 Aurora Boulevard, Cubao, Quezon City"/>
    <s v="MELISSA F. TAROY"/>
    <s v="9138380/4384580"/>
    <s v="worldciticolleges2@gmail.com"/>
    <s v="Bread and Pastry Production NC II"/>
    <n v="2"/>
    <n v="89"/>
    <n v="119"/>
  </r>
  <r>
    <x v="34"/>
    <s v="TVIs"/>
    <s v="National Capital Region (NCR)"/>
    <s v="CAMANAVA"/>
    <s v="Caloocan City"/>
    <s v="Phase 10 Pkg. 6 Blk. 1 Lot 4 Bagong Silang, Caloocan City"/>
    <s v="EUGENIO V. DAUZ, Ph.D."/>
    <s v="579-40-11"/>
    <s v="cmnv.cdsgacal.tvimis@gmail.com"/>
    <s v="Bread and Pastry Production NC II"/>
    <n v="2"/>
    <n v="140"/>
    <n v="118"/>
  </r>
  <r>
    <x v="104"/>
    <s v="TVIs"/>
    <s v="National Capital Region (NCR)"/>
    <s v="CAMANAVA"/>
    <s v="Malabon City"/>
    <s v="64 Espiritu St., Tinajeros, Malabon City "/>
    <s v="ALBERTO V. GOMEZ"/>
    <s v="446-6765"/>
    <s v="cmnv.perpetualhelp.t2mis@gmail.com"/>
    <s v="Bread and Pastry Production NC II"/>
    <n v="2"/>
    <n v="165"/>
    <n v="115"/>
  </r>
  <r>
    <x v="105"/>
    <s v="TVIs"/>
    <s v="National Capital Region (NCR)"/>
    <s v="Quezon City"/>
    <s v="Quezon City"/>
    <s v="3rd Floor Family Life Center Bristol St. North Fairview, Quezon City"/>
    <s v="Pacquito Lcaba"/>
    <s v="0933-8548105"/>
    <s v="iabinternational.trainingcenter@gmail.com"/>
    <s v="Bread and Pastry Production NC II"/>
    <n v="1"/>
    <n v="116"/>
    <n v="111"/>
  </r>
  <r>
    <x v="106"/>
    <s v="TVIs"/>
    <s v="National Capital Region (NCR)"/>
    <s v="City of Manila"/>
    <s v="Santa Cruz, City of Manila"/>
    <s v="RFTC Bldg., 1400 Pampanga Street, Sta. Cruz, Manila"/>
    <s v="ROSALINDA O. FERNANDEZ"/>
    <s v="02-75013324/ 02-77291903/ 0995-3920549"/>
    <s v="rightfocus.diploma@gmail.com"/>
    <s v="Bread and Pastry Production NC II"/>
    <n v="2"/>
    <n v="112"/>
    <n v="107"/>
  </r>
  <r>
    <x v="107"/>
    <s v="TVIs"/>
    <s v="National Capital Region (NCR)"/>
    <s v="MUNTIPARLASTAPAT"/>
    <s v="Las Piñas City"/>
    <s v="Bernardo College Compound, Pulanglupa I, Las Piñas City"/>
    <s v="Maria Jesusan- Bernardo Guinto"/>
    <s v="873-3330"/>
    <s v="bernardocollege@yahoo.com"/>
    <s v="Bread and Pastry Production NC II"/>
    <n v="1"/>
    <n v="101"/>
    <n v="101"/>
  </r>
  <r>
    <x v="108"/>
    <s v="TVIs"/>
    <s v="National Capital Region (NCR)"/>
    <s v="PAMAMARISAN"/>
    <s v="Pasig City"/>
    <s v="No. 22 Gen. Araneta and Lukban Streets, Barangay San Antonio, Pasig City"/>
    <s v="FELIMON J. REGALADO JR. "/>
    <s v="788-1847"/>
    <s v="training@astoriaplaza.com"/>
    <s v="Bread and Pastry Production NC II"/>
    <n v="2"/>
    <n v="102"/>
    <n v="101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Bread and Pastry Production NC II"/>
    <n v="2"/>
    <n v="101"/>
    <n v="101"/>
  </r>
  <r>
    <x v="109"/>
    <s v="TVIs"/>
    <s v="National Capital Region (NCR)"/>
    <s v="MUNTIPARLASTAPAT"/>
    <s v="Las Piñas City"/>
    <s v="481 Real St., Alabang-Zapote Road, Almanza Uno, Las Piñas City"/>
    <s v="MA. VERONICA S. ESTOR"/>
    <s v="632 72577896 / 09178781978"/>
    <s v="moversint.tesda@gmail.com"/>
    <s v="Bread and Pastry Production NC II"/>
    <n v="2"/>
    <n v="99"/>
    <n v="99"/>
  </r>
  <r>
    <x v="110"/>
    <s v="TVIs"/>
    <s v="National Capital Region (NCR)"/>
    <s v="MUNTIPARLASTAPAT"/>
    <s v="Parañaque City"/>
    <s v="Lot 1, Block 1, F. Valarao St., Airport Village, Moonwalk, Parañaque City"/>
    <s v="FDr. Dr. Yolanda Dela Cruz Arandia"/>
    <s v="822-4701/822-4711"/>
    <s v="arandiacollegeinc.tac@gmail.com"/>
    <s v="Bread and Pastry Production NC II"/>
    <n v="1"/>
    <n v="97"/>
    <n v="97"/>
  </r>
  <r>
    <x v="111"/>
    <s v="TVIs"/>
    <s v="National Capital Region (NCR)"/>
    <s v="Quezon City"/>
    <s v="Quezon City"/>
    <s v="892 Alfina Building, Quirino Highway, Gulod, Quezon City"/>
    <s v="Maria Rosario V. Ceballo"/>
    <s v="738-1713"/>
    <s v="qc.trinitytvimis@gmail.com"/>
    <s v="Bread and Pastry Production NC II"/>
    <n v="2"/>
    <n v="99"/>
    <n v="95"/>
  </r>
  <r>
    <x v="19"/>
    <s v="TVIs"/>
    <s v="National Capital Region (NCR)"/>
    <s v="MUNTIPARLASTAPAT"/>
    <s v="Parañaque City"/>
    <s v="No. 97 Doña Soledad Better Living, Don Bosco, Parañaque City"/>
    <s v="DAVE DV. NAVARRO"/>
    <s v="239-2860"/>
    <s v="homeculinary@kingsgroup.com.ph"/>
    <s v="Bread and Pastry Production NC II"/>
    <n v="1"/>
    <n v="124"/>
    <n v="94"/>
  </r>
  <r>
    <x v="112"/>
    <s v="TVIs"/>
    <s v="National Capital Region (NCR)"/>
    <s v="CAMANAVA"/>
    <s v="Caloocan City"/>
    <s v="7 Cabatuhan Road Deparo, Barangay 168 Caloocan City"/>
    <s v="ATTY. SALVADOR B. BELARO JR."/>
    <s v="(02) 938-9575/09257622699"/>
    <s v="gcemsat2019@gmail.com"/>
    <s v="Bread and Pastry Production NC II"/>
    <n v="2"/>
    <n v="117"/>
    <n v="92"/>
  </r>
  <r>
    <x v="50"/>
    <s v="HEIs"/>
    <s v="National Capital Region (NCR)"/>
    <s v="PAMAMARISAN"/>
    <s v="Mandaluyong City"/>
    <s v="343 Ortigas Ave., Mandaluyong City"/>
    <s v="Mrs. Maria Carmela A. Boncodin"/>
    <s v="721-2000 loc 249 / 721-2000 loc 121"/>
    <s v="alted.aac@lsgh.edu.ph"/>
    <s v="Bread and Pastry Production NC II"/>
    <n v="2"/>
    <n v="96"/>
    <n v="92"/>
  </r>
  <r>
    <x v="38"/>
    <s v="TVIs"/>
    <s v="National Capital Region (NCR)"/>
    <s v="PASMAK"/>
    <s v="Pasay City"/>
    <s v="4th Floor Sea Tower Bldg. 2332 Roxas Blvd. cor. Arnaiz St. Pasay City"/>
    <s v="Wilhermino S. Maniego"/>
    <n v="8230918"/>
    <s v="uimtac_inc@yahoo.com.ph"/>
    <s v="Bread and Pastry Production NC II"/>
    <n v="1"/>
    <n v="87"/>
    <n v="82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Bread and Pastry Production NC II"/>
    <n v="1"/>
    <n v="34"/>
    <n v="78"/>
  </r>
  <r>
    <x v="113"/>
    <s v="TVIs"/>
    <s v="National Capital Region (NCR)"/>
    <s v="PAMAMARISAN"/>
    <s v="Marikina City"/>
    <s v="3rd Floor Buenviaje Bldg., Felix Ave., cor. Marcos Highway, Midtown III Subd., San Roque, Marikina City"/>
    <s v="MR. JOHN PAULO C. CAHAPAY"/>
    <s v="8641-7104/09981881309"/>
    <s v="icasmarcoshighway@gmail.com"/>
    <s v="Bread and Pastry Production NC II"/>
    <n v="1"/>
    <n v="77"/>
    <n v="74"/>
  </r>
  <r>
    <x v="114"/>
    <s v="TVIs"/>
    <s v="National Capital Region (NCR)"/>
    <s v="Quezon City"/>
    <s v="Quezon City"/>
    <s v="Buenamar Subdivision, Buenamar Drive, Brgy. Novaliches Proper, Novaliches, District 5, Quezon City"/>
    <s v="JOEY Q. MANALO"/>
    <s v="754-9645"/>
    <s v="qc.integratedinnovation.t2mis@gmail.com"/>
    <s v="Bread and Pastry Production NC II"/>
    <n v="2"/>
    <n v="76"/>
    <n v="74"/>
  </r>
  <r>
    <x v="115"/>
    <s v="TVIs"/>
    <s v="National Capital Region (NCR)"/>
    <s v="City of Manila"/>
    <s v="Ermita, City of Manila"/>
    <s v="537 UNITED NATIONS AVENUE, ERMITA, MANILA"/>
    <s v="Jovito E. Rodriguez"/>
    <s v="995-3650 / 998-6153"/>
    <s v="mlaatelier17@gmail.com"/>
    <s v="Bread and Pastry Production NC II"/>
    <n v="2"/>
    <n v="73"/>
    <n v="73"/>
  </r>
  <r>
    <x v="116"/>
    <s v="TVIs"/>
    <s v="National Capital Region (NCR)"/>
    <s v="MUNTIPARLASTAPAT"/>
    <s v="Taguig City"/>
    <s v="4/F Gate 3 Plaza, Lawton Avenue cor. Juliano Ave., AFPOVAI Phase lll, Western Bicutan, Taguig City"/>
    <s v="Dario S. Espineda"/>
    <s v="553-5202/869-8824"/>
    <s v="asiasource.academics@gmail.com"/>
    <s v="Bread and Pastry Production NC II"/>
    <n v="2"/>
    <n v="75"/>
    <n v="69"/>
  </r>
  <r>
    <x v="117"/>
    <s v="TVIs"/>
    <s v="National Capital Region (NCR)"/>
    <s v="PAMAMARISAN"/>
    <s v="Pasig City"/>
    <s v="4/F Millenium Place Bldg., Meralco Ave. and Sapphire Road, Ortigas Center, Brgy. San Antonio, Pasig City"/>
    <s v="Benjamin N. Ledesma Jr."/>
    <s v="633-6382 / 638-9183"/>
    <s v="registrar.globalacademy@gmail.com"/>
    <s v="Bread and Pastry Production NC II"/>
    <n v="3"/>
    <n v="77"/>
    <n v="68"/>
  </r>
  <r>
    <x v="114"/>
    <s v="TVIs"/>
    <s v="National Capital Region (NCR)"/>
    <s v="Quezon City"/>
    <s v="Quezon City"/>
    <s v="C. I. Plaza Bldg. Zabarte Road Novaliches, Quezon City"/>
    <s v="Javelyn B. Pineda"/>
    <s v="754-9645"/>
    <s v="qc.integinnovationtvimis@gmail.com"/>
    <s v="Bread and Pastry Production NC II"/>
    <n v="1"/>
    <n v="25"/>
    <n v="67"/>
  </r>
  <r>
    <x v="118"/>
    <s v="HEIs"/>
    <s v="National Capital Region (NCR)"/>
    <s v="CAMANAVA"/>
    <s v="Valenzuela City"/>
    <s v="5037 Gen. T. de Leon St. Valenzuela City "/>
    <s v="DR. ADELIA C. DEMETILLO"/>
    <s v="293-9372/293-5009"/>
    <s v="cmnv.ollci.tvimis@gmail.com"/>
    <s v="Bread and Pastry Production NC II"/>
    <n v="1"/>
    <n v="64"/>
    <n v="64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Bread and Pastry Production NC II"/>
    <n v="1"/>
    <n v="69"/>
    <n v="62"/>
  </r>
  <r>
    <x v="119"/>
    <s v="TVIs"/>
    <s v="National Capital Region (NCR)"/>
    <s v="CAMANAVA"/>
    <s v="Caloocan City"/>
    <s v="B34 L4 Adelfa St., Evergreen Executive Village, Bagumbong, Caloocan City"/>
    <s v="MELINDA B. MENDOZA, DBA"/>
    <s v="930-1752"/>
    <s v="stlouisedemarillac2015@gmail.com"/>
    <s v="Bread and Pastry Production NC II"/>
    <n v="2"/>
    <n v="57"/>
    <n v="57"/>
  </r>
  <r>
    <x v="120"/>
    <s v="TVIs"/>
    <s v="National Capital Region (NCR)"/>
    <s v="CAMANAVA"/>
    <s v="Caloocan City"/>
    <s v="129 Jose P. Bautista Avenue, Caloocan City"/>
    <s v="MA. PAULA ISABELLA M. SALANDANAN"/>
    <s v="361-19-22/350-83-67/362-31-47"/>
    <s v="tesda@dmcfi.edu.ph"/>
    <s v="Bread and Pastry Production NC II"/>
    <n v="1"/>
    <n v="56"/>
    <n v="56"/>
  </r>
  <r>
    <x v="121"/>
    <s v="TVIs"/>
    <s v="National Capital Region (NCR)"/>
    <s v="City of Manila"/>
    <s v="Santa Cruz, City of Manila"/>
    <s v="2248 Rizal Avenue, Brgy. 347, Sta. Cruz, Manila"/>
    <s v="CELERINA T. MONTORIO"/>
    <s v="7257-7856"/>
    <s v="scitec.manila@gmail.com"/>
    <s v="Bread and Pastry Production NC II"/>
    <n v="1"/>
    <n v="52"/>
    <n v="52"/>
  </r>
  <r>
    <x v="122"/>
    <s v="TVIs"/>
    <s v="National Capital Region (NCR)"/>
    <s v="CAMANAVA"/>
    <s v="Valenzuela City"/>
    <s v="No. 309 M.H. del Pilar Road, Malanday Valenzuela City"/>
    <s v="Francesca Kitchie F. Espanto"/>
    <s v="443-4048/931-4227/426-5211"/>
    <s v="tvioffice@emmauschristianschool.net"/>
    <s v="Bread and Pastry Production NC II"/>
    <n v="2"/>
    <n v="50"/>
    <n v="50"/>
  </r>
  <r>
    <x v="123"/>
    <s v="TVIs"/>
    <s v="National Capital Region (NCR)"/>
    <s v="PASMAK"/>
    <s v="Makati City"/>
    <s v="22nd Flr., BDO Plaza, Paseo de Roxas cor. Makati Avenue, 1227 Salcedo Village, Makati City"/>
    <s v="Yvette Marie F. Mago"/>
    <s v="892-8280/894-3270"/>
    <s v="yvette.mago@yahoo.com"/>
    <s v="Bread and Pastry Production NC II"/>
    <n v="1"/>
    <n v="51"/>
    <n v="50"/>
  </r>
  <r>
    <x v="124"/>
    <s v="TVIs"/>
    <s v="National Capital Region (NCR)"/>
    <s v="City of Manila"/>
    <s v="Tondo I/II, City of Manila"/>
    <s v="1036-A MORONG ST. BGY. 205 TONDO MANILA"/>
    <s v="ROSALIN B. ORDOÑA"/>
    <s v="251-3665"/>
    <s v="maviartsvocationalinstitute@gmail.com"/>
    <s v="Bread and Pastry Production NC II"/>
    <n v="2"/>
    <n v="75"/>
    <n v="49"/>
  </r>
  <r>
    <x v="114"/>
    <s v="TVIs"/>
    <s v="National Capital Region (NCR)"/>
    <s v="CAMANAVA"/>
    <s v="Caloocan City"/>
    <s v="Lots 1 and 2, Block 11, Nissan St., Zabarte Road Extension, Brixton Ville Subdivision Bgy. 175, Camarin, Caloocan City"/>
    <s v="JOEY Q. MANALO"/>
    <n v="79566594"/>
    <s v="iihcollegebrixton2020@gmail.com"/>
    <s v="Bread and Pastry Production NC II"/>
    <n v="2"/>
    <n v="50"/>
    <n v="47"/>
  </r>
  <r>
    <x v="125"/>
    <s v="TVIs"/>
    <s v="National Capital Region (NCR)"/>
    <s v="MUNTIPARLASTAPAT"/>
    <s v="Parañaque City"/>
    <s v="Dr. A. Santos Ave., Barangay San Dionisio, Parañaque City"/>
    <s v="Dr. Eric L. Olivarez"/>
    <s v="825-71-89, 825-71-19 fax - 825-87-12"/>
    <s v="Ocp.tesda@olivarezcollege.edu.ph"/>
    <s v="Bread and Pastry Production NC II"/>
    <n v="1"/>
    <n v="49"/>
    <n v="47"/>
  </r>
  <r>
    <x v="14"/>
    <s v="TVIs"/>
    <s v="National Capital Region (NCR)"/>
    <s v="Quezon City"/>
    <s v="Quezon City"/>
    <s v="3/F Lot 13-A, Blk. 31 cor. Camaro St., Fairview Ave., Fairview, Quezon City"/>
    <s v="GERALD O. CATEDRILLA"/>
    <s v="(02) 428-4094"/>
    <s v="qc.cenbartvimis@gmail.com"/>
    <s v="Bread and Pastry Production NC II"/>
    <n v="1"/>
    <n v="45"/>
    <n v="45"/>
  </r>
  <r>
    <x v="126"/>
    <s v="TVIs"/>
    <s v="National Capital Region (NCR)"/>
    <s v="Quezon City"/>
    <s v="Quezon City"/>
    <s v="No. 664 Electron Bldg. Quirino Highway, Bagbag Novaliches, Quezon City"/>
    <s v="Dominador V. Solis"/>
    <s v="418-2232/ 352-0081 / 954-0483"/>
    <s v="electroncollegetesda@gmail.com"/>
    <s v="Bread and Pastry Production NC II"/>
    <n v="1"/>
    <n v="40"/>
    <n v="40"/>
  </r>
  <r>
    <x v="127"/>
    <s v="TVIs"/>
    <s v="National Capital Region (NCR)"/>
    <s v="Quezon City"/>
    <s v="Quezon City"/>
    <s v="4/F FBR Arcade, Katipunan Avenue, Quezon City"/>
    <s v="Ralph Pinza"/>
    <s v="926-8888/ 920-1481/ 426-7672"/>
    <s v="ralph.pinza@iscahm.com"/>
    <s v="Bread and Pastry Production NC II"/>
    <n v="1"/>
    <n v="51"/>
    <n v="38"/>
  </r>
  <r>
    <x v="128"/>
    <s v="TVIs"/>
    <s v="National Capital Region (NCR)"/>
    <s v="MUNTIPARLASTAPAT"/>
    <s v="Las Piñas City"/>
    <s v="045 Admiral Village, Talon III, Las Piñas City"/>
    <s v="Danilo J. Solis"/>
    <s v="468-633/800-3097"/>
    <s v="solisdanilo@yahoo.com"/>
    <s v="Bread and Pastry Production NC II"/>
    <n v="2"/>
    <n v="35"/>
    <n v="35"/>
  </r>
  <r>
    <x v="129"/>
    <s v="TVIs"/>
    <s v="National Capital Region (NCR)"/>
    <s v="MUNTIPARLASTAPAT"/>
    <s v="Muntinlupa City"/>
    <s v="No. 103 A. Bunye St. Alabang, Muntinlupa City"/>
    <s v="Bettina B. Chiongbian"/>
    <s v="850-2956/850-3163/850-3028"/>
    <s v="tesda@wbc.edu.ph"/>
    <s v="Bread and Pastry Production NC II"/>
    <n v="2"/>
    <n v="49"/>
    <n v="33"/>
  </r>
  <r>
    <x v="87"/>
    <s v="TVIs"/>
    <s v="National Capital Region (NCR)"/>
    <s v="PASMAK"/>
    <s v="Pasay City"/>
    <s v="3rd Floor, Maria Compound Bldg., 14 Nicanor Roxas St. Brgy. San Roque, Marikina City"/>
    <s v="AMANDA BIANCA DDR. RODRIGUEZ"/>
    <s v="795-05057"/>
    <s v="stmichaelcareer.pasmak@gmail.com"/>
    <s v="Bread and Pastry Production NC II"/>
    <n v="4"/>
    <n v="224"/>
    <n v="22"/>
  </r>
  <r>
    <x v="130"/>
    <s v="TVIs"/>
    <s v="National Capital Region (NCR)"/>
    <s v="Quezon City"/>
    <s v="Quezon City"/>
    <s v="Capitol GreenStreet, Capitol Hills Golf Club, Capitol Hills Drive, Old Balara, Quezon City"/>
    <m/>
    <s v="951-9655 / 951-1687"/>
    <s v="student@firstgourmetacademy.com"/>
    <s v="Bread and Pastry Production NC II"/>
    <n v="1"/>
    <n v="33"/>
    <n v="12"/>
  </r>
  <r>
    <x v="130"/>
    <s v="TVIs"/>
    <s v="National Capital Region (NCR)"/>
    <s v="PAMAMARISAN"/>
    <s v="Mandaluyong City"/>
    <s v="Unit 1011-1012, Lower ground level, East Wing, Shangri-La Plaza Mall, Mandaluyong City"/>
    <s v="MS. ROSALY A. LAGATIC"/>
    <s v="951-9655/ 951-1687"/>
    <s v="ortigas@firstgourmetacademy.com"/>
    <s v="Bread and Pastry Production NC II"/>
    <n v="1"/>
    <n v="37"/>
    <n v="8"/>
  </r>
  <r>
    <x v="131"/>
    <s v="TVIs"/>
    <s v="National Capital Region (NCR)"/>
    <s v="CAMANAVA"/>
    <s v="Caloocan City"/>
    <s v="419 D &amp; I Building EDSA Avenue, Barangay 86 Caloocan City"/>
    <s v="Jonas Jay D. Lorenzo"/>
    <s v="8366-3975"/>
    <s v="actecschool.caloocan@gmail.com"/>
    <s v="Bread and Pastry Production NC II"/>
    <n v="1"/>
    <n v="5"/>
    <n v="0"/>
  </r>
  <r>
    <x v="132"/>
    <s v="TVIs"/>
    <s v="National Capital Region (NCR)"/>
    <s v="MUNTIPARLASTAPAT"/>
    <s v="Parañaque City"/>
    <s v="118 Armstrong Avenue corner Glen St., Moonwalk Village, Phase 2, Parañaque City"/>
    <s v="Rona E. Cabrido"/>
    <n v="9497373755"/>
    <s v="calitycaretraining@gmail.com"/>
    <s v="Bread and Pastry Production NC II"/>
    <n v="1"/>
    <n v="15"/>
    <n v="0"/>
  </r>
  <r>
    <x v="133"/>
    <s v="TVIs"/>
    <s v="National Capital Region (NCR)"/>
    <s v="Quezon City"/>
    <s v="Quezon City"/>
    <s v="Unit C, 2/F, Lourdes Arcade, No. 986 Tandang Sora Ave., Quezon City"/>
    <s v="Estela C. Liban"/>
    <s v="436-5781 / 435-6857"/>
    <s v="cochaculinary@gmail.com"/>
    <s v="Bread and Pastry Production NC II"/>
    <n v="1"/>
    <n v="3"/>
    <n v="0"/>
  </r>
  <r>
    <x v="134"/>
    <s v="Enterprise/Company"/>
    <s v="National Capital Region (NCR)"/>
    <s v="MUNTIPARLASTAPAT"/>
    <s v="Taguig City"/>
    <s v="Ore Central, 9th Avenue Corner 31st Street, Bonifacio Global City, Taguig City"/>
    <s v="MARISSA B. CABANTING"/>
    <s v="(02) 88891129 loc. 109"/>
    <s v="tesda.deandeluca@gmail.com"/>
    <s v="Bread and Pastry Production NC II"/>
    <n v="1"/>
    <n v="26"/>
    <n v="0"/>
  </r>
  <r>
    <x v="26"/>
    <s v="TVIs"/>
    <s v="National Capital Region (NCR)"/>
    <s v="City of Manila"/>
    <s v="Ermita, City of Manila"/>
    <s v="402 Bel-Air Apartment 4/F, 1020 Roxas Blvd., Ermita, Manila"/>
    <s v="Ricky M. Purificacion"/>
    <s v="523-7652"/>
    <s v="rcticorp@yahoo.com"/>
    <s v="Bread and Pastry Production NC II"/>
    <n v="1"/>
    <n v="25"/>
    <n v="0"/>
  </r>
  <r>
    <x v="135"/>
    <s v="TVIs"/>
    <s v="National Capital Region (NCR)"/>
    <s v="Quezon City"/>
    <s v="Quezon City"/>
    <s v="Room 501, Panorama Building, 1139 EDSA, Quezon City (former address: Unit 501, 5th Floor , Panorama Building, 1139 EDSA Quezon City)"/>
    <s v="Marlina S. Tan"/>
    <s v="(02) 410-3331"/>
    <s v="apcaregiversinc@gmail.com"/>
    <s v="Caregiving NC II"/>
    <n v="3"/>
    <n v="738"/>
    <n v="556"/>
  </r>
  <r>
    <x v="136"/>
    <s v="TVIs"/>
    <s v="National Capital Region (NCR)"/>
    <s v="PAMAMARISAN"/>
    <s v="Mandaluyong City"/>
    <s v="De Oro Bldg. Sierra, Madre St. Sierra Madre Side, Malamig, Mandaluyong City"/>
    <s v="Nicu A. Godinez. RME, HD, Ph.D."/>
    <s v="7001-1137/ 09355705573"/>
    <s v="piom.training@gmail.com"/>
    <s v="Caregiving (Elderly) NC II"/>
    <n v="3"/>
    <n v="315"/>
    <n v="283"/>
  </r>
  <r>
    <x v="12"/>
    <s v="TVIs"/>
    <s v="National Capital Region (NCR)"/>
    <s v="PASMAK"/>
    <s v="Makati City"/>
    <s v="4th Floor Piedra Bldg., 1174 Chino Roces Ave., San Antonio Village, Makati City"/>
    <s v="GretelWolda C. Gepilano"/>
    <s v="890-4547/890-7594"/>
    <s v="carenet_chi@yahoo.com"/>
    <s v="Caregiving NC II"/>
    <n v="4"/>
    <n v="257"/>
    <n v="248"/>
  </r>
  <r>
    <x v="137"/>
    <s v="TVIs"/>
    <s v="National Capital Region (NCR)"/>
    <s v="PAMAMARISAN"/>
    <s v="Marikina City"/>
    <s v="3/F Avisha Center, #94 Gil Fernando Ave., Sta. Elena, Marikina City"/>
    <s v="KRISTIANE ANTON P PADILLA"/>
    <s v="0916-608-5492"/>
    <s v="davinci.institute.2020@gmail.com"/>
    <s v="Caregiving NC II"/>
    <n v="3"/>
    <n v="231"/>
    <n v="228"/>
  </r>
  <r>
    <x v="44"/>
    <s v="TVIs"/>
    <s v="National Capital Region (NCR)"/>
    <s v="PASMAK"/>
    <s v="Makati City"/>
    <s v="518 Narra St. Cembo, Makati City "/>
    <s v="MARY GRACE O. TEJADA"/>
    <s v="750-0626 / 391-1042 / 383-8766 / 391-1042"/>
    <s v="finetrainingcenter@gmail.com"/>
    <s v="Caregiving (Elderly) NC II"/>
    <n v="4"/>
    <n v="214"/>
    <n v="220"/>
  </r>
  <r>
    <x v="138"/>
    <s v="TVIs"/>
    <s v="National Capital Region (NCR)"/>
    <s v="CAMANAVA"/>
    <s v="Caloocan City"/>
    <s v="Lot 1-C Mangga Street, corner Lawaan Street, Amparo Subdivision, Barangay 179, District 3, Caloocan City"/>
    <s v="CAROLINA C. CONSTANTINO"/>
    <n v="87277855"/>
    <s v="trainingcenterej@gmail.com"/>
    <s v="Caregiving (Elderly) NC II"/>
    <n v="3"/>
    <n v="224"/>
    <n v="188"/>
  </r>
  <r>
    <x v="139"/>
    <s v="TVIs"/>
    <s v="National Capital Region (NCR)"/>
    <s v="PAMAMARISAN"/>
    <s v="Marikina City"/>
    <s v="No. 11 E. Manalo Avenue, Paliparan, Sto. Niño, Marikina City"/>
    <s v="REMEDIOS A. VILLANUEVA"/>
    <s v="948-0402"/>
    <s v="geugenio11@yahoo.com"/>
    <s v="Caregiving NC II"/>
    <n v="5"/>
    <n v="241"/>
    <n v="179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Caregiving (Elderly) NC II"/>
    <n v="4"/>
    <n v="235"/>
    <n v="162"/>
  </r>
  <r>
    <x v="131"/>
    <s v="TVIs"/>
    <s v="National Capital Region (NCR)"/>
    <s v="CAMANAVA"/>
    <s v="Caloocan City"/>
    <s v="A &amp; A Bldg., 120 P. Jacinto cor. Boni Serrano St. Calaanan East, Caloocan City"/>
    <s v="Jonas Jay D. Lorenzo "/>
    <s v="366-3975/ 367-8233/ 366-9282"/>
    <s v="actecschool.caloocan@gmail.com"/>
    <s v="Caregiving NC II"/>
    <n v="1"/>
    <n v="88"/>
    <n v="161"/>
  </r>
  <r>
    <x v="140"/>
    <s v="TVIs"/>
    <s v="National Capital Region (NCR)"/>
    <s v="PASMAK"/>
    <s v="Makati City"/>
    <s v="185B, J.P. Rizal St., Barangay Tejeros, Makati City"/>
    <s v="RIDGIE S. ORINA"/>
    <s v="0917-864-5551"/>
    <s v="sociointerskillstvi@gmail.com"/>
    <s v="Caregiving (Elderly) NC II"/>
    <n v="1"/>
    <n v="148"/>
    <n v="144"/>
  </r>
  <r>
    <x v="141"/>
    <s v="HEIs"/>
    <s v="National Capital Region (NCR)"/>
    <s v="City of Manila"/>
    <s v="Sampaloc, City of Manila"/>
    <s v="667 F.T. Dalupan Sr. Street, Sampaloc, Manila"/>
    <s v="Marivic C. Diaz"/>
    <s v=" 735-54-3 / 735-5341 Loc 286"/>
    <s v="mcctvet@gmail.com"/>
    <s v="Caregiving NC II"/>
    <n v="3"/>
    <n v="114"/>
    <n v="128"/>
  </r>
  <r>
    <x v="142"/>
    <s v="TVIs"/>
    <s v="National Capital Region (NCR)"/>
    <s v="PASMAK"/>
    <s v="Pasay City"/>
    <s v="2814-I Violeta Court F.B. Harrison St., Pasay City "/>
    <s v="JOHN RHEN S. SAGER"/>
    <s v="556-5174"/>
    <s v="abestresource2009@gmail.com"/>
    <s v="Caregiving NC II"/>
    <n v="2"/>
    <n v="67"/>
    <n v="119"/>
  </r>
  <r>
    <x v="9"/>
    <s v="LCU"/>
    <s v="National Capital Region (NCR)"/>
    <s v="PAMAMARISAN"/>
    <s v="Marikina City"/>
    <s v="Brazil St., Greenheights Subd. Phase 1 (Main) Concepcion Uno Marikina City"/>
    <s v="JACQUELINE M. CALAYCAY RN, MAN, MSN"/>
    <s v="Tel. 369-8650 / 369-4927"/>
    <s v="plmar.techvoc@gmail.com"/>
    <s v="Caregiving NC II"/>
    <n v="2"/>
    <n v="50"/>
    <n v="112"/>
  </r>
  <r>
    <x v="143"/>
    <s v="TVIs"/>
    <s v="National Capital Region (NCR)"/>
    <s v="PASMAK"/>
    <s v="Pasay City"/>
    <s v="618 Gamban St., Brgy. 138, Pasay City"/>
    <s v="GERALD CHRISTOPHER M. NUÑEZ"/>
    <s v="894-20-51"/>
    <s v="goldlaneinternationaltraining@gmail.com"/>
    <s v="Caregiving (Elderly) NC II"/>
    <n v="1"/>
    <n v="109"/>
    <n v="109"/>
  </r>
  <r>
    <x v="61"/>
    <s v="TVIs"/>
    <s v="National Capital Region (NCR)"/>
    <s v="MUNTIPARLASTAPAT"/>
    <s v="Muntinlupa City"/>
    <s v="Km. 23.6 East Service Rd., Udings Cmpd. I, Alabang, Muntinlupa City"/>
    <s v="Felicitas C. Rabonza"/>
    <s v="842-21-39 / 856-66-02/850-57-09"/>
    <s v="tvet@sbca.edu.ph"/>
    <s v="Caregiving NC II"/>
    <n v="2"/>
    <n v="125"/>
    <n v="97"/>
  </r>
  <r>
    <x v="144"/>
    <s v="TVIs"/>
    <s v="National Capital Region (NCR)"/>
    <s v="PASMAK"/>
    <s v="Makati City"/>
    <s v="3rd Floor PMJ Building, Evangelista corner Cuangco Street, Brgy. Pio Del Pilar, Makati City"/>
    <s v="CARMENCITA D. UY"/>
    <s v="(02) 8709-0600"/>
    <s v="wcuskillsacademy@gmail.com"/>
    <s v="Caregiving (Elderly) NC II"/>
    <n v="2"/>
    <n v="112"/>
    <n v="95"/>
  </r>
  <r>
    <x v="145"/>
    <s v="TVIs"/>
    <s v="National Capital Region (NCR)"/>
    <s v="MUNTIPARLASTAPAT"/>
    <s v="Parañaque City"/>
    <s v="421 El Grande St., B.F. Homes, Parañaque City"/>
    <s v="Cherry May D. Quinsay"/>
    <s v="505-4912"/>
    <s v="mpltp.captraining.tvimis@gmail.com"/>
    <s v="Caregiving NC II"/>
    <n v="4"/>
    <n v="98"/>
    <n v="81"/>
  </r>
  <r>
    <x v="146"/>
    <s v="TVIs"/>
    <s v="National Capital Region (NCR)"/>
    <s v="PAMAMARISAN"/>
    <s v="Mandaluyong City"/>
    <s v="Siera Madre Cor. Esteban St., Mandaluyong City"/>
    <s v="MS. MA. VICTORIA T. VERGEL DE DIOS"/>
    <s v="Tel. 535-5885 - 86"/>
    <s v="olgctess@gmail.com"/>
    <s v="Caregiving NC II"/>
    <n v="1"/>
    <n v="48"/>
    <n v="77"/>
  </r>
  <r>
    <x v="147"/>
    <s v="HEIs"/>
    <s v="National Capital Region (NCR)"/>
    <s v="MUNTIPARLASTAPAT"/>
    <s v="Las Piñas City"/>
    <s v="165 Real St. Alabang, Zapote Rd., Pamplona 1, Las Piñas City"/>
    <s v="Rona M. Tolentino"/>
    <n v="70013243"/>
    <s v="sasn_laspinas@amaes.edu.ph"/>
    <s v="Caregiving NC II"/>
    <n v="2"/>
    <n v="125"/>
    <n v="75"/>
  </r>
  <r>
    <x v="148"/>
    <s v="HEIs"/>
    <s v="National Capital Region (NCR)"/>
    <s v="City of Manila"/>
    <s v="Ermita, City of Manila"/>
    <s v="1113-1117 San Marcelino St., cor., Gonzales St., Ermita, Manila"/>
    <s v="JOSE PAULO E. CAMPOS, Ed.D."/>
    <s v="521-2710 loc. 5602"/>
    <s v="eacsmidwiferycaregiver@gmail.com"/>
    <s v="Caregiving NC II"/>
    <n v="2"/>
    <n v="99"/>
    <n v="69"/>
  </r>
  <r>
    <x v="143"/>
    <s v="TVIs"/>
    <s v="National Capital Region (NCR)"/>
    <s v="PASMAK"/>
    <s v="Pasay City"/>
    <s v="618 Gamban St., Brgy. 138, Pasay City"/>
    <s v="GERALD CHRISTOPHER M. NUÑEZ"/>
    <s v="894-20-51"/>
    <s v="goldlaneinternationaltraining@gmail.com"/>
    <s v="Caregiving NC II"/>
    <n v="2"/>
    <n v="69"/>
    <n v="68"/>
  </r>
  <r>
    <x v="149"/>
    <s v="TVIs"/>
    <s v="National Capital Region (NCR)"/>
    <s v="PASMAK"/>
    <s v="Makati City"/>
    <s v="6488 P. Medina St., Pio Del Pilar, Makati City"/>
    <s v="JOSE LORENZO E. BEECH"/>
    <s v="(02) 526-4838"/>
    <s v="Joelo@pro-techcorp.com"/>
    <s v="Caregiving (Elderly) NC II"/>
    <n v="1"/>
    <n v="73"/>
    <n v="58"/>
  </r>
  <r>
    <x v="44"/>
    <s v="TVIs"/>
    <s v="National Capital Region (NCR)"/>
    <s v="PASMAK"/>
    <s v="Makati City"/>
    <s v="518 Narra St. Cembo, Makati City "/>
    <s v="MARY GRACE O. TEJADA"/>
    <s v="750-0626 / 391-1042 / 383-8766 / 391-1042"/>
    <s v="finetrainingcenter@gmail.com"/>
    <s v="Caregiving NC II"/>
    <n v="3"/>
    <n v="83"/>
    <n v="53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Caregiving NC II"/>
    <n v="2"/>
    <n v="52"/>
    <n v="52"/>
  </r>
  <r>
    <x v="150"/>
    <s v="TVIs"/>
    <s v="National Capital Region (NCR)"/>
    <s v="MUNTIPARLASTAPAT"/>
    <s v="Parañaque City"/>
    <s v="No. 6586 Dahlia St., San Dionisio, Gatchalian 1, Parañaque City"/>
    <s v="Deborah Z. Daquis"/>
    <s v="822-9120"/>
    <s v="cgjst@yahoo.com.ph"/>
    <s v="Caregiving NC II"/>
    <n v="1"/>
    <n v="55"/>
    <n v="50"/>
  </r>
  <r>
    <x v="30"/>
    <s v="LGU"/>
    <s v="National Capital Region (NCR)"/>
    <s v="MUNTIPARLASTAPAT"/>
    <s v="Taguig City"/>
    <s v="Col. Ballecer St., Brgy. Central Signal Village, Taguig City"/>
    <s v="Evangeline F. Sabater"/>
    <n v="9297015428"/>
    <s v="manpowertmtc@gmail.com"/>
    <s v="Caregiving NC II"/>
    <n v="2"/>
    <n v="50"/>
    <n v="49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Caregiving NC II"/>
    <n v="1"/>
    <n v="81"/>
    <n v="49"/>
  </r>
  <r>
    <x v="103"/>
    <s v="TVIs"/>
    <s v="National Capital Region (NCR)"/>
    <s v="Quezon City"/>
    <s v="Quezon City"/>
    <s v="960 Aurora Boulevard, Cubao, Quezon City"/>
    <s v="MELISSA F. TAROY"/>
    <s v="9138380/4384580"/>
    <s v="worldciticolleges2@gmail.com"/>
    <s v="Caregiving NC II"/>
    <n v="1"/>
    <n v="24"/>
    <n v="49"/>
  </r>
  <r>
    <x v="151"/>
    <s v="TVIs"/>
    <s v="National Capital Region (NCR)"/>
    <s v="City of Manila"/>
    <s v="Santa Ana, City of Manila"/>
    <s v="3381 Tuazon Bldg., Brgy. 893, New Panaderos, Sta. Ana, Manila"/>
    <s v="Dr. Chaysee Jan D. Sibug, Ph.D, RN"/>
    <s v="(02) 8638 2613"/>
    <s v="ileadmedicschoolmla@gmail.com"/>
    <s v="Caregiving NC II"/>
    <n v="2"/>
    <n v="131"/>
    <n v="45"/>
  </r>
  <r>
    <x v="152"/>
    <s v="TVIs"/>
    <s v="National Capital Region (NCR)"/>
    <s v="City of Manila"/>
    <s v="Sampaloc, City of Manila"/>
    <s v="1060 Panay St., Barangay 556, Sampaloc, Manila"/>
    <s v="Mart Anthony D. Barroga"/>
    <s v="358-7070"/>
    <s v="machobarroga@gmail.com"/>
    <s v="Caregiving NC II"/>
    <n v="1"/>
    <n v="50"/>
    <n v="42"/>
  </r>
  <r>
    <x v="153"/>
    <s v="TVIs"/>
    <s v="National Capital Region (NCR)"/>
    <s v="MUNTIPARLASTAPAT"/>
    <s v="Taguig City"/>
    <s v="Lontoc cor. Virata St. near Samaca II, Brgy. Calzada, Taguig City"/>
    <s v="Ralph Emerson M. Mactal"/>
    <n v="82521804"/>
    <s v="cpdccorp@gmail.com"/>
    <s v="Caregiving (Elderly) NC II"/>
    <n v="1"/>
    <n v="57"/>
    <n v="41"/>
  </r>
  <r>
    <x v="154"/>
    <s v="TVIs"/>
    <s v="National Capital Region (NCR)"/>
    <s v="MUNTIPARLASTAPAT"/>
    <s v="Muntinlupa City"/>
    <s v="6/F NT Center Bldg., Alabang-Zapote Rd., Tierra Nueva Village, Muntinlupa City"/>
    <s v="Mr. Toffey Reyes "/>
    <s v="842-8207 / 0927-9561243"/>
    <s v="ntli.cgv@gmail.com"/>
    <s v="Caregiving NC II"/>
    <n v="2"/>
    <n v="81"/>
    <n v="34"/>
  </r>
  <r>
    <x v="125"/>
    <s v="TVIs"/>
    <s v="National Capital Region (NCR)"/>
    <s v="MUNTIPARLASTAPAT"/>
    <s v="Parañaque City"/>
    <s v="Dr. A. Santos Ave., Barangay San Dionisio, Parañaque City"/>
    <s v="Dr. Eric L. Olivarez"/>
    <s v="825-71-89, 825-71-19 fax - 825-87-12"/>
    <s v="Ocp.tesda@olivarezcollege.edu.ph"/>
    <s v="Caregiving NC II"/>
    <n v="1"/>
    <n v="39"/>
    <n v="32"/>
  </r>
  <r>
    <x v="106"/>
    <s v="TVIs"/>
    <s v="National Capital Region (NCR)"/>
    <s v="City of Manila"/>
    <s v="Santa Cruz, City of Manila"/>
    <s v="RFTC Bldg., 1400 Pampanga Street, Sta. Cruz, Manila"/>
    <s v="ROSALINDA O. FERNANDEZ"/>
    <s v="02-75013324/ 02-77291903/ 0995-3920549"/>
    <s v="rightfocus.diploma@gmail.com"/>
    <s v="Caregiving NC II"/>
    <n v="2"/>
    <n v="32"/>
    <n v="30"/>
  </r>
  <r>
    <x v="155"/>
    <s v="TVIs"/>
    <s v="National Capital Region (NCR)"/>
    <s v="MUNTIPARLASTAPAT"/>
    <s v="Las Piñas City"/>
    <s v="165 Real St. Alabang, Zapote Rd., Pamplona 1, Las Piñas City"/>
    <s v="Rona M. Tolentino"/>
    <s v="873-4060/873-5841"/>
    <s v="sasn_laspinas@amaes.edu.ph"/>
    <s v="Caregiving NC II"/>
    <n v="0"/>
    <n v="0"/>
    <n v="25"/>
  </r>
  <r>
    <x v="156"/>
    <s v="TVIs"/>
    <s v="National Capital Region (NCR)"/>
    <s v="MUNTIPARLASTAPAT"/>
    <s v="Las Piñas City"/>
    <s v="Cynthia Ugalde St., BF Resort Village,Talon II, Las Pinas City"/>
    <s v="Pablito Ugali Jr."/>
    <s v="552-73-95"/>
    <s v="tesda_tdit@yahoo.com.ph"/>
    <s v="Caregiving NC II"/>
    <n v="1"/>
    <n v="24"/>
    <n v="25"/>
  </r>
  <r>
    <x v="157"/>
    <s v="TVIs"/>
    <s v="National Capital Region (NCR)"/>
    <s v="City of Manila"/>
    <s v="Santa Cruz, City of Manila"/>
    <s v="No. 286 Blumentritt Street, Sta. Cruz, Manila"/>
    <s v="Vilma P. Albo, RM, RN, MAN"/>
    <s v="711-4141 loc. 601"/>
    <s v="vilma_albo@yahoo.com"/>
    <s v="Caregiving NC II"/>
    <n v="1"/>
    <n v="22"/>
    <n v="22"/>
  </r>
  <r>
    <x v="158"/>
    <s v="TVIs"/>
    <s v="National Capital Region (NCR)"/>
    <s v="MUNTIPARLASTAPAT"/>
    <s v="Las Piñas City"/>
    <s v="Pamplona III, Las Pinas City"/>
    <s v="Arnaldo S. De Guzman, STh.D."/>
    <s v="871-06-39 loc. 202"/>
    <s v="tesda.laspinas@perpetualdalta.edu.ph"/>
    <s v="Caregiving NC II"/>
    <n v="1"/>
    <n v="41"/>
    <n v="15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Caregiving NC II"/>
    <n v="1"/>
    <n v="17"/>
    <n v="14"/>
  </r>
  <r>
    <x v="159"/>
    <s v="HEIs"/>
    <s v="National Capital Region (NCR)"/>
    <s v="Quezon City"/>
    <s v="Quezon City"/>
    <s v="Gilmore Ave. corner Aurora Blvd., Cubao, Quezon City"/>
    <s v="Maria Luz Lourdes M. Paulino"/>
    <s v="726-7986 to 88/ 722-1865"/>
    <s v="spuqc.ccdals2020@gmail.com"/>
    <s v="Caregiving NC II"/>
    <n v="1"/>
    <n v="15"/>
    <n v="14"/>
  </r>
  <r>
    <x v="160"/>
    <s v="TVIs"/>
    <s v="National Capital Region (NCR)"/>
    <s v="PAMAMARISAN"/>
    <s v="San Juan City"/>
    <s v="10 San Mauricio St., Brgy. Batis, San Juan City"/>
    <s v="MARIA ROSANNA S. REYES"/>
    <s v="570-7437"/>
    <s v="info@yamaheitaacc.com"/>
    <s v="Caregiving (Elderly) NC II"/>
    <n v="1"/>
    <n v="17"/>
    <n v="10"/>
  </r>
  <r>
    <x v="161"/>
    <s v="HEIs"/>
    <s v="National Capital Region (NCR)"/>
    <s v="Quezon City"/>
    <s v="Quezon City"/>
    <s v="16 Tandang Sora Avenue, Quezon City"/>
    <m/>
    <s v="939-7229 / 930-5299"/>
    <s v="recordsregistrar@yahoo.com"/>
    <s v="Caregiving NC II"/>
    <n v="1"/>
    <n v="25"/>
    <n v="7"/>
  </r>
  <r>
    <x v="131"/>
    <s v="TVIs"/>
    <s v="National Capital Region (NCR)"/>
    <s v="CAMANAVA"/>
    <s v="Caloocan City"/>
    <s v="419 D &amp; I Building EDSA Avenue, Barangay 86 Caloocan City"/>
    <s v="Jonas Jay D. Lorenzo"/>
    <s v="8366-3975"/>
    <s v="actecschool.caloocan@gmail.com"/>
    <s v="Caregiving NC II"/>
    <n v="1"/>
    <n v="118"/>
    <n v="4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Caregiving (Elderly) NC II"/>
    <n v="1"/>
    <n v="2"/>
    <n v="2"/>
  </r>
  <r>
    <x v="120"/>
    <s v="TVIs"/>
    <s v="National Capital Region (NCR)"/>
    <s v="CAMANAVA"/>
    <s v="Caloocan City"/>
    <s v="129 Jose P. Bautista Avenue, Caloocan City"/>
    <s v="MA. PAULA ISABELLA M. SALANDANAN"/>
    <s v="361-19-22/350-83-67/362-31-47"/>
    <s v="tesda@dmcfi.edu.ph"/>
    <s v="Caregiving NC II"/>
    <n v="1"/>
    <n v="31"/>
    <n v="1"/>
  </r>
  <r>
    <x v="162"/>
    <s v="TVIs"/>
    <s v="National Capital Region (NCR)"/>
    <s v="MUNTIPARLASTAPAT"/>
    <s v="Parañaque City"/>
    <s v="No. 257 4F, Unit1, RMR Centre, Doña Soledad Extension Avenue, Brgy. Don Bosco, Parañaque City"/>
    <s v="REMEDIOS O. ABAD"/>
    <s v="(02) 7149 5188 / 09178623894 / 09153742986"/>
    <s v="luxebeaute.it@gmail.com"/>
    <s v="Caregiving NC II"/>
    <n v="1"/>
    <n v="1"/>
    <n v="1"/>
  </r>
  <r>
    <x v="163"/>
    <s v="HEIs"/>
    <s v="National Capital Region (NCR)"/>
    <s v="MUNTIPARLASTAPAT"/>
    <s v="Parañaque City"/>
    <s v="8273 Dr. A. Santos Avenue, Sucat, Parañaque City"/>
    <s v="Domingo T. Tay"/>
    <s v="820-4276/829-8615"/>
    <s v="uctesdadepartment@gmail.com"/>
    <s v="Caregiving NC II"/>
    <n v="1"/>
    <n v="1"/>
    <n v="1"/>
  </r>
  <r>
    <x v="164"/>
    <s v="TVIs"/>
    <s v="National Capital Region (NCR)"/>
    <s v="MUNTIPARLASTAPAT"/>
    <s v="Parañaque City"/>
    <s v="160 Pascual 1, Sucat, San Antonio, Parañaque City"/>
    <s v="MARILOU P. FURIO"/>
    <n v="9271389268"/>
    <m/>
    <s v="Caregiving (Elderly) NC II"/>
    <n v="1"/>
    <n v="1"/>
    <n v="0"/>
  </r>
  <r>
    <x v="165"/>
    <s v="TVIs"/>
    <s v="National Capital Region (NCR)"/>
    <s v="CAMANAVA"/>
    <s v="Caloocan City"/>
    <s v="3rd Flr. Martinez Memorial Hospital, 198 A. Mabini St., Maypajo, Caloocan City"/>
    <m/>
    <s v="285-5091 / 288-4279/ 288-8861"/>
    <m/>
    <s v="Caregiving NC II"/>
    <n v="0"/>
    <n v="0"/>
    <n v="0"/>
  </r>
  <r>
    <x v="166"/>
    <s v="TVIs"/>
    <s v="National Capital Region (NCR)"/>
    <s v="MUNTIPARLASTAPAT"/>
    <s v="Las Piñas City"/>
    <s v="#3 Aria Street, Sta. Cecilia Village, Talon Dos, Las Piñas City"/>
    <s v="ARIEL G. TAN"/>
    <n v="9176201563"/>
    <s v="imie@sakuracaregiver.com"/>
    <s v="Caregiving NC II"/>
    <n v="1"/>
    <n v="11"/>
    <n v="0"/>
  </r>
  <r>
    <x v="167"/>
    <s v="TVIs"/>
    <s v="National Capital Region (NCR)"/>
    <s v="MUNTIPARLASTAPAT"/>
    <s v="Taguig City"/>
    <s v="DMCI Compound, C-5 Rd., Brgy. Ususan, Taguig City "/>
    <s v="Marlon T. Tadeo"/>
    <s v="570-6419/20"/>
    <s v="LAUGNTADEO@YAHOO.COM"/>
    <s v="Carpentry NC II"/>
    <n v="0"/>
    <n v="0"/>
    <n v="40"/>
  </r>
  <r>
    <x v="168"/>
    <s v="TTI (PTC)"/>
    <s v="National Capital Region (NCR)"/>
    <s v="PASMAK"/>
    <s v="Makati City"/>
    <s v="Building 15, TESDA Complex, East Service Road, South Superhighway, Taguig City"/>
    <s v="VERNADETTE D. FLORES-GONZALES"/>
    <n v="9688524038"/>
    <s v="pmdtac@tesda.gov.ph"/>
    <s v="Carpentry NC II"/>
    <n v="1"/>
    <n v="102"/>
    <n v="98"/>
  </r>
  <r>
    <x v="169"/>
    <s v="TVIs"/>
    <s v="National Capital Region (NCR)"/>
    <s v="PAMAMARISAN"/>
    <s v="Mandaluyong City"/>
    <s v="10 A.H. Poblador St., Brgy. Hagdan Bato, Libis, Mandaluyong City"/>
    <s v="MARIA CRISELLA O. BINAYUG "/>
    <s v="964-2237 / 0917-300-5827 / 0942-0359736"/>
    <s v="mcobinayug@qtekcenter.com"/>
    <s v="Carpentry NC II"/>
    <n v="3"/>
    <n v="373"/>
    <n v="312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Carpentry NC II"/>
    <n v="1"/>
    <n v="25"/>
    <n v="0"/>
  </r>
  <r>
    <x v="69"/>
    <s v="TVIs"/>
    <s v="National Capital Region (NCR)"/>
    <s v="PAMAMARISAN"/>
    <s v="Pasig City"/>
    <s v="Suite U-207 Skyway Twin Tower, 351 Henry P. Javier St., Brgy., Orando Pasig City "/>
    <s v="Mr. Michael M. Tiaoqui "/>
    <s v="671-0276 / 671-0277 loc. 110"/>
    <s v="registrar@aicaculinary.com"/>
    <s v="Commercial Cooking NC III"/>
    <n v="1"/>
    <n v="15"/>
    <n v="0"/>
  </r>
  <r>
    <x v="90"/>
    <s v="TVIs"/>
    <s v="National Capital Region (NCR)"/>
    <s v="PAMAMARISAN"/>
    <s v="San Juan City"/>
    <s v="175 Paterno Street, San Juan City"/>
    <s v="EUGENIO RAMON R. GONZALEZ"/>
    <s v="725-5089; 650-3282; 09773473277"/>
    <s v="cacschef@gmail.com"/>
    <s v="Commercial Cooking NC III"/>
    <n v="1"/>
    <n v="18"/>
    <n v="10"/>
  </r>
  <r>
    <x v="117"/>
    <s v="TVIs"/>
    <s v="National Capital Region (NCR)"/>
    <s v="PAMAMARISAN"/>
    <s v="Pasig City"/>
    <s v="4/F Millenium Place Bldg., Meralco Ave. and Sapphire Road, Ortigas Center, Brgy. San Antonio, Pasig City"/>
    <s v="Benjamin N. Ledesma Jr."/>
    <s v="633-6382 / 638-9183"/>
    <s v="registrar.globalacademy@gmail.com"/>
    <s v="Commercial Cooking NC III"/>
    <n v="1"/>
    <n v="76"/>
    <n v="68"/>
  </r>
  <r>
    <x v="90"/>
    <s v="TVIs"/>
    <s v="National Capital Region (NCR)"/>
    <s v="PAMAMARISAN"/>
    <s v="San Juan City"/>
    <s v="175 Paterno Street, San Juan City"/>
    <s v="EUGENIO RAMON R. GONZALEZ"/>
    <s v="725-5089; 650-3282; 09773473277"/>
    <s v="cacschef@gmail.com"/>
    <s v="Commercial Cooking NC IV"/>
    <n v="2"/>
    <n v="17"/>
    <n v="16"/>
  </r>
  <r>
    <x v="170"/>
    <s v="TVIs"/>
    <s v="National Capital Region (NCR)"/>
    <s v="Quezon City"/>
    <s v="Quezon City"/>
    <s v="815 Room 301, 3rd Floor CSP Building Que-zon Ave Santa Cruz, Quezon City"/>
    <s v="KRISTINA MARIE R. CHUA"/>
    <n v="9558691867"/>
    <s v="A1VENTURESTECHVOCCORP@GMAIL.COM"/>
    <s v="Computer Systems Servicing NC II"/>
    <n v="4"/>
    <n v="471"/>
    <n v="461"/>
  </r>
  <r>
    <x v="32"/>
    <s v="TVIs"/>
    <s v="National Capital Region (NCR)"/>
    <s v="PAMAMARISAN"/>
    <s v="Marikina City"/>
    <s v="2/F WRC Bldg. No. 47 Gil Fernando Midtown Subd., San Roque, Marikina City "/>
    <s v="MR. JAIME G. DOLERA JR."/>
    <s v="Tel. No. 234-0996"/>
    <s v="academy.asia@gmail.com"/>
    <s v="Computer Systems Servicing NC II"/>
    <n v="1"/>
    <n v="94"/>
    <n v="41"/>
  </r>
  <r>
    <x v="33"/>
    <s v="TVIs"/>
    <s v="National Capital Region (NCR)"/>
    <s v="PAMAMARISAN"/>
    <s v="Pasig City"/>
    <s v="No.11 M.H. Del Pilar St., Brgy. San Nicolas, Pasig"/>
    <s v="DONA MARIE ANGELICA O. MARIANO"/>
    <n v="9088130738"/>
    <s v="pas@access.edu.ph"/>
    <s v="Computer Systems Servicing NC II"/>
    <n v="1"/>
    <n v="54"/>
    <n v="54"/>
  </r>
  <r>
    <x v="171"/>
    <s v="TVIs"/>
    <s v="National Capital Region (NCR)"/>
    <s v="City of Manila"/>
    <s v="Sampaloc, City of Manila"/>
    <s v="Sampaloc Manila 2355 Legarda Corner Manrique Sts. Barangay 416 Sampaloc, City of Manila"/>
    <s v="ARIZA N. BIHASA"/>
    <s v=".373-3901 loc 8283/09175075807/09228561278"/>
    <s v="aclccollegeofmanila@gmail.com"/>
    <s v="Computer Systems Servicing NC II"/>
    <n v="1"/>
    <n v="52"/>
    <n v="52"/>
  </r>
  <r>
    <x v="110"/>
    <s v="TVIs"/>
    <s v="National Capital Region (NCR)"/>
    <s v="MUNTIPARLASTAPAT"/>
    <s v="Parañaque City"/>
    <s v="Lot 1, Block 1, F. Valarao St., Airport Village, Moonwalk, Parañaque City"/>
    <s v="FDr. Dr. Yolanda Dela Cruz Arandia"/>
    <s v="822-4701/822-4711"/>
    <s v="arandiacollegeinc.tac@gmail.com"/>
    <s v="Computer Systems Servicing NC II"/>
    <n v="1"/>
    <n v="25"/>
    <n v="45"/>
  </r>
  <r>
    <x v="172"/>
    <s v="TVIs"/>
    <s v="National Capital Region (NCR)"/>
    <s v="PAMAMARISAN"/>
    <s v="San Juan City"/>
    <s v="Unit 302, 304 and 1502 Jafer Place Building Eisenhower St. Greenhills, San Juan City"/>
    <s v="Ms. Teresa A. Jondonero"/>
    <s v="727-6731 / 985-5895"/>
    <s v="arayaskillsdic@gmail.com"/>
    <s v="Computer Systems Servicing NC II"/>
    <n v="2"/>
    <n v="184"/>
    <n v="132"/>
  </r>
  <r>
    <x v="116"/>
    <s v="TVIs"/>
    <s v="National Capital Region (NCR)"/>
    <s v="MUNTIPARLASTAPAT"/>
    <s v="Taguig City"/>
    <s v="4/F Gate 3 Plaza, Lawton Avenue cor. Juliano Ave., AFPOVAI Phase lll, Western Bicutan, Taguig City"/>
    <s v="Dario S. Espineda"/>
    <s v="553-5202/869-8824"/>
    <s v="asiasource.academics@gmail.com"/>
    <s v="Computer Systems Servicing NC II"/>
    <n v="2"/>
    <n v="50"/>
    <n v="71"/>
  </r>
  <r>
    <x v="88"/>
    <s v="TVIs"/>
    <s v="National Capital Region (NCR)"/>
    <s v="PAMAMARISAN"/>
    <s v="Pasig City"/>
    <s v="One Victoria Plaza, A. Mabini, Kapasigan, Pasig City"/>
    <s v="DARIO S. ESPINEDA"/>
    <s v="637-9895"/>
    <s v="asiasource.academics@gmail.com"/>
    <s v="Computer Systems Servicing NC II"/>
    <n v="2"/>
    <n v="156"/>
    <n v="124"/>
  </r>
  <r>
    <x v="173"/>
    <s v="TVIs"/>
    <s v="National Capital Region (NCR)"/>
    <s v="MUNTIPARLASTAPAT"/>
    <s v="Taguig City"/>
    <s v="503 Eagle St., Blk 5, G2 Village, Brgy. Pinagsama, Taguig City"/>
    <s v="JOVENCIO GAGTAN"/>
    <s v="666-3946 / 09272331562"/>
    <s v="actscolleges2008@gmail.com"/>
    <s v="Computer Systems Servicing NC II"/>
    <n v="1"/>
    <n v="25"/>
    <n v="0"/>
  </r>
  <r>
    <x v="42"/>
    <s v="TVIs"/>
    <s v="National Capital Region (NCR)"/>
    <s v="PAMAMARISAN"/>
    <s v="Pasig City"/>
    <s v="115 E. Santos Ave., Bambang, Pasig City"/>
    <s v="Ms. Marjorie G. Mendenilla"/>
    <s v="7746-0097"/>
    <s v="asianentrepreneurstech2009@gmail.com"/>
    <s v="Computer Systems Servicing NC II"/>
    <n v="2"/>
    <n v="197"/>
    <n v="296"/>
  </r>
  <r>
    <x v="174"/>
    <s v="TVIs"/>
    <s v="National Capital Region (NCR)"/>
    <s v="PAMAMARISAN"/>
    <s v="Pasig City"/>
    <s v="682 Shaw Blvd., Kapitolyo, Pasig City"/>
    <s v="BRYAN ARTHUR M. DAVID"/>
    <n v="9395994949"/>
    <s v="bryan_david902@yahoo.com"/>
    <s v="Computer Systems Servicing NC II"/>
    <n v="1"/>
    <n v="147"/>
    <n v="68"/>
  </r>
  <r>
    <x v="107"/>
    <s v="TVIs"/>
    <s v="National Capital Region (NCR)"/>
    <s v="MUNTIPARLASTAPAT"/>
    <s v="Las Piñas City"/>
    <s v="Bernardo College Compound, Pulanglupa I, Las Piñas City"/>
    <s v="Maria Jesusan- Bernardo Guinto"/>
    <s v="873-3330"/>
    <s v="bernardocollege@yahoo.com"/>
    <s v="Computer Systems Servicing NC II"/>
    <n v="1"/>
    <n v="51"/>
    <n v="51"/>
  </r>
  <r>
    <x v="175"/>
    <s v="TVIs"/>
    <s v="National Capital Region (NCR)"/>
    <s v="City of Manila"/>
    <s v="Binondo, City of Manila"/>
    <s v="No. 357 W. Burke St., Binondo, Manila"/>
    <s v="RODOLFO C. REYES"/>
    <n v="87351055"/>
    <s v="blueridgepacific@yahoo.com"/>
    <s v="Computer Systems Servicing NC II"/>
    <n v="2"/>
    <n v="120"/>
    <n v="42"/>
  </r>
  <r>
    <x v="176"/>
    <s v="TVIs"/>
    <s v="National Capital Region (NCR)"/>
    <s v="PAMAMARISAN"/>
    <s v="Marikina City"/>
    <s v="No. 9 Martilyete St., Midtwon Subd., San Roque, Marikina City"/>
    <s v="DANILO BLASITO A. FERNANDEZ"/>
    <s v="682-0165/645-0444"/>
    <s v="bowline.center2007@gmail.com"/>
    <s v="Computer Systems Servicing NC II"/>
    <n v="2"/>
    <n v="361"/>
    <n v="268"/>
  </r>
  <r>
    <x v="177"/>
    <s v="TVIs"/>
    <s v="National Capital Region (NCR)"/>
    <s v="Quezon City"/>
    <s v="Quezon City"/>
    <s v="2nd Floor Rear Ablaza Building, 117 E. Rodriguez Sr. Avenue, Quezon City"/>
    <s v="LENIE M. SANTIAGO"/>
    <s v="353-7981"/>
    <s v="canetowncollegesofthephils12@gmail.com"/>
    <s v="Computer Systems Servicing NC II"/>
    <n v="1"/>
    <n v="249"/>
    <n v="184"/>
  </r>
  <r>
    <x v="178"/>
    <s v="TVIs"/>
    <s v="National Capital Region (NCR)"/>
    <s v="PAMAMARISAN"/>
    <s v="Pasig City"/>
    <s v="No. 35 Dr. Pilapil St., Sagad, Pasig City"/>
    <s v=" Engr. Benedicto A. Capellan"/>
    <s v="641-5648/642-0702"/>
    <s v="citpasig@gmail.com"/>
    <s v="Computer Systems Servicing NC II"/>
    <n v="2"/>
    <n v="140"/>
    <n v="116"/>
  </r>
  <r>
    <x v="179"/>
    <s v="TVIs"/>
    <s v="National Capital Region (NCR)"/>
    <s v="Quezon City"/>
    <s v="Quezon City"/>
    <s v="2nd Floor Our Home Bldg., 114 Malakas St. Diliman, Quezon City"/>
    <s v="Cecilio B. Pingkian "/>
    <s v="(02) 925-2554  435-7010"/>
    <s v="cit_2013@yahoo.com"/>
    <s v="Computer Systems Servicing NC II"/>
    <n v="1"/>
    <n v="140"/>
    <n v="129"/>
  </r>
  <r>
    <x v="78"/>
    <s v="TVIs"/>
    <s v="National Capital Region (NCR)"/>
    <s v="CAMANAVA"/>
    <s v="Malabon City"/>
    <s v="118 Interior Gen. Luna St., Brgy. Ibaba Malabon City "/>
    <s v="PEPITO B. TRUMATA"/>
    <s v="497-7929"/>
    <s v="cmnv.saintamatiel.t2mis@gmail.com"/>
    <s v="Computer Systems Servicing NC II"/>
    <n v="1"/>
    <n v="21"/>
    <n v="105"/>
  </r>
  <r>
    <x v="180"/>
    <s v="TVIs"/>
    <s v="National Capital Region (NCR)"/>
    <s v="PAMAMARISAN"/>
    <s v="Pasig City"/>
    <s v="Mezzanine A 707 Shaw Blvd., Brgy. Kapitolyo, Pasig City "/>
    <s v="EMERSON CHESTER KIM B. GO"/>
    <s v="584-7200/0917-5187073"/>
    <s v="eglobalinternationalcom@gmail.com"/>
    <s v="Computer Systems Servicing NC II"/>
    <n v="1"/>
    <n v="50"/>
    <n v="58"/>
  </r>
  <r>
    <x v="101"/>
    <s v="TVIs"/>
    <s v="National Capital Region (NCR)"/>
    <s v="CAMANAVA"/>
    <s v="Caloocan City"/>
    <s v="No. 237 M.H. del Pliar St., Grace Park, Caloocan City"/>
    <s v="MARLON S. PAGUIO"/>
    <s v="332-3060"/>
    <s v="cmnv.ejistcaloocan.t2mis@gmail.com"/>
    <s v="Computer Systems Servicing NC II"/>
    <n v="1"/>
    <n v="47"/>
    <n v="46"/>
  </r>
  <r>
    <x v="181"/>
    <s v="TVIs"/>
    <s v="National Capital Region (NCR)"/>
    <s v="City of Manila"/>
    <s v="Malate, City of Manila"/>
    <s v="LP2 2F 2311 Taft Ave. Cor. Castro Streets, Malate-Barangay 709, Manila"/>
    <s v="ROBINA MARIE K. TAN"/>
    <s v="0917-627-2464"/>
    <s v="GManilaLearningInstitute@gmail.com"/>
    <s v="Computer Systems Servicing NC II"/>
    <n v="1"/>
    <n v="121"/>
    <n v="95"/>
  </r>
  <r>
    <x v="182"/>
    <s v="TVIs"/>
    <s v="National Capital Region (NCR)"/>
    <s v="CAMANAVA"/>
    <s v="Malabon City"/>
    <s v="4F St. Jerome Mansion, 82 Victoneta Ave., Potrero, Malabon City"/>
    <s v="FLORINDA V. VALERA"/>
    <n v="9684471790"/>
    <s v="headstartcenter1@gmail.com"/>
    <s v="Computer Systems Servicing NC II"/>
    <n v="4"/>
    <n v="362"/>
    <n v="159"/>
  </r>
  <r>
    <x v="183"/>
    <s v="TVIs"/>
    <s v="National Capital Region (NCR)"/>
    <s v="City of Manila"/>
    <s v="Tondo I/II, City of Manila"/>
    <s v="3rd Floor, Primeblock Building, Tutuban Center, C.M. Recto Avenue, Barangay 247, Tondo, Manila"/>
    <s v="Honorio Ramon Lopez "/>
    <s v="02-82984556"/>
    <s v="HonoriolopezTII@gmail.com"/>
    <s v="Computer Systems Servicing NC II"/>
    <n v="4"/>
    <n v="349"/>
    <n v="235"/>
  </r>
  <r>
    <x v="67"/>
    <s v="TVIs"/>
    <s v="National Capital Region (NCR)"/>
    <s v="CAMANAVA"/>
    <s v="Caloocan City"/>
    <s v="No. 1569 Rizal Ave. Cor. 10th Ave., Grace Park West, Barangay 62, Caloocan City"/>
    <s v="Michael Angelo A. Maga"/>
    <s v="426-8591/09175017675"/>
    <s v="hitacc.am@gmail.com"/>
    <s v="Computer Systems Servicing NC II"/>
    <n v="2"/>
    <n v="75"/>
    <n v="88"/>
  </r>
  <r>
    <x v="184"/>
    <s v="TVIs"/>
    <s v="National Capital Region (NCR)"/>
    <s v="PAMAMARISAN"/>
    <s v="Pasig City"/>
    <s v="113 M.H. Del Pilar Street Palatiw, Pasig City"/>
    <s v="AYESA V. PABELLANO"/>
    <s v="250-1464"/>
    <s v="hyperyoung2018@gmail.com"/>
    <s v="Computer Systems Servicing NC II"/>
    <n v="6"/>
    <n v="1234"/>
    <n v="1238"/>
  </r>
  <r>
    <x v="184"/>
    <s v="TVIs"/>
    <s v="National Capital Region (NCR)"/>
    <s v="PAMAMARISAN"/>
    <s v="Pasig City"/>
    <s v="87 Dream Flower Andrea 2, Rosario, Pasig City"/>
    <s v="MS. AYESA V. PABELLANO"/>
    <s v="7007-9416"/>
    <s v="hyitadmin@hyperyoung2018.com"/>
    <s v="Computer Systems Servicing NC II"/>
    <n v="2"/>
    <n v="22"/>
    <n v="0"/>
  </r>
  <r>
    <x v="47"/>
    <s v="TVIs"/>
    <s v="National Capital Region (NCR)"/>
    <s v="MUNTIPARLASTAPAT"/>
    <s v="Muntinlupa City"/>
    <s v="No. 5 Molina St., Alabang, Muntinlupa City"/>
    <s v="MELVIE B. ACEDO"/>
    <s v="850-0937/850-0938"/>
    <s v="ietialabang@yahoo.com"/>
    <s v="Computer Systems Servicing NC II"/>
    <n v="1"/>
    <n v="20"/>
    <n v="67"/>
  </r>
  <r>
    <x v="185"/>
    <s v="HEIs"/>
    <s v="National Capital Region (NCR)"/>
    <s v="CAMANAVA"/>
    <s v="Caloocan City"/>
    <s v="Soldiers Hills III Subd.,Brgy. 180, Tala, Caloocan City"/>
    <s v="MARCELINO VINCENTE AGANA, Ph.D."/>
    <s v="89359986 / 87094225"/>
    <s v="icctvet@immaculada.edu.ph"/>
    <s v="Computer Systems Servicing NC II"/>
    <n v="1"/>
    <n v="138"/>
    <n v="52"/>
  </r>
  <r>
    <x v="186"/>
    <s v="HEIs"/>
    <s v="National Capital Region (NCR)"/>
    <s v="City of Manila"/>
    <s v="Sampaloc, City of Manila"/>
    <s v="990 MCM Building, Quezon Blvd., Brgy. 464, Zone 46, District IV, Sampaloc, Manila"/>
    <s v="EMILY M. DIMLA, PhD"/>
    <s v="733-9825/ 733-9453/ 733-9457"/>
    <s v="information@interface.edu.ph"/>
    <s v="Computer Systems Servicing NC II"/>
    <n v="2"/>
    <n v="96"/>
    <n v="96"/>
  </r>
  <r>
    <x v="187"/>
    <s v="HEIs"/>
    <s v="National Capital Region (NCR)"/>
    <s v="CAMANAVA"/>
    <s v="Caloocan City"/>
    <s v="Doña Lolita Bldg., 10th Ave. cor. Rizal Ave., Ext., Caloocan City"/>
    <s v="EMILY M. DIMLA, PhD"/>
    <s v="366-7271"/>
    <s v="information@interface.edu.ph"/>
    <s v="Computer Systems Servicing NC II"/>
    <n v="2"/>
    <n v="42"/>
    <n v="55"/>
  </r>
  <r>
    <x v="188"/>
    <s v="TVIs"/>
    <s v="National Capital Region (NCR)"/>
    <s v="MUNTIPARLASTAPAT"/>
    <s v="Las Piñas City"/>
    <s v="3/F &amp; 4/F Navarro Bldg., Real St., Pamplona III, Las Piñas City"/>
    <s v="Rolando B. Rodillo, Jr."/>
    <s v="874-47-65 / 871-4351"/>
    <s v="ieti.laspinas1974@gmail.com"/>
    <s v="Computer Systems Servicing NC II"/>
    <n v="1"/>
    <n v="29"/>
    <n v="57"/>
  </r>
  <r>
    <x v="189"/>
    <s v="TVIs"/>
    <s v="National Capital Region (NCR)"/>
    <s v="PASMAK"/>
    <s v="Makati City"/>
    <s v="Room 402, 4th Floor Guadalupe Comm'l Complex Guadalupe, Makati City"/>
    <s v="Sidney L. Resurreccion"/>
    <s v="882-0435"/>
    <s v="ietimakati@yahoo.com"/>
    <s v="Computer Systems Servicing NC II"/>
    <n v="2"/>
    <n v="54"/>
    <n v="77"/>
  </r>
  <r>
    <x v="190"/>
    <s v="TVIs"/>
    <s v="National Capital Region (NCR)"/>
    <s v="City of Manila"/>
    <s v="Pandacan, City of Manila"/>
    <s v="GF/3F 1745 Abdon St., Otis, Pandacan, Manila"/>
    <s v="PHILIP JOHN L. SORIMA"/>
    <s v="0961-120-7812"/>
    <s v="kaizentechmanila@gmail.com"/>
    <s v="Computer Systems Servicing NC II"/>
    <n v="2"/>
    <n v="157"/>
    <n v="150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Computer Systems Servicing NC II"/>
    <n v="1"/>
    <n v="31"/>
    <n v="44"/>
  </r>
  <r>
    <x v="141"/>
    <s v="HEIs"/>
    <s v="National Capital Region (NCR)"/>
    <s v="City of Manila"/>
    <s v="Sampaloc, City of Manila"/>
    <s v="667 F.T. Dalupan Sr. Street, Sampaloc, Manila"/>
    <s v="Marivic C. Diaz"/>
    <s v=" 735-54-3 / 735-5341 Loc 286"/>
    <s v="mcctvet@gmail.com"/>
    <s v="Computer Systems Servicing NC II"/>
    <n v="1"/>
    <n v="54"/>
    <n v="54"/>
  </r>
  <r>
    <x v="191"/>
    <s v="TVIs"/>
    <s v="National Capital Region (NCR)"/>
    <s v="PASMAK"/>
    <s v="Pasay City"/>
    <s v="3rd Floor Gateway Building Taft Avenue Cartimar Shopping Center, Barangay 39, Pasay City"/>
    <s v="MARY GRACE ROSALIA N. GULAN"/>
    <s v="0917-527-7351"/>
    <s v="marygrace.international@gmail.com"/>
    <s v="Computer Systems Servicing NC II"/>
    <n v="3"/>
    <n v="190"/>
    <n v="181"/>
  </r>
  <r>
    <x v="192"/>
    <s v="TVIs"/>
    <s v="National Capital Region (NCR)"/>
    <s v="PAMAMARISAN"/>
    <s v="Pasig City"/>
    <s v="MFI Bldg., Ortigas Ave., Pasig City"/>
    <s v="NOEL M. DUMAGUIT"/>
    <s v="632-0756 to 67/ 631-1294/631-3838"/>
    <s v="pasig@mfi.edu.ph"/>
    <s v="Computer Systems Servicing NC II"/>
    <n v="0"/>
    <n v="0"/>
    <n v="44"/>
  </r>
  <r>
    <x v="193"/>
    <s v="TVIs"/>
    <s v="National Capital Region (NCR)"/>
    <s v="Quezon City"/>
    <s v="Quezon City"/>
    <s v="138 Timog Avenue Quezon City"/>
    <s v="RAYMUND A. IGNACIO"/>
    <s v="263-4819"/>
    <s v="mindbankcorp@gmail.com"/>
    <s v="Computer Systems Servicing NC II"/>
    <n v="5"/>
    <n v="541"/>
    <n v="414"/>
  </r>
  <r>
    <x v="194"/>
    <s v="TVIs"/>
    <s v="National Capital Region (NCR)"/>
    <s v="PAMAMARISAN"/>
    <s v="Pasig City"/>
    <s v="No. 163 Dr. Sixto Avenue, Brgy. Rosario, Pasig City "/>
    <s v="CARMINA ABEGAIL B. DIMAYUGA"/>
    <s v="263-4819"/>
    <s v="mtdi.training@gmail.com"/>
    <s v="Computer Systems Servicing NC II"/>
    <n v="2"/>
    <n v="764"/>
    <n v="930"/>
  </r>
  <r>
    <x v="195"/>
    <s v="TVIs"/>
    <s v="National Capital Region (NCR)"/>
    <s v="PAMAMARISAN"/>
    <s v="San Juan City"/>
    <s v="Unit 1105 &amp; 1106 Jafer Place, Eisenhower St., Greenhills, San Juan City"/>
    <s v="MA. ELENA A. PASIA"/>
    <n v="9395537454"/>
    <s v="optimumskillssic@gmail.com"/>
    <s v="Computer Systems Servicing NC II"/>
    <n v="1"/>
    <n v="236"/>
    <n v="245"/>
  </r>
  <r>
    <x v="58"/>
    <s v="TVIs"/>
    <s v="National Capital Region (NCR)"/>
    <s v="PAMAMARISAN"/>
    <s v="Marikina City"/>
    <s v="4/F Maria Compound Bldg., # 14 Nicanor Roxas St. Brgy. San Roque, Marikina City "/>
    <s v="MAYDA LO L. TABANGIN"/>
    <s v="0920-9530092"/>
    <s v="philacademymarikina@gmail.com"/>
    <s v="Computer Systems Servicing NC II"/>
    <n v="4"/>
    <n v="387"/>
    <n v="334"/>
  </r>
  <r>
    <x v="196"/>
    <s v="TVIs"/>
    <s v="National Capital Region (NCR)"/>
    <s v="PASMAK"/>
    <s v="Makati City"/>
    <s v="3/F Sterling Annex, 2302 Chino Roces Ext., Brgy. Magallanes, Makati City"/>
    <s v="KRISTELLE LYNNE P. ONG"/>
    <n v="9606688727"/>
    <s v="pccimakati0522@gmail.com"/>
    <s v="Computer Systems Servicing NC II"/>
    <n v="17"/>
    <n v="2569"/>
    <n v="2773"/>
  </r>
  <r>
    <x v="75"/>
    <s v="TVIs"/>
    <s v="National Capital Region (NCR)"/>
    <s v="CAMANAVA"/>
    <s v="Valenzuela City"/>
    <s v="Corner De Leon Street, Purok 1-A Kabatuhan Street, Mapulang Lupa, Valenzuela City"/>
    <s v="Arvin C. Mamites"/>
    <s v="(02) 750-3718"/>
    <s v="philschooltechdevinno@gmail.com"/>
    <s v="Computer Systems Servicing NC II"/>
    <n v="2"/>
    <n v="464"/>
    <n v="435"/>
  </r>
  <r>
    <x v="40"/>
    <s v="TTI (PTC)"/>
    <s v="National Capital Region (NCR)"/>
    <s v="Quezon City"/>
    <s v="Quezon City"/>
    <s v="Lot 10, Block 17, Dahlia Avenue, Fairview Quezon City"/>
    <s v="EDMAR JAY O. BLANCO"/>
    <s v="799-9092"/>
    <s v="qclbsdc@tesda.gov.ph"/>
    <s v="Computer Systems Servicing NC II"/>
    <n v="2"/>
    <n v="88"/>
    <n v="84"/>
  </r>
  <r>
    <x v="25"/>
    <s v="TVIs"/>
    <s v="National Capital Region (NCR)"/>
    <s v="PASMAK"/>
    <s v="Pasay City"/>
    <s v="Unit 401 DMV Bldg., 2484 Padre Zamora St., Barangay 105, Pasay City"/>
    <s v="GRETELWOLDA C. GEPILANO"/>
    <s v="(02) 8771 5554"/>
    <s v="pasmak.rase.2024@gmail.com"/>
    <s v="Computer Systems Servicing NC II"/>
    <n v="2"/>
    <n v="50"/>
    <n v="0"/>
  </r>
  <r>
    <x v="197"/>
    <s v="TVIs"/>
    <s v="National Capital Region (NCR)"/>
    <s v="PAMAMARISAN"/>
    <s v="Mandaluyong City"/>
    <s v="3rd floor 7 Sumulong Hi-way, corner M. Cruz St., Santo Niño, Marikina City"/>
    <s v="Gladys T. Chua"/>
    <n v="9178820923"/>
    <s v="pmms.rgtech.tvimis@gmail.com"/>
    <s v="Computer Systems Servicing NC II"/>
    <n v="2"/>
    <n v="182"/>
    <n v="125"/>
  </r>
  <r>
    <x v="198"/>
    <s v="TVIs"/>
    <s v="National Capital Region (NCR)"/>
    <s v="CAMANAVA"/>
    <s v="Malabon City"/>
    <s v="No. 2 Inda Maria Road, Brgy. Potrero, Malabon City"/>
    <s v="RIZALINA R. PATIO"/>
    <s v="788-1082"/>
    <s v="cmnv.rvnti.tvimis@Gmail.com"/>
    <s v="Computer Systems Servicing NC II"/>
    <n v="0"/>
    <n v="0"/>
    <n v="53"/>
  </r>
  <r>
    <x v="199"/>
    <s v="TVIs"/>
    <s v="National Capital Region (NCR)"/>
    <s v="City of Manila"/>
    <s v="Santa Cruz, City of Manila"/>
    <s v="580 FLORENTINO TORRES BRGY. 303 STA. CRUZ, MANILA"/>
    <s v="VERN T. MONTORIO"/>
    <s v="757-0405 / 09367186943"/>
    <s v="saintmarktechvoc@gmail.com"/>
    <s v="Computer Systems Servicing NC II"/>
    <n v="1"/>
    <n v="56"/>
    <n v="56"/>
  </r>
  <r>
    <x v="200"/>
    <s v="TVIs"/>
    <s v="National Capital Region (NCR)"/>
    <s v="City of Manila"/>
    <s v="Malate, City of Manila"/>
    <s v="Grd. Flr. Marbella II Bldg. 2071 Roxas Blvd. Brgy. 701, Malate, Manila"/>
    <s v="RIZALINA D. CORDOVA "/>
    <s v="252-1192"/>
    <s v="seagem629@gmail.com"/>
    <s v="Computer Systems Servicing NC II"/>
    <n v="2"/>
    <n v="140"/>
    <n v="127"/>
  </r>
  <r>
    <x v="66"/>
    <s v="TVIs"/>
    <s v="National Capital Region (NCR)"/>
    <s v="Quezon City"/>
    <s v="Quezon City"/>
    <s v="B1 L1 Salvador Ave. cor., Quirino Highway, Jordan Plains Subd., Quezon City "/>
    <s v="MELODY B. DIGAO"/>
    <s v="292-6536"/>
    <s v="sldmcollegesofqc2014@gmail.com"/>
    <s v="Computer Systems Servicing NC II"/>
    <n v="1"/>
    <n v="112"/>
    <n v="87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Computer Systems Servicing NC II"/>
    <n v="2"/>
    <n v="44"/>
    <n v="44"/>
  </r>
  <r>
    <x v="201"/>
    <s v="TVIs"/>
    <s v="National Capital Region (NCR)"/>
    <s v="CAMANAVA"/>
    <s v="Valenzuela City"/>
    <s v="2nd Floor Macta Bldg. No. 30 Karuhatan road , Valenzuela city"/>
    <s v="RUTH M. CUNTAPAY"/>
    <s v="432-9304/ 443-0533/ 432-9332"/>
    <s v="sjit07@yahoo.com"/>
    <s v="Computer Systems Servicing NC II"/>
    <n v="1"/>
    <n v="16"/>
    <n v="67"/>
  </r>
  <r>
    <x v="29"/>
    <s v="TVIs"/>
    <s v="National Capital Region (NCR)"/>
    <s v="City of Manila"/>
    <s v="Santa Cruz, City of Manila"/>
    <s v="2449 Rizal Ave. corner Cavite Street, Sta. Cruz, Manila"/>
    <s v="Analou Ong"/>
    <s v="8866-3682 / 7751-8162"/>
    <s v="smbit_2011@yahoo.com.ph"/>
    <s v="Computer Systems Servicing NC II"/>
    <n v="2"/>
    <n v="181"/>
    <n v="149"/>
  </r>
  <r>
    <x v="202"/>
    <s v="TVIs"/>
    <s v="National Capital Region (NCR)"/>
    <s v="CAMANAVA"/>
    <s v="Valenzuela City"/>
    <s v="No. 92 Mc Arthur Highway, Marulas, Valenzuela City "/>
    <s v="MARILEN S. GAMOTEA"/>
    <s v="444-1939"/>
    <s v="stpetervelle2003@yahoo.com.ph"/>
    <s v="Computer Systems Servicing NC II"/>
    <n v="1"/>
    <n v="19"/>
    <n v="19"/>
  </r>
  <r>
    <x v="203"/>
    <s v="TVIs"/>
    <s v="National Capital Region (NCR)"/>
    <s v="PAMAMARISAN"/>
    <s v="Pasig City"/>
    <s v="5/F, 15F, 25/F Raffles Corporate Center, F. Ortigas Jr. Rd, San Antonio Ortigas Center, Pasig City"/>
    <s v="MR. DENNIS CALVIN D. TAN"/>
    <s v="420-6488/ 09163093032"/>
    <s v="pmms.telecall.tvimis@gmail.com"/>
    <s v="Computer Systems Servicing NC II"/>
    <n v="5"/>
    <n v="427"/>
    <n v="367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Computer Systems Servicing NC II"/>
    <n v="2"/>
    <n v="186"/>
    <n v="165"/>
  </r>
  <r>
    <x v="205"/>
    <s v="TVIs"/>
    <s v="National Capital Region (NCR)"/>
    <s v="City of Manila"/>
    <s v="Malate, City of Manila"/>
    <s v="Queen Rose Bldg. San Andres cor. L. Guinto St. Barangay 723 Malate Manila"/>
    <s v="Maria Therese L. Quintos"/>
    <s v="395-1727"/>
    <s v="tcsdi.2018@gmail.com"/>
    <s v="Computer Systems Servicing NC II"/>
    <n v="3"/>
    <n v="158"/>
    <n v="114"/>
  </r>
  <r>
    <x v="206"/>
    <s v="TVIs"/>
    <s v="National Capital Region (NCR)"/>
    <s v="PAMAMARISAN"/>
    <s v="Marikina City"/>
    <s v="348 J.p. Rizal Street Brgy. Sto Niño Marikina City"/>
    <s v="Vennelisa De Guzman Valenzuela"/>
    <s v="245-9473"/>
    <s v="uibtai@gmail.com"/>
    <s v="Computer Systems Servicing NC II"/>
    <n v="2"/>
    <n v="51"/>
    <n v="51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Computer Systems Servicing NC II"/>
    <n v="2"/>
    <n v="45"/>
    <n v="43"/>
  </r>
  <r>
    <x v="207"/>
    <s v="TVIs"/>
    <s v="National Capital Region (NCR)"/>
    <s v="PAMAMARISAN"/>
    <s v="Marikina City"/>
    <s v="267 B. &amp; C E. Dela Paz St. Sto. Niño, Marikina City"/>
    <s v="MS. MERLINDA L. QUINTELA"/>
    <s v="475-1492"/>
    <s v="xaviermarikina99@gmail.com"/>
    <s v="Computer Systems Servicing NC II"/>
    <n v="1"/>
    <n v="55"/>
    <n v="53"/>
  </r>
  <r>
    <x v="208"/>
    <s v="TTI (PTC)"/>
    <s v="National Capital Region (NCR)"/>
    <s v="MUNTIPARLASTAPAT"/>
    <s v="Taguig City"/>
    <s v="Bldg. 9, (formerly Pinoy Bayanihan Project) TESDA Complex, East Service Road, South Luzon Expressway, Taguig City"/>
    <s v="MARLON A. FELIX"/>
    <s v="8-886-5306"/>
    <s v="mdtac@tesda.gov.ph"/>
    <s v="Construction Painting NC II"/>
    <n v="2"/>
    <n v="124"/>
    <n v="85"/>
  </r>
  <r>
    <x v="169"/>
    <s v="TVIs"/>
    <s v="National Capital Region (NCR)"/>
    <s v="PAMAMARISAN"/>
    <s v="Mandaluyong City"/>
    <s v="10 A.H. Poblador St., Brgy. Hagdan Bato, Libis, Mandaluyong City"/>
    <s v="MARIA CRISELLA O. BINAYUG "/>
    <s v="964-2237 / 0917-300-5827 / 0942-0359736"/>
    <s v="mcobinayug@qtekcenter.com"/>
    <s v="Construction Painting NC II"/>
    <n v="4"/>
    <n v="325"/>
    <n v="262"/>
  </r>
  <r>
    <x v="30"/>
    <s v="LGU"/>
    <s v="National Capital Region (NCR)"/>
    <s v="MUNTIPARLASTAPAT"/>
    <s v="Taguig City"/>
    <s v="Col. Ballecer St., Brgy. Central Signal Village, Taguig City"/>
    <s v="Evangeline F. Sabater"/>
    <n v="9297015428"/>
    <s v="manpowertmtc@gmail.com"/>
    <s v="Construction Painting NC II"/>
    <n v="1"/>
    <n v="61"/>
    <n v="93"/>
  </r>
  <r>
    <x v="209"/>
    <s v="TVIs"/>
    <s v="National Capital Region (NCR)"/>
    <s v="PAMAMARISAN"/>
    <s v="Mandaluyong City"/>
    <s v="55 Shaw Blvd., Mandaluyong City"/>
    <s v="Danilo S. Velez Jr."/>
    <s v="Tel. 535-1595"/>
    <s v="sjbkalentong1996@gmail.com"/>
    <s v="Contact Center Services NC II"/>
    <n v="1"/>
    <n v="47"/>
    <n v="42"/>
  </r>
  <r>
    <x v="210"/>
    <s v="TVIs"/>
    <s v="National Capital Region (NCR)"/>
    <s v="Quezon City"/>
    <s v="Quezon City"/>
    <s v="74 Cambridge St. cor. New York St. Brgy. E. Rodriguez, Cubao, Quezon City"/>
    <s v="Leticia O. Ogbac"/>
    <s v="(02) 282-5585 / 0918-8031447 /09175489048"/>
    <s v="l_ogbac@yahoo.com"/>
    <s v="Contact Center Services NC II"/>
    <n v="2"/>
    <n v="229"/>
    <n v="224"/>
  </r>
  <r>
    <x v="211"/>
    <s v="TVIs"/>
    <s v="National Capital Region (NCR)"/>
    <s v="PAMAMARISAN"/>
    <s v="Pasig City"/>
    <s v="Mezzanine B 707 Shaw Blvd., Brgy. Kapitolyo, Pasig City "/>
    <s v="KYLE JUSTIN B. GO"/>
    <s v="584-7200/ 0917-5187073"/>
    <s v="americantesolinstitute01@gmail.com"/>
    <s v="Contact Center Services NC II"/>
    <n v="1"/>
    <n v="56"/>
    <n v="46"/>
  </r>
  <r>
    <x v="70"/>
    <s v="TVIs"/>
    <s v="National Capital Region (NCR)"/>
    <s v="CAMANAVA"/>
    <s v="Valenzuela City"/>
    <s v="0721 Navarette St., Arkong Bato, Valenzuela City"/>
    <s v="CRISTINA MARIE M. FELICIANO"/>
    <s v="09194994983 / 0916403254."/>
    <s v="aphroditetacvalenzuela2023@gmail.com"/>
    <s v="Contact Center Services NC II"/>
    <n v="3"/>
    <n v="159"/>
    <n v="66"/>
  </r>
  <r>
    <x v="212"/>
    <s v="TVIs"/>
    <s v="National Capital Region (NCR)"/>
    <s v="PAMAMARISAN"/>
    <s v="San Juan City"/>
    <s v="4 2nd West Crame, San Juan City"/>
    <s v="Rodell King Alcantara "/>
    <s v="8521-9958/ 09192898785"/>
    <s v="bluechiptrainingcenterph@gmail.com"/>
    <s v="Contact Center Services NC II"/>
    <n v="1"/>
    <n v="25"/>
    <n v="0"/>
  </r>
  <r>
    <x v="177"/>
    <s v="TVIs"/>
    <s v="National Capital Region (NCR)"/>
    <s v="Quezon City"/>
    <s v="Quezon City"/>
    <s v="2nd Floor Rear Ablaza Building, 117 E. Rodriguez Sr. Avenue, Quezon City"/>
    <s v="LENIE M. SANTIAGO"/>
    <s v="353-7981"/>
    <s v="canetowncollegesofthephils12@gmail.com"/>
    <s v="Contact Center Services NC II"/>
    <n v="2"/>
    <n v="278"/>
    <n v="242"/>
  </r>
  <r>
    <x v="213"/>
    <s v="TVIs"/>
    <s v="National Capital Region (NCR)"/>
    <s v="Quezon City"/>
    <s v="Quezon City"/>
    <s v="4/F 656 Del Monte Ave., Brgy. Talayan, Quezon City"/>
    <s v="ARRISH C. ALTAVANO"/>
    <s v="298-2162"/>
    <s v="altavano.arrish@gmail.com"/>
    <s v="Contact Center Services NC II"/>
    <n v="4"/>
    <n v="312"/>
    <n v="599"/>
  </r>
  <r>
    <x v="179"/>
    <s v="TVIs"/>
    <s v="National Capital Region (NCR)"/>
    <s v="Quezon City"/>
    <s v="Quezon City"/>
    <s v="2nd Floor Our Home Bldg., 114 Malakas St. Diliman, Quezon City"/>
    <s v="Cecilio B. Pingkian "/>
    <s v="(02) 925-2554  435-7010"/>
    <s v="cit_2013@yahoo.com"/>
    <s v="Contact Center Services NC II"/>
    <n v="2"/>
    <n v="160"/>
    <n v="127"/>
  </r>
  <r>
    <x v="34"/>
    <s v="TVIs"/>
    <s v="National Capital Region (NCR)"/>
    <s v="CAMANAVA"/>
    <s v="Caloocan City"/>
    <s v="Phase 10 Pkg. 6 Blk. 1 Lot 4 Bagong Silang, Caloocan City"/>
    <s v="EUGENIO V. DAUZ, Ph.D."/>
    <s v="579-40-11"/>
    <s v="cmnv.cdsgacal.tvimis@gmail.com"/>
    <s v="Contact Center Services NC II"/>
    <n v="1"/>
    <n v="69"/>
    <n v="69"/>
  </r>
  <r>
    <x v="214"/>
    <s v="TVIs"/>
    <s v="National Capital Region (NCR)"/>
    <s v="Quezon City"/>
    <s v="Quezon City"/>
    <s v="No. 7 Zuzuarregui, brgy. Holy Spirit, Old Balara, Quezon City"/>
    <s v="Joseph Lornito G. Beaniza"/>
    <s v="(02) 441-0501"/>
    <s v="eclaroacademytesda@gmail.com"/>
    <s v="Contact Center Services NC II"/>
    <n v="1"/>
    <n v="60"/>
    <n v="60"/>
  </r>
  <r>
    <x v="215"/>
    <s v="TVIs"/>
    <s v="National Capital Region (NCR)"/>
    <s v="Quezon City"/>
    <s v="Quezon City"/>
    <s v="Archipelago Building, 29 North Avenue, Bagong Pag-asa, Quezon City"/>
    <s v="INES M. BASAEN"/>
    <s v="926-2948 / 925-5640"/>
    <s v="pgodoy.gardner@gmail.com"/>
    <s v="Contact Center Services NC II"/>
    <n v="1"/>
    <n v="180"/>
    <n v="163"/>
  </r>
  <r>
    <x v="216"/>
    <s v="TVIs"/>
    <s v="National Capital Region (NCR)"/>
    <s v="Quezon City"/>
    <s v="Quezon City"/>
    <s v="121 3A Forab Bldg.Building Kamuning Road Kamuning, Quezon City"/>
    <s v="OFELIA B. ANDRADA"/>
    <s v="7001-4760"/>
    <s v="globalinfinity023@gmail.com"/>
    <s v="Contact Center Services NC II"/>
    <n v="2"/>
    <n v="155"/>
    <n v="127"/>
  </r>
  <r>
    <x v="45"/>
    <s v="TVIs"/>
    <s v="National Capital Region (NCR)"/>
    <s v="MUNTIPARLASTAPAT"/>
    <s v="Parañaque City"/>
    <s v="Lot-16, Blk-5 Saint Paul St., Lopez Village, Sucat, Parañaque City"/>
    <s v="ANGELITA O. GATUS"/>
    <s v="(02) 73416854"/>
    <s v="gotecbrsr@gmail.com"/>
    <s v="Contact Center Services NC II"/>
    <n v="1"/>
    <n v="71"/>
    <n v="45"/>
  </r>
  <r>
    <x v="182"/>
    <s v="TVIs"/>
    <s v="National Capital Region (NCR)"/>
    <s v="CAMANAVA"/>
    <s v="Malabon City"/>
    <s v="4F St. Jerome Mansion, 82 Victoneta Ave., Potrero, Malabon City"/>
    <s v="FLORINDA V. VALERA"/>
    <n v="9684471790"/>
    <s v="headstartcenter1@gmail.com"/>
    <s v="Contact Center Services NC II"/>
    <n v="2"/>
    <n v="127"/>
    <n v="0"/>
  </r>
  <r>
    <x v="217"/>
    <s v="TVIs"/>
    <s v="National Capital Region (NCR)"/>
    <s v="MUNTIPARLASTAPAT"/>
    <s v="Muntinlupa City"/>
    <s v="Indo-China Drive, Northgate Cyberzone, Filinvest Corporate City, Alabang, Muntinlupa City"/>
    <s v="Mary Grace A. Sumagaysay"/>
    <s v="772-24-72/74/76"/>
    <s v="msumagaysay@informatics.com.ph"/>
    <s v="Contact Center Services NC II"/>
    <n v="1"/>
    <n v="112"/>
    <n v="99"/>
  </r>
  <r>
    <x v="218"/>
    <s v="TVIs"/>
    <s v="National Capital Region (NCR)"/>
    <s v="City of Manila"/>
    <s v="Quiapo, City of Manila"/>
    <s v="Ground to 4th Floor BDO C.M. Recto San Sebastian Branch Building, 2070 C.M. Recto Avenue, Quiapo, Manila"/>
    <s v="ROLAN M. MACARANG"/>
    <s v="488-3034/ 488-3358/ 488-3031"/>
    <s v="rmacarang@informatics.com.ph"/>
    <s v="Contact Center Services NC II"/>
    <n v="1"/>
    <n v="159"/>
    <n v="124"/>
  </r>
  <r>
    <x v="49"/>
    <s v="TVIs"/>
    <s v="National Capital Region (NCR)"/>
    <s v="MUNTIPARLASTAPAT"/>
    <s v="Parañaque City"/>
    <s v="CAP Bldg., Dr. A. Santos Ave., Sucat, Parañaque City"/>
    <s v="Alan F. Boribor"/>
    <s v="825-6531/470-7793"/>
    <s v="infotechcollege_2017@yahoo.com"/>
    <s v="Contact Center Services NC II"/>
    <n v="2"/>
    <n v="75"/>
    <n v="66"/>
  </r>
  <r>
    <x v="219"/>
    <s v="TVIs"/>
    <s v="National Capital Region (NCR)"/>
    <s v="CAMANAVA"/>
    <s v="Valenzuela City"/>
    <s v="Km 16 Mc Arthur Highway Malanday, Valenzuela City"/>
    <s v="Hilario F. Narida"/>
    <s v="206-9807"/>
    <s v="innovativetechnicalinstitute@gmail.com"/>
    <s v="Contact Center Services NC II"/>
    <n v="1"/>
    <n v="56"/>
    <n v="51"/>
  </r>
  <r>
    <x v="55"/>
    <s v="TVIs"/>
    <s v="National Capital Region (NCR)"/>
    <s v="MUNTIPARLASTAPAT"/>
    <s v="Parañaque City"/>
    <s v="J. Villaroman St. Classic Homes, B.F. Homes, Parañaque City"/>
    <s v="Joy Myra S. Tambunting"/>
    <s v="807-5171/75"/>
    <s v="tesda@marymountacademy.edu.ph"/>
    <s v="Contact Center Services NC II"/>
    <n v="1"/>
    <n v="147"/>
    <n v="192"/>
  </r>
  <r>
    <x v="193"/>
    <s v="TVIs"/>
    <s v="National Capital Region (NCR)"/>
    <s v="Quezon City"/>
    <s v="Quezon City"/>
    <s v="138 Timog Avenue Quezon City"/>
    <s v="RAYMUND A. IGNACIO"/>
    <s v="263-4819"/>
    <s v="mindbankcorp@gmail.com"/>
    <s v="Contact Center Services NC II"/>
    <n v="1"/>
    <n v="186"/>
    <n v="271"/>
  </r>
  <r>
    <x v="21"/>
    <s v="TVIs"/>
    <s v="National Capital Region (NCR)"/>
    <s v="Quezon City"/>
    <s v="Quezon City"/>
    <s v="Unit 11, Llanar Bldg., Bonny Serrano Ave., cor. 10th Ave., Cubao, Quezon City "/>
    <s v="MARK AUGUSTINE L. RODRIGUEZ"/>
    <s v="364-4347"/>
    <s v="nationalinstitute.techvoc@gmail.com"/>
    <s v="Contact Center Services NC II"/>
    <n v="4"/>
    <n v="387"/>
    <n v="360"/>
  </r>
  <r>
    <x v="220"/>
    <s v="TVIs"/>
    <s v="National Capital Region (NCR)"/>
    <s v="PAMAMARISAN"/>
    <s v="Mandaluyong City"/>
    <s v="3/F CLMC Bldg., 259 EDSA corner Connecticut St., Mandaluyong City"/>
    <s v="MS. Maria Anchy M. Ang"/>
    <s v="721-9862"/>
    <s v="info@oeridian.com"/>
    <s v="Contact Center Services NC II"/>
    <n v="1"/>
    <n v="59"/>
    <n v="59"/>
  </r>
  <r>
    <x v="125"/>
    <s v="TVIs"/>
    <s v="National Capital Region (NCR)"/>
    <s v="MUNTIPARLASTAPAT"/>
    <s v="Parañaque City"/>
    <s v="Dr. A. Santos Ave., Barangay San Dionisio, Parañaque City"/>
    <s v="Dr. Eric L. Olivarez"/>
    <s v="825-71-89, 825-71-19 fax - 825-87-12"/>
    <s v="Ocp.tesda@olivarezcollege.edu.ph"/>
    <s v="Contact Center Services NC II"/>
    <n v="1"/>
    <n v="52"/>
    <n v="52"/>
  </r>
  <r>
    <x v="195"/>
    <s v="TVIs"/>
    <s v="National Capital Region (NCR)"/>
    <s v="PAMAMARISAN"/>
    <s v="San Juan City"/>
    <s v="Unit 1105 &amp; 1106 Jafer Place, Eisenhower St., Greenhills, San Juan City"/>
    <s v="MA. ELENA A. PASIA"/>
    <n v="9395537454"/>
    <s v="optimumskillssic@gmail.com"/>
    <s v="Contact Center Services NC II"/>
    <n v="2"/>
    <n v="365"/>
    <n v="362"/>
  </r>
  <r>
    <x v="196"/>
    <s v="TVIs"/>
    <s v="National Capital Region (NCR)"/>
    <s v="PASMAK"/>
    <s v="Makati City"/>
    <s v="3/F Sterling Annex, 2302 Chino Roces Ext., Brgy. Magallanes, Makati City"/>
    <s v="KRISTELLE LYNNE P. ONG"/>
    <n v="9606688727"/>
    <s v="pccimakati0522@gmail.com"/>
    <s v="Contact Center Services NC II"/>
    <n v="0"/>
    <n v="0"/>
    <n v="247"/>
  </r>
  <r>
    <x v="75"/>
    <s v="TVIs"/>
    <s v="National Capital Region (NCR)"/>
    <s v="CAMANAVA"/>
    <s v="Valenzuela City"/>
    <s v="Corner De Leon Street, Purok 1-A Kabatuhan Street, Mapulang Lupa, Valenzuela City"/>
    <s v="Arvin C. Mamites"/>
    <s v="(02) 750-3718"/>
    <s v="philschooltechdevinno@gmail.com"/>
    <s v="Contact Center Services NC II"/>
    <n v="2"/>
    <n v="294"/>
    <n v="277"/>
  </r>
  <r>
    <x v="200"/>
    <s v="TVIs"/>
    <s v="National Capital Region (NCR)"/>
    <s v="City of Manila"/>
    <s v="Malate, City of Manila"/>
    <s v="Grd. Flr. Marbella II Bldg. 2071 Roxas Blvd. Brgy. 701, Malate, Manila"/>
    <s v="RIZALINA D. CORDOVA "/>
    <s v="252-1192"/>
    <s v="seagem629@gmail.com"/>
    <s v="Contact Center Services NC II"/>
    <n v="3"/>
    <n v="219"/>
    <n v="148"/>
  </r>
  <r>
    <x v="66"/>
    <s v="TVIs"/>
    <s v="National Capital Region (NCR)"/>
    <s v="Quezon City"/>
    <s v="Quezon City"/>
    <s v="B1 L1 Salvador Ave. cor., Quirino Highway, Jordan Plains Subd., Quezon City "/>
    <s v="MELODY B. DIGAO"/>
    <s v="292-6536"/>
    <s v="sldmcollegesofqc2014@gmail.com"/>
    <s v="Contact Center Services NC II"/>
    <n v="2"/>
    <n v="106"/>
    <n v="140"/>
  </r>
  <r>
    <x v="221"/>
    <s v="TVIs"/>
    <s v="National Capital Region (NCR)"/>
    <s v="PAMAMARISAN"/>
    <s v="Pasig City"/>
    <s v="No. 28 San Lorenzo St., Brgy. Kapitolyo, Pasig City"/>
    <s v="ARRISH C. ALTAVANO"/>
    <s v="359-3913 / 636-7090"/>
    <s v="pasig@sltcfi.com"/>
    <s v="Contact Center Services NC II"/>
    <n v="3"/>
    <n v="183"/>
    <n v="337"/>
  </r>
  <r>
    <x v="222"/>
    <s v="TVIs"/>
    <s v="National Capital Region (NCR)"/>
    <s v="CAMANAVA"/>
    <s v="Valenzuela City"/>
    <s v="15-17 Magdula Bldg, MacArthur Highway Marulas Valenzuela City"/>
    <s v="ROSE JASMIN R. KIM"/>
    <s v="966-9614"/>
    <s v="springleaftechnicals@yahoo.com"/>
    <s v="Contact Center Services NC II"/>
    <n v="1"/>
    <n v="81"/>
    <n v="81"/>
  </r>
  <r>
    <x v="74"/>
    <s v="TVIs"/>
    <s v="National Capital Region (NCR)"/>
    <s v="CAMANAVA"/>
    <s v="Malabon City"/>
    <s v="30 M. Santos St., Santolan, Malabon City"/>
    <s v="VICTOR COLUMBUS C. CANTA"/>
    <n v="9278551680"/>
    <s v="smati.malabon@gmail.com"/>
    <s v="Contact Center Services NC II"/>
    <n v="0"/>
    <n v="0"/>
    <n v="24"/>
  </r>
  <r>
    <x v="223"/>
    <s v="TVIs"/>
    <s v="National Capital Region (NCR)"/>
    <s v="City of Manila"/>
    <s v="Sampaloc, City of Manila"/>
    <s v="1789 Dimasalang Street, Sta. Cruz, Manila"/>
    <s v="Melody S. Cruz"/>
    <s v="712-2381/ 247-7651"/>
    <s v="techvoc_skills.incorporated@yahoo.com"/>
    <s v="Contact Center Services NC II"/>
    <n v="4"/>
    <n v="858"/>
    <n v="941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Contact Center Services NC II"/>
    <n v="1"/>
    <n v="158"/>
    <n v="136"/>
  </r>
  <r>
    <x v="86"/>
    <s v="TVIs"/>
    <s v="National Capital Region (NCR)"/>
    <s v="CAMANAVA"/>
    <s v="Caloocan City"/>
    <s v="Isagani Campo St., Bankers Village 2, Barangay 184, Caloocan City"/>
    <s v="ENGR. MARIZEN S. MANALO"/>
    <s v="85631125 / 09066928678"/>
    <s v="trinitycaloocantvimis@gmail.com"/>
    <s v="Contact Center Services NC II"/>
    <n v="1"/>
    <n v="25"/>
    <n v="0"/>
  </r>
  <r>
    <x v="63"/>
    <s v="TVIs"/>
    <s v="National Capital Region (NCR)"/>
    <s v="MUNTIPARLASTAPAT"/>
    <s v="Parañaque City"/>
    <s v="17 Highlight St., Area 4 Fourth Estate Subd., Sucat, Parañaque City"/>
    <s v="Rev. Dr. James C. Sy"/>
    <s v="820-7764"/>
    <s v="ucaphil_college@yahoo.com"/>
    <s v="Contact Center Services NC II"/>
    <n v="1"/>
    <n v="155"/>
    <n v="256"/>
  </r>
  <r>
    <x v="224"/>
    <s v="TVIs"/>
    <s v="National Capital Region (NCR)"/>
    <s v="Quezon City"/>
    <s v="Quezon City"/>
    <s v="31 Zabarte Road, Barangay Kaligayahan, Novaliches, Quezon City"/>
    <s v="TERESITA P. SANTIAGO"/>
    <s v="8788-7633"/>
    <s v="welearntrainingph@gmail.com"/>
    <s v="Contact Center Services NC II"/>
    <n v="2"/>
    <n v="382"/>
    <n v="417"/>
  </r>
  <r>
    <x v="32"/>
    <s v="TVIs"/>
    <s v="National Capital Region (NCR)"/>
    <s v="PAMAMARISAN"/>
    <s v="Marikina City"/>
    <s v="2/F WRC Bldg. No. 47 Gil Fernando Midtown Subd., San Roque, Marikina City "/>
    <s v="MR. JAIME G. DOLERA JR."/>
    <s v="Tel. No. 234-0996"/>
    <s v="academy.asia@gmail.com"/>
    <s v="Cookery NC II"/>
    <n v="2"/>
    <n v="195"/>
    <n v="158"/>
  </r>
  <r>
    <x v="69"/>
    <s v="TVIs"/>
    <s v="National Capital Region (NCR)"/>
    <s v="PAMAMARISAN"/>
    <s v="Pasig City"/>
    <s v="Suite U-207 Skyway Twin Tower, 351 Henry P. Javier St., Brgy., Orando Pasig City "/>
    <s v="Mr. Michael M. Tiaoqui "/>
    <s v="671-0276 / 671-0277 loc. 110"/>
    <s v="registrar@aicaculinary.com"/>
    <s v="Cookery NC II"/>
    <n v="2"/>
    <n v="84"/>
    <n v="80"/>
  </r>
  <r>
    <x v="33"/>
    <s v="TVIs"/>
    <s v="National Capital Region (NCR)"/>
    <s v="PAMAMARISAN"/>
    <s v="Pasig City"/>
    <s v="No.11 M.H. Del Pilar St., Brgy. San Nicolas, Pasig"/>
    <s v="DONA MARIE ANGELICA O. MARIANO"/>
    <n v="9088130738"/>
    <s v="pas@access.edu.ph"/>
    <s v="Cookery NC II"/>
    <n v="1"/>
    <n v="34"/>
    <n v="34"/>
  </r>
  <r>
    <x v="225"/>
    <s v="TVIs"/>
    <s v="National Capital Region (NCR)"/>
    <s v="PASMAK"/>
    <s v="Makati City"/>
    <s v="Unit 1, 2F Autometics Center Bldg., 2257 Don Chino Roces Ave. Extn. Magallanes, Makati City"/>
    <s v="ROBERTO LUIS PENGSON"/>
    <n v="9359400586"/>
    <s v="aleanza.institute@gmail.com"/>
    <s v="Cookery NC II"/>
    <n v="0"/>
    <n v="0"/>
    <n v="0"/>
  </r>
  <r>
    <x v="116"/>
    <s v="TVIs"/>
    <s v="National Capital Region (NCR)"/>
    <s v="MUNTIPARLASTAPAT"/>
    <s v="Taguig City"/>
    <s v="4/F Gate 3 Plaza, Lawton Avenue cor. Juliano Ave., AFPOVAI Phase lll, Western Bicutan, Taguig City"/>
    <s v="Dario S. Espineda"/>
    <s v="553-5202/869-8824"/>
    <s v="asiasource.academics@gmail.com"/>
    <s v="Cookery NC II"/>
    <n v="0"/>
    <n v="0"/>
    <n v="70"/>
  </r>
  <r>
    <x v="88"/>
    <s v="TVIs"/>
    <s v="National Capital Region (NCR)"/>
    <s v="PAMAMARISAN"/>
    <s v="Pasig City"/>
    <s v="One Victoria Plaza, A. Mabini, Kapasigan, Pasig City"/>
    <s v="DARIO S. ESPINEDA"/>
    <s v="637-9895"/>
    <s v="asiasource.academics@gmail.com"/>
    <s v="Cookery NC II"/>
    <n v="1"/>
    <n v="25"/>
    <n v="25"/>
  </r>
  <r>
    <x v="11"/>
    <s v="TVIs"/>
    <s v="National Capital Region (NCR)"/>
    <s v="PAMAMARISAN"/>
    <s v="Marikina City"/>
    <s v="No. 14 N. Roxas St., San Roque, Marikina City"/>
    <s v="PRINCES A. PAMPLONA"/>
    <s v="961-7772 / 995-0996"/>
    <s v="asiantouchmarikina@gmail.com"/>
    <s v="Cookery NC II"/>
    <n v="2"/>
    <n v="209"/>
    <n v="109"/>
  </r>
  <r>
    <x v="107"/>
    <s v="TVIs"/>
    <s v="National Capital Region (NCR)"/>
    <s v="MUNTIPARLASTAPAT"/>
    <s v="Las Piñas City"/>
    <s v="Bernardo College Compound, Pulanglupa I, Las Piñas City"/>
    <s v="Maria Jesusan- Bernardo Guinto"/>
    <s v="873-3330"/>
    <s v="bernardocollege@yahoo.com"/>
    <s v="Cookery NC II"/>
    <n v="0"/>
    <n v="0"/>
    <n v="50"/>
  </r>
  <r>
    <x v="80"/>
    <s v="TVIs"/>
    <s v="National Capital Region (NCR)"/>
    <s v="Quezon City"/>
    <s v="Quezon City"/>
    <s v="54 J.P. Rizal St. Project 4, Quezon City"/>
    <s v="Lorena C. Salvador"/>
    <s v="(02) 911-1584 loc 12"/>
    <s v="cti@cabalen.ph"/>
    <s v="Cookery NC II"/>
    <n v="3"/>
    <n v="226"/>
    <n v="192"/>
  </r>
  <r>
    <x v="90"/>
    <s v="TVIs"/>
    <s v="National Capital Region (NCR)"/>
    <s v="PAMAMARISAN"/>
    <s v="San Juan City"/>
    <s v="175 Paterno Street, San Juan City"/>
    <s v="EUGENIO RAMON R. GONZALEZ"/>
    <s v="725-5089; 650-3282; 09773473277"/>
    <s v="cacschef@gmail.com"/>
    <s v="Cookery NC II"/>
    <n v="4"/>
    <n v="137"/>
    <n v="150"/>
  </r>
  <r>
    <x v="102"/>
    <s v="TVIs"/>
    <s v="National Capital Region (NCR)"/>
    <s v="MUNTIPARLASTAPAT"/>
    <s v="Taguig City"/>
    <s v="2nd Floor Seagull Avenue cor. First Street, Barangay San Miguel, Taguig City"/>
    <s v="NELSON J. ALBANIEL"/>
    <s v="09458823769 / 09298084047"/>
    <s v="chefmaritime02taguigmain@gmail.com"/>
    <s v="Cookery NC II"/>
    <n v="2"/>
    <n v="112"/>
    <n v="111"/>
  </r>
  <r>
    <x v="226"/>
    <s v="TVIs"/>
    <s v="National Capital Region (NCR)"/>
    <s v="Quezon City"/>
    <s v="Quezon City"/>
    <s v="2nd Floor Primark Town Center, G. Araneta Avenue cor. Quezon Avenue, Quezon City"/>
    <s v="FRANCO LINO V. CLARIDAD"/>
    <s v="8545-4984 / 0948-619362"/>
    <s v="qc.clearvoctvimis@gmail.com"/>
    <s v="Cookery NC II"/>
    <n v="2"/>
    <n v="201"/>
    <n v="178"/>
  </r>
  <r>
    <x v="133"/>
    <s v="TVIs"/>
    <s v="National Capital Region (NCR)"/>
    <s v="Quezon City"/>
    <s v="Quezon City"/>
    <s v="Unit C, 2/F, Lourdes Arcade, No. 986 Tandang Sora Ave., Quezon City"/>
    <s v="Estela C. Liban"/>
    <s v="436-5781 / 435-6857"/>
    <s v="cochaculinary@gmail.com"/>
    <s v="Cookery NC II"/>
    <n v="1"/>
    <n v="14"/>
    <n v="170"/>
  </r>
  <r>
    <x v="34"/>
    <s v="TVIs"/>
    <s v="National Capital Region (NCR)"/>
    <s v="CAMANAVA"/>
    <s v="Caloocan City"/>
    <s v="Phase 10 Pkg. 6 Blk. 1 Lot 4 Bagong Silang, Caloocan City"/>
    <s v="EUGENIO V. DAUZ, Ph.D."/>
    <s v="579-40-11"/>
    <s v="cmnv.cdsgacal.tvimis@gmail.com"/>
    <s v="Cookery NC II"/>
    <n v="2"/>
    <n v="39"/>
    <n v="90"/>
  </r>
  <r>
    <x v="91"/>
    <s v="TVIs"/>
    <s v="National Capital Region (NCR)"/>
    <s v="PAMAMARISAN"/>
    <s v="San Juan City"/>
    <s v="No. 173 M. Paterno St., San Juan City"/>
    <s v="Maria Theresa E. Nabatar"/>
    <s v="727-0581 to 82 / 722-5671"/>
    <s v="reg@punlaanschool.edu.ph"/>
    <s v="Cookery NC II"/>
    <n v="2"/>
    <n v="111"/>
    <n v="130"/>
  </r>
  <r>
    <x v="35"/>
    <s v="TVIs"/>
    <s v="National Capital Region (NCR)"/>
    <s v="PAMAMARISAN"/>
    <s v="Mandaluyong City"/>
    <s v="3/F Raymundo Bldg. Kalentong St., Mandaluyong City"/>
    <s v="JOSE O. MONTENEGRO"/>
    <s v="534-4478"/>
    <s v="gistian08.mandakalentong@gmail.com"/>
    <s v="Cookery NC II"/>
    <n v="2"/>
    <n v="196"/>
    <n v="237"/>
  </r>
  <r>
    <x v="89"/>
    <s v="TVIs"/>
    <s v="National Capital Region (NCR)"/>
    <s v="Quezon City"/>
    <s v="Quezon City"/>
    <s v="2/F Herminia Bldg., Commonwealth Ave., North Fairview, Quezon City"/>
    <s v="Jose O. Montenegro"/>
    <s v="930-4478 / 938-1834 / 09285595446"/>
    <s v="gist.fairview2010@gmail.com"/>
    <s v="Cookery NC II"/>
    <n v="1"/>
    <n v="39"/>
    <n v="0"/>
  </r>
  <r>
    <x v="117"/>
    <s v="TVIs"/>
    <s v="National Capital Region (NCR)"/>
    <s v="PAMAMARISAN"/>
    <s v="Pasig City"/>
    <s v="4/F Millenium Place Bldg., Meralco Ave. and Sapphire Road, Ortigas Center, Brgy. San Antonio, Pasig City"/>
    <s v="Benjamin N. Ledesma Jr."/>
    <s v="633-6382 / 638-9183"/>
    <s v="registrar.globalacademy@gmail.com"/>
    <s v="Cookery NC II"/>
    <n v="2"/>
    <n v="100"/>
    <n v="79"/>
  </r>
  <r>
    <x v="76"/>
    <s v="TVIs"/>
    <s v="National Capital Region (NCR)"/>
    <s v="PASMAK"/>
    <s v="Makati City"/>
    <s v="7781 Saint Paul Road, San Antonio, Makati City"/>
    <s v="JOSEPHINE B. LAGUATAN"/>
    <s v="(02) 519-1470 to 71/(02) 8899-7781/0917-884-4873"/>
    <s v="globetek.tvitesda@gmail.com"/>
    <s v="Cookery NC II"/>
    <n v="1"/>
    <n v="152"/>
    <n v="148"/>
  </r>
  <r>
    <x v="19"/>
    <s v="TVIs"/>
    <s v="National Capital Region (NCR)"/>
    <s v="MUNTIPARLASTAPAT"/>
    <s v="Parañaque City"/>
    <s v="No. 97 Doña Soledad Better Living, Don Bosco, Parañaque City"/>
    <s v="DAVE DV. NAVARRO"/>
    <s v="239-2860"/>
    <s v="homeculinary@kingsgroup.com.ph"/>
    <s v="Cookery NC II"/>
    <n v="0"/>
    <n v="0"/>
    <n v="43"/>
  </r>
  <r>
    <x v="227"/>
    <s v="TVIs"/>
    <s v="National Capital Region (NCR)"/>
    <s v="PAMAMARISAN"/>
    <s v="Marikina City"/>
    <s v="34 Lark St., Sta Elena, Marikina City"/>
    <s v="MS. ANALYN A. NAVARRETE"/>
    <s v="882-0492 / 682-3445"/>
    <s v="ietimarikina8@yahoo.com"/>
    <s v="Cookery NC II"/>
    <n v="1"/>
    <n v="59"/>
    <n v="58"/>
  </r>
  <r>
    <x v="47"/>
    <s v="TVIs"/>
    <s v="National Capital Region (NCR)"/>
    <s v="MUNTIPARLASTAPAT"/>
    <s v="Muntinlupa City"/>
    <s v="No. 5 Molina St., Alabang, Muntinlupa City"/>
    <s v="MELVIE B. ACEDO"/>
    <s v="850-0937/850-0938"/>
    <s v="ietialabang@yahoo.com"/>
    <s v="Cookery NC II"/>
    <n v="0"/>
    <n v="0"/>
    <n v="45"/>
  </r>
  <r>
    <x v="49"/>
    <s v="TVIs"/>
    <s v="National Capital Region (NCR)"/>
    <s v="MUNTIPARLASTAPAT"/>
    <s v="Parañaque City"/>
    <s v="CAP Bldg., Dr. A. Santos Ave., Sucat, Parañaque City"/>
    <s v="Alan F. Boribor"/>
    <s v="825-6531/470-7793"/>
    <s v="infotechcollege_2017@yahoo.com"/>
    <s v="Cookery NC II"/>
    <n v="1"/>
    <n v="25"/>
    <n v="0"/>
  </r>
  <r>
    <x v="114"/>
    <s v="TVIs"/>
    <s v="National Capital Region (NCR)"/>
    <s v="Quezon City"/>
    <s v="Quezon City"/>
    <s v="Buenamar Subdivision, Buenamar Drive, Brgy. Novaliches Proper, Novaliches, District 5, Quezon City"/>
    <s v="JOEY Q. MANALO"/>
    <s v="754-9645"/>
    <s v="qc.integratedinnovation.t2mis@gmail.com"/>
    <s v="Cookery NC II"/>
    <n v="0"/>
    <n v="0"/>
    <n v="124"/>
  </r>
  <r>
    <x v="83"/>
    <s v="TVIs"/>
    <s v="National Capital Region (NCR)"/>
    <s v="MUNTIPARLASTAPAT"/>
    <s v="Las Piñas City"/>
    <s v="No. 33 Gloria Diaz St., BF Resort Village, Las Piñas City"/>
    <s v="Glecita R. Buan"/>
    <s v="871-2133/775-5016/552-9001"/>
    <s v="info.imaiph@gmail.com"/>
    <s v="Cookery NC II"/>
    <n v="1"/>
    <n v="53"/>
    <n v="53"/>
  </r>
  <r>
    <x v="127"/>
    <s v="TVIs"/>
    <s v="National Capital Region (NCR)"/>
    <s v="Quezon City"/>
    <s v="Quezon City"/>
    <s v="4/F FBR Arcade, Katipunan Avenue, Quezon City"/>
    <s v="Ralph Pinza"/>
    <s v="926-8888/ 920-1481/ 426-7672"/>
    <s v="ralph.pinza@iscahm.com"/>
    <s v="Cookery NC II"/>
    <n v="3"/>
    <n v="157"/>
    <n v="131"/>
  </r>
  <r>
    <x v="50"/>
    <s v="HEIs"/>
    <s v="National Capital Region (NCR)"/>
    <s v="PAMAMARISAN"/>
    <s v="Mandaluyong City"/>
    <s v="343 Ortigas Ave., Mandaluyong City"/>
    <s v="Mrs. Maria Carmela A. Boncodin"/>
    <s v="721-2000 loc 249 / 721-2000 loc 121"/>
    <s v="alted.aac@lsgh.edu.ph"/>
    <s v="Cookery NC II"/>
    <n v="1"/>
    <n v="18"/>
    <n v="15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Cookery NC II"/>
    <n v="2"/>
    <n v="42"/>
    <n v="64"/>
  </r>
  <r>
    <x v="82"/>
    <s v="TVIs"/>
    <s v="National Capital Region (NCR)"/>
    <s v="PASMAK"/>
    <s v="Pasay City"/>
    <s v="58-B. Sta. Monica, Pasay City"/>
    <s v="Donita Rose P. Moreno"/>
    <s v="834-7362"/>
    <s v="lexusacademyinc@gmail.com"/>
    <s v="Cookery NC II"/>
    <n v="2"/>
    <n v="177"/>
    <n v="173"/>
  </r>
  <r>
    <x v="52"/>
    <s v="TVIs"/>
    <s v="National Capital Region (NCR)"/>
    <s v="MUNTIPARLASTAPAT"/>
    <s v="Muntinlupa City"/>
    <s v="Km. 30 National Road, Tunasan, Muntinlupa City"/>
    <s v="Abigael D. Guda"/>
    <s v="403-8248"/>
    <s v="loatechdept@gmail.com"/>
    <s v="Cookery NC II"/>
    <n v="2"/>
    <n v="50"/>
    <n v="44"/>
  </r>
  <r>
    <x v="93"/>
    <s v="TVIs"/>
    <s v="National Capital Region (NCR)"/>
    <s v="City of Manila"/>
    <s v="Ermita, City of Manila"/>
    <s v="3rd Floor Times Plaza Building, United Nations cor. Taft Ave., Ermita, Manila"/>
    <s v="PAOLO SANTINO A. GUEVARA"/>
    <s v="524-9996 loc.308/523-8538"/>
    <s v="jewel.evangelista@mihca.edu.ph"/>
    <s v="Cookery NC II"/>
    <n v="3"/>
    <n v="163"/>
    <n v="151"/>
  </r>
  <r>
    <x v="93"/>
    <s v="TVIs"/>
    <s v="National Capital Region (NCR)"/>
    <s v="PAMAMARISAN"/>
    <s v="Mandaluyong City"/>
    <s v="G/F and 2/F Commercial Space Pioneer, Woodlands Tower 1 and 2, EDSA corner Pioneer St., Mandaluyong City"/>
    <s v="PAOLO SANTINO A. GUEVARA "/>
    <s v="721-1540"/>
    <s v="warly.pacol@mihca.edu.ph"/>
    <s v="Cookery NC II"/>
    <n v="1"/>
    <n v="329"/>
    <n v="449"/>
  </r>
  <r>
    <x v="115"/>
    <s v="TVIs"/>
    <s v="National Capital Region (NCR)"/>
    <s v="City of Manila"/>
    <s v="Ermita, City of Manila"/>
    <s v="537 UNITED NATIONS AVENUE, ERMITA, MANILA"/>
    <s v="Jovito E. Rodriguez"/>
    <s v="995-3650 / 998-6153"/>
    <s v="mlaatelier17@gmail.com"/>
    <s v="Cookery NC II"/>
    <n v="2"/>
    <n v="106"/>
    <n v="72"/>
  </r>
  <r>
    <x v="100"/>
    <s v="TVIs"/>
    <s v="National Capital Region (NCR)"/>
    <s v="PAMAMARISAN"/>
    <s v="San Juan City"/>
    <s v="663 J. Wright, Brgy. Batis, San Juan City"/>
    <s v="CHERRYL CHUA"/>
    <s v="7234926 / 7242756"/>
    <s v="mchacademy.registrar@gmail.com"/>
    <s v="Cookery NC II"/>
    <n v="3"/>
    <n v="252"/>
    <n v="289"/>
  </r>
  <r>
    <x v="228"/>
    <s v="TVIs"/>
    <s v="National Capital Region (NCR)"/>
    <s v="Quezon City"/>
    <s v="Quezon City"/>
    <s v="2/F ELI Building, Lot 10-B, Blk 15, #42 5th Ave., Brgy. Socorro, Cubao, Quezon City (former address: 2nd Floor, ELI Bldg., Boni Serrano cor. 6th Ave., Murphy, Cubao, Quezon City)"/>
    <m/>
    <s v="9115122 / 9127189"/>
    <s v="mostinstitute2004@yahoo.com"/>
    <s v="Cookery NC II"/>
    <n v="0"/>
    <n v="0"/>
    <n v="0"/>
  </r>
  <r>
    <x v="108"/>
    <s v="TVIs"/>
    <s v="National Capital Region (NCR)"/>
    <s v="PAMAMARISAN"/>
    <s v="Pasig City"/>
    <s v="No. 22 Gen. Araneta and Lukban Streets, Barangay San Antonio, Pasig City"/>
    <s v="FELIMON J. REGALADO JR. "/>
    <s v="788-1847"/>
    <s v="training@astoriaplaza.com"/>
    <s v="Cookery NC II"/>
    <n v="2"/>
    <n v="90"/>
    <n v="65"/>
  </r>
  <r>
    <x v="125"/>
    <s v="TVIs"/>
    <s v="National Capital Region (NCR)"/>
    <s v="MUNTIPARLASTAPAT"/>
    <s v="Parañaque City"/>
    <s v="Dr. A. Santos Ave., Barangay San Dionisio, Parañaque City"/>
    <s v="Dr. Eric L. Olivarez"/>
    <s v="825-71-89, 825-71-19 fax - 825-87-12"/>
    <s v="Ocp.tesda@olivarezcollege.edu.ph"/>
    <s v="Cookery NC II"/>
    <n v="1"/>
    <n v="138"/>
    <n v="151"/>
  </r>
  <r>
    <x v="9"/>
    <s v="LCU"/>
    <s v="National Capital Region (NCR)"/>
    <s v="PAMAMARISAN"/>
    <s v="Marikina City"/>
    <s v="Brazil St., Greenheights Subd. Phase 1 (Main) Concepcion Uno Marikina City"/>
    <s v="JACQUELINE M. CALAYCAY RN, MAN, MSN"/>
    <s v="Tel. 369-8650 / 369-4927"/>
    <s v="plmar.techvoc@gmail.com"/>
    <s v="Cookery NC II"/>
    <n v="1"/>
    <n v="92"/>
    <n v="151"/>
  </r>
  <r>
    <x v="58"/>
    <s v="TVIs"/>
    <s v="National Capital Region (NCR)"/>
    <s v="PAMAMARISAN"/>
    <s v="Marikina City"/>
    <s v="4/F Maria Compound Bldg., # 14 Nicanor Roxas St. Brgy. San Roque, Marikina City "/>
    <s v="MAYDA LO L. TABANGIN"/>
    <s v="0920-9530092"/>
    <s v="philacademymarikina@gmail.com"/>
    <s v="Cookery NC II"/>
    <n v="5"/>
    <n v="409"/>
    <n v="381"/>
  </r>
  <r>
    <x v="229"/>
    <s v="TVIs"/>
    <s v="National Capital Region (NCR)"/>
    <s v="City of Manila"/>
    <s v="Quiapo, City of Manila"/>
    <s v="938 Arlegui Street cor. Aguila Streets, Quiapo, Manila"/>
    <s v="ELISA ABUID CAYAB"/>
    <s v="734-8897/ 734-1651/ 734-8898"/>
    <s v="pstc_25anniv@yahoo.com"/>
    <s v="Cookery NC II"/>
    <n v="1"/>
    <n v="25"/>
    <n v="23"/>
  </r>
  <r>
    <x v="23"/>
    <s v="TVIs"/>
    <s v="National Capital Region (NCR)"/>
    <s v="City of Manila"/>
    <s v="Malate, City of Manila"/>
    <s v="2F Marbella II Bldg. 2071 Roxas Blvd., Malate, Manila"/>
    <s v="Francis T. Tajanlangit "/>
    <s v="331-3180 / 331-3177 / 742-3400"/>
    <s v="powerlink0615@gmail.com"/>
    <s v="Cookery NC II"/>
    <n v="5"/>
    <n v="455"/>
    <n v="352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Cookery NC II"/>
    <n v="5"/>
    <n v="380"/>
    <n v="293"/>
  </r>
  <r>
    <x v="77"/>
    <s v="TVIs"/>
    <s v="National Capital Region (NCR)"/>
    <s v="Quezon City"/>
    <s v="Quezon City"/>
    <s v="Quirino Highway corner Zabarte Road, Bgy. Kaligayahan Quezon City "/>
    <s v="CHRISTOPHER ALFRED F. AZANZA"/>
    <s v="939-1712, 939-2154"/>
    <s v="qc.sacredheart.t2mis@gmail.com"/>
    <s v="Cookery NC II"/>
    <n v="3"/>
    <n v="124"/>
    <n v="101"/>
  </r>
  <r>
    <x v="230"/>
    <s v="TVIs"/>
    <s v="National Capital Region (NCR)"/>
    <s v="City of Manila"/>
    <s v="Tondo I/II, City of Manila"/>
    <s v="2410 3rd and 4th Floor, Jose Abad Santos Street, Tondo, Manila"/>
    <s v="BRYAN L. VARGAS"/>
    <n v="9954887275"/>
    <s v="selahtrainingandassessment@gmail.com"/>
    <s v="Cookery NC II"/>
    <n v="1"/>
    <n v="53"/>
    <n v="53"/>
  </r>
  <r>
    <x v="61"/>
    <s v="TVIs"/>
    <s v="National Capital Region (NCR)"/>
    <s v="MUNTIPARLASTAPAT"/>
    <s v="Muntinlupa City"/>
    <s v="Km. 23.6 East Service Rd., Udings Cmpd. I, Alabang, Muntinlupa City"/>
    <s v="Felicitas C. Rabonza"/>
    <s v="842-21-39 / 856-66-02/850-57-09"/>
    <s v="tvet@sbca.edu.ph"/>
    <s v="Cookery NC II"/>
    <n v="2"/>
    <n v="57"/>
    <n v="34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Cookery NC II"/>
    <n v="2"/>
    <n v="51"/>
    <n v="51"/>
  </r>
  <r>
    <x v="128"/>
    <s v="TVIs"/>
    <s v="National Capital Region (NCR)"/>
    <s v="MUNTIPARLASTAPAT"/>
    <s v="Las Piñas City"/>
    <s v="045 Admiral Village, Talon III, Las Piñas City"/>
    <s v="Danilo J. Solis"/>
    <s v="468-633/800-3097"/>
    <s v="solisdanilo@yahoo.com"/>
    <s v="Cookery NC II"/>
    <n v="1"/>
    <n v="52"/>
    <n v="50"/>
  </r>
  <r>
    <x v="201"/>
    <s v="TVIs"/>
    <s v="National Capital Region (NCR)"/>
    <s v="CAMANAVA"/>
    <s v="Valenzuela City"/>
    <s v="2nd Floor Macta Bldg. No. 30 Karuhatan road , Valenzuela city"/>
    <s v="RUTH M. CUNTAPAY"/>
    <s v="432-9304/ 443-0533/ 432-9332"/>
    <s v="sjit07@yahoo.com"/>
    <s v="Cookery NC II"/>
    <n v="1"/>
    <n v="130"/>
    <n v="116"/>
  </r>
  <r>
    <x v="119"/>
    <s v="TVIs"/>
    <s v="National Capital Region (NCR)"/>
    <s v="CAMANAVA"/>
    <s v="Caloocan City"/>
    <s v="B34 L4 Adelfa St., Evergreen Executive Village, Bagumbong, Caloocan City"/>
    <s v="MELINDA B. MENDOZA, DBA"/>
    <s v="930-1752"/>
    <s v="stlouisedemarillac2015@gmail.com"/>
    <s v="Cookery NC II"/>
    <n v="1"/>
    <n v="63"/>
    <n v="62"/>
  </r>
  <r>
    <x v="95"/>
    <s v="TVIs"/>
    <s v="National Capital Region (NCR)"/>
    <s v="PASMAK"/>
    <s v="Pasay City"/>
    <s v="4th Floor Wardley Bldg., 1991 Taft Avenue cor. San Juan St., Barangay 36, Pasay City"/>
    <s v="MELVIN M. CRISOSTOMO"/>
    <s v="521-7362 / 710-4211"/>
    <s v="thereseinstitute@gmail.com"/>
    <s v="Cookery NC II"/>
    <n v="1"/>
    <n v="38"/>
    <n v="43"/>
  </r>
  <r>
    <x v="231"/>
    <s v="HEIs"/>
    <s v="National Capital Region (NCR)"/>
    <s v="PAMAMARISAN"/>
    <s v="Marikina City"/>
    <s v="289 L. De Guzman St., Concepcion, Marikina City"/>
    <s v="VILMA C. CAPARROS"/>
    <s v="TeleFax: 948-2978 / 997-6601 / 948-2978 / 942-330"/>
    <s v="karen.ocampo@marikina.sti.edu"/>
    <s v="Cookery NC II"/>
    <n v="1"/>
    <n v="54"/>
    <n v="54"/>
  </r>
  <r>
    <x v="130"/>
    <s v="TVIs"/>
    <s v="National Capital Region (NCR)"/>
    <s v="PAMAMARISAN"/>
    <s v="Mandaluyong City"/>
    <s v="Unit 1011-1012, Lower ground level, East Wing, Shangri-La Plaza Mall, Mandaluyong City"/>
    <s v="MS. ROSALY A. LAGATIC"/>
    <s v="951-9655/ 951-1687"/>
    <s v="ortigas@firstgourmetacademy.com"/>
    <s v="Cookery NC II"/>
    <n v="1"/>
    <n v="67"/>
    <n v="26"/>
  </r>
  <r>
    <x v="130"/>
    <s v="TVIs"/>
    <s v="National Capital Region (NCR)"/>
    <s v="Quezon City"/>
    <s v="Quezon City"/>
    <s v="Capitol GreenStreet, Capitol Hills Golf Club, Capitol Hills Drive, Old Balara, Quezon City"/>
    <m/>
    <s v="951-9655 / 951-1687"/>
    <s v="student@firstgourmetacademy.com"/>
    <s v="Cookery NC II"/>
    <n v="1"/>
    <n v="25"/>
    <n v="22"/>
  </r>
  <r>
    <x v="232"/>
    <s v="TVIs"/>
    <s v="National Capital Region (NCR)"/>
    <s v="PASMAK"/>
    <s v="Makati City"/>
    <s v="Unit SFO C (2C) Classica 1 Bldg., H.V. Dela Costa Street, Salcedo Village Brgy. Bel-Air, Makati City"/>
    <s v="GENARO JOSE L. CORDOVA"/>
    <n v="9209385645"/>
    <s v="tcaiinctesda@gmail.com"/>
    <s v="Cookery NC II"/>
    <n v="1"/>
    <n v="3"/>
    <n v="5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Cookery NC II"/>
    <n v="2"/>
    <n v="68"/>
    <n v="39"/>
  </r>
  <r>
    <x v="64"/>
    <s v="TVIs"/>
    <s v="National Capital Region (NCR)"/>
    <s v="PAMAMARISAN"/>
    <s v="Pasig City"/>
    <s v="No. 707 Shaw Blvd., Brgy. Kapitolyo, Pasig City"/>
    <s v="ANGELITA B. GO"/>
    <s v="719-0914"/>
    <s v="triplekseastcapitolkitchencorp@gmail.com"/>
    <s v="Cookery NC II"/>
    <n v="3"/>
    <n v="458"/>
    <n v="571"/>
  </r>
  <r>
    <x v="38"/>
    <s v="TVIs"/>
    <s v="National Capital Region (NCR)"/>
    <s v="PASMAK"/>
    <s v="Pasay City"/>
    <s v="4th Floor Sea Tower Bldg. 2332 Roxas Blvd. cor. Arnaiz St. Pasay City"/>
    <s v="Wilhermino S. Maniego"/>
    <n v="8230918"/>
    <s v="uimtac_inc@yahoo.com.ph"/>
    <s v="Cookery NC II"/>
    <n v="3"/>
    <n v="97"/>
    <n v="97"/>
  </r>
  <r>
    <x v="92"/>
    <s v="HEIs"/>
    <s v="National Capital Region (NCR)"/>
    <s v="Quezon City"/>
    <s v="Quezon City"/>
    <s v="112 M.J. Cuenco St., Brgy. Sto. Domingo, Quezon City"/>
    <s v="REV. FR. JOHN STEPHEN P. BESA, O.P."/>
    <s v="712-1745/ 732-3725/ 732-4239"/>
    <s v="registrar@ustangelicum.edu.ph"/>
    <s v="Cookery NC II"/>
    <n v="1"/>
    <n v="99"/>
    <n v="91"/>
  </r>
  <r>
    <x v="129"/>
    <s v="TVIs"/>
    <s v="National Capital Region (NCR)"/>
    <s v="MUNTIPARLASTAPAT"/>
    <s v="Muntinlupa City"/>
    <s v="No. 103 A. Bunye St. Alabang, Muntinlupa City"/>
    <s v="Bettina B. Chiongbian"/>
    <s v="850-2956/850-3163/850-3028"/>
    <s v="tesda@wbc.edu.ph"/>
    <s v="Cookery NC II"/>
    <n v="2"/>
    <n v="37"/>
    <n v="78"/>
  </r>
  <r>
    <x v="233"/>
    <s v="HEIs"/>
    <s v="National Capital Region (NCR)"/>
    <s v="City of Manila"/>
    <s v="Sampaloc, City of Manila"/>
    <s v="3200 R. Magsaysay Blvd, Sta. Mesa, Manila"/>
    <s v="DR. VICENTE ANTONIO A. DE OCAMPO,DMD, M.A. ED."/>
    <s v="715-6445/715-0967"/>
    <s v="domcfbregistrar@gmail.com"/>
    <s v="Dental Hygiene NC IV"/>
    <n v="1"/>
    <n v="39"/>
    <n v="25"/>
  </r>
  <r>
    <x v="233"/>
    <s v="HEIs"/>
    <s v="National Capital Region (NCR)"/>
    <s v="City of Manila"/>
    <s v="Sampaloc, City of Manila"/>
    <s v="3200 R. Magsaysay Blvd, Sta. Mesa, Manila"/>
    <s v="DR. VICENTE ANTONIO A. DE OCAMPO,DMD, M.A. ED."/>
    <s v="715-6445/715-0967"/>
    <s v="domcfbregistrar@gmail.com"/>
    <s v="Dental Laboratory Technology Services (Fixed Dentures/Restorations) NC II"/>
    <n v="1"/>
    <n v="48"/>
    <n v="0"/>
  </r>
  <r>
    <x v="148"/>
    <s v="HEIs"/>
    <s v="National Capital Region (NCR)"/>
    <s v="City of Manila"/>
    <s v="Ermita, City of Manila"/>
    <s v="1113-1117 San Marcelino St., cor., Gonzales St., Ermita, Manila"/>
    <s v="JOSE PAULO E. CAMPOS, Ed.D."/>
    <s v="521-2710 loc. 5602"/>
    <s v="eacsmidwiferycaregiver@gmail.com"/>
    <s v="Dental Laboratory Technology Services (Fixed Dentures/Restorations) NC II"/>
    <n v="1"/>
    <n v="16"/>
    <n v="8"/>
  </r>
  <r>
    <x v="234"/>
    <s v="TVIs"/>
    <s v="National Capital Region (NCR)"/>
    <s v="PASMAK"/>
    <s v="Makati City"/>
    <s v="4th Floor, Maga Center Paseo de Magallanes, Magallanes Village Makati City"/>
    <s v="Marjorie G. Kobayashi"/>
    <s v="851 5762/851 0958/854 3800"/>
    <s v="alpstech.edu.ph@gmail.com"/>
    <s v="Dental Laboratory Technology Services (Fixed Dentures/Restorations) NC II"/>
    <n v="0"/>
    <n v="0"/>
    <n v="3"/>
  </r>
  <r>
    <x v="233"/>
    <s v="HEIs"/>
    <s v="National Capital Region (NCR)"/>
    <s v="City of Manila"/>
    <s v="Sampaloc, City of Manila"/>
    <s v="3200 R. Magsaysay Blvd, Sta. Mesa, Manila"/>
    <s v="DR. VICENTE ANTONIO A. DE OCAMPO,DMD, M.A. ED."/>
    <s v="715-6445/715-0967"/>
    <s v="domcfbregistrar@gmail.com"/>
    <s v="Dental Laboratory Technology Services (Removable Dentures/Appliances) NC II"/>
    <n v="1"/>
    <n v="62"/>
    <n v="55"/>
  </r>
  <r>
    <x v="148"/>
    <s v="HEIs"/>
    <s v="National Capital Region (NCR)"/>
    <s v="City of Manila"/>
    <s v="Ermita, City of Manila"/>
    <s v="1113-1117 San Marcelino St., cor., Gonzales St., Ermita, Manila"/>
    <s v="JOSE PAULO E. CAMPOS, Ed.D."/>
    <s v="521-2710 loc. 5602"/>
    <s v="eacsmidwiferycaregiver@gmail.com"/>
    <s v="Dental Laboratory Technology Services (Removable Dentures/Appliances) NC II"/>
    <n v="1"/>
    <n v="8"/>
    <n v="3"/>
  </r>
  <r>
    <x v="234"/>
    <s v="TVIs"/>
    <s v="National Capital Region (NCR)"/>
    <s v="PASMAK"/>
    <s v="Makati City"/>
    <s v="4th Floor, Maga Center Paseo de Magallanes, Magallanes Village Makati City"/>
    <s v="Marjorie G. Kobayashi"/>
    <s v="851 5762/851 0958/854 3800"/>
    <s v="alpstech.edu.ph@gmail.com"/>
    <s v="Dental Laboratory Technology Services (Removable Dentures/Appliances) NC II"/>
    <n v="0"/>
    <n v="0"/>
    <n v="2"/>
  </r>
  <r>
    <x v="233"/>
    <s v="HEIs"/>
    <s v="National Capital Region (NCR)"/>
    <s v="City of Manila"/>
    <s v="Sampaloc, City of Manila"/>
    <s v="3200 R. Magsaysay Blvd, Sta. Mesa, Manila"/>
    <s v="DR. VICENTE ANTONIO A. DE OCAMPO,DMD, M.A. ED."/>
    <s v="715-6445/715-0967"/>
    <s v="domcfbregistrar@gmail.com"/>
    <s v="Dental Laboratory Technology Services NC I"/>
    <n v="1"/>
    <n v="49"/>
    <n v="33"/>
  </r>
  <r>
    <x v="234"/>
    <s v="TVIs"/>
    <s v="National Capital Region (NCR)"/>
    <s v="PASMAK"/>
    <s v="Makati City"/>
    <s v="4th Floor, Maga Center Paseo de Magallanes, Magallanes Village Makati City"/>
    <s v="Marjorie G. Kobayashi"/>
    <s v="851 5762/851 0958/854 3800"/>
    <s v="alpstech.edu.ph@gmail.com"/>
    <s v="Dental Laboratory Technology Services NC I"/>
    <n v="1"/>
    <n v="2"/>
    <n v="0"/>
  </r>
  <r>
    <x v="235"/>
    <s v="HEIs"/>
    <s v="National Capital Region (NCR)"/>
    <s v="City of Manila"/>
    <s v="Sampaloc, City of Manila"/>
    <s v="551 M.F. Jhocson St., Sampaloc, Manila"/>
    <m/>
    <s v="749-8221"/>
    <m/>
    <s v="Dental Technology NC IV"/>
    <n v="0"/>
    <n v="0"/>
    <n v="1"/>
  </r>
  <r>
    <x v="142"/>
    <s v="TVIs"/>
    <s v="National Capital Region (NCR)"/>
    <s v="PASMAK"/>
    <s v="Pasay City"/>
    <s v="2814-I Violeta Court F.B. Harrison St., Pasay City "/>
    <s v="JOHN RHEN S. SAGER"/>
    <s v="556-5174"/>
    <s v="abestresource2009@gmail.com"/>
    <s v="Domestic Work NC II"/>
    <n v="1"/>
    <n v="10"/>
    <n v="10"/>
  </r>
  <r>
    <x v="236"/>
    <s v="TVIs"/>
    <s v="National Capital Region (NCR)"/>
    <s v="City of Manila"/>
    <s v="Malate, City of Manila"/>
    <s v="Suite 504 Unlad Condominium, 1665 Taft Ave., Malate, Manila"/>
    <s v="Rebecca S. Valdez"/>
    <s v="530-0321/ 450-1988"/>
    <m/>
    <s v="Domestic Work NC II"/>
    <n v="2"/>
    <n v="229"/>
    <n v="222"/>
  </r>
  <r>
    <x v="132"/>
    <s v="TVIs"/>
    <s v="National Capital Region (NCR)"/>
    <s v="MUNTIPARLASTAPAT"/>
    <s v="Parañaque City"/>
    <s v="118 Armstrong Avenue corner Glen St., Moonwalk Village, Phase 2, Parañaque City"/>
    <s v="Rona E. Cabrido"/>
    <n v="9497373755"/>
    <s v="calitycaretraining@gmail.com"/>
    <s v="Domestic Work NC II"/>
    <n v="1"/>
    <n v="20"/>
    <n v="19"/>
  </r>
  <r>
    <x v="237"/>
    <s v="TVIs"/>
    <s v="National Capital Region (NCR)"/>
    <s v="City of Manila"/>
    <s v="Santa Ana, City of Manila"/>
    <s v="2648 Dian Street, Brgy. 757, Zone 82, District 5, Malate, Sta. Ana, Manila"/>
    <s v="JESSIE C. DANAO"/>
    <s v="(02) 7-005-8968"/>
    <s v="circletest0614@gmail.com"/>
    <s v="Domestic Work NC II"/>
    <n v="1"/>
    <n v="100"/>
    <n v="100"/>
  </r>
  <r>
    <x v="238"/>
    <s v="TVIs"/>
    <s v="National Capital Region (NCR)"/>
    <s v="MUNTIPARLASTAPAT"/>
    <s v="Parañaque City"/>
    <s v="3rd Floor, Matheus Bldg., Armstrong Ave., Moonwalk Village, Phase 2, Parañaque City"/>
    <s v="Maria Aurora Amada C. Gloria"/>
    <s v="810-1829"/>
    <s v="mpltp.fairemployment.tvimis@gmail.com"/>
    <s v="Domestic Work NC II"/>
    <n v="2"/>
    <n v="53"/>
    <n v="48"/>
  </r>
  <r>
    <x v="239"/>
    <s v="TVIs"/>
    <s v="National Capital Region (NCR)"/>
    <s v="City of Manila"/>
    <s v="Malate, City of Manila"/>
    <s v="987 Don Ysidoro St., Brgy. 727 Malate, Manila"/>
    <s v="MARLYN V. VALDEZ"/>
    <s v="563-0103/559-0412"/>
    <m/>
    <s v="Domestic Work NC II"/>
    <n v="2"/>
    <n v="244"/>
    <n v="232"/>
  </r>
  <r>
    <x v="240"/>
    <s v="TVIs"/>
    <s v="National Capital Region (NCR)"/>
    <s v="MUNTIPARLASTAPAT"/>
    <s v="Parañaque City"/>
    <s v="Unit L Time Square Bldg., 8145 Dr. A. Santos Ave., Sucat, Parañaque City"/>
    <s v="MA. LUZ D. ESTORQUE"/>
    <s v="886-3078"/>
    <s v="mpltp.goldenchitesdaofficial@gmail.com"/>
    <s v="Domestic Work NC II"/>
    <n v="1"/>
    <n v="1"/>
    <n v="1"/>
  </r>
  <r>
    <x v="73"/>
    <s v="TVIs"/>
    <s v="National Capital Region (NCR)"/>
    <s v="City of Manila"/>
    <s v="Paco, City of Manila"/>
    <s v="1718 Mendoza Guazon St., Brgy. 831, Paco, Manila"/>
    <s v="SAMUELITA C. LEE"/>
    <s v="256-8642/697-2940/697-2721"/>
    <s v="highperformance2773@gmail.com"/>
    <s v="Domestic Work NC II"/>
    <n v="1"/>
    <n v="354"/>
    <n v="354"/>
  </r>
  <r>
    <x v="241"/>
    <s v="TVIs"/>
    <s v="National Capital Region (NCR)"/>
    <s v="Quezon City"/>
    <s v="Quezon City"/>
    <s v="3rd Floor, Annex Bldg., A. Francisco Gold Condominium 1, 784 EDSA, Kamias, Quezon City"/>
    <m/>
    <s v="453-58-75"/>
    <m/>
    <s v="Domestic Work NC II"/>
    <n v="4"/>
    <n v="447"/>
    <n v="480"/>
  </r>
  <r>
    <x v="242"/>
    <s v="TVIs"/>
    <s v="National Capital Region (NCR)"/>
    <s v="MUNTIPARLASTAPAT"/>
    <s v="Taguig City"/>
    <s v="Lot 3 Block 11 Phase 3 Central Bicutan, Taguig City"/>
    <s v="Ella Mae Gabayaran"/>
    <n v="86508626"/>
    <s v="iloiloabuntantliferesourcescorp@yahoo.com"/>
    <s v="Domestic Work NC II"/>
    <n v="2"/>
    <n v="28"/>
    <n v="28"/>
  </r>
  <r>
    <x v="243"/>
    <s v="TVIs"/>
    <s v="National Capital Region (NCR)"/>
    <s v="Quezon City"/>
    <s v="Quezon City"/>
    <s v="13 Miller St. S.F.D.M., Quezon City"/>
    <s v="Sheba N. Alida"/>
    <s v="282-3197"/>
    <s v="kittiphilippines@gmail.com"/>
    <s v="Domestic Work NC II"/>
    <n v="1"/>
    <n v="141"/>
    <n v="127"/>
  </r>
  <r>
    <x v="244"/>
    <s v="TVIs"/>
    <s v="National Capital Region (NCR)"/>
    <s v="Quezon City"/>
    <s v="Quezon City"/>
    <s v="2nd Floor Mirben Building C. #8 Bernardo Compound, Mc Arthur St., Luzon Avenue, Pasong Tamo, Quezon City"/>
    <m/>
    <s v="932-1529"/>
    <m/>
    <s v="Domestic Work NC II"/>
    <n v="1"/>
    <n v="199"/>
    <n v="178"/>
  </r>
  <r>
    <x v="245"/>
    <s v="TVIs"/>
    <s v="National Capital Region (NCR)"/>
    <s v="MUNTIPARLASTAPAT"/>
    <s v="Las Piñas City"/>
    <s v="19 Daffodil St., Pilar Village, Las Piñas City"/>
    <s v="ROWENA D. SUMALPONG"/>
    <s v="02-8886-5541"/>
    <s v="lokyeeinstitution2024@gmail.com"/>
    <s v="Domestic Work NC II"/>
    <n v="1"/>
    <n v="71"/>
    <n v="70"/>
  </r>
  <r>
    <x v="246"/>
    <s v="TVIs"/>
    <s v="National Capital Region (NCR)"/>
    <s v="City of Manila"/>
    <s v="Malate, City of Manila"/>
    <s v="2nd, 4th &amp; 5th ACV Building, 1862 Remedios St. Cor. San Marcelino St. Malate, Manila"/>
    <s v="MARGARET C. MORALES"/>
    <s v="8355-7012"/>
    <s v="luckytraining168@gmail.com"/>
    <s v="Domestic Work NC II"/>
    <n v="2"/>
    <n v="397"/>
    <n v="422"/>
  </r>
  <r>
    <x v="247"/>
    <s v="TVIs"/>
    <s v="National Capital Region (NCR)"/>
    <s v="PASMAK"/>
    <s v="Pasay City"/>
    <s v="No. 615 Inez St., Gamban, Pasay City"/>
    <s v="RACHEL M. OYANON"/>
    <s v="8942051/09159757011/09295648971"/>
    <s v="marymeiskillstrainingcenter@yahoo.com"/>
    <s v="Domestic Work NC II"/>
    <n v="3"/>
    <n v="226"/>
    <n v="168"/>
  </r>
  <r>
    <x v="248"/>
    <s v="TVIs"/>
    <s v="National Capital Region (NCR)"/>
    <s v="City of Manila"/>
    <s v="Paco, City of Manila"/>
    <s v="No. 1461 Pedro Gil Street, Paco, Manila"/>
    <s v="ENGR. DENNIS V. LUNA "/>
    <s v="522-2581 / 521-6807"/>
    <s v="princegiron_inc@yahoo.com.ph"/>
    <s v="Domestic Work NC II"/>
    <n v="1"/>
    <n v="2"/>
    <n v="2"/>
  </r>
  <r>
    <x v="249"/>
    <s v="TVIs"/>
    <s v="National Capital Region (NCR)"/>
    <s v="MUNTIPARLASTAPAT"/>
    <s v="Parañaque City"/>
    <s v="2nd and 3rd Floor EDAR Bldg., 8202 Dr. A. Santos Avenue, Brgy. San Isidro, Parañaque City"/>
    <s v="John Michael G. Manansala"/>
    <s v="(632) 7358 4639 / +63 947 894 8551"/>
    <s v="princezmttrainingcenter@gmail.com"/>
    <s v="Domestic Work NC II"/>
    <n v="1"/>
    <n v="170"/>
    <n v="168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Domestic Work NC II"/>
    <n v="1"/>
    <n v="17"/>
    <n v="17"/>
  </r>
  <r>
    <x v="106"/>
    <s v="TVIs"/>
    <s v="National Capital Region (NCR)"/>
    <s v="City of Manila"/>
    <s v="Santa Cruz, City of Manila"/>
    <s v="RFTC Bldg., 1400 Pampanga Street, Sta. Cruz, Manila"/>
    <s v="ROSALINDA O. FERNANDEZ"/>
    <s v="02-75013324/ 02-77291903/ 0995-3920549"/>
    <s v="rightfocus.diploma@gmail.com"/>
    <s v="Domestic Work NC II"/>
    <n v="1"/>
    <n v="392"/>
    <n v="370"/>
  </r>
  <r>
    <x v="140"/>
    <s v="TVIs"/>
    <s v="National Capital Region (NCR)"/>
    <s v="PASMAK"/>
    <s v="Makati City"/>
    <s v="185B, J.P. Rizal St., Barangay Tejeros, Makati City"/>
    <s v="RIDGIE S. ORINA"/>
    <s v="0917-864-5551"/>
    <s v="sociointerskillstvi@gmail.com"/>
    <s v="Domestic Work NC II"/>
    <n v="1"/>
    <n v="219"/>
    <n v="199"/>
  </r>
  <r>
    <x v="250"/>
    <s v="TVIs"/>
    <s v="National Capital Region (NCR)"/>
    <s v="City of Manila"/>
    <s v="Paco, City of Manila"/>
    <s v="No. 1645 Angel Linao St. Brgy. 687, Paco, Manila"/>
    <s v="Glenn Paul P. Cabrera"/>
    <s v="232-5807"/>
    <m/>
    <s v="Domestic Work NC II"/>
    <n v="1"/>
    <n v="22"/>
    <n v="22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Domestic Work NC II"/>
    <n v="5"/>
    <n v="600"/>
    <n v="615"/>
  </r>
  <r>
    <x v="251"/>
    <s v="TVIs"/>
    <s v="National Capital Region (NCR)"/>
    <s v="City of Manila"/>
    <s v="Santa Ana, City of Manila"/>
    <s v="1726-B Road 2 Corner Road 7 Fabie Estate Sta. Ana, Manila"/>
    <s v="CRESENCIA T. LANSANG"/>
    <s v="907-9285"/>
    <s v="wts.2018ph@gmail.com"/>
    <s v="Domestic Work NC II"/>
    <n v="1"/>
    <n v="25"/>
    <n v="25"/>
  </r>
  <r>
    <x v="252"/>
    <s v="LGU"/>
    <s v="National Capital Region (NCR)"/>
    <s v="CAMANAVA"/>
    <s v="Malabon City"/>
    <s v="Gov. Pascual Ave., Brgy. Baritan, Malabon City"/>
    <s v="DR. MOSES KAENEL V. BERGADO"/>
    <s v="282-3088"/>
    <s v="cmpimanpower@yahoo.com.ph"/>
    <s v="Dressmaking NC II"/>
    <n v="2"/>
    <n v="28"/>
    <n v="82"/>
  </r>
  <r>
    <x v="50"/>
    <s v="HEIs"/>
    <s v="National Capital Region (NCR)"/>
    <s v="PAMAMARISAN"/>
    <s v="Mandaluyong City"/>
    <s v="343 Ortigas Ave., Mandaluyong City"/>
    <s v="Mrs. Maria Carmela A. Boncodin"/>
    <s v="721-2000 loc 249 / 721-2000 loc 121"/>
    <s v="alted.aac@lsgh.edu.ph"/>
    <s v="Dressmaking NC II"/>
    <n v="2"/>
    <n v="136"/>
    <n v="159"/>
  </r>
  <r>
    <x v="253"/>
    <s v="LGU"/>
    <s v="National Capital Region (NCR)"/>
    <s v="PAMAMARISAN"/>
    <s v="Mandaluyong City"/>
    <s v="Welfareville Compound, Barangay Addition Hills., Mandaluyong City"/>
    <s v="MS. MARIA MAJELLA G. TAMPINCO"/>
    <s v="531-5159"/>
    <s v="manpowermandaluyong@gmail.com"/>
    <s v="Dressmaking NC II"/>
    <n v="1"/>
    <n v="95"/>
    <n v="85"/>
  </r>
  <r>
    <x v="97"/>
    <s v="LGU"/>
    <s v="National Capital Region (NCR)"/>
    <s v="CAMANAVA"/>
    <s v="Navotas City"/>
    <s v="Block 24, Phase II Area I, Dalag St. Kaunlaran Village Brgy. NBBS, Navotas City"/>
    <s v="KATHRYN ANNE S. HILARIO"/>
    <s v="283-7200"/>
    <s v="navotaasinstitute.annex1@gmail.com"/>
    <s v="Dressmaking NC II"/>
    <n v="1"/>
    <n v="35"/>
    <n v="31"/>
  </r>
  <r>
    <x v="4"/>
    <s v="HEIs"/>
    <s v="National Capital Region (NCR)"/>
    <s v="Quezon City"/>
    <s v="Quezon City"/>
    <s v="587 EDSA, Cubao, Quezon City"/>
    <s v="Dante I. Inocencio"/>
    <s v="721-4129 / 414-4631 / 414-6429 / FAX: 723-1648"/>
    <s v="samsoncollege@gmail.com"/>
    <s v="Dressmaking NC II"/>
    <n v="1"/>
    <n v="39"/>
    <n v="29"/>
  </r>
  <r>
    <x v="254"/>
    <s v="TVIs"/>
    <s v="National Capital Region (NCR)"/>
    <s v="PASMAK"/>
    <s v="Makati City"/>
    <s v="3rd Floor, Slim's Building, 2310 Chino Roces Avenue, Makati City."/>
    <s v="Conchitina Nocom-Arciaga"/>
    <s v="506-5869/ 843-2109/ 887-3390"/>
    <s v="inquiries@slimsfashion.com"/>
    <s v="Dressmaking NC II"/>
    <n v="1"/>
    <n v="10"/>
    <n v="10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Dressmaking NC II"/>
    <n v="1"/>
    <n v="162"/>
    <n v="177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Dressmaking NC II"/>
    <n v="1"/>
    <n v="25"/>
    <n v="0"/>
  </r>
  <r>
    <x v="6"/>
    <s v="TVIs"/>
    <s v="National Capital Region (NCR)"/>
    <s v="PASMAK"/>
    <s v="Pasay City"/>
    <s v="2340 F. B. Harrison St., Pasay City"/>
    <s v="Froilan G. Aguirre"/>
    <s v="556-3819"/>
    <s v="technodevelopment2@yahoo.com"/>
    <s v="Driving (Articulated Vehicle) NC III"/>
    <n v="1"/>
    <n v="126"/>
    <n v="123"/>
  </r>
  <r>
    <x v="6"/>
    <s v="TVIs"/>
    <s v="National Capital Region (NCR)"/>
    <s v="PASMAK"/>
    <s v="Pasay City"/>
    <s v="2340 F. B. Harrison St., Pasay City"/>
    <s v="Froilan G. Aguirre"/>
    <s v="556-3819"/>
    <s v="technodevelopment2@yahoo.com"/>
    <s v="Driving (Passenger Bus/Straight Truck) NC III"/>
    <n v="1"/>
    <n v="50"/>
    <n v="50"/>
  </r>
  <r>
    <x v="255"/>
    <s v="TVIs"/>
    <s v="National Capital Region (NCR)"/>
    <s v="City of Manila"/>
    <s v="Santa Cruz, City of Manila"/>
    <s v="4F 2610 Aurora St., cor. Tecson St., Sta. Cruz, Manila"/>
    <s v="COTELO, JAHZIEL VILLARUZ"/>
    <s v="02-8423-2559"/>
    <s v="topchoicemanila2023@gmail.com"/>
    <s v="Driving (Passenger Bus/Straight Truck) NC III"/>
    <n v="1"/>
    <n v="77"/>
    <n v="74"/>
  </r>
  <r>
    <x v="256"/>
    <s v="TVIs"/>
    <s v="National Capital Region (NCR)"/>
    <s v="MUNTIPARLASTAPAT"/>
    <s v="Parañaque City"/>
    <s v="0030 Ninoy Aquino Avenue, Brgy. San Dionisio, Parañaque City"/>
    <s v="JAHZIEL B. VILLARUZ-.COTELO"/>
    <s v="423-2559"/>
    <s v="topchoicetech14@gmail.com"/>
    <s v="Driving (Passenger Bus/Straight Truck) NC III"/>
    <n v="3"/>
    <n v="235"/>
    <n v="295"/>
  </r>
  <r>
    <x v="257"/>
    <s v="TVIs"/>
    <s v="National Capital Region (NCR)"/>
    <s v="City of Manila"/>
    <s v="San Miguel, City of Manila"/>
    <s v="514 B 3rd St., San Beda Subdivision, San Miguel - Barangay 638, City of Manila"/>
    <s v="EDHEL DIONNE C. PUA"/>
    <s v="8734-5688"/>
    <s v="excelsior.innovation.technology@gmail.com"/>
    <s v="Driving NC II"/>
    <n v="3"/>
    <n v="112"/>
    <n v="94"/>
  </r>
  <r>
    <x v="258"/>
    <s v="TVIs"/>
    <s v="National Capital Region (NCR)"/>
    <s v="PASMAK"/>
    <s v="Makati City"/>
    <s v="No. 1092 Chino Roces Ave., Brgy. Tejeros, Makati City"/>
    <s v="VANESSA N. DEL ROSARIO"/>
    <s v="919-0350/ 754-2107 "/>
    <s v="firstgeartech@yahoo.com.ph"/>
    <s v="Driving NC II"/>
    <n v="1"/>
    <n v="205"/>
    <n v="247"/>
  </r>
  <r>
    <x v="52"/>
    <s v="TVIs"/>
    <s v="National Capital Region (NCR)"/>
    <s v="MUNTIPARLASTAPAT"/>
    <s v="Muntinlupa City"/>
    <s v="Km. 30 National Road, Tunasan, Muntinlupa City"/>
    <s v="Abigael D. Guda"/>
    <s v="403-8248"/>
    <s v="loatechdept@gmail.com"/>
    <s v="Driving NC II"/>
    <n v="1"/>
    <n v="19"/>
    <n v="0"/>
  </r>
  <r>
    <x v="208"/>
    <s v="TTI (PTC)"/>
    <s v="National Capital Region (NCR)"/>
    <s v="MUNTIPARLASTAPAT"/>
    <s v="Taguig City"/>
    <s v="Bldg. 9, (formerly Pinoy Bayanihan Project) TESDA Complex, East Service Road, South Luzon Expressway, Taguig City"/>
    <s v="MARLON A. FELIX"/>
    <s v="8-886-5306"/>
    <s v="mdtac@tesda.gov.ph"/>
    <s v="Driving NC II"/>
    <n v="2"/>
    <n v="292"/>
    <n v="524"/>
  </r>
  <r>
    <x v="168"/>
    <s v="TTI (PTC)"/>
    <s v="National Capital Region (NCR)"/>
    <s v="PASMAK"/>
    <s v="Makati City"/>
    <s v="Building 15, TESDA Complex, East Service Road, South Superhighway, Taguig City"/>
    <s v="VERNADETTE D. FLORES-GONZALES"/>
    <n v="9688524038"/>
    <s v="pmdtac@tesda.gov.ph"/>
    <s v="Driving NC II"/>
    <n v="2"/>
    <n v="161"/>
    <n v="197"/>
  </r>
  <r>
    <x v="259"/>
    <s v="Enterprise/Company"/>
    <s v="National Capital Region (NCR)"/>
    <s v="Quezon City"/>
    <s v="Quezon City"/>
    <s v="Camp BGen Rafael T. Crame, Quezon City"/>
    <s v="PLTCOL RONALD A ALMIROL"/>
    <s v="723-0401 loc. 6413"/>
    <s v="lss.training23@gmail.com"/>
    <s v="Driving NC II"/>
    <n v="1"/>
    <n v="25"/>
    <n v="25"/>
  </r>
  <r>
    <x v="40"/>
    <s v="TTI (PTC)"/>
    <s v="National Capital Region (NCR)"/>
    <s v="Quezon City"/>
    <s v="Quezon City"/>
    <s v="Lot 10, Block 17, Dahlia Avenue, Fairview Quezon City"/>
    <s v="EDMAR JAY O. BLANCO"/>
    <s v="799-9092"/>
    <s v="qclbsdc@tesda.gov.ph"/>
    <s v="Driving NC II"/>
    <n v="4"/>
    <n v="608"/>
    <n v="645"/>
  </r>
  <r>
    <x v="260"/>
    <s v="TVIs"/>
    <s v="National Capital Region (NCR)"/>
    <s v="MUNTIPARLASTAPAT"/>
    <s v="Parañaque City"/>
    <s v="505 Quirino Avenue, 3rd Floor Roligon Building, Brgy. Tambo, Parañaque City"/>
    <s v="JONALIZ L. CABALUNA"/>
    <n v="9692435190"/>
    <s v="rajj.atcc@gmail.com"/>
    <s v="Driving NC II"/>
    <n v="2"/>
    <n v="133"/>
    <n v="128"/>
  </r>
  <r>
    <x v="261"/>
    <s v="TVIs"/>
    <s v="National Capital Region (NCR)"/>
    <s v="CAMANAVA"/>
    <s v="Caloocan City"/>
    <s v="Blk. 15 Lot. 24, Congressional Road, Rainbow Village 5 Phase 1 Bagumbong Caloocan City"/>
    <s v="VIBAR R. ANASTACIO, JR."/>
    <s v="955-40-99"/>
    <s v="richbarinstitute@gmail.com"/>
    <s v="Driving NC II"/>
    <n v="2"/>
    <n v="70"/>
    <n v="68"/>
  </r>
  <r>
    <x v="262"/>
    <s v="TVIs"/>
    <s v="National Capital Region (NCR)"/>
    <s v="CAMANAVA"/>
    <s v="Caloocan City"/>
    <s v="Area -A 603 ZCS Building, Zabarte Road, Brgy. 175, Caloocan City"/>
    <s v="JIENDY T. ANTONES"/>
    <s v="091694320858 / 09054180148"/>
    <s v="rmceagles3@gmail.com"/>
    <s v="Driving NC II"/>
    <n v="3"/>
    <n v="768"/>
    <n v="811"/>
  </r>
  <r>
    <x v="6"/>
    <s v="TVIs"/>
    <s v="National Capital Region (NCR)"/>
    <s v="PASMAK"/>
    <s v="Pasay City"/>
    <s v="2340 F. B. Harrison St., Pasay City"/>
    <s v="Froilan G. Aguirre"/>
    <s v="556-3819"/>
    <s v="technodevelopment2@yahoo.com"/>
    <s v="Driving NC II"/>
    <n v="2"/>
    <n v="230"/>
    <n v="201"/>
  </r>
  <r>
    <x v="263"/>
    <s v="TTI (PTC)"/>
    <s v="National Capital Region (NCR)"/>
    <s v="PAMAMARISAN"/>
    <s v="Marikina City"/>
    <s v="Rm. 304, 3rd Floor, NTTA Bldg., MPC Compound, Mayor Chanyungco St. Brgy. Sta. Elena, Marikina City"/>
    <s v="CHRISTIAN JOSEPH C. AGUILAR"/>
    <s v="8570-9893/ 7728-8871"/>
    <s v="tptac@tesda.gov.ph"/>
    <s v="Driving NC II"/>
    <n v="2"/>
    <n v="389"/>
    <n v="420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Driving NC II"/>
    <n v="1"/>
    <n v="248"/>
    <n v="241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Driving NC II"/>
    <n v="1"/>
    <n v="191"/>
    <n v="256"/>
  </r>
  <r>
    <x v="255"/>
    <s v="TVIs"/>
    <s v="National Capital Region (NCR)"/>
    <s v="City of Manila"/>
    <s v="Santa Cruz, City of Manila"/>
    <s v="4F 2610 Aurora St., cor. Tecson St., Sta. Cruz, Manila"/>
    <s v="COTELO, JAHZIEL VILLARUZ"/>
    <s v="02-8423-2559"/>
    <s v="topchoicemanila2023@gmail.com"/>
    <s v="Driving NC II"/>
    <n v="5"/>
    <n v="178"/>
    <n v="115"/>
  </r>
  <r>
    <x v="256"/>
    <s v="TVIs"/>
    <s v="National Capital Region (NCR)"/>
    <s v="MUNTIPARLASTAPAT"/>
    <s v="Parañaque City"/>
    <s v="0030 Ninoy Aquino Avenue, Brgy. San Dionisio, Parañaque City"/>
    <s v="JAHZIEL B. VILLARUZ-.COTELO"/>
    <s v="423-2559"/>
    <s v="topchoicetech14@gmail.com"/>
    <s v="Driving NC II"/>
    <n v="5"/>
    <n v="470"/>
    <n v="398"/>
  </r>
  <r>
    <x v="173"/>
    <s v="TVIs"/>
    <s v="National Capital Region (NCR)"/>
    <s v="MUNTIPARLASTAPAT"/>
    <s v="Taguig City"/>
    <s v="503 Eagle St., Blk 5, G2 Village, Brgy. Pinagsama, Taguig City"/>
    <s v="JOVENCIO GAGTAN"/>
    <s v="666-3946 / 09272331562"/>
    <s v="actscolleges2008@gmail.com"/>
    <s v="Electrical Installation and Maintenance NC II"/>
    <n v="2"/>
    <n v="75"/>
    <n v="118"/>
  </r>
  <r>
    <x v="264"/>
    <s v="TVIs"/>
    <s v="National Capital Region (NCR)"/>
    <s v="MUNTIPARLASTAPAT"/>
    <s v="Parañaque City"/>
    <s v="Mezzanine Floor, Lot 5 Sta. Agueda cor. Queensway, Pascor Drive Brgy. Sto. Niño, Parañaque City"/>
    <s v="Bernald Joseph J. Juare"/>
    <s v="(02) 8776 - 8588"/>
    <s v="atscadmin@atsc.space"/>
    <s v="Electrical Installation and Maintenance NC II"/>
    <n v="1"/>
    <n v="1"/>
    <n v="1"/>
  </r>
  <r>
    <x v="107"/>
    <s v="TVIs"/>
    <s v="National Capital Region (NCR)"/>
    <s v="MUNTIPARLASTAPAT"/>
    <s v="Las Piñas City"/>
    <s v="Bernardo College Compound, Pulanglupa I, Las Piñas City"/>
    <s v="Maria Jesusan- Bernardo Guinto"/>
    <s v="873-3330"/>
    <s v="bernardocollege@yahoo.com"/>
    <s v="Electrical Installation and Maintenance NC II"/>
    <n v="0"/>
    <n v="0"/>
    <n v="45"/>
  </r>
  <r>
    <x v="265"/>
    <s v="TVIs"/>
    <s v="National Capital Region (NCR)"/>
    <s v="PAMAMARISAN"/>
    <s v="Mandaluyong City"/>
    <s v="Gen. Kalentong St, Mandaluyong City"/>
    <s v="FR. RONILO A. JAVINES, SDB"/>
    <s v="531-8081 to 85 / 531-6644"/>
    <s v="dbmanda@one-bosco.org"/>
    <s v="Electrical Installation and Maintenance NC II"/>
    <n v="1"/>
    <n v="43"/>
    <n v="43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Electrical Installation and Maintenance NC II"/>
    <n v="1"/>
    <n v="38"/>
    <n v="75"/>
  </r>
  <r>
    <x v="266"/>
    <s v="TVIs"/>
    <s v="National Capital Region (NCR)"/>
    <s v="CAMANAVA"/>
    <s v="Valenzuela City"/>
    <s v="No. 84-A to 86-D McAthur Highway, Marulas, Valenzuela City"/>
    <s v="Simma L. Yang"/>
    <s v="293-03-32"/>
    <s v="dcst_2011@yahoo.com"/>
    <s v="Electrical Installation and Maintenance NC II"/>
    <n v="1"/>
    <n v="45"/>
    <n v="36"/>
  </r>
  <r>
    <x v="267"/>
    <s v="TVIs"/>
    <s v="National Capital Region (NCR)"/>
    <s v="CAMANAVA"/>
    <s v="Valenzuela City"/>
    <s v="598 Mc Arthur Hi-way, Malanday, Valenzuela City"/>
    <s v="DR. DOMINADOR V. SOLIS"/>
    <s v="4182232 / 4005563"/>
    <s v="electroncollege2@gmail.com"/>
    <s v="Electrical Installation and Maintenance NC II"/>
    <n v="1"/>
    <n v="43"/>
    <n v="38"/>
  </r>
  <r>
    <x v="67"/>
    <s v="TVIs"/>
    <s v="National Capital Region (NCR)"/>
    <s v="CAMANAVA"/>
    <s v="Caloocan City"/>
    <s v="No. 1569 Rizal Ave. Cor. 10th Ave., Grace Park West, Barangay 62, Caloocan City"/>
    <s v="Michael Angelo A. Maga"/>
    <s v="426-8591/09175017675"/>
    <s v="hitacc.am@gmail.com"/>
    <s v="Electrical Installation and Maintenance NC II"/>
    <n v="1"/>
    <n v="110"/>
    <n v="106"/>
  </r>
  <r>
    <x v="268"/>
    <s v="TVIs"/>
    <s v="National Capital Region (NCR)"/>
    <s v="MUNTIPARLASTAPAT"/>
    <s v="Muntinlupa City"/>
    <s v="IETI Building, Molina St., Alabang, Muntinlupa City"/>
    <s v="MELVIE B. ACEDO"/>
    <s v="850-0937/850-0938/772-5290"/>
    <s v="ietialabang@yahoo.com"/>
    <s v="Electrical Installation and Maintenance NC II"/>
    <n v="2"/>
    <n v="43"/>
    <n v="80"/>
  </r>
  <r>
    <x v="269"/>
    <s v="TVIs"/>
    <s v="National Capital Region (NCR)"/>
    <s v="MUNTIPARLASTAPAT"/>
    <s v="Parañaque City"/>
    <s v="No. 263 EML Bldg., Doña Soledad Extension, Better Living Subd., Brgy. Don Bosco Parañaque City"/>
    <s v="FRANCIS ALCANTARA"/>
    <s v="02-8807-5073"/>
    <s v="jemtrainingschool@gmail.com"/>
    <s v="Electrical Installation and Maintenance NC II"/>
    <n v="1"/>
    <n v="1"/>
    <n v="1"/>
  </r>
  <r>
    <x v="270"/>
    <s v="TVIs"/>
    <s v="National Capital Region (NCR)"/>
    <s v="MUNTIPARLASTAPAT"/>
    <s v="Taguig City"/>
    <s v="Billingham Building, Unit 101-103, 11 Bagong Calzada, Brgy. Ususan, Taguig City"/>
    <s v="Marilou J. Lactaoen"/>
    <s v="664-2703"/>
    <s v="jeretech2018@gmail.com"/>
    <s v="Electrical Installation and Maintenance NC II"/>
    <n v="1"/>
    <n v="82"/>
    <n v="78"/>
  </r>
  <r>
    <x v="271"/>
    <s v="TVIs"/>
    <s v="National Capital Region (NCR)"/>
    <s v="Quezon City"/>
    <s v="Quezon City"/>
    <s v="699 Tandang Sora Avenue, Old Balara, Quezon City"/>
    <s v="Gamaliel F. Itao, PEE, M. Entr."/>
    <s v="928-3307 / 937-6236"/>
    <s v="qc.mtctvimis@gmail.com"/>
    <s v="Electrical Installation and Maintenance NC II"/>
    <n v="2"/>
    <n v="231"/>
    <n v="237"/>
  </r>
  <r>
    <x v="272"/>
    <s v="TVIs"/>
    <s v="National Capital Region (NCR)"/>
    <s v="Quezon City"/>
    <s v="Quezon City"/>
    <s v="789 Quirino Hiway, Gulod, Quezon City"/>
    <s v="MS. CARMEN A. DIOKNO, PHD"/>
    <s v="401-7603"/>
    <s v="mountcharmelschool@yahoo.com"/>
    <s v="Electrical Installation and Maintenance NC II"/>
    <n v="1"/>
    <n v="26"/>
    <n v="23"/>
  </r>
  <r>
    <x v="208"/>
    <s v="TTI (PTC)"/>
    <s v="National Capital Region (NCR)"/>
    <s v="MUNTIPARLASTAPAT"/>
    <s v="Taguig City"/>
    <s v="Bldg. 9, (formerly Pinoy Bayanihan Project) TESDA Complex, East Service Road, South Luzon Expressway, Taguig City"/>
    <s v="MARLON A. FELIX"/>
    <s v="8-886-5306"/>
    <s v="mdtac@tesda.gov.ph"/>
    <s v="Electrical Installation and Maintenance NC II"/>
    <n v="1"/>
    <n v="146"/>
    <n v="213"/>
  </r>
  <r>
    <x v="75"/>
    <s v="TVIs"/>
    <s v="National Capital Region (NCR)"/>
    <s v="CAMANAVA"/>
    <s v="Valenzuela City"/>
    <s v="Corner De Leon Street, Purok 1-A Kabatuhan Street, Mapulang Lupa, Valenzuela City"/>
    <s v="Arvin C. Mamites"/>
    <s v="(02) 750-3718"/>
    <s v="philschooltechdevinno@gmail.com"/>
    <s v="Electrical Installation and Maintenance NC II"/>
    <n v="1"/>
    <n v="357"/>
    <n v="322"/>
  </r>
  <r>
    <x v="40"/>
    <s v="TTI (PTC)"/>
    <s v="National Capital Region (NCR)"/>
    <s v="Quezon City"/>
    <s v="Quezon City"/>
    <s v="Lot 10, Block 17, Dahlia Avenue, Fairview Quezon City"/>
    <s v="EDMAR JAY O. BLANCO"/>
    <s v="799-9092"/>
    <s v="qclbsdc@tesda.gov.ph"/>
    <s v="Electrical Installation and Maintenance NC II"/>
    <n v="1"/>
    <n v="49"/>
    <n v="48"/>
  </r>
  <r>
    <x v="273"/>
    <s v="TVIs"/>
    <s v="National Capital Region (NCR)"/>
    <s v="City of Manila"/>
    <s v="Sampaloc, City of Manila"/>
    <s v="867 G Tolentino Street, Sampaloc, Manila"/>
    <s v="TERESITA Y. MARCOS. MSBM"/>
    <s v="736-2279"/>
    <s v="ne.guarina@seamac.ph.education"/>
    <s v="Electrical Installation and Maintenance NC II"/>
    <n v="2"/>
    <n v="103"/>
    <n v="90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Electrical Installation and Maintenance NC II"/>
    <n v="2"/>
    <n v="43"/>
    <n v="125"/>
  </r>
  <r>
    <x v="202"/>
    <s v="TVIs"/>
    <s v="National Capital Region (NCR)"/>
    <s v="CAMANAVA"/>
    <s v="Valenzuela City"/>
    <s v="No. 92 Mc Arthur Highway, Marulas, Valenzuela City "/>
    <s v="MARILEN S. GAMOTEA"/>
    <s v="444-1939"/>
    <s v="stpetervelle2003@yahoo.com.ph"/>
    <s v="Electrical Installation and Maintenance NC II"/>
    <n v="1"/>
    <n v="42"/>
    <n v="42"/>
  </r>
  <r>
    <x v="202"/>
    <s v="TVIs"/>
    <s v="National Capital Region (NCR)"/>
    <s v="Quezon City"/>
    <s v="Quezon City"/>
    <s v="No. 919 Aurora Blvd., Cubao, Quezon City"/>
    <s v="MARILEN S. GAMOTEA"/>
    <s v="438-7442"/>
    <s v="stpetervelle2003@yahoo.com.ph"/>
    <s v="Electrical Installation and Maintenance NC II"/>
    <n v="1"/>
    <n v="57"/>
    <n v="49"/>
  </r>
  <r>
    <x v="30"/>
    <s v="LGU"/>
    <s v="National Capital Region (NCR)"/>
    <s v="MUNTIPARLASTAPAT"/>
    <s v="Taguig City"/>
    <s v="Col. Ballecer St., Brgy. Central Signal Village, Taguig City"/>
    <s v="Evangeline F. Sabater"/>
    <n v="9297015428"/>
    <s v="manpowertmtc@gmail.com"/>
    <s v="Electrical Installation and Maintenance NC II"/>
    <n v="2"/>
    <n v="131"/>
    <n v="194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Electrical Installation and Maintenance NC II"/>
    <n v="1"/>
    <n v="106"/>
    <n v="148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Electrical Installation and Maintenance NC II"/>
    <n v="1"/>
    <n v="28"/>
    <n v="22"/>
  </r>
  <r>
    <x v="0"/>
    <s v="TTI (School)"/>
    <s v="National Capital Region (NCR)"/>
    <s v="MUNTIPARLASTAPAT"/>
    <s v="Taguig City"/>
    <s v="Philippine-Korea Friendship Center, Bayani Road, Fort Bonifacio, Taguig City"/>
    <s v="DEXTER C. HULLEZA"/>
    <n v="9182178647"/>
    <s v="mpltp.hrdc.tvimis@gmail.com"/>
    <s v="Electrical Installation and Maintenance NC III"/>
    <n v="2"/>
    <n v="329"/>
    <n v="328"/>
  </r>
  <r>
    <x v="271"/>
    <s v="TVIs"/>
    <s v="National Capital Region (NCR)"/>
    <s v="Quezon City"/>
    <s v="Quezon City"/>
    <s v="699 Tandang Sora Avenue, Old Balara, Quezon City"/>
    <s v="Gamaliel F. Itao, PEE, M. Entr."/>
    <s v="928-3307 / 937-6236"/>
    <s v="qc.mtctvimis@gmail.com"/>
    <s v="Electrical Installation and Maintenance NC III"/>
    <n v="1"/>
    <n v="25"/>
    <n v="25"/>
  </r>
  <r>
    <x v="227"/>
    <s v="TVIs"/>
    <s v="National Capital Region (NCR)"/>
    <s v="PAMAMARISAN"/>
    <s v="Marikina City"/>
    <s v="34 Lark St., Sta Elena, Marikina City"/>
    <s v="MS. ANALYN A. NAVARRETE"/>
    <s v="882-0492 / 682-3445"/>
    <s v="ietimarikina8@yahoo.com"/>
    <s v="Electronic Products Assembly and Servicing NC II"/>
    <n v="1"/>
    <n v="48"/>
    <n v="41"/>
  </r>
  <r>
    <x v="47"/>
    <s v="TVIs"/>
    <s v="National Capital Region (NCR)"/>
    <s v="MUNTIPARLASTAPAT"/>
    <s v="Muntinlupa City"/>
    <s v="No. 5 Molina St., Alabang, Muntinlupa City"/>
    <s v="MELVIE B. ACEDO"/>
    <s v="850-0937/850-0938"/>
    <s v="ietialabang@yahoo.com"/>
    <s v="Electronic Products Assembly and Servicing NC II"/>
    <n v="0"/>
    <n v="0"/>
    <n v="55"/>
  </r>
  <r>
    <x v="188"/>
    <s v="TVIs"/>
    <s v="National Capital Region (NCR)"/>
    <s v="MUNTIPARLASTAPAT"/>
    <s v="Las Piñas City"/>
    <s v="3/F &amp; 4/F Navarro Bldg., Real St., Pamplona III, Las Piñas City"/>
    <s v="Rolando B. Rodillo, Jr."/>
    <s v="874-47-65 / 871-4351"/>
    <s v="ieti.laspinas1974@gmail.com"/>
    <s v="Electronic Products Assembly and Servicing NC II"/>
    <n v="1"/>
    <n v="44"/>
    <n v="44"/>
  </r>
  <r>
    <x v="270"/>
    <s v="TVIs"/>
    <s v="National Capital Region (NCR)"/>
    <s v="MUNTIPARLASTAPAT"/>
    <s v="Taguig City"/>
    <s v="Billingham Building, Unit 101-103, 11 Bagong Calzada, Brgy. Ususan, Taguig City"/>
    <s v="Marilou J. Lactaoen"/>
    <s v="664-2703"/>
    <s v="jeretech2018@gmail.com"/>
    <s v="Electronic Products Assembly and Servicing NC II"/>
    <n v="1"/>
    <n v="135"/>
    <n v="85"/>
  </r>
  <r>
    <x v="192"/>
    <s v="TVIs"/>
    <s v="National Capital Region (NCR)"/>
    <s v="PAMAMARISAN"/>
    <s v="Pasig City"/>
    <s v="MFI Bldg., Ortigas Ave., Pasig City"/>
    <s v="NOEL M. DUMAGUIT"/>
    <s v="632-0756 to 67/ 631-1294/631-3838"/>
    <s v="pasig@mfi.edu.ph"/>
    <s v="Electronic Products Assembly and Servicing NC II"/>
    <n v="0"/>
    <n v="0"/>
    <n v="84"/>
  </r>
  <r>
    <x v="274"/>
    <s v="TVIs"/>
    <s v="National Capital Region (NCR)"/>
    <s v="MUNTIPARLASTAPAT"/>
    <s v="Taguig City"/>
    <s v="3/F No. 86 Bayani Road, AFPOVAI Phase 5, Brgy. Western Bicutan, Taguig City"/>
    <s v="GINALYN P. RAMBOYONG"/>
    <s v="775-0575 / 894-5030 / 09399276507"/>
    <s v="pulxartviinc3@gmail.com"/>
    <s v="Electronic Products Assembly and Servicing NC II"/>
    <n v="1"/>
    <n v="25"/>
    <n v="22"/>
  </r>
  <r>
    <x v="40"/>
    <s v="TTI (PTC)"/>
    <s v="National Capital Region (NCR)"/>
    <s v="Quezon City"/>
    <s v="Quezon City"/>
    <s v="Lot 10, Block 17, Dahlia Avenue, Fairview Quezon City"/>
    <s v="EDMAR JAY O. BLANCO"/>
    <s v="799-9092"/>
    <s v="qclbsdc@tesda.gov.ph"/>
    <s v="Electronic Products Assembly and Servicing NC II"/>
    <n v="1"/>
    <n v="95"/>
    <n v="55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Electronic Products Assembly and Servicing NC II"/>
    <n v="1"/>
    <n v="25"/>
    <n v="0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Electronic Products Assembly and Servicing NC II"/>
    <n v="1"/>
    <n v="68"/>
    <n v="92"/>
  </r>
  <r>
    <x v="275"/>
    <s v="TVIs"/>
    <s v="National Capital Region (NCR)"/>
    <s v="PAMAMARISAN"/>
    <s v="Pasig City"/>
    <s v="No. 9-G Malvar St., San Antonio, Pasig City"/>
    <s v="MELIEZZA JOEY V. VILLARUZ"/>
    <s v="546-9443"/>
    <s v="metrovision.ems@gmail.com"/>
    <s v="Emergency Medical Services NC II"/>
    <n v="3"/>
    <n v="164"/>
    <n v="130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Emergency Medical Services NC II"/>
    <n v="1"/>
    <n v="103"/>
    <n v="92"/>
  </r>
  <r>
    <x v="209"/>
    <s v="TVIs"/>
    <s v="National Capital Region (NCR)"/>
    <s v="PAMAMARISAN"/>
    <s v="Mandaluyong City"/>
    <s v="55 Shaw Blvd., Mandaluyong City"/>
    <s v="Danilo S. Velez Jr."/>
    <s v="Tel. 535-1595"/>
    <s v="sjbkalentong1996@gmail.com"/>
    <s v="Events Management Services NC III"/>
    <n v="3"/>
    <n v="126"/>
    <n v="122"/>
  </r>
  <r>
    <x v="170"/>
    <s v="TVIs"/>
    <s v="National Capital Region (NCR)"/>
    <s v="Quezon City"/>
    <s v="Quezon City"/>
    <s v="815 Room 301, 3rd Floor CSP Building Que-zon Ave Santa Cruz, Quezon City"/>
    <s v="KRISTINA MARIE R. CHUA"/>
    <n v="9558691867"/>
    <s v="A1VENTURESTECHVOCCORP@GMAIL.COM"/>
    <s v="Events Management Services NC III"/>
    <n v="2"/>
    <n v="550"/>
    <n v="452"/>
  </r>
  <r>
    <x v="70"/>
    <s v="TVIs"/>
    <s v="National Capital Region (NCR)"/>
    <s v="CAMANAVA"/>
    <s v="Valenzuela City"/>
    <s v="0721 Navarette St., Arkong Bato, Valenzuela City"/>
    <s v="CRISTINA MARIE M. FELICIANO"/>
    <s v="09194994983 / 0916403254."/>
    <s v="aphroditetacvalenzuela2023@gmail.com"/>
    <s v="Events Management Services NC III"/>
    <n v="1"/>
    <n v="201"/>
    <n v="201"/>
  </r>
  <r>
    <x v="41"/>
    <s v="TVIs"/>
    <s v="National Capital Region (NCR)"/>
    <s v="PAMAMARISAN"/>
    <s v="Marikina City"/>
    <s v="712 JP Rizal Concepcion Uno, Marikina City"/>
    <s v="MADONNA V. VITALIANO "/>
    <s v="0915-800-1270"/>
    <s v="aplustechvoc@gmail.com"/>
    <s v="Events Management Services NC III"/>
    <n v="4"/>
    <n v="336"/>
    <n v="334"/>
  </r>
  <r>
    <x v="116"/>
    <s v="TVIs"/>
    <s v="National Capital Region (NCR)"/>
    <s v="MUNTIPARLASTAPAT"/>
    <s v="Taguig City"/>
    <s v="4/F Gate 3 Plaza, Lawton Avenue cor. Juliano Ave., AFPOVAI Phase lll, Western Bicutan, Taguig City"/>
    <s v="Dario S. Espineda"/>
    <s v="553-5202/869-8824"/>
    <s v="asiasource.academics@gmail.com"/>
    <s v="Events Management Services NC III"/>
    <n v="1"/>
    <n v="103"/>
    <n v="45"/>
  </r>
  <r>
    <x v="212"/>
    <s v="TVIs"/>
    <s v="National Capital Region (NCR)"/>
    <s v="PAMAMARISAN"/>
    <s v="San Juan City"/>
    <s v="4 2nd West Crame, San Juan City"/>
    <s v="Rodell King Alcantara "/>
    <s v="8521-9958/ 09192898785"/>
    <s v="bluechiptrainingcenterph@gmail.com"/>
    <s v="Events Management Services NC III"/>
    <n v="2"/>
    <n v="128"/>
    <n v="80"/>
  </r>
  <r>
    <x v="276"/>
    <s v="TVIs"/>
    <s v="National Capital Region (NCR)"/>
    <s v="PAMAMARISAN"/>
    <s v="San Juan City"/>
    <s v="Units 2113 – 2114 2nd Floor VV. Soliven Bldg.,  EDSA – Greenhills, San Juan City"/>
    <s v="MA. CHRISTINA LOURDES P. SOLIVEN"/>
    <s v="966-5142"/>
    <s v="brilliantmindstrainingcenter@gmail.com"/>
    <s v="Events Management Services NC III"/>
    <n v="1"/>
    <n v="70"/>
    <n v="40"/>
  </r>
  <r>
    <x v="43"/>
    <s v="TVIs"/>
    <s v="National Capital Region (NCR)"/>
    <s v="PASMAK"/>
    <s v="Pasay City"/>
    <s v="Pasadeña St., Pasay City"/>
    <s v="Dr. ROASANIE F. ESTUCHE"/>
    <n v="5511342"/>
    <s v="cityunipasay@gmail.com"/>
    <s v="Events Management Services NC III"/>
    <n v="3"/>
    <n v="110"/>
    <n v="81"/>
  </r>
  <r>
    <x v="78"/>
    <s v="TVIs"/>
    <s v="National Capital Region (NCR)"/>
    <s v="CAMANAVA"/>
    <s v="Malabon City"/>
    <s v="118 Interior Gen. Luna St., Brgy. Ibaba Malabon City "/>
    <s v="PEPITO B. TRUMATA"/>
    <s v="497-7929"/>
    <s v="cmnv.saintamatiel.t2mis@gmail.com"/>
    <s v="Events Management Services NC III"/>
    <n v="3"/>
    <n v="188"/>
    <n v="233"/>
  </r>
  <r>
    <x v="277"/>
    <s v="HEIs"/>
    <s v="National Capital Region (NCR)"/>
    <s v="City of Manila"/>
    <s v="Paco, City of Manila"/>
    <s v="1739 P. Gil Street, Paco, Manila"/>
    <s v="Sr. Ana J. Amar, DC"/>
    <s v="563-4352/564-2001"/>
    <s v="tesda@laconcordia.edu.ph"/>
    <s v="Events Management Services NC III"/>
    <n v="1"/>
    <n v="54"/>
    <n v="54"/>
  </r>
  <r>
    <x v="278"/>
    <s v="TVIs"/>
    <s v="National Capital Region (NCR)"/>
    <s v="PASMAK"/>
    <s v="Pasay City"/>
    <s v="2nd Floor Unit D &amp; E, 2250 MCF Bldg., Taft Avenue, Corner College Road, Pasay City"/>
    <s v="Irish Joy D. Dames"/>
    <s v="0915 299 4488"/>
    <s v="dbeautytrendcenterinstitute@gmail.com"/>
    <s v="Events Management Services NC III"/>
    <n v="3"/>
    <n v="245"/>
    <n v="198"/>
  </r>
  <r>
    <x v="279"/>
    <s v="TVIs"/>
    <s v="National Capital Region (NCR)"/>
    <s v="PASMAK"/>
    <s v="Makati City"/>
    <s v="J&amp;M Building 159-N Mapayapa St., 19th Ave., East Rembo, Makati City"/>
    <s v="IRISH JOY D. DAMES"/>
    <s v="0915-299-4488"/>
    <s v="beautytrendofficial@gmail.com"/>
    <s v="Events Management Services NC III"/>
    <n v="2"/>
    <n v="155"/>
    <n v="155"/>
  </r>
  <r>
    <x v="101"/>
    <s v="TVIs"/>
    <s v="National Capital Region (NCR)"/>
    <s v="CAMANAVA"/>
    <s v="Caloocan City"/>
    <s v="No. 237 M.H. del Pliar St., Grace Park, Caloocan City"/>
    <s v="MARLON S. PAGUIO"/>
    <s v="332-3060"/>
    <s v="cmnv.ejistcaloocan.t2mis@gmail.com"/>
    <s v="Events Management Services NC III"/>
    <n v="1"/>
    <n v="48"/>
    <n v="48"/>
  </r>
  <r>
    <x v="280"/>
    <s v="TVIs"/>
    <s v="National Capital Region (NCR)"/>
    <s v="PAMAMARISAN"/>
    <s v="Pasig City"/>
    <s v="201 Mahogany Street cor. Marcos Hi-way, Barangay Santolan , Pasig City"/>
    <s v="GEORGINA B. BANZON"/>
    <s v="8656-1738"/>
    <s v="exceltscc2015@gmail.com"/>
    <s v="Events Management Services NC III"/>
    <n v="1"/>
    <n v="149"/>
    <n v="145"/>
  </r>
  <r>
    <x v="257"/>
    <s v="TVIs"/>
    <s v="National Capital Region (NCR)"/>
    <s v="City of Manila"/>
    <s v="San Miguel, City of Manila"/>
    <s v="514 B 3rd St., San Beda Subdivision, San Miguel - Barangay 638, City of Manila"/>
    <s v="EDHEL DIONNE C. PUA"/>
    <s v="8734-5688"/>
    <s v="excelsior.innovation.technology@gmail.com"/>
    <s v="Events Management Services NC III"/>
    <n v="2"/>
    <n v="116"/>
    <n v="116"/>
  </r>
  <r>
    <x v="44"/>
    <s v="TVIs"/>
    <s v="National Capital Region (NCR)"/>
    <s v="PASMAK"/>
    <s v="Makati City"/>
    <s v="518 Narra St. Cembo, Makati City "/>
    <s v="MARY GRACE O. TEJADA"/>
    <s v="750-0626 / 391-1042 / 383-8766 / 391-1042"/>
    <s v="finetrainingcenter@gmail.com"/>
    <s v="Events Management Services NC III"/>
    <n v="1"/>
    <n v="119"/>
    <n v="86"/>
  </r>
  <r>
    <x v="112"/>
    <s v="TVIs"/>
    <s v="National Capital Region (NCR)"/>
    <s v="CAMANAVA"/>
    <s v="Caloocan City"/>
    <s v="7 Cabatuhan Road Deparo, Barangay 168 Caloocan City"/>
    <s v="ATTY. SALVADOR B. BELARO JR."/>
    <s v="(02) 938-9575/09257622699"/>
    <s v="gcemsat2019@gmail.com"/>
    <s v="Events Management Services NC III"/>
    <n v="2"/>
    <n v="53"/>
    <n v="28"/>
  </r>
  <r>
    <x v="182"/>
    <s v="TVIs"/>
    <s v="National Capital Region (NCR)"/>
    <s v="CAMANAVA"/>
    <s v="Malabon City"/>
    <s v="4F St. Jerome Mansion, 82 Victoneta Ave., Potrero, Malabon City"/>
    <s v="FLORINDA V. VALERA"/>
    <n v="9684471790"/>
    <s v="headstartcenter1@gmail.com"/>
    <s v="Events Management Services NC III"/>
    <n v="2"/>
    <n v="183"/>
    <n v="52"/>
  </r>
  <r>
    <x v="67"/>
    <s v="TVIs"/>
    <s v="National Capital Region (NCR)"/>
    <s v="CAMANAVA"/>
    <s v="Caloocan City"/>
    <s v="No. 1569 Rizal Ave. Cor. 10th Ave., Grace Park West, Barangay 62, Caloocan City"/>
    <s v="Michael Angelo A. Maga"/>
    <s v="426-8591/09175017675"/>
    <s v="hitacc.am@gmail.com"/>
    <s v="Events Management Services NC III"/>
    <n v="1"/>
    <n v="185"/>
    <n v="156"/>
  </r>
  <r>
    <x v="281"/>
    <s v="TVIs"/>
    <s v="National Capital Region (NCR)"/>
    <s v="MUNTIPARLASTAPAT"/>
    <s v="Taguig City"/>
    <s v="L11 B13 EP Village Phase 2, Western Bicutan, Taguig City"/>
    <s v="DENNIS M. SANTIAGO"/>
    <s v="0908-865-0545"/>
    <s v="informationhubinc888@gmail.com"/>
    <s v="Events Management Services NC III"/>
    <n v="2"/>
    <n v="111"/>
    <n v="154"/>
  </r>
  <r>
    <x v="49"/>
    <s v="TVIs"/>
    <s v="National Capital Region (NCR)"/>
    <s v="MUNTIPARLASTAPAT"/>
    <s v="Parañaque City"/>
    <s v="CAP Bldg., Dr. A. Santos Ave., Sucat, Parañaque City"/>
    <s v="Alan F. Boribor"/>
    <s v="825-6531/470-7793"/>
    <s v="infotechcollege_2017@yahoo.com"/>
    <s v="Events Management Services NC III"/>
    <n v="1"/>
    <n v="54"/>
    <n v="54"/>
  </r>
  <r>
    <x v="50"/>
    <s v="HEIs"/>
    <s v="National Capital Region (NCR)"/>
    <s v="PAMAMARISAN"/>
    <s v="Mandaluyong City"/>
    <s v="343 Ortigas Ave., Mandaluyong City"/>
    <s v="Mrs. Maria Carmela A. Boncodin"/>
    <s v="721-2000 loc 249 / 721-2000 loc 121"/>
    <s v="alted.aac@lsgh.edu.ph"/>
    <s v="Events Management Services NC III"/>
    <n v="1"/>
    <n v="55"/>
    <n v="47"/>
  </r>
  <r>
    <x v="282"/>
    <s v="TVIs"/>
    <s v="National Capital Region (NCR)"/>
    <s v="PASMAK"/>
    <s v="Makati City"/>
    <s v="Light Tower Center II, 2nd Floor, 5441 Curie St., Barangay Palanan, Makati City"/>
    <s v="LOREN LARKSPUR T. CASTIGADOR"/>
    <s v="7254-0275 / 0995-980-8051"/>
    <s v="ltc.tamsi@gmail.com"/>
    <s v="Events Management Services NC III"/>
    <n v="1"/>
    <n v="154"/>
    <n v="185"/>
  </r>
  <r>
    <x v="53"/>
    <s v="TVIs"/>
    <s v="National Capital Region (NCR)"/>
    <s v="City of Manila"/>
    <s v="Santa Cruz, City of Manila"/>
    <s v="1671 Alvarez St., Sta. Cruz, Manila"/>
    <s v="JAMESON W. CHUA"/>
    <s v="."/>
    <s v="registrar@mbc.edu.ph"/>
    <s v="Events Management Services NC III"/>
    <n v="1"/>
    <n v="25"/>
    <n v="22"/>
  </r>
  <r>
    <x v="54"/>
    <s v="TVIs"/>
    <s v="National Capital Region (NCR)"/>
    <s v="CAMANAVA"/>
    <s v="Valenzuela City"/>
    <s v="52 Ka82ruhatan Road, Karuhatan, Valenzuela City"/>
    <s v="JONATHAN O. ANDES"/>
    <n v="82340614"/>
    <s v="maranathatechvoc.2022@gmail.com"/>
    <s v="Events Management Services NC III"/>
    <n v="4"/>
    <n v="310"/>
    <n v="307"/>
  </r>
  <r>
    <x v="55"/>
    <s v="TVIs"/>
    <s v="National Capital Region (NCR)"/>
    <s v="MUNTIPARLASTAPAT"/>
    <s v="Parañaque City"/>
    <s v="J. Villaroman St. Classic Homes, B.F. Homes, Parañaque City"/>
    <s v="Joy Myra S. Tambunting"/>
    <s v="807-5171/75"/>
    <s v="tesda@marymountacademy.edu.ph"/>
    <s v="Events Management Services NC III"/>
    <n v="1"/>
    <n v="67"/>
    <n v="67"/>
  </r>
  <r>
    <x v="96"/>
    <s v="TVIs"/>
    <s v="National Capital Region (NCR)"/>
    <s v="Quezon City"/>
    <s v="Quezon City"/>
    <s v="Bonanza Bldg. II, Block 1 Lot 6 Hilltop Subd., Putol na Daan St., Greater Lagro, Quezon City"/>
    <s v="APRIL V. NUEDA"/>
    <s v="09494508000 / 751-6420"/>
    <s v="miesha.inc@gmail.com"/>
    <s v="Events Management Services NC III"/>
    <n v="0"/>
    <n v="0"/>
    <n v="39"/>
  </r>
  <r>
    <x v="84"/>
    <s v="TVIs"/>
    <s v="National Capital Region (NCR)"/>
    <s v="CAMANAVA"/>
    <s v="Valenzuela City"/>
    <s v="3F JLB Bldg., Km 12 MacArthur Highway, Marulas, Valenzuela City"/>
    <s v="FERNANDO S. LIBAO JR."/>
    <s v="85538078 / 09569771169"/>
    <s v="milestone.camanava2022@gmail.com"/>
    <s v="Events Management Services NC III"/>
    <n v="3"/>
    <n v="353"/>
    <n v="287"/>
  </r>
  <r>
    <x v="194"/>
    <s v="TVIs"/>
    <s v="National Capital Region (NCR)"/>
    <s v="PAMAMARISAN"/>
    <s v="Pasig City"/>
    <s v="No. 163 Dr. Sixto Avenue, Brgy. Rosario, Pasig City "/>
    <s v="CARMINA ABEGAIL B. DIMAYUGA"/>
    <s v="263-4819"/>
    <s v="mtdi.training@gmail.com"/>
    <s v="Events Management Services NC III"/>
    <n v="2"/>
    <n v="644"/>
    <n v="642"/>
  </r>
  <r>
    <x v="21"/>
    <s v="TVIs"/>
    <s v="National Capital Region (NCR)"/>
    <s v="Quezon City"/>
    <s v="Quezon City"/>
    <s v="Unit 11, Llanar Bldg., Bonny Serrano Ave., cor. 10th Ave., Cubao, Quezon City "/>
    <s v="MARK AUGUSTINE L. RODRIGUEZ"/>
    <s v="364-4347"/>
    <s v="nationalinstitute.techvoc@gmail.com"/>
    <s v="Events Management Services NC III"/>
    <n v="2"/>
    <n v="154"/>
    <n v="154"/>
  </r>
  <r>
    <x v="283"/>
    <s v="TVIs"/>
    <s v="National Capital Region (NCR)"/>
    <s v="Quezon City"/>
    <s v="Quezon City"/>
    <s v="71 RGG Bldg. Kamias Road Pinyahan, Quezon City"/>
    <s v="GIRLIE ONG-GENATO"/>
    <s v="0908-8671630"/>
    <s v="qc.ourladyofguadalupetvimis@gmail.com"/>
    <s v="Events Management Services NC III"/>
    <n v="2"/>
    <n v="129"/>
    <n v="122"/>
  </r>
  <r>
    <x v="168"/>
    <s v="TTI (PTC)"/>
    <s v="National Capital Region (NCR)"/>
    <s v="PASMAK"/>
    <s v="Makati City"/>
    <s v="Building 15, TESDA Complex, East Service Road, South Superhighway, Taguig City"/>
    <s v="VERNADETTE D. FLORES-GONZALES"/>
    <n v="9688524038"/>
    <s v="pmdtac@tesda.gov.ph"/>
    <s v="Events Management Services NC III"/>
    <n v="2"/>
    <n v="101"/>
    <n v="78"/>
  </r>
  <r>
    <x v="196"/>
    <s v="TVIs"/>
    <s v="National Capital Region (NCR)"/>
    <s v="PASMAK"/>
    <s v="Makati City"/>
    <s v="3/F Sterling Annex, 2302 Chino Roces Ext., Brgy. Magallanes, Makati City"/>
    <s v="KRISTELLE LYNNE P. ONG"/>
    <n v="9606688727"/>
    <s v="pccimakati0522@gmail.com"/>
    <s v="Events Management Services NC III"/>
    <n v="3"/>
    <n v="172"/>
    <n v="171"/>
  </r>
  <r>
    <x v="75"/>
    <s v="TVIs"/>
    <s v="National Capital Region (NCR)"/>
    <s v="CAMANAVA"/>
    <s v="Valenzuela City"/>
    <s v="Corner De Leon Street, Purok 1-A Kabatuhan Street, Mapulang Lupa, Valenzuela City"/>
    <s v="Arvin C. Mamites"/>
    <s v="(02) 750-3718"/>
    <s v="philschooltechdevinno@gmail.com"/>
    <s v="Events Management Services NC III"/>
    <n v="1"/>
    <n v="202"/>
    <n v="285"/>
  </r>
  <r>
    <x v="284"/>
    <s v="TVIs"/>
    <s v="National Capital Region (NCR)"/>
    <s v="Quezon City"/>
    <s v="Quezon City"/>
    <s v="121 The Beech Panay Avenue South Triangle, Quezon City"/>
    <s v="RODEN M. RAMOS"/>
    <s v="8373-8434"/>
    <s v="pinoyskillsacademy@gmail.com"/>
    <s v="Events Management Services NC III"/>
    <n v="1"/>
    <n v="60"/>
    <n v="60"/>
  </r>
  <r>
    <x v="149"/>
    <s v="TVIs"/>
    <s v="National Capital Region (NCR)"/>
    <s v="PASMAK"/>
    <s v="Makati City"/>
    <s v="6488 P. Medina St., Pio Del Pilar, Makati City"/>
    <s v="JOSE LORENZO E. BEECH"/>
    <s v="(02) 526-4838"/>
    <s v="Joelo@pro-techcorp.com"/>
    <s v="Events Management Services NC III"/>
    <n v="1"/>
    <n v="25"/>
    <n v="25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Events Management Services NC III"/>
    <n v="3"/>
    <n v="176"/>
    <n v="83"/>
  </r>
  <r>
    <x v="197"/>
    <s v="TVIs"/>
    <s v="National Capital Region (NCR)"/>
    <s v="PAMAMARISAN"/>
    <s v="Mandaluyong City"/>
    <s v="3rd floor 7 Sumulong Hi-way, corner M. Cruz St., Santo Niño, Marikina City"/>
    <s v="Gladys T. Chua"/>
    <n v="9178820923"/>
    <s v="pmms.rgtech.tvimis@gmail.com"/>
    <s v="Events Management Services NC III"/>
    <n v="2"/>
    <n v="255"/>
    <n v="240"/>
  </r>
  <r>
    <x v="262"/>
    <s v="TVIs"/>
    <s v="National Capital Region (NCR)"/>
    <s v="CAMANAVA"/>
    <s v="Caloocan City"/>
    <s v="Area -A 603 ZCS Building, Zabarte Road, Brgy. 175, Caloocan City"/>
    <s v="JIENDY T. ANTONES"/>
    <s v="091694320858 / 09054180148"/>
    <s v="rmceagles3@gmail.com"/>
    <s v="Events Management Services NC III"/>
    <n v="3"/>
    <n v="609"/>
    <n v="507"/>
  </r>
  <r>
    <x v="198"/>
    <s v="TVIs"/>
    <s v="National Capital Region (NCR)"/>
    <s v="CAMANAVA"/>
    <s v="Malabon City"/>
    <s v="No. 2 Inda Maria Road, Brgy. Potrero, Malabon City"/>
    <s v="RIZALINA R. PATIO"/>
    <s v="788-1082"/>
    <s v="cmnv.rvnti.tvimis@Gmail.com"/>
    <s v="Events Management Services NC III"/>
    <n v="2"/>
    <n v="48"/>
    <n v="48"/>
  </r>
  <r>
    <x v="285"/>
    <s v="TVIs"/>
    <s v="National Capital Region (NCR)"/>
    <s v="CAMANAVA"/>
    <s v="Valenzuela City"/>
    <s v="3003 South Road, Raminel Subd. Valenzuela City"/>
    <s v="JOEL S. SABAS"/>
    <s v="292-2210"/>
    <s v="sabasskills@gmail.com"/>
    <s v="Events Management Services NC III"/>
    <n v="1"/>
    <n v="61"/>
    <n v="60"/>
  </r>
  <r>
    <x v="286"/>
    <s v="TVIs"/>
    <s v="National Capital Region (NCR)"/>
    <s v="PAMAMARISAN"/>
    <s v="Marikina City"/>
    <s v="2nd Floor #8 Jacamar St., Brgy. Sta. Elena, Marikina City"/>
    <s v="RYAN ULYSSES CRUZ "/>
    <s v="0916-337-5200"/>
    <s v="admin@setsi.ph"/>
    <s v="Events Management Services NC III"/>
    <n v="0"/>
    <n v="0"/>
    <n v="43"/>
  </r>
  <r>
    <x v="287"/>
    <s v="TVIs"/>
    <s v="National Capital Region (NCR)"/>
    <s v="Quezon City"/>
    <s v="Quezon City"/>
    <s v="Simplicity Fairview Building, Lot 11 Block 2, Benevento Ave. Greater Lagro, Quezon City"/>
    <s v="Antoni Martin Gutierrez Escalona"/>
    <s v="0917-5929949"/>
    <s v="simplicityacademy.fairview@gmail.com"/>
    <s v="Events Management Services NC III"/>
    <n v="1"/>
    <n v="16"/>
    <n v="14"/>
  </r>
  <r>
    <x v="27"/>
    <s v="TVIs"/>
    <s v="National Capital Region (NCR)"/>
    <s v="PASMAK"/>
    <s v="Pasay City"/>
    <s v="Unit 3- A 3rd Flr Wardley Bldg. 1991 San Juan St. Pasay City"/>
    <s v="CRISTINA J. APLASCA"/>
    <n v="2474130"/>
    <s v="smiacademicenter@gmail.com"/>
    <s v="Events Management Services NC III"/>
    <n v="2"/>
    <n v="96"/>
    <n v="96"/>
  </r>
  <r>
    <x v="288"/>
    <s v="TVIs"/>
    <s v="National Capital Region (NCR)"/>
    <s v="MUNTIPARLASTAPAT"/>
    <s v="Parañaque City"/>
    <s v="Protacio Building, 260 Quirino Avenue, Baclaran, Parañaque City"/>
    <s v="JENNIFER U. DELA CRUZ"/>
    <s v="208-2247"/>
    <s v="southcompedgecollege@yahoo.com"/>
    <s v="Events Management Services NC III"/>
    <n v="1"/>
    <n v="47"/>
    <n v="47"/>
  </r>
  <r>
    <x v="289"/>
    <s v="TVIs"/>
    <s v="National Capital Region (NCR)"/>
    <s v="CAMANAVA"/>
    <s v="Caloocan City"/>
    <s v="No. 0030 Zapote St. PHHC Camarin Area-D Camarin Road, Caloocan City"/>
    <s v="Rey L. Guimbangunan"/>
    <s v="514-5119/ 2853297"/>
    <s v="cmnv.stfrancistechnical.t2mis@gmail.com"/>
    <s v="Events Management Services NC III"/>
    <n v="1"/>
    <n v="31"/>
    <n v="30"/>
  </r>
  <r>
    <x v="290"/>
    <s v="TVIs"/>
    <s v="National Capital Region (NCR)"/>
    <s v="PASMAK"/>
    <s v="Pasay City"/>
    <s v="2199 2nd Flr. Robert Street, Zone 4 Barangay 13 District 1, Pasay City"/>
    <s v="EUGENE M. RUIZ"/>
    <s v="0995-813-8316"/>
    <s v="St.lorenzoruiztesda2023@gmail.com"/>
    <s v="Events Management Services NC III"/>
    <n v="2"/>
    <n v="145"/>
    <n v="140"/>
  </r>
  <r>
    <x v="74"/>
    <s v="TVIs"/>
    <s v="National Capital Region (NCR)"/>
    <s v="CAMANAVA"/>
    <s v="Malabon City"/>
    <s v="30 M. Santos St., Santolan, Malabon City"/>
    <s v="VICTOR COLUMBUS C. CANTA"/>
    <n v="9278551680"/>
    <s v="smati.malabon@gmail.com"/>
    <s v="Events Management Services NC III"/>
    <n v="1"/>
    <n v="38"/>
    <n v="38"/>
  </r>
  <r>
    <x v="79"/>
    <s v="TVIs"/>
    <s v="National Capital Region (NCR)"/>
    <s v="CAMANAVA"/>
    <s v="Caloocan City"/>
    <s v="#31 Dagohoy Street corner Caimito St., Brgy. 079, Caloocan City"/>
    <s v="EFREN E. MORENO, JR."/>
    <s v="02-86530178 / 09082367204"/>
    <s v="thomas.center23@gmail.com"/>
    <s v="Events Management Services NC III"/>
    <n v="1"/>
    <n v="379"/>
    <n v="294"/>
  </r>
  <r>
    <x v="291"/>
    <s v="TVIs"/>
    <s v="National Capital Region (NCR)"/>
    <s v="CAMANAVA"/>
    <s v="Caloocan City"/>
    <s v="Unit M03 and 2nd Floor Consuelo Building, 116 Benin Street Corner EDSA Monumento, Zone 8, Barangay 86, Caloocan City"/>
    <s v="REA A. ROQUE"/>
    <n v="87216790"/>
    <s v="trident.tvi2023@gmail.com"/>
    <s v="Events Management Services NC III"/>
    <n v="2"/>
    <n v="312"/>
    <n v="293"/>
  </r>
  <r>
    <x v="86"/>
    <s v="TVIs"/>
    <s v="National Capital Region (NCR)"/>
    <s v="CAMANAVA"/>
    <s v="Caloocan City"/>
    <s v="Isagani Campo St., Bankers Village 2, Barangay 184, Caloocan City"/>
    <s v="ENGR. MARIZEN S. MANALO"/>
    <s v="85631125 / 09066928678"/>
    <s v="trinitycaloocantvimis@gmail.com"/>
    <s v="Events Management Services NC III"/>
    <n v="1"/>
    <n v="25"/>
    <n v="0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Events Management Services NC III"/>
    <n v="2"/>
    <n v="99"/>
    <n v="83"/>
  </r>
  <r>
    <x v="292"/>
    <s v="HEIs"/>
    <s v="National Capital Region (NCR)"/>
    <s v="CAMANAVA"/>
    <s v="Caloocan City"/>
    <s v="461 William Shaw St., Caloocan City"/>
    <s v="Raymond Patrick V. Guico"/>
    <n v="83679110"/>
    <s v="wccatcnm.tesdaoffice@gmail.com"/>
    <s v="Events Management Services NC III"/>
    <n v="1"/>
    <n v="42"/>
    <n v="42"/>
  </r>
  <r>
    <x v="293"/>
    <s v="TVIs"/>
    <s v="National Capital Region (NCR)"/>
    <s v="Quezon City"/>
    <s v="Quezon City"/>
    <s v="112 Old Samson Rd. Balintawak, Quezon City"/>
    <s v="Antonio M. Dimayuga Jr."/>
    <s v="413-4225 "/>
    <s v="laborlinktechnical@yahoo.com"/>
    <s v="Shielded Metal Arc Welding (SMAW) NC II"/>
    <n v="2"/>
    <n v="224"/>
    <n v="330"/>
  </r>
  <r>
    <x v="294"/>
    <s v="TVIs"/>
    <s v="National Capital Region (NCR)"/>
    <s v="PAMAMARISAN"/>
    <s v="Pasig City"/>
    <s v="2nd Floor, St. John Bosco Bldg., Pasig Bldg., cor. Dr. Sixto Antonio Ave., Caniogan, Pasig City"/>
    <s v="Marilyn D. Barcelona"/>
    <s v="470-8800 / 6424190"/>
    <s v="sjbosco1996@yahoo.com"/>
    <s v="Food and Beverage Services NC II"/>
    <n v="1"/>
    <n v="62"/>
    <n v="57"/>
  </r>
  <r>
    <x v="10"/>
    <s v="TVIs"/>
    <s v="National Capital Region (NCR)"/>
    <s v="City of Manila"/>
    <s v="Sampaloc, City of Manila"/>
    <s v="Unit 502 5th Floor Fern Bldg 827 P. Paredes St. Sampaloc Manila"/>
    <s v="Jay-ar D. Sta. Ana"/>
    <s v="."/>
    <s v="7staracademy.exec@gmail.com"/>
    <s v="Food and Beverage Services NC II"/>
    <n v="1"/>
    <n v="11"/>
    <n v="10"/>
  </r>
  <r>
    <x v="32"/>
    <s v="TVIs"/>
    <s v="National Capital Region (NCR)"/>
    <s v="PAMAMARISAN"/>
    <s v="Marikina City"/>
    <s v="2/F WRC Bldg. No. 47 Gil Fernando Midtown Subd., San Roque, Marikina City "/>
    <s v="MR. JAIME G. DOLERA JR."/>
    <s v="Tel. No. 234-0996"/>
    <s v="academy.asia@gmail.com"/>
    <s v="Food and Beverage Services NC II"/>
    <n v="1"/>
    <n v="75"/>
    <n v="75"/>
  </r>
  <r>
    <x v="295"/>
    <s v="TVIs"/>
    <s v="National Capital Region (NCR)"/>
    <s v="PASMAK"/>
    <s v="Pasay City"/>
    <s v="2/F Horizon Center, 100 Andrews Avenue, Pasay City"/>
    <s v="MA. THERESA S. LLAMAS"/>
    <n v="9178788295"/>
    <s v="admissions@academyforleisuretourism.com"/>
    <s v="Food and Beverage Services NC II"/>
    <n v="1"/>
    <n v="58"/>
    <n v="58"/>
  </r>
  <r>
    <x v="131"/>
    <s v="TVIs"/>
    <s v="National Capital Region (NCR)"/>
    <s v="CAMANAVA"/>
    <s v="Caloocan City"/>
    <s v="A &amp; A Bldg., 120 P. Jacinto cor. Boni Serrano St. Calaanan East, Caloocan City"/>
    <s v="Jonas Jay D. Lorenzo "/>
    <s v="366-3975/ 367-8233/ 366-9282"/>
    <s v="actecschool.caloocan@gmail.com"/>
    <s v="Food and Beverage Services NC II"/>
    <n v="0"/>
    <n v="0"/>
    <n v="0"/>
  </r>
  <r>
    <x v="173"/>
    <s v="TVIs"/>
    <s v="National Capital Region (NCR)"/>
    <s v="MUNTIPARLASTAPAT"/>
    <s v="Taguig City"/>
    <s v="503 Eagle St., Blk 5, G2 Village, Brgy. Pinagsama, Taguig City"/>
    <s v="JOVENCIO GAGTAN"/>
    <s v="666-3946 / 09272331562"/>
    <s v="actscolleges2008@gmail.com"/>
    <s v="Food and Beverage Services NC II"/>
    <n v="2"/>
    <n v="48"/>
    <n v="38"/>
  </r>
  <r>
    <x v="11"/>
    <s v="TVIs"/>
    <s v="National Capital Region (NCR)"/>
    <s v="PAMAMARISAN"/>
    <s v="Marikina City"/>
    <s v="No. 14 N. Roxas St., San Roque, Marikina City"/>
    <s v="PRINCES A. PAMPLONA"/>
    <s v="961-7772 / 995-0996"/>
    <s v="asiantouchmarikina@gmail.com"/>
    <s v="Food and Beverage Services NC II"/>
    <n v="2"/>
    <n v="101"/>
    <n v="33"/>
  </r>
  <r>
    <x v="176"/>
    <s v="TVIs"/>
    <s v="National Capital Region (NCR)"/>
    <s v="PAMAMARISAN"/>
    <s v="Marikina City"/>
    <s v="No. 9 Martilyete St., Midtwon Subd., San Roque, Marikina City"/>
    <s v="DANILO BLASITO A. FERNANDEZ"/>
    <s v="682-0165/645-0444"/>
    <s v="bowline.center2007@gmail.com"/>
    <s v="Food and Beverage Services NC II"/>
    <n v="2"/>
    <n v="215"/>
    <n v="215"/>
  </r>
  <r>
    <x v="296"/>
    <s v="TVIs"/>
    <s v="National Capital Region (NCR)"/>
    <s v="PAMAMARISAN"/>
    <s v="Mandaluyong City"/>
    <s v="2/F Paragon Plaza, EDSA corner Reliance St., Mandaluyong City"/>
    <s v="JENNIFER AYAP"/>
    <s v="451-1657 / 5847343"/>
    <s v="cthitraining@gmail.com"/>
    <s v="Food and Beverage Services NC II"/>
    <n v="1"/>
    <n v="141"/>
    <n v="222"/>
  </r>
  <r>
    <x v="179"/>
    <s v="TVIs"/>
    <s v="National Capital Region (NCR)"/>
    <s v="Quezon City"/>
    <s v="Quezon City"/>
    <s v="2nd Floor Our Home Bldg., 114 Malakas St. Diliman, Quezon City"/>
    <s v="Cecilio B. Pingkian "/>
    <s v="(02) 925-2554  435-7010"/>
    <s v="cit_2013@yahoo.com"/>
    <s v="Food and Beverage Services NC II"/>
    <n v="1"/>
    <n v="83"/>
    <n v="75"/>
  </r>
  <r>
    <x v="16"/>
    <s v="TVIs"/>
    <s v="National Capital Region (NCR)"/>
    <s v="Quezon City"/>
    <s v="Quezon City"/>
    <s v="Lot 56 Blk LCH - 220 Pajo Street, Quirino 2C, Quezon City"/>
    <s v="GENESIS S. STO. DOMINGO, CHP, MMITHM, D.HUM"/>
    <s v="8299-8511 loc 106"/>
    <s v="cgroupskills@gmail.com"/>
    <s v="Food and Beverage Services NC II"/>
    <n v="1"/>
    <n v="50"/>
    <n v="24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Food and Beverage Services NC II"/>
    <n v="2"/>
    <n v="122"/>
    <n v="156"/>
  </r>
  <r>
    <x v="91"/>
    <s v="TVIs"/>
    <s v="National Capital Region (NCR)"/>
    <s v="PAMAMARISAN"/>
    <s v="San Juan City"/>
    <s v="No. 173 M. Paterno St., San Juan City"/>
    <s v="Maria Theresa E. Nabatar"/>
    <s v="727-0581 to 82 / 722-5671"/>
    <s v="reg@punlaanschool.edu.ph"/>
    <s v="Food and Beverage Services NC II"/>
    <n v="1"/>
    <n v="76"/>
    <n v="120"/>
  </r>
  <r>
    <x v="35"/>
    <s v="TVIs"/>
    <s v="National Capital Region (NCR)"/>
    <s v="PAMAMARISAN"/>
    <s v="Mandaluyong City"/>
    <s v="3/F Raymundo Bldg. Kalentong St., Mandaluyong City"/>
    <s v="JOSE O. MONTENEGRO"/>
    <s v="534-4478"/>
    <s v="gistian08.mandakalentong@gmail.com"/>
    <s v="Food and Beverage Services NC II"/>
    <n v="1"/>
    <n v="200"/>
    <n v="125"/>
  </r>
  <r>
    <x v="18"/>
    <s v="TVIs"/>
    <s v="National Capital Region (NCR)"/>
    <s v="MUNTIPARLASTAPAT"/>
    <s v="Parañaque City"/>
    <s v="AJBEL Bldg., 9127 San Antonio Valley Avenue, Brgy. SAV-1, Sucat, Parañaque City"/>
    <s v="Glendon C. Gloria"/>
    <s v="551-2408"/>
    <s v="godbearerinstitute@gmail.com"/>
    <s v="Food and Beverage Services NC II"/>
    <n v="1"/>
    <n v="64"/>
    <n v="36"/>
  </r>
  <r>
    <x v="19"/>
    <s v="TVIs"/>
    <s v="National Capital Region (NCR)"/>
    <s v="MUNTIPARLASTAPAT"/>
    <s v="Parañaque City"/>
    <s v="No. 97 Doña Soledad Better Living, Don Bosco, Parañaque City"/>
    <s v="DAVE DV. NAVARRO"/>
    <s v="239-2860"/>
    <s v="homeculinary@kingsgroup.com.ph"/>
    <s v="Food and Beverage Services NC II"/>
    <n v="0"/>
    <n v="0"/>
    <n v="49"/>
  </r>
  <r>
    <x v="83"/>
    <s v="TVIs"/>
    <s v="National Capital Region (NCR)"/>
    <s v="MUNTIPARLASTAPAT"/>
    <s v="Las Piñas City"/>
    <s v="No. 33 Gloria Diaz St., BF Resort Village, Las Piñas City"/>
    <s v="Glecita R. Buan"/>
    <s v="871-2133/775-5016/552-9001"/>
    <s v="info.imaiph@gmail.com"/>
    <s v="Food and Beverage Services NC II"/>
    <n v="1"/>
    <n v="114"/>
    <n v="89"/>
  </r>
  <r>
    <x v="36"/>
    <s v="TVIs"/>
    <s v="National Capital Region (NCR)"/>
    <s v="PAMAMARISAN"/>
    <s v="Mandaluyong City"/>
    <s v="Unit 02, 2/F Elena Roces Building, No. 7 Pioneer St., Mandaluyong City"/>
    <s v="Mr. Ulysses D. Campos"/>
    <s v="634-8244 / 634-3300 or 0927-418-7015"/>
    <s v="info@itchi-asia.com"/>
    <s v="Food and Beverage Services NC II"/>
    <n v="1"/>
    <n v="63"/>
    <n v="59"/>
  </r>
  <r>
    <x v="50"/>
    <s v="HEIs"/>
    <s v="National Capital Region (NCR)"/>
    <s v="PAMAMARISAN"/>
    <s v="Mandaluyong City"/>
    <s v="343 Ortigas Ave., Mandaluyong City"/>
    <s v="Mrs. Maria Carmela A. Boncodin"/>
    <s v="721-2000 loc 249 / 721-2000 loc 121"/>
    <s v="alted.aac@lsgh.edu.ph"/>
    <s v="Food and Beverage Services NC II"/>
    <n v="0"/>
    <n v="0"/>
    <n v="11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Food and Beverage Services NC II"/>
    <n v="1"/>
    <n v="26"/>
    <n v="0"/>
  </r>
  <r>
    <x v="93"/>
    <s v="TVIs"/>
    <s v="National Capital Region (NCR)"/>
    <s v="City of Manila"/>
    <s v="Ermita, City of Manila"/>
    <s v="3rd Floor Times Plaza Building, United Nations cor. Taft Ave., Ermita, Manila"/>
    <s v="PAOLO SANTINO A. GUEVARA"/>
    <s v="524-9996 loc.308/523-8538"/>
    <s v="jewel.evangelista@mihca.edu.ph"/>
    <s v="Food and Beverage Services NC II"/>
    <n v="3"/>
    <n v="293"/>
    <n v="381"/>
  </r>
  <r>
    <x v="93"/>
    <s v="TVIs"/>
    <s v="National Capital Region (NCR)"/>
    <s v="PAMAMARISAN"/>
    <s v="Mandaluyong City"/>
    <s v="G/F and 2/F Commercial Space Pioneer, Woodlands Tower 1 and 2, EDSA corner Pioneer St., Mandaluyong City"/>
    <s v="PAOLO SANTINO A. GUEVARA "/>
    <s v="721-1540"/>
    <s v="warly.pacol@mihca.edu.ph"/>
    <s v="Food and Beverage Services NC II"/>
    <n v="1"/>
    <n v="60"/>
    <n v="116"/>
  </r>
  <r>
    <x v="253"/>
    <s v="LGU"/>
    <s v="National Capital Region (NCR)"/>
    <s v="PAMAMARISAN"/>
    <s v="Mandaluyong City"/>
    <s v="Welfareville Compound, Barangay Addition Hills., Mandaluyong City"/>
    <s v="MS. MARIA MAJELLA G. TAMPINCO"/>
    <s v="531-5159"/>
    <s v="manpowermandaluyong@gmail.com"/>
    <s v="Food and Beverage Services NC II"/>
    <n v="1"/>
    <n v="58"/>
    <n v="75"/>
  </r>
  <r>
    <x v="297"/>
    <s v="HEIs"/>
    <s v="National Capital Region (NCR)"/>
    <s v="Quezon City"/>
    <s v="Quezon City"/>
    <s v="Commonwealth Ave., Road., 44 Diliman, Quezon City"/>
    <s v="Jan Carla R. Tan"/>
    <s v="341-0336"/>
    <s v="qc.marythequeencollege.t2mis@gmail.com"/>
    <s v="Food and Beverage Services NC II"/>
    <n v="1"/>
    <n v="63"/>
    <n v="50"/>
  </r>
  <r>
    <x v="108"/>
    <s v="TVIs"/>
    <s v="National Capital Region (NCR)"/>
    <s v="PAMAMARISAN"/>
    <s v="Pasig City"/>
    <s v="No. 22 Gen. Araneta and Lukban Streets, Barangay San Antonio, Pasig City"/>
    <s v="FELIMON J. REGALADO JR. "/>
    <s v="788-1847"/>
    <s v="training@astoriaplaza.com"/>
    <s v="Food and Beverage Services NC II"/>
    <n v="1"/>
    <n v="120"/>
    <n v="89"/>
  </r>
  <r>
    <x v="298"/>
    <s v="NGO/Foundation "/>
    <s v="National Capital Region (NCR)"/>
    <s v="Quezon City"/>
    <s v="Quezon City"/>
    <s v="126 Rosales St. Payatas A, Quezon City"/>
    <s v="S. Ma. Lolieta Ariza, RVM"/>
    <s v="330-8287"/>
    <s v="minsacpayatas028@gmail.com"/>
    <s v="Food and Beverage Services NC II"/>
    <n v="1"/>
    <n v="51"/>
    <n v="47"/>
  </r>
  <r>
    <x v="109"/>
    <s v="TVIs"/>
    <s v="National Capital Region (NCR)"/>
    <s v="MUNTIPARLASTAPAT"/>
    <s v="Las Piñas City"/>
    <s v="481 Real St., Alabang-Zapote Road, Almanza Uno, Las Piñas City"/>
    <s v="MA. VERONICA S. ESTOR"/>
    <s v="632 72577896 / 09178781978"/>
    <s v="moversint.tesda@gmail.com"/>
    <s v="Food and Beverage Services NC II"/>
    <n v="2"/>
    <n v="46"/>
    <n v="16"/>
  </r>
  <r>
    <x v="22"/>
    <s v="LGU"/>
    <s v="National Capital Region (NCR)"/>
    <s v="CAMANAVA"/>
    <s v="Navotas City"/>
    <s v="Governor Pascual St., Barangay Daanghari, Navotas City"/>
    <s v="KATHRYN ANNE S. HILARIO"/>
    <s v="292-2277"/>
    <s v="navotaasinstitute.annex2@gmail.com"/>
    <s v="Food and Beverage Services NC II"/>
    <n v="1"/>
    <n v="68"/>
    <n v="66"/>
  </r>
  <r>
    <x v="283"/>
    <s v="TVIs"/>
    <s v="National Capital Region (NCR)"/>
    <s v="Quezon City"/>
    <s v="Quezon City"/>
    <s v="71 RGG Bldg. Kamias Road Pinyahan, Quezon City"/>
    <s v="GIRLIE ONG-GENATO"/>
    <s v="0908-8671630"/>
    <s v="qc.ourladyofguadalupetvimis@gmail.com"/>
    <s v="Food and Beverage Services NC II"/>
    <n v="1"/>
    <n v="83"/>
    <n v="77"/>
  </r>
  <r>
    <x v="299"/>
    <s v="TVIs"/>
    <s v="National Capital Region (NCR)"/>
    <s v="Quezon City"/>
    <s v="Quezon City"/>
    <s v="No. 9 Nightingale St. and No. 14 Woodpecker St., Zabarte Subdivision, Novaliches, Quezon City"/>
    <s v="Ma. Lourdes L. Ocampo, Ed. D"/>
    <s v="(02) 939-6829"/>
    <s v="office@ollcn.ph.education"/>
    <s v="Food and Beverage Services NC II"/>
    <n v="2"/>
    <n v="83"/>
    <n v="76"/>
  </r>
  <r>
    <x v="300"/>
    <s v="TVIs"/>
    <s v="National Capital Region (NCR)"/>
    <s v="PASMAK"/>
    <s v="Makati City"/>
    <s v="2078 Edison St. Brgy San Isidro, Makati City"/>
    <s v="Esperanza H. Pascual"/>
    <s v="815-7051/463-8911"/>
    <s v="overseasacademyskills@yahoo.com"/>
    <s v="Food and Beverage Services NC II"/>
    <n v="2"/>
    <n v="57"/>
    <n v="45"/>
  </r>
  <r>
    <x v="57"/>
    <s v="TVIs"/>
    <s v="National Capital Region (NCR)"/>
    <s v="MUNTIPARLASTAPAT"/>
    <s v="Parañaque City"/>
    <s v="Kabihasnan, cor. Coastal Road, Brgy. San Dionisio, Parañaque City"/>
    <s v="ALEJANDRO D. MAGNAYE, DBM"/>
    <s v="962-6958"/>
    <s v="mpltp.pcc.tvimis@gmail.com"/>
    <s v="Food and Beverage Services NC II"/>
    <n v="2"/>
    <n v="66"/>
    <n v="141"/>
  </r>
  <r>
    <x v="284"/>
    <s v="TVIs"/>
    <s v="National Capital Region (NCR)"/>
    <s v="Quezon City"/>
    <s v="Quezon City"/>
    <s v="121 The Beech Panay Avenue South Triangle, Quezon City"/>
    <s v="RODEN M. RAMOS"/>
    <s v="8373-8434"/>
    <s v="pinoyskillsacademy@gmail.com"/>
    <s v="Food and Beverage Services NC II"/>
    <n v="1"/>
    <n v="20"/>
    <n v="20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Food and Beverage Services NC II"/>
    <n v="2"/>
    <n v="274"/>
    <n v="227"/>
  </r>
  <r>
    <x v="27"/>
    <s v="TVIs"/>
    <s v="National Capital Region (NCR)"/>
    <s v="PASMAK"/>
    <s v="Pasay City"/>
    <s v="Unit 3- A 3rd Flr Wardley Bldg. 1991 San Juan St. Pasay City"/>
    <s v="CRISTINA J. APLASCA"/>
    <n v="2474130"/>
    <s v="smiacademicenter@gmail.com"/>
    <s v="Food and Beverage Services NC II"/>
    <n v="1"/>
    <n v="57"/>
    <n v="57"/>
  </r>
  <r>
    <x v="61"/>
    <s v="TVIs"/>
    <s v="National Capital Region (NCR)"/>
    <s v="MUNTIPARLASTAPAT"/>
    <s v="Muntinlupa City"/>
    <s v="Km. 23.6 East Service Rd., Udings Cmpd. I, Alabang, Muntinlupa City"/>
    <s v="Felicitas C. Rabonza"/>
    <s v="842-21-39 / 856-66-02/850-57-09"/>
    <s v="tvet@sbca.edu.ph"/>
    <s v="Food and Beverage Services NC II"/>
    <n v="1"/>
    <n v="26"/>
    <n v="28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Food and Beverage Services NC II"/>
    <n v="1"/>
    <n v="47"/>
    <n v="42"/>
  </r>
  <r>
    <x v="231"/>
    <s v="HEIs"/>
    <s v="National Capital Region (NCR)"/>
    <s v="PAMAMARISAN"/>
    <s v="Marikina City"/>
    <s v="289 L. De Guzman St., Concepcion, Marikina City"/>
    <s v="VILMA C. CAPARROS"/>
    <s v="TeleFax: 948-2978 / 997-6601 / 948-2978 / 942-330"/>
    <s v="karen.ocampo@marikina.sti.edu"/>
    <s v="Food and Beverage Services NC II"/>
    <n v="1"/>
    <n v="54"/>
    <n v="54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Food and Beverage Services NC II"/>
    <n v="1"/>
    <n v="140"/>
    <n v="145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Food and Beverage Services NC II"/>
    <n v="3"/>
    <n v="160"/>
    <n v="108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Food and Beverage Services NC III"/>
    <n v="0"/>
    <n v="0"/>
    <n v="54"/>
  </r>
  <r>
    <x v="36"/>
    <s v="TVIs"/>
    <s v="National Capital Region (NCR)"/>
    <s v="PAMAMARISAN"/>
    <s v="Mandaluyong City"/>
    <s v="Unit 02, 2/F Elena Roces Building, No. 7 Pioneer St., Mandaluyong City"/>
    <s v="Mr. Ulysses D. Campos"/>
    <s v="634-8244 / 634-3300 or 0927-418-7015"/>
    <s v="info@itchi-asia.com"/>
    <s v="Front Office Services NC II"/>
    <n v="2"/>
    <n v="114"/>
    <n v="126"/>
  </r>
  <r>
    <x v="108"/>
    <s v="TVIs"/>
    <s v="National Capital Region (NCR)"/>
    <s v="PAMAMARISAN"/>
    <s v="Pasig City"/>
    <s v="No. 22 Gen. Araneta and Lukban Streets, Barangay San Antonio, Pasig City"/>
    <s v="FELIMON J. REGALADO JR. "/>
    <s v="788-1847"/>
    <s v="training@astoriaplaza.com"/>
    <s v="Front Office Services NC II"/>
    <n v="1"/>
    <n v="52"/>
    <n v="19"/>
  </r>
  <r>
    <x v="0"/>
    <s v="TTI (School)"/>
    <s v="National Capital Region (NCR)"/>
    <s v="MUNTIPARLASTAPAT"/>
    <s v="Taguig City"/>
    <s v="Philippine-Korea Friendship Center, Bayani Road, Fort Bonifacio, Taguig City"/>
    <s v="DEXTER C. HULLEZA"/>
    <n v="9182178647"/>
    <s v="mpltp.hrdc.tvimis@gmail.com"/>
    <s v="Game Programming NC III"/>
    <n v="1"/>
    <n v="43"/>
    <n v="22"/>
  </r>
  <r>
    <x v="75"/>
    <s v="TVIs"/>
    <s v="National Capital Region (NCR)"/>
    <s v="CAMANAVA"/>
    <s v="Valenzuela City"/>
    <s v="Corner De Leon Street, Purok 1-A Kabatuhan Street, Mapulang Lupa, Valenzuela City"/>
    <s v="Arvin C. Mamites"/>
    <s v="(02) 750-3718"/>
    <s v="philschooltechdevinno@gmail.com"/>
    <s v="Shielded Metal Arc Welding (SMAW) NC II"/>
    <n v="1"/>
    <n v="326"/>
    <n v="314"/>
  </r>
  <r>
    <x v="301"/>
    <s v="TVIs"/>
    <s v="National Capital Region (NCR)"/>
    <s v="MUNTIPARLASTAPAT"/>
    <s v="Parañaque City"/>
    <s v="52 Iphor Bldg. Doña Soledad Ave., Brgy. Don Bosco, Bicutan, Parañaque City"/>
    <s v="JUNEL V. FETALINO"/>
    <s v="738-8450"/>
    <s v="jfetalino@iteac.edu.ph"/>
    <s v="Shielded Metal Arc Welding (SMAW) NC I"/>
    <n v="2"/>
    <n v="163"/>
    <n v="308"/>
  </r>
  <r>
    <x v="14"/>
    <s v="TVIs"/>
    <s v="National Capital Region (NCR)"/>
    <s v="Quezon City"/>
    <s v="Quezon City"/>
    <s v="3/F Lot 13-A, Blk. 31 cor. Camaro St., Fairview Ave., Fairview, Quezon City"/>
    <s v="GERALD O. CATEDRILLA"/>
    <s v="(02) 428-4094"/>
    <s v="qc.cenbartvimis@gmail.com"/>
    <s v="Shielded Metal Arc Welding (SMAW) NC II"/>
    <n v="2"/>
    <n v="192"/>
    <n v="283"/>
  </r>
  <r>
    <x v="153"/>
    <s v="TVIs"/>
    <s v="National Capital Region (NCR)"/>
    <s v="MUNTIPARLASTAPAT"/>
    <s v="Taguig City"/>
    <s v="Lontoc cor. Virata St. near Samaca II, Brgy. Calzada, Taguig City"/>
    <s v="Ralph Emerson M. Mactal"/>
    <n v="82521804"/>
    <s v="cpdccorp@gmail.com"/>
    <s v="Shielded Metal Arc Welding (SMAW) NC II"/>
    <n v="4"/>
    <n v="264"/>
    <n v="280"/>
  </r>
  <r>
    <x v="153"/>
    <s v="TVIs"/>
    <s v="National Capital Region (NCR)"/>
    <s v="MUNTIPARLASTAPAT"/>
    <s v="Taguig City"/>
    <s v="Lontoc cor. Virata St. near Samaca II, Brgy. Calzada, Taguig City"/>
    <s v="Ralph Emerson M. Mactal"/>
    <n v="82521804"/>
    <s v="cpdccorp@gmail.com"/>
    <s v="Shielded Metal Arc Welding (SMAW) NC I"/>
    <n v="2"/>
    <n v="156"/>
    <n v="234"/>
  </r>
  <r>
    <x v="301"/>
    <s v="TVIs"/>
    <s v="National Capital Region (NCR)"/>
    <s v="MUNTIPARLASTAPAT"/>
    <s v="Parañaque City"/>
    <s v="52 Iphor Bldg. Doña Soledad Ave., Brgy. Don Bosco, Bicutan, Parañaque City"/>
    <s v="JUNEL V. FETALINO"/>
    <s v="738-8450"/>
    <s v="jfetalino@iteac.edu.ph"/>
    <s v="Shielded Metal Arc Welding (SMAW) NC II"/>
    <n v="4"/>
    <n v="209"/>
    <n v="202"/>
  </r>
  <r>
    <x v="39"/>
    <s v="LGU"/>
    <s v="National Capital Region (NCR)"/>
    <s v="PAMAMARISAN"/>
    <s v="Pasig City"/>
    <s v="Pio Alvarez St. , Barangay Bambang Pasig City "/>
    <s v="CORINNA V. BUGAWAN"/>
    <s v="706-7977"/>
    <s v="pcistbambang@gmail.com"/>
    <s v="Shielded Metal Arc Welding (SMAW) NC II"/>
    <n v="2"/>
    <n v="193"/>
    <n v="197"/>
  </r>
  <r>
    <x v="302"/>
    <s v="TVIs"/>
    <s v="National Capital Region (NCR)"/>
    <s v="MUNTIPARLASTAPAT"/>
    <s v="Parañaque City"/>
    <s v="RECRAA Bldg., Vitalez Cmpd., Sucat, Paranaque City"/>
    <s v="Ma. Cristina B. Tafalla"/>
    <s v="826-81-69 825-7956 loc. 50 826-8169 fax"/>
    <s v="starsandrainbow2016@gmail.com"/>
    <s v="Shielded Metal Arc Welding (SMAW) NC II"/>
    <n v="2"/>
    <n v="219"/>
    <n v="182"/>
  </r>
  <r>
    <x v="131"/>
    <s v="TVIs"/>
    <s v="National Capital Region (NCR)"/>
    <s v="CAMANAVA"/>
    <s v="Caloocan City"/>
    <s v="419 D &amp; I Building EDSA Avenue, Barangay 86 Caloocan City"/>
    <s v="Jonas Jay D. Lorenzo"/>
    <s v="8366-3975"/>
    <s v="actecschool.caloocan@gmail.com"/>
    <s v="Health Care Services NC II"/>
    <n v="1"/>
    <n v="13"/>
    <n v="0"/>
  </r>
  <r>
    <x v="138"/>
    <s v="TVIs"/>
    <s v="National Capital Region (NCR)"/>
    <s v="CAMANAVA"/>
    <s v="Caloocan City"/>
    <s v="Lot 1-C Mangga Street, corner Lawaan Street, Amparo Subdivision, Barangay 179, District 3, Caloocan City"/>
    <s v="CAROLINA C. CONSTANTINO"/>
    <n v="87277855"/>
    <s v="trainingcenterej@gmail.com"/>
    <s v="Health Care Services NC II"/>
    <n v="1"/>
    <n v="19"/>
    <n v="0"/>
  </r>
  <r>
    <x v="158"/>
    <s v="TVIs"/>
    <s v="National Capital Region (NCR)"/>
    <s v="MUNTIPARLASTAPAT"/>
    <s v="Las Piñas City"/>
    <s v="Pamplona III, Las Pinas City"/>
    <s v="Arnaldo S. De Guzman, STh.D."/>
    <s v="871-06-39 loc. 202"/>
    <s v="tesda.laspinas@perpetualdalta.edu.ph"/>
    <s v="Health Care Services NC II"/>
    <n v="1"/>
    <n v="21"/>
    <n v="13"/>
  </r>
  <r>
    <x v="303"/>
    <s v="TVIs"/>
    <s v="National Capital Region (NCR)"/>
    <s v="MUNTIPARLASTAPAT"/>
    <s v="Muntinlupa City"/>
    <s v="Sto. Niño Village, Agnes St. Tunasan, Muntinlupa City"/>
    <s v="Norma R. Respicio"/>
    <s v="09338582077/ 02-8292 5857"/>
    <s v="info@aistac.org"/>
    <s v="Heavy Equipment Operation (Forklift) NC II"/>
    <n v="2"/>
    <n v="144"/>
    <n v="122"/>
  </r>
  <r>
    <x v="304"/>
    <s v="TVIs"/>
    <s v="National Capital Region (NCR)"/>
    <s v="PAMAMARISAN"/>
    <s v="Pasig City"/>
    <s v="248 B. C. Dela Paz Street, Barangay Caniogan, Pasig City"/>
    <s v="Guiller S. Castillo"/>
    <s v="Tel. 628-0016"/>
    <s v="gotihedtraining@yahoo.com"/>
    <s v="Heavy Equipment Operation (Forklift) NC II"/>
    <n v="3"/>
    <n v="191"/>
    <n v="166"/>
  </r>
  <r>
    <x v="305"/>
    <s v="TVIs"/>
    <s v="National Capital Region (NCR)"/>
    <s v="MUNTIPARLASTAPAT"/>
    <s v="Muntinlupa City"/>
    <s v="125 San Guillermo St., Jarger Homes Dulo, Brgy. Bayanan"/>
    <s v="AIZA T. RUFO"/>
    <s v="475-4194 / 0908-7777-670"/>
    <s v="noblevisiontraininginstitute@gmail.com"/>
    <s v="Heavy Equipment Operation (Forklift) NC II"/>
    <n v="1"/>
    <n v="81"/>
    <n v="80"/>
  </r>
  <r>
    <x v="306"/>
    <s v="TVIs"/>
    <s v="National Capital Region (NCR)"/>
    <s v="PAMAMARISAN"/>
    <s v="Marikina City"/>
    <s v="11 Apitong St., Marikina Heights, Marikina City"/>
    <s v="RONALYN L. ARIZA"/>
    <s v="401-7671"/>
    <s v="technospear@yahoo.com"/>
    <s v="Heavy Equipment Operation (Forklift) NC II"/>
    <n v="3"/>
    <n v="110"/>
    <n v="107"/>
  </r>
  <r>
    <x v="256"/>
    <s v="TVIs"/>
    <s v="National Capital Region (NCR)"/>
    <s v="MUNTIPARLASTAPAT"/>
    <s v="Parañaque City"/>
    <s v="0030 Ninoy Aquino Avenue, Brgy. San Dionisio, Parañaque City"/>
    <s v="JAHZIEL B. VILLARUZ-.COTELO"/>
    <s v="423-2559"/>
    <s v="topchoicetech14@gmail.com"/>
    <s v="Heavy Equipment Operation (Forklift) NC II"/>
    <n v="2"/>
    <n v="258"/>
    <n v="204"/>
  </r>
  <r>
    <x v="304"/>
    <s v="TVIs"/>
    <s v="National Capital Region (NCR)"/>
    <s v="PAMAMARISAN"/>
    <s v="Pasig City"/>
    <s v="248 B. C. Dela Paz Street, Barangay Caniogan, Pasig City"/>
    <s v="Guiller S. Castillo"/>
    <s v="Tel. 628-0016"/>
    <s v="gotihedtraining@yahoo.com"/>
    <s v="Heavy Equipment Operation (Hydraulic Excavator) NC II"/>
    <n v="3"/>
    <n v="109"/>
    <n v="105"/>
  </r>
  <r>
    <x v="305"/>
    <s v="TVIs"/>
    <s v="National Capital Region (NCR)"/>
    <s v="MUNTIPARLASTAPAT"/>
    <s v="Muntinlupa City"/>
    <s v="125 San Guillermo St., Jarger Homes Dulo, Brgy. Bayanan"/>
    <s v="AIZA T. RUFO"/>
    <s v="475-4194 / 0908-7777-670"/>
    <s v="noblevisiontraininginstitute@gmail.com"/>
    <s v="Heavy Equipment Operation (Hydraulic Excavator) NC II"/>
    <n v="2"/>
    <n v="22"/>
    <n v="22"/>
  </r>
  <r>
    <x v="306"/>
    <s v="TVIs"/>
    <s v="National Capital Region (NCR)"/>
    <s v="PAMAMARISAN"/>
    <s v="Marikina City"/>
    <s v="11 Apitong St., Marikina Heights, Marikina City"/>
    <s v="RONALYN L. ARIZA"/>
    <s v="401-7671"/>
    <s v="technospear@yahoo.com"/>
    <s v="Heavy Equipment Operation (Hydraulic Excavator) NC II"/>
    <n v="1"/>
    <n v="105"/>
    <n v="103"/>
  </r>
  <r>
    <x v="172"/>
    <s v="TVIs"/>
    <s v="National Capital Region (NCR)"/>
    <s v="PAMAMARISAN"/>
    <s v="San Juan City"/>
    <s v="Unit 302, 304 and 1502 Jafer Place Building Eisenhower St. Greenhills, San Juan City"/>
    <s v="Ms. Teresa A. Jondonero"/>
    <s v="727-6731 / 985-5895"/>
    <s v="arayaskillsdic@gmail.com"/>
    <s v="Hilot (Wellness Massage) NC II"/>
    <n v="2"/>
    <n v="311"/>
    <n v="242"/>
  </r>
  <r>
    <x v="307"/>
    <s v="TVIs"/>
    <s v="National Capital Region (NCR)"/>
    <s v="PASMAK"/>
    <s v="Pasay City"/>
    <s v="M1 5th Floor 2296 F.B. Harrison St., Pasay City"/>
    <s v="ATTY. DAVID F. DACLAG"/>
    <n v="9169164355"/>
    <s v="avalone_training@yahoo.com"/>
    <s v="Hilot (Wellness Massage) NC II"/>
    <n v="1"/>
    <n v="47"/>
    <n v="45"/>
  </r>
  <r>
    <x v="276"/>
    <s v="TVIs"/>
    <s v="National Capital Region (NCR)"/>
    <s v="PAMAMARISAN"/>
    <s v="San Juan City"/>
    <s v="Units 2113 – 2114 2nd Floor VV. Soliven Bldg.,  EDSA – Greenhills, San Juan City"/>
    <s v="MA. CHRISTINA LOURDES P. SOLIVEN"/>
    <s v="966-5142"/>
    <s v="brilliantmindstrainingcenter@gmail.com"/>
    <s v="Hilot (Wellness Massage) NC II"/>
    <n v="1"/>
    <n v="58"/>
    <n v="7"/>
  </r>
  <r>
    <x v="12"/>
    <s v="TVIs"/>
    <s v="National Capital Region (NCR)"/>
    <s v="PASMAK"/>
    <s v="Makati City"/>
    <s v="4th Floor Piedra Bldg., 1174 Chino Roces Ave., San Antonio Village, Makati City"/>
    <s v="GretelWolda C. Gepilano"/>
    <s v="890-4547/890-7594"/>
    <s v="carenet_chi@yahoo.com"/>
    <s v="Hilot (Wellness Massage) NC II"/>
    <n v="7"/>
    <n v="742"/>
    <n v="765"/>
  </r>
  <r>
    <x v="13"/>
    <s v="TVIs"/>
    <s v="National Capital Region (NCR)"/>
    <s v="MUNTIPARLASTAPAT"/>
    <s v="Taguig City"/>
    <s v="4/F Piedra Bldg. 1174 Chino Roces Ave., San Antonio Village, Makati City"/>
    <s v="GretelWolda C. Gepilano"/>
    <s v="890-4547"/>
    <s v="carenet_chi@yahoo.com"/>
    <s v="Hilot (Wellness Massage) NC II"/>
    <n v="1"/>
    <n v="50"/>
    <n v="25"/>
  </r>
  <r>
    <x v="308"/>
    <s v="TVIs"/>
    <s v="National Capital Region (NCR)"/>
    <s v="PASMAK"/>
    <s v="Pasay City"/>
    <s v="No. 1991 San Juan St., Wardley Bldg. 3/F, Brgy. 36, Zone 3, Pasay City"/>
    <s v="Ms. Marylou H. Fernando"/>
    <s v="742-1585"/>
    <s v="rafhealthcaretech@gmail.com"/>
    <s v="Hilot (Wellness Massage) NC II"/>
    <n v="1"/>
    <n v="50"/>
    <n v="50"/>
  </r>
  <r>
    <x v="309"/>
    <s v="TVIs"/>
    <s v="National Capital Region (NCR)"/>
    <s v="Quezon City"/>
    <s v="Quezon City"/>
    <s v="116-A Hillcrest Condominium, E. Rodriguez Cubao, Quezon City"/>
    <s v="Joenathan Villavelez"/>
    <s v="0999-996-1241 / 0917-624-5923"/>
    <s v="ejuvenexsacademy2019@gmail.com"/>
    <s v="Hilot (Wellness Massage) NC II"/>
    <n v="1"/>
    <n v="52"/>
    <n v="52"/>
  </r>
  <r>
    <x v="44"/>
    <s v="TVIs"/>
    <s v="National Capital Region (NCR)"/>
    <s v="PASMAK"/>
    <s v="Makati City"/>
    <s v="518 Narra St. Cembo, Makati City "/>
    <s v="MARY GRACE O. TEJADA"/>
    <s v="750-0626 / 391-1042 / 383-8766 / 391-1042"/>
    <s v="finetrainingcenter@gmail.com"/>
    <s v="Hilot (Wellness Massage) NC II"/>
    <n v="1"/>
    <n v="220"/>
    <n v="188"/>
  </r>
  <r>
    <x v="182"/>
    <s v="TVIs"/>
    <s v="National Capital Region (NCR)"/>
    <s v="CAMANAVA"/>
    <s v="Malabon City"/>
    <s v="4F St. Jerome Mansion, 82 Victoneta Ave., Potrero, Malabon City"/>
    <s v="FLORINDA V. VALERA"/>
    <n v="9684471790"/>
    <s v="headstartcenter1@gmail.com"/>
    <s v="Hilot (Wellness Massage) NC II"/>
    <n v="1"/>
    <n v="79"/>
    <n v="40"/>
  </r>
  <r>
    <x v="310"/>
    <s v="TVIs"/>
    <s v="National Capital Region (NCR)"/>
    <s v="PAMAMARISAN"/>
    <s v="Marikina City"/>
    <s v="Blk 3 Lot 11 Champaca III Street, Brgy. Fortune, Marikina City"/>
    <s v="CORNELIA L. LAYOSA "/>
    <s v="0943-011-7575"/>
    <s v="mstaci17@gmail.com"/>
    <s v="Hilot (Wellness Massage) NC II"/>
    <n v="3"/>
    <n v="239"/>
    <n v="204"/>
  </r>
  <r>
    <x v="84"/>
    <s v="TVIs"/>
    <s v="National Capital Region (NCR)"/>
    <s v="CAMANAVA"/>
    <s v="Valenzuela City"/>
    <s v="3F JLB Bldg., Km 12 MacArthur Highway, Marulas, Valenzuela City"/>
    <s v="FERNANDO S. LIBAO JR."/>
    <s v="85538078 / 09569771169"/>
    <s v="milestone.camanava2022@gmail.com"/>
    <s v="Hilot (Wellness Massage) NC II"/>
    <n v="2"/>
    <n v="106"/>
    <n v="81"/>
  </r>
  <r>
    <x v="25"/>
    <s v="TVIs"/>
    <s v="National Capital Region (NCR)"/>
    <s v="PASMAK"/>
    <s v="Pasay City"/>
    <s v="Unit 401 DMV Bldg., 2484 Padre Zamora St., Barangay 105, Pasay City"/>
    <s v="GRETELWOLDA C. GEPILANO"/>
    <s v="(02) 8771 5554"/>
    <s v="pasmak.rase.2024@gmail.com"/>
    <s v="Hilot (Wellness Massage) NC II"/>
    <n v="2"/>
    <n v="89"/>
    <n v="0"/>
  </r>
  <r>
    <x v="140"/>
    <s v="TVIs"/>
    <s v="National Capital Region (NCR)"/>
    <s v="PASMAK"/>
    <s v="Makati City"/>
    <s v="185B, J.P. Rizal St., Barangay Tejeros, Makati City"/>
    <s v="RIDGIE S. ORINA"/>
    <s v="0917-864-5551"/>
    <s v="sociointerskillstvi@gmail.com"/>
    <s v="Hilot (Wellness Massage) NC II"/>
    <n v="4"/>
    <n v="420"/>
    <n v="360"/>
  </r>
  <r>
    <x v="221"/>
    <s v="TVIs"/>
    <s v="National Capital Region (NCR)"/>
    <s v="PAMAMARISAN"/>
    <s v="Pasig City"/>
    <s v="No. 28 San Lorenzo St., Brgy. Kapitolyo, Pasig City"/>
    <s v="ARRISH C. ALTAVANO"/>
    <s v="359-3913 / 636-7090"/>
    <s v="pasig@sltcfi.com"/>
    <s v="Hilot (Wellness Massage) NC II"/>
    <n v="2"/>
    <n v="135"/>
    <n v="214"/>
  </r>
  <r>
    <x v="290"/>
    <s v="TVIs"/>
    <s v="National Capital Region (NCR)"/>
    <s v="PASMAK"/>
    <s v="Pasay City"/>
    <s v="2199 2nd Flr. Robert Street, Zone 4 Barangay 13 District 1, Pasay City"/>
    <s v="EUGENE M. RUIZ"/>
    <s v="0995-813-8316"/>
    <s v="St.lorenzoruiztesda2023@gmail.com"/>
    <s v="Hilot (Wellness Massage) NC II"/>
    <n v="1"/>
    <n v="152"/>
    <n v="141"/>
  </r>
  <r>
    <x v="119"/>
    <s v="TVIs"/>
    <s v="National Capital Region (NCR)"/>
    <s v="CAMANAVA"/>
    <s v="Caloocan City"/>
    <s v="B34 L4 Adelfa St., Evergreen Executive Village, Bagumbong, Caloocan City"/>
    <s v="MELINDA B. MENDOZA, DBA"/>
    <s v="930-1752"/>
    <s v="stlouisedemarillac2015@gmail.com"/>
    <s v="Hilot (Wellness Massage) NC II"/>
    <n v="1"/>
    <n v="39"/>
    <n v="39"/>
  </r>
  <r>
    <x v="223"/>
    <s v="TVIs"/>
    <s v="National Capital Region (NCR)"/>
    <s v="City of Manila"/>
    <s v="Sampaloc, City of Manila"/>
    <s v="1789 Dimasalang Street, Sta. Cruz, Manila"/>
    <s v="Melody S. Cruz"/>
    <s v="712-2381/ 247-7651"/>
    <s v="techvoc_skills.incorporated@yahoo.com"/>
    <s v="Hilot (Wellness Massage) NC II"/>
    <n v="3"/>
    <n v="366"/>
    <n v="359"/>
  </r>
  <r>
    <x v="294"/>
    <s v="TVIs"/>
    <s v="National Capital Region (NCR)"/>
    <s v="PAMAMARISAN"/>
    <s v="Pasig City"/>
    <s v="2nd Floor, St. John Bosco Bldg., Pasig Bldg., cor. Dr. Sixto Antonio Ave., Caniogan, Pasig City"/>
    <s v="Marilyn D. Barcelona"/>
    <s v="470-8800 / 6424190"/>
    <s v="sjbosco1996@yahoo.com"/>
    <s v="Housekeeping NC II"/>
    <n v="1"/>
    <n v="56"/>
    <n v="53"/>
  </r>
  <r>
    <x v="131"/>
    <s v="TVIs"/>
    <s v="National Capital Region (NCR)"/>
    <s v="CAMANAVA"/>
    <s v="Caloocan City"/>
    <s v="419 D &amp; I Building EDSA Avenue, Barangay 86 Caloocan City"/>
    <s v="Jonas Jay D. Lorenzo"/>
    <s v="8366-3975"/>
    <s v="actecschool.caloocan@gmail.com"/>
    <s v="Housekeeping NC II"/>
    <n v="1"/>
    <n v="7"/>
    <n v="0"/>
  </r>
  <r>
    <x v="131"/>
    <s v="TVIs"/>
    <s v="National Capital Region (NCR)"/>
    <s v="CAMANAVA"/>
    <s v="Caloocan City"/>
    <s v="A &amp; A Bldg., 120 P. Jacinto cor. Boni Serrano St. Calaanan East, Caloocan City"/>
    <s v="Jonas Jay D. Lorenzo "/>
    <s v="366-3975/ 367-8233/ 366-9282"/>
    <s v="actecschool.caloocan@gmail.com"/>
    <s v="Housekeeping NC II"/>
    <n v="0"/>
    <n v="0"/>
    <n v="0"/>
  </r>
  <r>
    <x v="11"/>
    <s v="TVIs"/>
    <s v="National Capital Region (NCR)"/>
    <s v="PAMAMARISAN"/>
    <s v="Marikina City"/>
    <s v="No. 14 N. Roxas St., San Roque, Marikina City"/>
    <s v="PRINCES A. PAMPLONA"/>
    <s v="961-7772 / 995-0996"/>
    <s v="asiantouchmarikina@gmail.com"/>
    <s v="Housekeeping NC II"/>
    <n v="2"/>
    <n v="121"/>
    <n v="127"/>
  </r>
  <r>
    <x v="65"/>
    <s v="TVIs"/>
    <s v="National Capital Region (NCR)"/>
    <s v="PAMAMARISAN"/>
    <s v="Pasig City"/>
    <s v="B85 L3 P2C3 KC33 St., Karangalan Village, Manggahan, Pasig City"/>
    <s v="LALAINE J. BRINGUELO "/>
    <s v="956-8640/0956-432-9868"/>
    <s v="mlbtraveltours@gmail.com"/>
    <s v="Housekeeping NC II"/>
    <n v="2"/>
    <n v="164"/>
    <n v="108"/>
  </r>
  <r>
    <x v="311"/>
    <s v="TVIs"/>
    <s v="National Capital Region (NCR)"/>
    <s v="CAMANAVA"/>
    <s v="Malabon City"/>
    <s v="34 Gov. Pascual Avenue, Acacia, Malabon City"/>
    <s v="OFELIA L. CALPITO"/>
    <n v="9566373487"/>
    <s v="bcl.malabon+training@gmail.com"/>
    <s v="Housekeeping NC II"/>
    <n v="2"/>
    <n v="47"/>
    <n v="119"/>
  </r>
  <r>
    <x v="107"/>
    <s v="TVIs"/>
    <s v="National Capital Region (NCR)"/>
    <s v="MUNTIPARLASTAPAT"/>
    <s v="Las Piñas City"/>
    <s v="Bernardo College Compound, Pulanglupa I, Las Piñas City"/>
    <s v="Maria Jesusan- Bernardo Guinto"/>
    <s v="873-3330"/>
    <s v="bernardocollege@yahoo.com"/>
    <s v="Housekeeping NC II"/>
    <n v="0"/>
    <n v="0"/>
    <n v="45"/>
  </r>
  <r>
    <x v="176"/>
    <s v="TVIs"/>
    <s v="National Capital Region (NCR)"/>
    <s v="PAMAMARISAN"/>
    <s v="Marikina City"/>
    <s v="No. 9 Martilyete St., Midtwon Subd., San Roque, Marikina City"/>
    <s v="DANILO BLASITO A. FERNANDEZ"/>
    <s v="682-0165/645-0444"/>
    <s v="bowline.center2007@gmail.com"/>
    <s v="Housekeeping NC II"/>
    <n v="2"/>
    <n v="324"/>
    <n v="248"/>
  </r>
  <r>
    <x v="276"/>
    <s v="TVIs"/>
    <s v="National Capital Region (NCR)"/>
    <s v="PAMAMARISAN"/>
    <s v="San Juan City"/>
    <s v="Units 2113 – 2114 2nd Floor VV. Soliven Bldg.,  EDSA – Greenhills, San Juan City"/>
    <s v="MA. CHRISTINA LOURDES P. SOLIVEN"/>
    <s v="966-5142"/>
    <s v="brilliantmindstrainingcenter@gmail.com"/>
    <s v="Housekeeping NC II"/>
    <n v="1"/>
    <n v="47"/>
    <n v="45"/>
  </r>
  <r>
    <x v="296"/>
    <s v="TVIs"/>
    <s v="National Capital Region (NCR)"/>
    <s v="PAMAMARISAN"/>
    <s v="Mandaluyong City"/>
    <s v="2/F Paragon Plaza, EDSA corner Reliance St., Mandaluyong City"/>
    <s v="JENNIFER AYAP"/>
    <s v="451-1657 / 5847343"/>
    <s v="cthitraining@gmail.com"/>
    <s v="Housekeeping NC II"/>
    <n v="1"/>
    <n v="178"/>
    <n v="215"/>
  </r>
  <r>
    <x v="312"/>
    <s v="TVIs"/>
    <s v="National Capital Region (NCR)"/>
    <s v="PASMAK"/>
    <s v="Pasay City"/>
    <s v="2nd and 3rd Floor, AIMS Campus, Arnaiz St. Corner Roxas Blvd. Barangay 13, Pasay City"/>
    <s v="DR. ARLENE ABUID-PADERANGA"/>
    <s v="8831-1525/0928-483-7486"/>
    <s v="capt.wpaf@yahoo.com"/>
    <s v="Housekeeping NC II"/>
    <n v="2"/>
    <n v="96"/>
    <n v="45"/>
  </r>
  <r>
    <x v="179"/>
    <s v="TVIs"/>
    <s v="National Capital Region (NCR)"/>
    <s v="Quezon City"/>
    <s v="Quezon City"/>
    <s v="2nd Floor Our Home Bldg., 114 Malakas St. Diliman, Quezon City"/>
    <s v="Cecilio B. Pingkian "/>
    <s v="(02) 925-2554  435-7010"/>
    <s v="cit_2013@yahoo.com"/>
    <s v="Housekeeping NC II"/>
    <n v="2"/>
    <n v="133"/>
    <n v="96"/>
  </r>
  <r>
    <x v="237"/>
    <s v="TVIs"/>
    <s v="National Capital Region (NCR)"/>
    <s v="City of Manila"/>
    <s v="Santa Ana, City of Manila"/>
    <s v="2648 Dian Street, Brgy. 757, Zone 82, District 5, Malate, Sta. Ana, Manila"/>
    <s v="JESSIE C. DANAO"/>
    <s v="(02) 7-005-8968"/>
    <s v="circletest0614@gmail.com"/>
    <s v="Housekeeping NC II"/>
    <n v="1"/>
    <n v="25"/>
    <n v="25"/>
  </r>
  <r>
    <x v="226"/>
    <s v="TVIs"/>
    <s v="National Capital Region (NCR)"/>
    <s v="Quezon City"/>
    <s v="Quezon City"/>
    <s v="2nd Floor Primark Town Center, G. Araneta Avenue cor. Quezon Avenue, Quezon City"/>
    <s v="FRANCO LINO V. CLARIDAD"/>
    <s v="8545-4984 / 0948-619362"/>
    <s v="qc.clearvoctvimis@gmail.com"/>
    <s v="Housekeeping NC II"/>
    <n v="2"/>
    <n v="96"/>
    <n v="53"/>
  </r>
  <r>
    <x v="150"/>
    <s v="TVIs"/>
    <s v="National Capital Region (NCR)"/>
    <s v="MUNTIPARLASTAPAT"/>
    <s v="Parañaque City"/>
    <s v="No. 6586 Dahlia St., San Dionisio, Gatchalian 1, Parañaque City"/>
    <s v="Deborah Z. Daquis"/>
    <s v="822-9120"/>
    <s v="cgjst@yahoo.com.ph"/>
    <s v="Housekeeping NC II"/>
    <n v="0"/>
    <n v="0"/>
    <n v="25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Housekeeping NC II"/>
    <n v="2"/>
    <n v="137"/>
    <n v="210"/>
  </r>
  <r>
    <x v="122"/>
    <s v="TVIs"/>
    <s v="National Capital Region (NCR)"/>
    <s v="CAMANAVA"/>
    <s v="Valenzuela City"/>
    <s v="No. 309 M.H. del Pilar Road, Malanday Valenzuela City"/>
    <s v="Francesca Kitchie F. Espanto"/>
    <s v="443-4048/931-4227/426-5211"/>
    <s v="tvioffice@emmauschristianschool.net"/>
    <s v="Housekeeping NC II"/>
    <n v="2"/>
    <n v="53"/>
    <n v="53"/>
  </r>
  <r>
    <x v="91"/>
    <s v="TVIs"/>
    <s v="National Capital Region (NCR)"/>
    <s v="PAMAMARISAN"/>
    <s v="San Juan City"/>
    <s v="No. 173 M. Paterno St., San Juan City"/>
    <s v="Maria Theresa E. Nabatar"/>
    <s v="727-0581 to 82 / 722-5671"/>
    <s v="reg@punlaanschool.edu.ph"/>
    <s v="Housekeeping NC II"/>
    <n v="1"/>
    <n v="76"/>
    <n v="126"/>
  </r>
  <r>
    <x v="45"/>
    <s v="TVIs"/>
    <s v="National Capital Region (NCR)"/>
    <s v="MUNTIPARLASTAPAT"/>
    <s v="Parañaque City"/>
    <s v="Lot-16, Blk-5 Saint Paul St., Lopez Village, Sucat, Parañaque City"/>
    <s v="ANGELITA O. GATUS"/>
    <s v="(02) 73416854"/>
    <s v="gotecbrsr@gmail.com"/>
    <s v="Housekeeping NC II"/>
    <n v="1"/>
    <n v="12"/>
    <n v="0"/>
  </r>
  <r>
    <x v="18"/>
    <s v="TVIs"/>
    <s v="National Capital Region (NCR)"/>
    <s v="MUNTIPARLASTAPAT"/>
    <s v="Parañaque City"/>
    <s v="AJBEL Bldg., 9127 San Antonio Valley Avenue, Brgy. SAV-1, Sucat, Parañaque City"/>
    <s v="Glendon C. Gloria"/>
    <s v="551-2408"/>
    <s v="godbearerinstitute@gmail.com"/>
    <s v="Housekeeping NC II"/>
    <n v="1"/>
    <n v="43"/>
    <n v="43"/>
  </r>
  <r>
    <x v="49"/>
    <s v="TVIs"/>
    <s v="National Capital Region (NCR)"/>
    <s v="MUNTIPARLASTAPAT"/>
    <s v="Parañaque City"/>
    <s v="CAP Bldg., Dr. A. Santos Ave., Sucat, Parañaque City"/>
    <s v="Alan F. Boribor"/>
    <s v="825-6531/470-7793"/>
    <s v="infotechcollege_2017@yahoo.com"/>
    <s v="Housekeeping NC II"/>
    <n v="0"/>
    <n v="0"/>
    <n v="37"/>
  </r>
  <r>
    <x v="36"/>
    <s v="TVIs"/>
    <s v="National Capital Region (NCR)"/>
    <s v="PAMAMARISAN"/>
    <s v="Mandaluyong City"/>
    <s v="Unit 02, 2/F Elena Roces Building, No. 7 Pioneer St., Mandaluyong City"/>
    <s v="Mr. Ulysses D. Campos"/>
    <s v="634-8244 / 634-3300 or 0927-418-7015"/>
    <s v="info@itchi-asia.com"/>
    <s v="Housekeeping NC II"/>
    <n v="0"/>
    <n v="0"/>
    <n v="47"/>
  </r>
  <r>
    <x v="282"/>
    <s v="TVIs"/>
    <s v="National Capital Region (NCR)"/>
    <s v="PASMAK"/>
    <s v="Makati City"/>
    <s v="Light Tower Center II, 2nd Floor, 5441 Curie St., Barangay Palanan, Makati City"/>
    <s v="LOREN LARKSPUR T. CASTIGADOR"/>
    <s v="7254-0275 / 0995-980-8051"/>
    <s v="ltc.tamsi@gmail.com"/>
    <s v="Housekeeping NC II"/>
    <n v="2"/>
    <n v="52"/>
    <n v="101"/>
  </r>
  <r>
    <x v="93"/>
    <s v="TVIs"/>
    <s v="National Capital Region (NCR)"/>
    <s v="City of Manila"/>
    <s v="Ermita, City of Manila"/>
    <s v="3rd Floor Times Plaza Building, United Nations cor. Taft Ave., Ermita, Manila"/>
    <s v="PAOLO SANTINO A. GUEVARA"/>
    <s v="524-9996 loc.308/523-8538"/>
    <s v="jewel.evangelista@mihca.edu.ph"/>
    <s v="Housekeeping NC II"/>
    <n v="3"/>
    <n v="174"/>
    <n v="236"/>
  </r>
  <r>
    <x v="93"/>
    <s v="TVIs"/>
    <s v="National Capital Region (NCR)"/>
    <s v="PAMAMARISAN"/>
    <s v="Mandaluyong City"/>
    <s v="G/F and 2/F Commercial Space Pioneer, Woodlands Tower 1 and 2, EDSA corner Pioneer St., Mandaluyong City"/>
    <s v="PAOLO SANTINO A. GUEVARA "/>
    <s v="721-1540"/>
    <s v="warly.pacol@mihca.edu.ph"/>
    <s v="Housekeeping NC II"/>
    <n v="1"/>
    <n v="40"/>
    <n v="65"/>
  </r>
  <r>
    <x v="55"/>
    <s v="TVIs"/>
    <s v="National Capital Region (NCR)"/>
    <s v="MUNTIPARLASTAPAT"/>
    <s v="Parañaque City"/>
    <s v="J. Villaroman St. Classic Homes, B.F. Homes, Parañaque City"/>
    <s v="Joy Myra S. Tambunting"/>
    <s v="807-5171/75"/>
    <s v="tesda@marymountacademy.edu.ph"/>
    <s v="Housekeeping NC II"/>
    <n v="1"/>
    <n v="83"/>
    <n v="179"/>
  </r>
  <r>
    <x v="108"/>
    <s v="TVIs"/>
    <s v="National Capital Region (NCR)"/>
    <s v="PAMAMARISAN"/>
    <s v="Pasig City"/>
    <s v="No. 22 Gen. Araneta and Lukban Streets, Barangay San Antonio, Pasig City"/>
    <s v="FELIMON J. REGALADO JR. "/>
    <s v="788-1847"/>
    <s v="training@astoriaplaza.com"/>
    <s v="Housekeeping NC II"/>
    <n v="1"/>
    <n v="67"/>
    <n v="36"/>
  </r>
  <r>
    <x v="109"/>
    <s v="TVIs"/>
    <s v="National Capital Region (NCR)"/>
    <s v="MUNTIPARLASTAPAT"/>
    <s v="Las Piñas City"/>
    <s v="481 Real St., Alabang-Zapote Road, Almanza Uno, Las Piñas City"/>
    <s v="MA. VERONICA S. ESTOR"/>
    <s v="632 72577896 / 09178781978"/>
    <s v="moversint.tesda@gmail.com"/>
    <s v="Housekeeping NC II"/>
    <n v="0"/>
    <n v="0"/>
    <n v="66"/>
  </r>
  <r>
    <x v="299"/>
    <s v="TVIs"/>
    <s v="National Capital Region (NCR)"/>
    <s v="Quezon City"/>
    <s v="Quezon City"/>
    <s v="No. 9 Nightingale St. and No. 14 Woodpecker St., Zabarte Subdivision, Novaliches, Quezon City"/>
    <s v="Ma. Lourdes L. Ocampo, Ed. D"/>
    <s v="(02) 939-6829"/>
    <s v="office@ollcn.ph.education"/>
    <s v="Housekeeping NC II"/>
    <n v="1"/>
    <n v="44"/>
    <n v="40"/>
  </r>
  <r>
    <x v="300"/>
    <s v="TVIs"/>
    <s v="National Capital Region (NCR)"/>
    <s v="PASMAK"/>
    <s v="Makati City"/>
    <s v="2078 Edison St. Brgy San Isidro, Makati City"/>
    <s v="Esperanza H. Pascual"/>
    <s v="815-7051/463-8911"/>
    <s v="overseasacademyskills@yahoo.com"/>
    <s v="Housekeeping NC II"/>
    <n v="2"/>
    <n v="52"/>
    <n v="41"/>
  </r>
  <r>
    <x v="57"/>
    <s v="TVIs"/>
    <s v="National Capital Region (NCR)"/>
    <s v="MUNTIPARLASTAPAT"/>
    <s v="Parañaque City"/>
    <s v="Kabihasnan, cor. Coastal Road, Brgy. San Dionisio, Parañaque City"/>
    <s v="ALEJANDRO D. MAGNAYE, DBM"/>
    <s v="962-6958"/>
    <s v="mpltp.pcc.tvimis@gmail.com"/>
    <s v="Housekeeping NC II"/>
    <n v="1"/>
    <n v="50"/>
    <n v="83"/>
  </r>
  <r>
    <x v="229"/>
    <s v="TVIs"/>
    <s v="National Capital Region (NCR)"/>
    <s v="City of Manila"/>
    <s v="Quiapo, City of Manila"/>
    <s v="938 Arlegui Street cor. Aguila Streets, Quiapo, Manila"/>
    <s v="ELISA ABUID CAYAB"/>
    <s v="734-8897/ 734-1651/ 734-8898"/>
    <s v="pstc_25anniv@yahoo.com"/>
    <s v="Housekeeping NC II"/>
    <n v="1"/>
    <n v="29"/>
    <n v="28"/>
  </r>
  <r>
    <x v="149"/>
    <s v="TVIs"/>
    <s v="National Capital Region (NCR)"/>
    <s v="PASMAK"/>
    <s v="Makati City"/>
    <s v="6488 P. Medina St., Pio Del Pilar, Makati City"/>
    <s v="JOSE LORENZO E. BEECH"/>
    <s v="(02) 526-4838"/>
    <s v="Joelo@pro-techcorp.com"/>
    <s v="Housekeeping NC II"/>
    <n v="1"/>
    <n v="25"/>
    <n v="23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Housekeeping NC II"/>
    <n v="1"/>
    <n v="54"/>
    <n v="56"/>
  </r>
  <r>
    <x v="26"/>
    <s v="TVIs"/>
    <s v="National Capital Region (NCR)"/>
    <s v="City of Manila"/>
    <s v="Ermita, City of Manila"/>
    <s v="402 Bel-Air Apartment 4/F, 1020 Roxas Blvd., Ermita, Manila"/>
    <s v="Ricky M. Purificacion"/>
    <s v="523-7652"/>
    <s v="rcticorp@yahoo.com"/>
    <s v="Housekeeping NC II"/>
    <n v="1"/>
    <n v="24"/>
    <n v="0"/>
  </r>
  <r>
    <x v="313"/>
    <s v="TVIs"/>
    <s v="National Capital Region (NCR)"/>
    <s v="CAMANAVA"/>
    <s v="Caloocan City"/>
    <s v="#0176 9th East Avenue Barangay 104 Grace Park Caloocan City"/>
    <s v="RAQUEL F. FORMENTO"/>
    <s v="912-8781/382-6284"/>
    <s v="cmnv.ridge.t2mis@gmail.com"/>
    <s v="Housekeeping NC II"/>
    <n v="1"/>
    <n v="50"/>
    <n v="44"/>
  </r>
  <r>
    <x v="106"/>
    <s v="TVIs"/>
    <s v="National Capital Region (NCR)"/>
    <s v="City of Manila"/>
    <s v="Santa Cruz, City of Manila"/>
    <s v="RFTC Bldg., 1400 Pampanga Street, Sta. Cruz, Manila"/>
    <s v="ROSALINDA O. FERNANDEZ"/>
    <s v="02-75013324/ 02-77291903/ 0995-3920549"/>
    <s v="rightfocus.diploma@gmail.com"/>
    <s v="Housekeeping NC II"/>
    <n v="1"/>
    <n v="109"/>
    <n v="106"/>
  </r>
  <r>
    <x v="314"/>
    <s v="TVIs"/>
    <s v="National Capital Region (NCR)"/>
    <s v="Quezon City"/>
    <s v="Quezon City"/>
    <s v="Unit 339 Landcom Ville II, Mindanao Avenue, Tandang Sora, Quezon City"/>
    <s v="Merlyn L. Pinili"/>
    <s v="506-6861"/>
    <s v="seed_tcc@yahoo.com"/>
    <s v="Housekeeping NC II"/>
    <n v="2"/>
    <n v="102"/>
    <n v="100"/>
  </r>
  <r>
    <x v="66"/>
    <s v="TVIs"/>
    <s v="National Capital Region (NCR)"/>
    <s v="Quezon City"/>
    <s v="Quezon City"/>
    <s v="B1 L1 Salvador Ave. cor., Quirino Highway, Jordan Plains Subd., Quezon City "/>
    <s v="MELODY B. DIGAO"/>
    <s v="292-6536"/>
    <s v="sldmcollegesofqc2014@gmail.com"/>
    <s v="Housekeeping NC II"/>
    <n v="1"/>
    <n v="49"/>
    <n v="49"/>
  </r>
  <r>
    <x v="27"/>
    <s v="TVIs"/>
    <s v="National Capital Region (NCR)"/>
    <s v="PASMAK"/>
    <s v="Pasay City"/>
    <s v="Unit 3- A 3rd Flr Wardley Bldg. 1991 San Juan St. Pasay City"/>
    <s v="CRISTINA J. APLASCA"/>
    <n v="2474130"/>
    <s v="smiacademicenter@gmail.com"/>
    <s v="Housekeeping NC II"/>
    <n v="1"/>
    <n v="78"/>
    <n v="131"/>
  </r>
  <r>
    <x v="140"/>
    <s v="TVIs"/>
    <s v="National Capital Region (NCR)"/>
    <s v="PASMAK"/>
    <s v="Makati City"/>
    <s v="185B, J.P. Rizal St., Barangay Tejeros, Makati City"/>
    <s v="RIDGIE S. ORINA"/>
    <s v="0917-864-5551"/>
    <s v="sociointerskillstvi@gmail.com"/>
    <s v="Housekeeping NC II"/>
    <n v="1"/>
    <n v="201"/>
    <n v="138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Housekeeping NC II"/>
    <n v="0"/>
    <n v="0"/>
    <n v="60"/>
  </r>
  <r>
    <x v="87"/>
    <s v="TVIs"/>
    <s v="National Capital Region (NCR)"/>
    <s v="PAMAMARISAN"/>
    <s v="Marikina City"/>
    <s v="3/F, Maria Compound Bldg., 14 Nicanor Roxas St., Brgy. San Roque, Marikina City"/>
    <s v="AMANDA BIANCA DIAZ DE RIVERA RODRIGUEZ"/>
    <s v="961-7772"/>
    <s v="stmichaelcareer.focused@gmail.com"/>
    <s v="Housekeeping NC II"/>
    <n v="1"/>
    <n v="150"/>
    <n v="229"/>
  </r>
  <r>
    <x v="30"/>
    <s v="LGU"/>
    <s v="National Capital Region (NCR)"/>
    <s v="MUNTIPARLASTAPAT"/>
    <s v="Taguig City"/>
    <s v="Col. Ballecer St., Brgy. Central Signal Village, Taguig City"/>
    <s v="Evangeline F. Sabater"/>
    <n v="9297015428"/>
    <s v="manpowertmtc@gmail.com"/>
    <s v="Housekeeping NC II"/>
    <n v="2"/>
    <n v="72"/>
    <n v="69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Housekeeping NC II"/>
    <n v="1"/>
    <n v="132"/>
    <n v="144"/>
  </r>
  <r>
    <x v="38"/>
    <s v="TVIs"/>
    <s v="National Capital Region (NCR)"/>
    <s v="PASMAK"/>
    <s v="Pasay City"/>
    <s v="4th Floor Sea Tower Bldg. 2332 Roxas Blvd. cor. Arnaiz St. Pasay City"/>
    <s v="Wilhermino S. Maniego"/>
    <n v="8230918"/>
    <s v="uimtac_inc@yahoo.com.ph"/>
    <s v="Housekeeping NC II"/>
    <n v="3"/>
    <n v="71"/>
    <n v="46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Housekeeping NC II"/>
    <n v="4"/>
    <n v="179"/>
    <n v="153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Housekeeping NC III"/>
    <n v="0"/>
    <n v="0"/>
    <n v="116"/>
  </r>
  <r>
    <x v="63"/>
    <s v="TVIs"/>
    <s v="National Capital Region (NCR)"/>
    <s v="MUNTIPARLASTAPAT"/>
    <s v="Parañaque City"/>
    <s v="17 Highlight St., Area 4 Fourth Estate Subd., Sucat, Parañaque City"/>
    <s v="Rev. Dr. James C. Sy"/>
    <s v="820-7764"/>
    <s v="ucaphil_college@yahoo.com"/>
    <s v="Illustration NC II"/>
    <n v="1"/>
    <n v="25"/>
    <n v="0"/>
  </r>
  <r>
    <x v="271"/>
    <s v="TVIs"/>
    <s v="National Capital Region (NCR)"/>
    <s v="Quezon City"/>
    <s v="Quezon City"/>
    <s v="699 Tandang Sora Avenue, Old Balara, Quezon City"/>
    <s v="Gamaliel F. Itao, PEE, M. Entr."/>
    <s v="928-3307 / 937-6236"/>
    <s v="qc.mtctvimis@gmail.com"/>
    <s v="Instrumentation and Control Servicing NC II"/>
    <n v="1"/>
    <n v="25"/>
    <n v="0"/>
  </r>
  <r>
    <x v="315"/>
    <s v="TVIs"/>
    <s v="National Capital Region (NCR)"/>
    <s v="PASMAK"/>
    <s v="Pasay City"/>
    <s v="4/F Inocencio Bldg., 98 Sen. Gil Puyat Ave., Brgy. 009, Pasay City"/>
    <s v="Teodoro Jose D. Punzalan"/>
    <n v="7362204"/>
    <s v="manila.metrologyx@gmail.com"/>
    <s v="Instrumentation and Control Servicing NC II"/>
    <n v="2"/>
    <n v="33"/>
    <n v="30"/>
  </r>
  <r>
    <x v="192"/>
    <s v="TVIs"/>
    <s v="National Capital Region (NCR)"/>
    <s v="PAMAMARISAN"/>
    <s v="Pasig City"/>
    <s v="MFI Bldg., Ortigas Ave., Pasig City"/>
    <s v="NOEL M. DUMAGUIT"/>
    <s v="632-0756 to 67/ 631-1294/631-3838"/>
    <s v="pasig@mfi.edu.ph"/>
    <s v="Instrumentation and Control Servicing NC II"/>
    <n v="0"/>
    <n v="0"/>
    <n v="14"/>
  </r>
  <r>
    <x v="265"/>
    <s v="TVIs"/>
    <s v="National Capital Region (NCR)"/>
    <s v="PAMAMARISAN"/>
    <s v="Mandaluyong City"/>
    <s v="Gen. Kalentong St, Mandaluyong City"/>
    <s v="FR. RONILO A. JAVINES, SDB"/>
    <s v="531-8081 to 85 / 531-6644"/>
    <s v="dbmanda@one-bosco.org"/>
    <s v="Machining NC II"/>
    <n v="1"/>
    <n v="50"/>
    <n v="0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Machining NC II"/>
    <n v="1"/>
    <n v="118"/>
    <n v="110"/>
  </r>
  <r>
    <x v="208"/>
    <s v="TTI (PTC)"/>
    <s v="National Capital Region (NCR)"/>
    <s v="MUNTIPARLASTAPAT"/>
    <s v="Taguig City"/>
    <s v="Bldg. 9, (formerly Pinoy Bayanihan Project) TESDA Complex, East Service Road, South Luzon Expressway, Taguig City"/>
    <s v="MARLON A. FELIX"/>
    <s v="8-886-5306"/>
    <s v="mdtac@tesda.gov.ph"/>
    <s v="Masonry NC I"/>
    <n v="2"/>
    <n v="81"/>
    <n v="67"/>
  </r>
  <r>
    <x v="167"/>
    <s v="TVIs"/>
    <s v="National Capital Region (NCR)"/>
    <s v="MUNTIPARLASTAPAT"/>
    <s v="Taguig City"/>
    <s v="DMCI Compound, C-5 Rd., Brgy. Ususan, Taguig City "/>
    <s v="Marlon T. Tadeo"/>
    <s v="570-6419/20"/>
    <s v="LAUGNTADEO@YAHOO.COM"/>
    <s v="Masonry NC II"/>
    <n v="1"/>
    <n v="45"/>
    <n v="40"/>
  </r>
  <r>
    <x v="265"/>
    <s v="TVIs"/>
    <s v="National Capital Region (NCR)"/>
    <s v="PAMAMARISAN"/>
    <s v="Mandaluyong City"/>
    <s v="Gen. Kalentong St, Mandaluyong City"/>
    <s v="FR. RONILO A. JAVINES, SDB"/>
    <s v="531-8081 to 85 / 531-6644"/>
    <s v="dbmanda@one-bosco.org"/>
    <s v="Mechatronics Servicing NC II"/>
    <n v="1"/>
    <n v="20"/>
    <n v="16"/>
  </r>
  <r>
    <x v="271"/>
    <s v="TVIs"/>
    <s v="National Capital Region (NCR)"/>
    <s v="Quezon City"/>
    <s v="Quezon City"/>
    <s v="699 Tandang Sora Avenue, Old Balara, Quezon City"/>
    <s v="Gamaliel F. Itao, PEE, M. Entr."/>
    <s v="928-3307 / 937-6236"/>
    <s v="qc.mtctvimis@gmail.com"/>
    <s v="Mechatronics Servicing NC II"/>
    <n v="3"/>
    <n v="525"/>
    <n v="445"/>
  </r>
  <r>
    <x v="315"/>
    <s v="TVIs"/>
    <s v="National Capital Region (NCR)"/>
    <s v="PASMAK"/>
    <s v="Pasay City"/>
    <s v="4/F Inocencio Bldg., 98 Sen. Gil Puyat Ave., Brgy. 009, Pasay City"/>
    <s v="Teodoro Jose D. Punzalan"/>
    <n v="7362204"/>
    <s v="manila.metrologyx@gmail.com"/>
    <s v="Mechatronics Servicing NC II"/>
    <n v="3"/>
    <n v="65"/>
    <n v="63"/>
  </r>
  <r>
    <x v="316"/>
    <s v="TVIs"/>
    <s v="National Capital Region (NCR)"/>
    <s v="PASMAK"/>
    <s v="Pasay City"/>
    <s v="MFI Pasay Campus, 2240 MFI Bldg., Taft Avenue, Brgy. 058, Pasay City"/>
    <s v="Noel M. Dumaguit"/>
    <s v=" 846-5142/846-5143"/>
    <s v="pasay@mfi.edu.ph"/>
    <s v="Mechatronics Servicing NC II"/>
    <n v="1"/>
    <n v="86"/>
    <n v="81"/>
  </r>
  <r>
    <x v="84"/>
    <s v="TVIs"/>
    <s v="National Capital Region (NCR)"/>
    <s v="CAMANAVA"/>
    <s v="Valenzuela City"/>
    <s v="3F JLB Bldg., Km 12 MacArthur Highway, Marulas, Valenzuela City"/>
    <s v="FERNANDO S. LIBAO JR."/>
    <s v="85538078 / 09569771169"/>
    <s v="milestone.camanava2022@gmail.com"/>
    <s v="Mechatronics Servicing NC II"/>
    <n v="1"/>
    <n v="159"/>
    <n v="159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Mechatronics Servicing NC II"/>
    <n v="1"/>
    <n v="136"/>
    <n v="154"/>
  </r>
  <r>
    <x v="0"/>
    <s v="TTI (School)"/>
    <s v="National Capital Region (NCR)"/>
    <s v="MUNTIPARLASTAPAT"/>
    <s v="Taguig City"/>
    <s v="Philippine-Korea Friendship Center, Bayani Road, Fort Bonifacio, Taguig City"/>
    <s v="DEXTER C. HULLEZA"/>
    <n v="9182178647"/>
    <s v="mpltp.hrdc.tvimis@gmail.com"/>
    <s v="Mechatronics Servicing NC III"/>
    <n v="1"/>
    <n v="211"/>
    <n v="208"/>
  </r>
  <r>
    <x v="271"/>
    <s v="TVIs"/>
    <s v="National Capital Region (NCR)"/>
    <s v="Quezon City"/>
    <s v="Quezon City"/>
    <s v="699 Tandang Sora Avenue, Old Balara, Quezon City"/>
    <s v="Gamaliel F. Itao, PEE, M. Entr."/>
    <s v="928-3307 / 937-6236"/>
    <s v="qc.mtctvimis@gmail.com"/>
    <s v="Mechatronics Servicing NC III"/>
    <n v="2"/>
    <n v="124"/>
    <n v="188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Mechatronics Servicing NC III"/>
    <n v="1"/>
    <n v="51"/>
    <n v="49"/>
  </r>
  <r>
    <x v="271"/>
    <s v="TVIs"/>
    <s v="National Capital Region (NCR)"/>
    <s v="Quezon City"/>
    <s v="Quezon City"/>
    <s v="699 Tandang Sora Avenue, Old Balara, Quezon City"/>
    <s v="Gamaliel F. Itao, PEE, M. Entr."/>
    <s v="928-3307 / 937-6236"/>
    <s v="qc.mtctvimis@gmail.com"/>
    <s v="Mechatronics Servicing NC IV"/>
    <n v="2"/>
    <n v="62"/>
    <n v="62"/>
  </r>
  <r>
    <x v="220"/>
    <s v="TVIs"/>
    <s v="National Capital Region (NCR)"/>
    <s v="PAMAMARISAN"/>
    <s v="Mandaluyong City"/>
    <s v="3/F CLMC Bldg., 259 EDSA corner Connecticut St., Mandaluyong City"/>
    <s v="MS. Maria Anchy M. Ang"/>
    <s v="721-9862"/>
    <s v="info@oeridian.com"/>
    <s v="Medical Transcription NC II"/>
    <n v="1"/>
    <n v="55"/>
    <n v="40"/>
  </r>
  <r>
    <x v="24"/>
    <s v="TVIs"/>
    <s v="National Capital Region (NCR)"/>
    <s v="Quezon City"/>
    <s v="Quezon City"/>
    <s v="6 K-F Street, Barangay Kamuning, Quezon City"/>
    <s v="VALERIE V. BERNARDINO"/>
    <s v="759-5873"/>
    <s v="quezoncityskills_ltc@yahoo.com"/>
    <s v="Motorcycle/Small Engine Servicing NC II"/>
    <n v="1"/>
    <n v="48"/>
    <n v="44"/>
  </r>
  <r>
    <x v="91"/>
    <s v="TVIs"/>
    <s v="National Capital Region (NCR)"/>
    <s v="PAMAMARISAN"/>
    <s v="San Juan City"/>
    <s v="No. 173 M. Paterno St., San Juan City"/>
    <s v="Maria Theresa E. Nabatar"/>
    <s v="727-0581 to 82 / 722-5671"/>
    <s v="reg@punlaanschool.edu.ph"/>
    <s v="Pharmacy Services NC III"/>
    <n v="1"/>
    <n v="64"/>
    <n v="35"/>
  </r>
  <r>
    <x v="318"/>
    <s v="TVIs"/>
    <s v="National Capital Region (NCR)"/>
    <s v="PASMAK"/>
    <s v="Makati City"/>
    <s v="Kodak Building 2247 Chino Roces Avenue, Brgy. Bangkal, Makati City"/>
    <s v="MARY JOSSA T. MIRANDA"/>
    <n v="7593087"/>
    <s v="tesda.pcci@gmail.com"/>
    <s v="Photography NC II"/>
    <n v="3"/>
    <n v="120"/>
    <n v="116"/>
  </r>
  <r>
    <x v="319"/>
    <s v="TVIs"/>
    <s v="National Capital Region (NCR)"/>
    <s v="Quezon City"/>
    <s v="Quezon City"/>
    <s v="4th Floor RCDC Bldg. , 154 Roosevelt Avenue, Brgy. Paraiso, Quezon City"/>
    <s v="Alberto T. Cabael"/>
    <s v="404-5127"/>
    <s v="mepfmti2004@gmail.com"/>
    <s v="Plumbing NC I"/>
    <n v="1"/>
    <n v="98"/>
    <n v="75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Plumbing NC I"/>
    <n v="2"/>
    <n v="104"/>
    <n v="97"/>
  </r>
  <r>
    <x v="319"/>
    <s v="TVIs"/>
    <s v="National Capital Region (NCR)"/>
    <s v="Quezon City"/>
    <s v="Quezon City"/>
    <s v="4th Floor RCDC Bldg. , 154 Roosevelt Avenue, Brgy. Paraiso, Quezon City"/>
    <s v="Alberto T. Cabael"/>
    <s v="404-5127"/>
    <s v="mepfmti2004@gmail.com"/>
    <s v="Plumbing NC II"/>
    <n v="1"/>
    <n v="90"/>
    <n v="90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Plumbing NC II"/>
    <n v="1"/>
    <n v="25"/>
    <n v="0"/>
  </r>
  <r>
    <x v="319"/>
    <s v="TVIs"/>
    <s v="National Capital Region (NCR)"/>
    <s v="Quezon City"/>
    <s v="Quezon City"/>
    <s v="4th Floor RCDC Bldg. , 154 Roosevelt Avenue, Brgy. Paraiso, Quezon City"/>
    <s v="Alberto T. Cabael"/>
    <s v="404-5127"/>
    <s v="mepfmti2004@gmail.com"/>
    <s v="Plumbing NC III"/>
    <n v="2"/>
    <n v="56"/>
    <n v="52"/>
  </r>
  <r>
    <x v="171"/>
    <s v="TVIs"/>
    <s v="National Capital Region (NCR)"/>
    <s v="City of Manila"/>
    <s v="Sampaloc, City of Manila"/>
    <s v="Sampaloc Manila 2355 Legarda Corner Manrique Sts. Barangay 416 Sampaloc, City of Manila"/>
    <s v="ARIZA N. BIHASA"/>
    <s v=".373-3901 loc 8283/09175075807/09228561278"/>
    <s v="aclccollegeofmanila@gmail.com"/>
    <s v="Programming (Java) NC III"/>
    <n v="1"/>
    <n v="103"/>
    <n v="103"/>
  </r>
  <r>
    <x v="213"/>
    <s v="TVIs"/>
    <s v="National Capital Region (NCR)"/>
    <s v="Quezon City"/>
    <s v="Quezon City"/>
    <s v="4/F 656 Del Monte Ave., Brgy. Talayan, Quezon City"/>
    <s v="ARRISH C. ALTAVANO"/>
    <s v="298-2162"/>
    <s v="altavano.arrish@gmail.com"/>
    <s v="Programming (Java) NC III"/>
    <n v="3"/>
    <n v="195"/>
    <n v="158"/>
  </r>
  <r>
    <x v="320"/>
    <s v="TVIs"/>
    <s v="National Capital Region (NCR)"/>
    <s v="PAMAMARISAN"/>
    <s v="Marikina City"/>
    <s v="No. 2 Ipil St., Victorino Compound 1, Marikina City"/>
    <s v="MS. CAROLYN M. DE CHAVEZ"/>
    <s v="8725-7578"/>
    <s v="digitalartstech01@gmail.com"/>
    <s v="Programming (Java) NC III"/>
    <n v="3"/>
    <n v="121"/>
    <n v="121"/>
  </r>
  <r>
    <x v="321"/>
    <s v="TVIs"/>
    <s v="National Capital Region (NCR)"/>
    <s v="CAMANAVA"/>
    <s v="Caloocan City"/>
    <s v="5th Floor Araneta Square Brgy 76, Monumento Caloocan City "/>
    <s v="Wynjie I. Abergos "/>
    <s v="283-8710"/>
    <s v="expertstech888@gmail.com"/>
    <s v="Programming (Java) NC III"/>
    <n v="1"/>
    <n v="140"/>
    <n v="125"/>
  </r>
  <r>
    <x v="322"/>
    <s v="TVIs"/>
    <s v="National Capital Region (NCR)"/>
    <s v="CAMANAVA"/>
    <s v="Malabon City"/>
    <s v="No. 1 Inda Maria Road, Potrero, Malabon City"/>
    <s v="VIRGILIO V. GUILLERMO"/>
    <s v="09488441461 / 09567331509"/>
    <s v="info@joysistvi.edu.ph"/>
    <s v="Programming (Java) NC III"/>
    <n v="3"/>
    <n v="279"/>
    <n v="304"/>
  </r>
  <r>
    <x v="84"/>
    <s v="TVIs"/>
    <s v="National Capital Region (NCR)"/>
    <s v="CAMANAVA"/>
    <s v="Valenzuela City"/>
    <s v="3F JLB Bldg., Km 12 MacArthur Highway, Marulas, Valenzuela City"/>
    <s v="FERNANDO S. LIBAO JR."/>
    <s v="85538078 / 09569771169"/>
    <s v="milestone.camanava2022@gmail.com"/>
    <s v="Programming (Java) NC III"/>
    <n v="2"/>
    <n v="246"/>
    <n v="243"/>
  </r>
  <r>
    <x v="121"/>
    <s v="TVIs"/>
    <s v="National Capital Region (NCR)"/>
    <s v="City of Manila"/>
    <s v="Santa Cruz, City of Manila"/>
    <s v="2248 Rizal Avenue, Brgy. 347, Sta. Cruz, Manila"/>
    <s v="CELERINA T. MONTORIO"/>
    <s v="7257-7856"/>
    <s v="scitec.manila@gmail.com"/>
    <s v="Programming (Java) NC III"/>
    <n v="1"/>
    <n v="56"/>
    <n v="56"/>
  </r>
  <r>
    <x v="121"/>
    <s v="TVIs"/>
    <s v="National Capital Region (NCR)"/>
    <s v="PASMAK"/>
    <s v="Pasay City"/>
    <s v="No. 2217 SATA Corp. Building, Taft Avenue, Barangay 38, Pasay City"/>
    <s v="ENGR. KEITH T. MONTORIO, ECE, ECT"/>
    <s v="(02) 7257-7856 / 0968-321-0705"/>
    <s v="scitec.pasmak@gmail.com"/>
    <s v="Programming (Java) NC III"/>
    <n v="1"/>
    <n v="51"/>
    <n v="51"/>
  </r>
  <r>
    <x v="200"/>
    <s v="TVIs"/>
    <s v="National Capital Region (NCR)"/>
    <s v="City of Manila"/>
    <s v="Malate, City of Manila"/>
    <s v="Grd. Flr. Marbella II Bldg. 2071 Roxas Blvd. Brgy. 701, Malate, Manila"/>
    <s v="RIZALINA D. CORDOVA "/>
    <s v="252-1192"/>
    <s v="seagem629@gmail.com"/>
    <s v="Programming (Java) NC III"/>
    <n v="3"/>
    <n v="163"/>
    <n v="142"/>
  </r>
  <r>
    <x v="221"/>
    <s v="TVIs"/>
    <s v="National Capital Region (NCR)"/>
    <s v="PAMAMARISAN"/>
    <s v="Pasig City"/>
    <s v="No. 28 San Lorenzo St., Brgy. Kapitolyo, Pasig City"/>
    <s v="ARRISH C. ALTAVANO"/>
    <s v="359-3913 / 636-7090"/>
    <s v="pasig@sltcfi.com"/>
    <s v="Programming (Java) NC III"/>
    <n v="2"/>
    <n v="133"/>
    <n v="287"/>
  </r>
  <r>
    <x v="205"/>
    <s v="TVIs"/>
    <s v="National Capital Region (NCR)"/>
    <s v="City of Manila"/>
    <s v="Malate, City of Manila"/>
    <s v="Queen Rose Bldg. San Andres cor. L. Guinto St. Barangay 723 Malate Manila"/>
    <s v="Maria Therese L. Quintos"/>
    <s v="395-1727"/>
    <s v="tcsdi.2018@gmail.com"/>
    <s v="Programming (Java) NC III"/>
    <n v="3"/>
    <n v="296"/>
    <n v="272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PV Systems Installation NC II"/>
    <n v="2"/>
    <n v="199"/>
    <n v="288"/>
  </r>
  <r>
    <x v="265"/>
    <s v="TVIs"/>
    <s v="National Capital Region (NCR)"/>
    <s v="PAMAMARISAN"/>
    <s v="Mandaluyong City"/>
    <s v="Gen. Kalentong St, Mandaluyong City"/>
    <s v="FR. RONILO A. JAVINES, SDB"/>
    <s v="531-8081 to 85 / 531-6644"/>
    <s v="dbmanda@one-bosco.org"/>
    <s v="RAC Servicing (DomRAC) NC II"/>
    <n v="2"/>
    <n v="64"/>
    <n v="60"/>
  </r>
  <r>
    <x v="323"/>
    <s v="TVIs"/>
    <s v="National Capital Region (NCR)"/>
    <s v="PASMAK"/>
    <s v="Makati City"/>
    <s v="A. Arnaiz Ave., Cor. Chino Roces Ave., Makati City"/>
    <s v="Fr. Jerry T. Santos"/>
    <s v="892-0107-09 / 817-5807"/>
    <s v="dbmakati.registrar@one-bosco.org"/>
    <s v="RAC Servicing (DomRAC) NC II"/>
    <n v="1"/>
    <n v="26"/>
    <n v="0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RAC Servicing (DomRAC) NC II"/>
    <n v="1"/>
    <n v="72"/>
    <n v="67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RAC Servicing (DomRAC) NC II"/>
    <n v="1"/>
    <n v="25"/>
    <n v="25"/>
  </r>
  <r>
    <x v="4"/>
    <s v="HEIs"/>
    <s v="National Capital Region (NCR)"/>
    <s v="Quezon City"/>
    <s v="Quezon City"/>
    <s v="587 EDSA, Cubao, Quezon City"/>
    <s v="Dante I. Inocencio"/>
    <s v="721-4129 / 414-4631 / 414-6429 / FAX: 723-1648"/>
    <s v="samsoncollege@gmail.com"/>
    <s v="RAC Servicing (DomRAC) NC II"/>
    <n v="0"/>
    <n v="0"/>
    <n v="0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RAC Servicing (DomRAC) NC II"/>
    <n v="3"/>
    <n v="103"/>
    <n v="288"/>
  </r>
  <r>
    <x v="167"/>
    <s v="TVIs"/>
    <s v="National Capital Region (NCR)"/>
    <s v="MUNTIPARLASTAPAT"/>
    <s v="Taguig City"/>
    <s v="DMCI Compound, C-5 Rd., Brgy. Ususan, Taguig City "/>
    <s v="Marlon T. Tadeo"/>
    <s v="570-6419/20"/>
    <s v="LAUGNTADEO@YAHOO.COM"/>
    <s v="Rigging NC I"/>
    <n v="0"/>
    <n v="0"/>
    <n v="28"/>
  </r>
  <r>
    <x v="324"/>
    <s v="TVIs"/>
    <s v="National Capital Region (NCR)"/>
    <s v="Quezon City"/>
    <s v="Quezon City"/>
    <s v="MRB Complex, Brgy. Commonwealth, Quezon City"/>
    <s v="ABRAHAM G. GOLEÑA"/>
    <s v="."/>
    <s v="qc.probatoninctvimis@gmail.com"/>
    <s v="Scaffolding Works (Supported Type Scaffold) NC II"/>
    <n v="1"/>
    <n v="25"/>
    <n v="23"/>
  </r>
  <r>
    <x v="169"/>
    <s v="TVIs"/>
    <s v="National Capital Region (NCR)"/>
    <s v="PAMAMARISAN"/>
    <s v="Mandaluyong City"/>
    <s v="10 A.H. Poblador St., Brgy. Hagdan Bato, Libis, Mandaluyong City"/>
    <s v="MARIA CRISELLA O. BINAYUG "/>
    <s v="964-2237 / 0917-300-5827 / 0942-0359736"/>
    <s v="mcobinayug@qtekcenter.com"/>
    <s v="Scaffolding Works (Supported Type Scaffold) NC II"/>
    <n v="2"/>
    <n v="155"/>
    <n v="140"/>
  </r>
  <r>
    <x v="325"/>
    <s v="TVIs"/>
    <s v="National Capital Region (NCR)"/>
    <s v="CAMANAVA"/>
    <s v="Malabon City"/>
    <s v="34 Gov. W. Pascual Avenue, Acacia, Malabon City"/>
    <s v="OFELIA L. CALPITO"/>
    <s v="235-69-12/69-42"/>
    <s v="fasts.malabon@gmail.com"/>
    <s v="Security Services NC II"/>
    <n v="1"/>
    <n v="39"/>
    <n v="34"/>
  </r>
  <r>
    <x v="60"/>
    <s v="TVIs"/>
    <s v="National Capital Region (NCR)"/>
    <s v="PASMAK"/>
    <s v="Pasay City"/>
    <s v="Unit 401 4th Floor, El Feren’s Bldg., No. 2063-2067 F.B. Harrison St., cor. Gil J. Puyat Ave., Pasay City"/>
    <s v="ANGELIQUE KATE T. SILVA, RN, MBA, DHum"/>
    <s v="02-824-101-36 / 09183466180 / 09054541728"/>
    <s v="silverpoint2022.edu@gmail.com"/>
    <s v="Security Services NC II"/>
    <n v="2"/>
    <n v="295"/>
    <n v="351"/>
  </r>
  <r>
    <x v="114"/>
    <s v="TVIs"/>
    <s v="National Capital Region (NCR)"/>
    <s v="Quezon City"/>
    <s v="Quezon City"/>
    <s v="Buenamar Subdivision, Buenamar Drive, Brgy. Novaliches Proper, Novaliches, District 5, Quezon City"/>
    <s v="JOEY Q. MANALO"/>
    <s v="754-9645"/>
    <s v="qc.integratedinnovation.t2mis@gmail.com"/>
    <s v="Shielded Metal Arc Welding (SMAW) NC II"/>
    <n v="2"/>
    <n v="181"/>
    <n v="181"/>
  </r>
  <r>
    <x v="326"/>
    <s v="TVIs"/>
    <s v="National Capital Region (NCR)"/>
    <s v="CAMANAVA"/>
    <s v="Navotas City"/>
    <s v="586 Gov. A. Pascual St., San Roque, Navotas, Metro Manila"/>
    <s v="JOSE MARIE DOROY"/>
    <n v="4416970"/>
    <s v="philweldtech@yahoo.com"/>
    <s v="Shielded Metal Arc Welding (SMAW) NC I"/>
    <n v="2"/>
    <n v="136"/>
    <n v="176"/>
  </r>
  <r>
    <x v="96"/>
    <s v="TVIs"/>
    <s v="National Capital Region (NCR)"/>
    <s v="Quezon City"/>
    <s v="Quezon City"/>
    <s v="Bonanza Bldg. II, Block 1 Lot 6 Hilltop Subd., Putol na Daan St., Greater Lagro, Quezon City"/>
    <s v="APRIL V. NUEDA"/>
    <s v="09494508000 / 751-6420"/>
    <s v="miesha.inc@gmail.com"/>
    <s v="Shielded Metal Arc Welding (SMAW) NC I"/>
    <n v="3"/>
    <n v="103"/>
    <n v="174"/>
  </r>
  <r>
    <x v="327"/>
    <s v="TVIs"/>
    <s v="National Capital Region (NCR)"/>
    <s v="MUNTIPARLASTAPAT"/>
    <s v="Parañaque City"/>
    <s v="Block 2, Lot 1 Gigatech Bldg. 1, Duhat Mon El Subdivision, San Antonio, Parañaque City"/>
    <s v="FRANCIS T. TAJANLANGIT"/>
    <n v="9258459514"/>
    <s v="gtacinc.2022@gmail.com"/>
    <s v="Shielded Metal Arc Welding (SMAW) NC I"/>
    <n v="1"/>
    <n v="98"/>
    <n v="162"/>
  </r>
  <r>
    <x v="328"/>
    <s v="TVIs"/>
    <s v="National Capital Region (NCR)"/>
    <s v="PAMAMARISAN"/>
    <s v="Marikina City"/>
    <s v="No. 20 Russet corner Rainbow Street, SSS Village, Concepcion Dos, Marikina City "/>
    <s v="ALELI S. DE JESUS"/>
    <n v="9084183443"/>
    <s v="momcygrace@gmail.com"/>
    <s v="Shielded Metal Arc Welding (SMAW) NC I"/>
    <n v="2"/>
    <n v="179"/>
    <n v="162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Gas Metal Arc Welding (GMAW) NC II"/>
    <n v="1"/>
    <n v="172"/>
    <n v="161"/>
  </r>
  <r>
    <x v="329"/>
    <s v="TVIs"/>
    <s v="National Capital Region (NCR)"/>
    <s v="PAMAMARISAN"/>
    <s v="Mandaluyong City"/>
    <s v="810 Fabella St., Plainview, Mandaluyong City"/>
    <s v="ZHON MICHAEL B. BELLO"/>
    <s v="535-9119 / 5323570/531-0437"/>
    <s v="roundedsystemsinc@gmail.com"/>
    <s v="Shielded Metal Arc Welding (SMAW) NC I"/>
    <n v="2"/>
    <n v="136"/>
    <n v="155"/>
  </r>
  <r>
    <x v="96"/>
    <s v="TVIs"/>
    <s v="National Capital Region (NCR)"/>
    <s v="Quezon City"/>
    <s v="Quezon City"/>
    <s v="Bonanza Bldg. II, Block 1 Lot 6 Hilltop Subd., Putol na Daan St., Greater Lagro, Quezon City"/>
    <s v="APRIL V. NUEDA"/>
    <s v="09494508000 / 751-6420"/>
    <s v="miesha.inc@gmail.com"/>
    <s v="Shielded Metal Arc Welding (SMAW) NC II"/>
    <n v="2"/>
    <n v="161"/>
    <n v="154"/>
  </r>
  <r>
    <x v="330"/>
    <s v="TVIs"/>
    <s v="National Capital Region (NCR)"/>
    <s v="City of Manila"/>
    <s v="Pandacan, City of Manila"/>
    <s v="Jesus Street cor. Nagtahan, Pandacan, Manila"/>
    <s v="AMADO S. BAGATSING"/>
    <s v="028247-3441"/>
    <s v="mlakabaka.tvimis@gmail.com"/>
    <s v="Shielded Metal Arc Welding (SMAW) NC I"/>
    <n v="2"/>
    <n v="154"/>
    <n v="152"/>
  </r>
  <r>
    <x v="114"/>
    <s v="TVIs"/>
    <s v="National Capital Region (NCR)"/>
    <s v="CAMANAVA"/>
    <s v="Caloocan City"/>
    <s v="Lots 1 and 2, Block 11, Nissan St., Zabarte Road Extension, Brixton Ville Subdivision Bgy. 175, Camarin, Caloocan City"/>
    <s v="JOEY Q. MANALO"/>
    <n v="79566594"/>
    <s v="iihcollegebrixton2020@gmail.com"/>
    <s v="Shielded Metal Arc Welding (SMAW) NC I"/>
    <n v="0"/>
    <n v="0"/>
    <n v="151"/>
  </r>
  <r>
    <x v="106"/>
    <s v="TVIs"/>
    <s v="National Capital Region (NCR)"/>
    <s v="City of Manila"/>
    <s v="Santa Cruz, City of Manila"/>
    <s v="RFTC Bldg., 1400 Pampanga Street, Sta. Cruz, Manila"/>
    <s v="ROSALINDA O. FERNANDEZ"/>
    <s v="02-75013324/ 02-77291903/ 0995-3920549"/>
    <s v="rightfocus.diploma@gmail.com"/>
    <s v="Shielded Metal Arc Welding (SMAW) NC I"/>
    <n v="2"/>
    <n v="176"/>
    <n v="151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Shielded Metal Arc Welding (SMAW) NC I"/>
    <n v="1"/>
    <n v="80"/>
    <n v="134"/>
  </r>
  <r>
    <x v="114"/>
    <s v="TVIs"/>
    <s v="National Capital Region (NCR)"/>
    <s v="CAMANAVA"/>
    <s v="Caloocan City"/>
    <s v="Lots 1 and 2, Block 11, Nissan St., Zabarte Road Extension, Brixton Ville Subdivision Bgy. 175, Camarin, Caloocan City"/>
    <s v="JOEY Q. MANALO"/>
    <n v="79566594"/>
    <s v="iihcollegebrixton2020@gmail.com"/>
    <s v="Shielded Metal Arc Welding (SMAW) NC II"/>
    <n v="3"/>
    <n v="130"/>
    <n v="130"/>
  </r>
  <r>
    <x v="3"/>
    <s v="TVIs"/>
    <s v="National Capital Region (NCR)"/>
    <s v="CAMANAVA"/>
    <s v="Valenzuela City"/>
    <s v="Cielo Azul, G. Salazar, Wawang Pulo, Valenzuela City"/>
    <s v="C/E GILBERT B. MILANA,Ph.D"/>
    <s v="734-0160"/>
    <s v="gmtctesda@gmail.com"/>
    <s v="Shielded Metal Arc Welding (SMAW) NC I"/>
    <n v="1"/>
    <n v="178"/>
    <n v="121"/>
  </r>
  <r>
    <x v="99"/>
    <s v="TVIs"/>
    <s v="National Capital Region (NCR)"/>
    <s v="CAMANAVA"/>
    <s v="Malabon City"/>
    <s v="15 Indamaria Street, Barangay Potrero, Malabon City"/>
    <s v="MICHAEL CARLOS CASTRO"/>
    <s v="8710-5975 / 09175741982"/>
    <s v="deltatechnological@gmail.com"/>
    <s v="Shielded Metal Arc Welding (SMAW) NC I"/>
    <n v="1"/>
    <n v="120"/>
    <n v="119"/>
  </r>
  <r>
    <x v="1"/>
    <s v="TVIs"/>
    <s v="National Capital Region (NCR)"/>
    <s v="City of Manila"/>
    <s v="Tondo I/II, City of Manila"/>
    <s v="Bo. Magsaysay, Tondo, Manila"/>
    <s v="Fr. Gaudencio T. Carandang Jr., SDB"/>
    <s v="254-56-59/251-52-60"/>
    <m/>
    <s v="Shielded Metal Arc Welding (SMAW) NC II"/>
    <n v="1"/>
    <n v="163"/>
    <n v="114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Shielded Metal Arc Welding (SMAW) NC II"/>
    <n v="3"/>
    <n v="83"/>
    <n v="114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Shielded Metal Arc Welding (SMAW) NC I"/>
    <n v="2"/>
    <n v="129"/>
    <n v="102"/>
  </r>
  <r>
    <x v="330"/>
    <s v="TVIs"/>
    <s v="National Capital Region (NCR)"/>
    <s v="City of Manila"/>
    <s v="Pandacan, City of Manila"/>
    <s v="Jesus Street cor. Nagtahan, Pandacan, Manila"/>
    <s v="AMADO S. BAGATSING"/>
    <s v="028247-3441"/>
    <s v="mlakabaka.tvimis@gmail.com"/>
    <s v="Shielded Metal Arc Welding (SMAW) NC II"/>
    <n v="2"/>
    <n v="95"/>
    <n v="91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Shielded Metal Arc Welding (SMAW) NC III"/>
    <n v="1"/>
    <n v="38"/>
    <n v="86"/>
  </r>
  <r>
    <x v="67"/>
    <s v="TVIs"/>
    <s v="National Capital Region (NCR)"/>
    <s v="CAMANAVA"/>
    <s v="Caloocan City"/>
    <s v="No. 1569 Rizal Ave. Cor. 10th Ave., Grace Park West, Barangay 62, Caloocan City"/>
    <s v="Michael Angelo A. Maga"/>
    <s v="426-8591/09175017675"/>
    <s v="hitacc.am@gmail.com"/>
    <s v="Shielded Metal Arc Welding (SMAW) NC II"/>
    <n v="1"/>
    <n v="83"/>
    <n v="83"/>
  </r>
  <r>
    <x v="293"/>
    <s v="TVIs"/>
    <s v="National Capital Region (NCR)"/>
    <s v="Quezon City"/>
    <s v="Quezon City"/>
    <s v="112 Old Samson Rd. Balintawak, Quezon City"/>
    <s v="Antonio M. Dimayuga Jr."/>
    <s v="413-4225 "/>
    <s v="laborlinktechnical@yahoo.com"/>
    <s v="Shielded Metal Arc Welding (SMAW) NC I"/>
    <n v="2"/>
    <n v="117"/>
    <n v="80"/>
  </r>
  <r>
    <x v="273"/>
    <s v="TVIs"/>
    <s v="National Capital Region (NCR)"/>
    <s v="City of Manila"/>
    <s v="Sampaloc, City of Manila"/>
    <s v="867 G Tolentino Street, Sampaloc, Manila"/>
    <s v="TERESITA Y. MARCOS. MSBM"/>
    <s v="736-2279"/>
    <s v="ne.guarina@seamac.ph.education"/>
    <s v="Shielded Metal Arc Welding (SMAW) NC II"/>
    <n v="2"/>
    <n v="102"/>
    <n v="77"/>
  </r>
  <r>
    <x v="331"/>
    <s v="TVIs"/>
    <s v="National Capital Region (NCR)"/>
    <s v="Quezon City"/>
    <s v="Quezon City"/>
    <s v="Block 10 Lot 6 Emerald St., Millionaires Village, Novaliches Proper, Quezon City"/>
    <s v="ROBERT C. PALISOC"/>
    <s v="7955-0875 / 0926-3928290"/>
    <s v="brightfutureskills2021@gmail.com"/>
    <s v="Shielded Metal Arc Welding (SMAW) NC I"/>
    <n v="1"/>
    <n v="25"/>
    <n v="76"/>
  </r>
  <r>
    <x v="266"/>
    <s v="TVIs"/>
    <s v="National Capital Region (NCR)"/>
    <s v="CAMANAVA"/>
    <s v="Valenzuela City"/>
    <s v="No. 84-A to 86-D McAthur Highway, Marulas, Valenzuela City"/>
    <s v="Simma L. Yang"/>
    <s v="293-03-32"/>
    <s v="dcst_2011@yahoo.com"/>
    <s v="Shielded Metal Arc Welding (SMAW) NC II"/>
    <n v="1"/>
    <n v="25"/>
    <n v="75"/>
  </r>
  <r>
    <x v="99"/>
    <s v="TVIs"/>
    <s v="National Capital Region (NCR)"/>
    <s v="CAMANAVA"/>
    <s v="Malabon City"/>
    <s v="15 Indamaria Street, Barangay Potrero, Malabon City"/>
    <s v="MICHAEL CARLOS CASTRO"/>
    <s v="8710-5975 / 09175741982"/>
    <s v="deltatechnological@gmail.com"/>
    <s v="Shielded Metal Arc Welding (SMAW) NC II"/>
    <n v="1"/>
    <n v="91"/>
    <n v="66"/>
  </r>
  <r>
    <x v="112"/>
    <s v="TVIs"/>
    <s v="National Capital Region (NCR)"/>
    <s v="CAMANAVA"/>
    <s v="Caloocan City"/>
    <s v="7 Cabatuhan Road Deparo, Barangay 168 Caloocan City"/>
    <s v="ATTY. SALVADOR B. BELARO JR."/>
    <s v="(02) 938-9575/09257622699"/>
    <s v="gcemsat2019@gmail.com"/>
    <s v="Shielded Metal Arc Welding (SMAW) NC I"/>
    <n v="2"/>
    <n v="60"/>
    <n v="60"/>
  </r>
  <r>
    <x v="332"/>
    <s v="TVIs"/>
    <s v="National Capital Region (NCR)"/>
    <s v="PAMAMARISAN"/>
    <s v="Mandaluyong City"/>
    <s v="No. 826 Fabella St., Plainview, Mandaluyong City "/>
    <s v="ZHON MARC B. BELLO MSc."/>
    <s v="535-9119 / 5323570"/>
    <s v="training@diversifiedcorporation.ph"/>
    <s v="Shielded Metal Arc Welding (SMAW) NC I"/>
    <n v="1"/>
    <n v="63"/>
    <n v="57"/>
  </r>
  <r>
    <x v="202"/>
    <s v="TVIs"/>
    <s v="National Capital Region (NCR)"/>
    <s v="Quezon City"/>
    <s v="Quezon City"/>
    <s v="No. 919 Aurora Blvd., Cubao, Quezon City"/>
    <s v="MARILEN S. GAMOTEA"/>
    <s v="438-7442"/>
    <s v="stpetervelle2003@yahoo.com.ph"/>
    <s v="Shielded Metal Arc Welding (SMAW) NC I"/>
    <n v="1"/>
    <n v="79"/>
    <n v="57"/>
  </r>
  <r>
    <x v="202"/>
    <s v="TVIs"/>
    <s v="National Capital Region (NCR)"/>
    <s v="Quezon City"/>
    <s v="Quezon City"/>
    <s v="No. 919 Aurora Blvd., Cubao, Quezon City"/>
    <s v="MARILEN S. GAMOTEA"/>
    <s v="438-7442"/>
    <s v="stpetervelle2003@yahoo.com.ph"/>
    <s v="Shielded Metal Arc Welding (SMAW) NC II"/>
    <n v="1"/>
    <n v="56"/>
    <n v="56"/>
  </r>
  <r>
    <x v="96"/>
    <s v="TVIs"/>
    <s v="National Capital Region (NCR)"/>
    <s v="Quezon City"/>
    <s v="Quezon City"/>
    <s v="Bonanza Bldg. II, Block 1 Lot 6 Hilltop Subd., Putol na Daan St., Greater Lagro, Quezon City"/>
    <s v="APRIL V. NUEDA"/>
    <s v="09494508000 / 751-6420"/>
    <s v="miesha.inc@gmail.com"/>
    <s v="Gas Metal Arc Welding (GMAW) NC II"/>
    <n v="2"/>
    <n v="55"/>
    <n v="55"/>
  </r>
  <r>
    <x v="119"/>
    <s v="TVIs"/>
    <s v="National Capital Region (NCR)"/>
    <s v="CAMANAVA"/>
    <s v="Caloocan City"/>
    <s v="B34 L4 Adelfa St., Evergreen Executive Village, Bagumbong, Caloocan City"/>
    <s v="MELINDA B. MENDOZA, DBA"/>
    <s v="930-1752"/>
    <s v="stlouisedemarillac2015@gmail.com"/>
    <s v="Shielded Metal Arc Welding (SMAW) NC II"/>
    <n v="1"/>
    <n v="56"/>
    <n v="55"/>
  </r>
  <r>
    <x v="333"/>
    <s v="TVIs"/>
    <s v="National Capital Region (NCR)"/>
    <s v="Quezon City"/>
    <s v="Quezon City"/>
    <s v="A &amp; B Quirino Highway corner Tansinco Drive Greenfields I Subd., Brgy. Kaligayahan Novaliches, Quezon City"/>
    <s v="Gertie E. Quintela"/>
    <s v="990-5086 / 781-4852"/>
    <s v="xaviernova0109@gmail.com"/>
    <s v="Shielded Metal Arc Welding (SMAW) NC I"/>
    <n v="1"/>
    <n v="51"/>
    <n v="51"/>
  </r>
  <r>
    <x v="331"/>
    <s v="TVIs"/>
    <s v="National Capital Region (NCR)"/>
    <s v="Quezon City"/>
    <s v="Quezon City"/>
    <s v="Block 10 Lot 6 Emerald St., Millionaires Village, Novaliches Proper, Quezon City"/>
    <s v="ROBERT C. PALISOC"/>
    <s v="7955-0875 / 0926-3928290"/>
    <s v="brightfutureskills2021@gmail.com"/>
    <s v="Shielded Metal Arc Welding (SMAW) NC II"/>
    <n v="1"/>
    <n v="51"/>
    <n v="51"/>
  </r>
  <r>
    <x v="332"/>
    <s v="TVIs"/>
    <s v="National Capital Region (NCR)"/>
    <s v="PAMAMARISAN"/>
    <s v="Mandaluyong City"/>
    <s v="No. 826 Fabella St., Plainview, Mandaluyong City "/>
    <s v="ZHON MARC B. BELLO MSc."/>
    <s v="535-9119 / 5323570"/>
    <s v="training@diversifiedcorporation.ph"/>
    <s v="Shielded Metal Arc Welding (SMAW) NC II"/>
    <n v="1"/>
    <n v="57"/>
    <n v="51"/>
  </r>
  <r>
    <x v="333"/>
    <s v="TVIs"/>
    <s v="National Capital Region (NCR)"/>
    <s v="Quezon City"/>
    <s v="Quezon City"/>
    <s v="A &amp; B Quirino Highway corner Tansinco Drive Greenfields I Subd., Brgy. Kaligayahan Novaliches, Quezon City"/>
    <s v="Gertie E. Quintela"/>
    <s v="990-5086 / 781-4852"/>
    <s v="xaviernova0109@gmail.com"/>
    <s v="Shielded Metal Arc Welding (SMAW) NC II"/>
    <n v="1"/>
    <n v="56"/>
    <n v="51"/>
  </r>
  <r>
    <x v="302"/>
    <s v="TVIs"/>
    <s v="National Capital Region (NCR)"/>
    <s v="MUNTIPARLASTAPAT"/>
    <s v="Parañaque City"/>
    <s v="RECRAA Bldg., Vitalez Cmpd., Sucat, Paranaque City"/>
    <s v="Ma. Cristina B. Tafalla"/>
    <s v="826-81-69 825-7956 loc. 50 826-8169 fax"/>
    <s v="starsandrainbow2016@gmail.com"/>
    <s v="Flux-Cored Arc Welding (FCAW) NC II"/>
    <n v="1"/>
    <n v="75"/>
    <n v="50"/>
  </r>
  <r>
    <x v="252"/>
    <s v="LGU"/>
    <s v="National Capital Region (NCR)"/>
    <s v="CAMANAVA"/>
    <s v="Malabon City"/>
    <s v="Gov. Pascual Ave., Brgy. Baritan, Malabon City"/>
    <s v="DR. MOSES KAENEL V. BERGADO"/>
    <s v="282-3088"/>
    <s v="cmpimanpower@yahoo.com.ph"/>
    <s v="Shielded Metal Arc Welding (SMAW) NC I"/>
    <n v="1"/>
    <n v="91"/>
    <n v="48"/>
  </r>
  <r>
    <x v="289"/>
    <s v="TVIs"/>
    <s v="National Capital Region (NCR)"/>
    <s v="CAMANAVA"/>
    <s v="Caloocan City"/>
    <s v="No. 0030 Zapote St. PHHC Camarin Area-D Camarin Road, Caloocan City"/>
    <s v="Rey L. Guimbangunan"/>
    <s v="514-5119/ 2853297"/>
    <s v="cmnv.stfrancistechnical.t2mis@gmail.com"/>
    <s v="Shielded Metal Arc Welding (SMAW) NC I"/>
    <n v="1"/>
    <n v="70"/>
    <n v="48"/>
  </r>
  <r>
    <x v="302"/>
    <s v="TVIs"/>
    <s v="National Capital Region (NCR)"/>
    <s v="MUNTIPARLASTAPAT"/>
    <s v="Parañaque City"/>
    <s v="RECRAA Bldg., Vitalez Cmpd., Sucat, Paranaque City"/>
    <s v="Ma. Cristina B. Tafalla"/>
    <s v="826-81-69 825-7956 loc. 50 826-8169 fax"/>
    <s v="starsandrainbow2016@gmail.com"/>
    <s v="Gas Metal Arc Welding (GMAW) NC II"/>
    <n v="2"/>
    <n v="67"/>
    <n v="47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Shielded Metal Arc Welding (SMAW) NC I"/>
    <n v="1"/>
    <n v="59"/>
    <n v="47"/>
  </r>
  <r>
    <x v="334"/>
    <s v="TVIs"/>
    <s v="National Capital Region (NCR)"/>
    <s v="CAMANAVA"/>
    <s v="Caloocan City"/>
    <s v="Lot 33 Far East Corner Citizen Ave., Bankers Village I, Brgy. 171 Bagumbong, Caloocan City"/>
    <s v="DR. ROWIE A. ORQUITA"/>
    <n v="285717451"/>
    <s v="mindbridge.lpgmatrainingcenter@gmail.com"/>
    <s v="Shielded Metal Arc Welding (SMAW) NC I"/>
    <n v="1"/>
    <n v="45"/>
    <n v="43"/>
  </r>
  <r>
    <x v="293"/>
    <s v="TVIs"/>
    <s v="National Capital Region (NCR)"/>
    <s v="Quezon City"/>
    <s v="Quezon City"/>
    <s v="112 Old Samson Rd. Balintawak, Quezon City"/>
    <s v="Antonio M. Dimayuga Jr."/>
    <s v="413-4225 "/>
    <s v="laborlinktechnical@yahoo.com"/>
    <s v="Gas Metal Arc Welding (GMAW) NC II"/>
    <n v="1"/>
    <n v="16"/>
    <n v="39"/>
  </r>
  <r>
    <x v="14"/>
    <s v="TVIs"/>
    <s v="National Capital Region (NCR)"/>
    <s v="Quezon City"/>
    <s v="Quezon City"/>
    <s v="3/F Lot 13-A, Blk. 31 cor. Camaro St., Fairview Ave., Fairview, Quezon City"/>
    <s v="GERALD O. CATEDRILLA"/>
    <s v="(02) 428-4094"/>
    <s v="qc.cenbartvimis@gmail.com"/>
    <s v="Shielded Metal Arc Welding (SMAW) NC I"/>
    <n v="1"/>
    <n v="42"/>
    <n v="38"/>
  </r>
  <r>
    <x v="272"/>
    <s v="TVIs"/>
    <s v="National Capital Region (NCR)"/>
    <s v="Quezon City"/>
    <s v="Quezon City"/>
    <s v="789 Quirino Hiway, Gulod, Quezon City"/>
    <s v="MS. CARMEN A. DIOKNO, PHD"/>
    <s v="401-7603"/>
    <s v="mountcharmelschool@yahoo.com"/>
    <s v="Shielded Metal Arc Welding (SMAW) NC II"/>
    <n v="1"/>
    <n v="38"/>
    <n v="38"/>
  </r>
  <r>
    <x v="335"/>
    <s v="TVIs"/>
    <s v="National Capital Region (NCR)"/>
    <s v="CAMANAVA"/>
    <s v="Caloocan City"/>
    <s v="No. 111 Baesa Road, caloocan City"/>
    <s v="FERDINAND M. TUBALLA"/>
    <s v="362-7581 to 84"/>
    <s v="wssdc.wip@gmail.com"/>
    <s v="Shielded Metal Arc Welding (SMAW) NC I"/>
    <n v="1"/>
    <n v="37"/>
    <n v="37"/>
  </r>
  <r>
    <x v="326"/>
    <s v="TVIs"/>
    <s v="National Capital Region (NCR)"/>
    <s v="CAMANAVA"/>
    <s v="Navotas City"/>
    <s v="586 Gov. A. Pascual St., San Roque, Navotas, Metro Manila"/>
    <s v="JOSE MARIE DOROY"/>
    <n v="4416970"/>
    <s v="philweldtech@yahoo.com"/>
    <s v="Shielded Metal Arc Welding (SMAW) NC II"/>
    <n v="2"/>
    <n v="62"/>
    <n v="37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Shielded Metal Arc Welding (SMAW) NC II"/>
    <n v="1"/>
    <n v="60"/>
    <n v="31"/>
  </r>
  <r>
    <x v="96"/>
    <s v="TVIs"/>
    <s v="National Capital Region (NCR)"/>
    <s v="Quezon City"/>
    <s v="Quezon City"/>
    <s v="Bonanza Bldg. II, Block 1 Lot 6 Hilltop Subd., Putol na Daan St., Greater Lagro, Quezon City"/>
    <s v="APRIL V. NUEDA"/>
    <s v="09494508000 / 751-6420"/>
    <s v="miesha.inc@gmail.com"/>
    <s v="Gas Tungsten Arc Welding (GTAW) NC II"/>
    <n v="1"/>
    <n v="25"/>
    <n v="25"/>
  </r>
  <r>
    <x v="252"/>
    <s v="LGU"/>
    <s v="National Capital Region (NCR)"/>
    <s v="CAMANAVA"/>
    <s v="Malabon City"/>
    <s v="Gov. Pascual Ave., Brgy. Baritan, Malabon City"/>
    <s v="DR. MOSES KAENEL V. BERGADO"/>
    <s v="282-3088"/>
    <s v="cmpimanpower@yahoo.com.ph"/>
    <s v="Shielded Metal Arc Welding (SMAW) NC II"/>
    <n v="1"/>
    <n v="39"/>
    <n v="18"/>
  </r>
  <r>
    <x v="8"/>
    <s v="LGU"/>
    <s v="National Capital Region (NCR)"/>
    <s v="CAMANAVA"/>
    <s v="Valenzuela City"/>
    <s v="Kamagong St., Fortune Vill. 6, Parada, Valenzuela City"/>
    <s v="DR. YOLANDA G. GADON"/>
    <s v="82930775 / 82920480"/>
    <s v="cmnv.valtech.tvimis@gmail.com"/>
    <s v="Shielded Metal Arc Welding (SMAW) NC I"/>
    <n v="1"/>
    <n v="27"/>
    <n v="12"/>
  </r>
  <r>
    <x v="302"/>
    <s v="TVIs"/>
    <s v="National Capital Region (NCR)"/>
    <s v="MUNTIPARLASTAPAT"/>
    <s v="Parañaque City"/>
    <s v="RECRAA Bldg., Vitalez Cmpd., Sucat, Paranaque City"/>
    <s v="Ma. Cristina B. Tafalla"/>
    <s v="826-81-69 825-7956 loc. 50 826-8169 fax"/>
    <s v="starsandrainbow2016@gmail.com"/>
    <s v="Gas Tungsten Arc Welding (GTAW) NC II"/>
    <n v="1"/>
    <n v="8"/>
    <n v="8"/>
  </r>
  <r>
    <x v="334"/>
    <s v="TVIs"/>
    <s v="National Capital Region (NCR)"/>
    <s v="CAMANAVA"/>
    <s v="Caloocan City"/>
    <s v="Lot 33 Far East Corner Citizen Ave., Bankers Village I, Brgy. 171 Bagumbong, Caloocan City"/>
    <s v="DR. ROWIE A. ORQUITA"/>
    <n v="285717451"/>
    <s v="mindbridge.lpgmatrainingcenter@gmail.com"/>
    <s v="Gas Metal Arc Welding (GMAW) NC II"/>
    <n v="1"/>
    <n v="23"/>
    <n v="0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Gas Metal Arc Welding (GMAW) NC II"/>
    <n v="1"/>
    <n v="25"/>
    <n v="0"/>
  </r>
  <r>
    <x v="336"/>
    <s v="LGU"/>
    <s v="National Capital Region (NCR)"/>
    <s v="CAMANAVA"/>
    <s v="Valenzuela City"/>
    <s v="Kamagong St. Fortune Village 6, Parada, Valenzuela City"/>
    <s v="Dr. Yolanda G. Gadon"/>
    <s v="292-0480 / 293-0775"/>
    <s v="valenzuela.polytechnic@gmail.com"/>
    <s v="Shielded Metal Arc Welding (SMAW) NC I"/>
    <n v="1"/>
    <n v="22"/>
    <n v="0"/>
  </r>
  <r>
    <x v="323"/>
    <s v="TVIs"/>
    <s v="National Capital Region (NCR)"/>
    <s v="PASMAK"/>
    <s v="Makati City"/>
    <s v="A. Arnaiz Ave., Cor. Chino Roces Ave., Makati City"/>
    <s v="Fr. Jerry T. Santos"/>
    <s v="892-0107-09 / 817-5807"/>
    <s v="dbmakati.registrar@one-bosco.org"/>
    <s v="Shielded Metal Arc Welding (SMAW) NC II"/>
    <n v="1"/>
    <n v="27"/>
    <n v="0"/>
  </r>
  <r>
    <x v="3"/>
    <s v="TVIs"/>
    <s v="National Capital Region (NCR)"/>
    <s v="CAMANAVA"/>
    <s v="Valenzuela City"/>
    <s v="Cielo Azul, G. Salazar, Wawang Pulo, Valenzuela City"/>
    <s v="C/E GILBERT B. MILANA,Ph.D"/>
    <s v="734-0160"/>
    <s v="gmtctesda@gmail.com"/>
    <s v="Shielded Metal Arc Welding (SMAW) NC II"/>
    <n v="1"/>
    <n v="24"/>
    <n v="0"/>
  </r>
  <r>
    <x v="327"/>
    <s v="TVIs"/>
    <s v="National Capital Region (NCR)"/>
    <s v="MUNTIPARLASTAPAT"/>
    <s v="Parañaque City"/>
    <s v="Block 2, Lot 1 Gigatech Bldg. 1, Duhat Mon El Subdivision, San Antonio, Parañaque City"/>
    <s v="FRANCIS T. TAJANLANGIT"/>
    <n v="9258459514"/>
    <s v="gtacinc.2022@gmail.com"/>
    <s v="Shielded Metal Arc Welding (SMAW) NC II"/>
    <n v="1"/>
    <n v="25"/>
    <n v="0"/>
  </r>
  <r>
    <x v="28"/>
    <s v="TVIs"/>
    <s v="National Capital Region (NCR)"/>
    <s v="CAMANAVA"/>
    <s v="Malabon City"/>
    <s v="No. 425 Blas St., Hulong Duhat, Malabon City"/>
    <s v="RUTH M. CUNTAPAY"/>
    <s v="8713-6741, 8352-0859, 8736-7278, 09185292561"/>
    <s v="stcatherineinstituteoftechnology@yahoo.com"/>
    <s v="Shielded Metal Arc Welding (SMAW) NC II"/>
    <n v="1"/>
    <n v="25"/>
    <n v="0"/>
  </r>
  <r>
    <x v="175"/>
    <s v="TVIs"/>
    <s v="National Capital Region (NCR)"/>
    <s v="City of Manila"/>
    <s v="Binondo, City of Manila"/>
    <s v="No. 357 W. Burke St., Binondo, Manila"/>
    <s v="RODOLFO C. REYES"/>
    <n v="87351055"/>
    <s v="blueridgepacific@yahoo.com"/>
    <s v="Ships' Catering (Ships' Cooks) NC III"/>
    <n v="2"/>
    <n v="64"/>
    <n v="43"/>
  </r>
  <r>
    <x v="337"/>
    <s v="TVIs"/>
    <s v="National Capital Region (NCR)"/>
    <s v="City of Manila"/>
    <s v="Santa Cruz, City of Manila"/>
    <s v="4th Floor Tiaoqui Bldg. Sta. Cruz Plaza, Ronquillo St. Sta. Cruz Manila"/>
    <s v="WILFREDO M. PROTACIO JR."/>
    <s v="83547592 / 0998446996"/>
    <s v="chefjhonstrainingandassessment@gmail.com"/>
    <s v="Ships' Catering (Ships' Cooks) NC III"/>
    <n v="1"/>
    <n v="2"/>
    <n v="2"/>
  </r>
  <r>
    <x v="23"/>
    <s v="TVIs"/>
    <s v="National Capital Region (NCR)"/>
    <s v="City of Manila"/>
    <s v="Malate, City of Manila"/>
    <s v="2F Marbella II Bldg. 2071 Roxas Blvd., Malate, Manila"/>
    <s v="Francis T. Tajanlangit "/>
    <s v="331-3180 / 331-3177 / 742-3400"/>
    <s v="powerlink0615@gmail.com"/>
    <s v="Ships' Catering (Ships' Cooks) NC III"/>
    <n v="2"/>
    <n v="72"/>
    <n v="65"/>
  </r>
  <r>
    <x v="26"/>
    <s v="TVIs"/>
    <s v="National Capital Region (NCR)"/>
    <s v="City of Manila"/>
    <s v="Ermita, City of Manila"/>
    <s v="402 Bel-Air Apartment 4/F, 1020 Roxas Blvd., Ermita, Manila"/>
    <s v="Ricky M. Purificacion"/>
    <s v="523-7652"/>
    <s v="rcticorp@yahoo.com"/>
    <s v="Ships' Catering (Ships' Cooks) NC III"/>
    <n v="2"/>
    <n v="142"/>
    <n v="137"/>
  </r>
  <r>
    <x v="273"/>
    <s v="TVIs"/>
    <s v="National Capital Region (NCR)"/>
    <s v="City of Manila"/>
    <s v="Sampaloc, City of Manila"/>
    <s v="867 G Tolentino Street, Sampaloc, Manila"/>
    <s v="TERESITA Y. MARCOS. MSBM"/>
    <s v="736-2279"/>
    <s v="ne.guarina@seamac.ph.education"/>
    <s v="Ships' Catering (Ships' Cooks) NC III"/>
    <n v="2"/>
    <n v="83"/>
    <n v="76"/>
  </r>
  <r>
    <x v="338"/>
    <s v="TVIs"/>
    <s v="National Capital Region (NCR)"/>
    <s v="City of Manila"/>
    <s v="Ermita, City of Manila"/>
    <s v="Ground Floor Trinity Bldg., TM Kalaw St., Ermita, Manila"/>
    <s v="RHEA P. DE LOS REYES"/>
    <s v="0962-995-8471/0905-231-3493/(02) 5310-2095"/>
    <s v="seatech.tesda@gmail.com"/>
    <s v="Ships' Catering (Ships' Cooks) NC III"/>
    <n v="2"/>
    <n v="20"/>
    <n v="14"/>
  </r>
  <r>
    <x v="339"/>
    <s v="TVIs"/>
    <s v="National Capital Region (NCR)"/>
    <s v="City of Manila"/>
    <s v="Ermita, City of Manila"/>
    <s v="2/F The Grand Place Building, 1424 M.H. Del Pilar Street, Ermita, Manila"/>
    <s v="Norma J. Blasquez"/>
    <s v="254-8225"/>
    <s v="sims_manila@yahoo.com"/>
    <s v="Ships' Catering (Ships' Cooks) NC III"/>
    <n v="3"/>
    <n v="181"/>
    <n v="159"/>
  </r>
  <r>
    <x v="38"/>
    <s v="TVIs"/>
    <s v="National Capital Region (NCR)"/>
    <s v="PASMAK"/>
    <s v="Pasay City"/>
    <s v="4th Floor Sea Tower Bldg. 2332 Roxas Blvd. cor. Arnaiz St. Pasay City"/>
    <s v="Wilhermino S. Maniego"/>
    <n v="8230918"/>
    <s v="uimtac_inc@yahoo.com.ph"/>
    <s v="Ships' Catering (Ships' Cooks) NC III"/>
    <n v="3"/>
    <n v="165"/>
    <n v="25"/>
  </r>
  <r>
    <x v="340"/>
    <s v="TVIs"/>
    <s v="National Capital Region (NCR)"/>
    <s v="City of Manila"/>
    <s v="Malate, City of Manila"/>
    <s v="Marlow Bldg., 2120 Leon Guinto Street, Malate, Manila"/>
    <s v="Engr. Donald B. Bautista"/>
    <s v="528-1527/ 400-9941"/>
    <m/>
    <s v="Ships' Catering (Ships' Cooks) NC III"/>
    <n v="2"/>
    <n v="24"/>
    <n v="31"/>
  </r>
  <r>
    <x v="175"/>
    <s v="TVIs"/>
    <s v="National Capital Region (NCR)"/>
    <s v="City of Manila"/>
    <s v="Binondo, City of Manila"/>
    <s v="No. 357 W. Burke St., Binondo, Manila"/>
    <s v="RODOLFO C. REYES"/>
    <n v="87351055"/>
    <s v="blueridgepacific@yahoo.com"/>
    <s v="Ship's Catering Services NC I"/>
    <n v="2"/>
    <n v="86"/>
    <n v="76"/>
  </r>
  <r>
    <x v="312"/>
    <s v="TVIs"/>
    <s v="National Capital Region (NCR)"/>
    <s v="PASMAK"/>
    <s v="Pasay City"/>
    <s v="2nd and 3rd Floor, AIMS Campus, Arnaiz St. Corner Roxas Blvd. Barangay 13, Pasay City"/>
    <s v="DR. ARLENE ABUID-PADERANGA"/>
    <s v="8831-1525/0928-483-7486"/>
    <s v="capt.wpaf@yahoo.com"/>
    <s v="Ship's Catering Services NC I"/>
    <n v="4"/>
    <n v="1131"/>
    <n v="300"/>
  </r>
  <r>
    <x v="337"/>
    <s v="TVIs"/>
    <s v="National Capital Region (NCR)"/>
    <s v="City of Manila"/>
    <s v="Santa Cruz, City of Manila"/>
    <s v="4th Floor Tiaoqui Bldg. Sta. Cruz Plaza, Ronquillo St. Sta. Cruz Manila"/>
    <s v="WILFREDO M. PROTACIO JR."/>
    <s v="83547592 / 0998446996"/>
    <s v="chefjhonstrainingandassessment@gmail.com"/>
    <s v="Ship's Catering Services NC I"/>
    <n v="1"/>
    <n v="7"/>
    <n v="7"/>
  </r>
  <r>
    <x v="237"/>
    <s v="TVIs"/>
    <s v="National Capital Region (NCR)"/>
    <s v="City of Manila"/>
    <s v="Santa Ana, City of Manila"/>
    <s v="2648 Dian Street, Brgy. 757, Zone 82, District 5, Malate, Sta. Ana, Manila"/>
    <s v="JESSIE C. DANAO"/>
    <s v="(02) 7-005-8968"/>
    <s v="circletest0614@gmail.com"/>
    <s v="Ship's Catering Services NC I"/>
    <n v="2"/>
    <n v="81"/>
    <n v="81"/>
  </r>
  <r>
    <x v="341"/>
    <s v="TVIs"/>
    <s v="National Capital Region (NCR)"/>
    <s v="City of Manila"/>
    <s v="Ermita, City of Manila"/>
    <s v="10/F Victoria Bldg., UN Avenue, Ermita, Manila"/>
    <s v="CIELITO S. FERIAS"/>
    <s v="526-2427"/>
    <m/>
    <s v="Ship's Catering Services NC I"/>
    <n v="3"/>
    <n v="616"/>
    <n v="614"/>
  </r>
  <r>
    <x v="342"/>
    <s v="TVIs"/>
    <s v="National Capital Region (NCR)"/>
    <s v="City of Manila"/>
    <s v="Ermita, City of Manila"/>
    <s v="8th-9th Floors, 10-B 10th Floor, 11th and 12-B 12th Floor Maritime Plaza Bldg., A. Flores St. corner Cortada St. Ermita, Manila"/>
    <s v="MARY ANNE S. MADRIAGA"/>
    <s v="824-2412"/>
    <s v="info@imecc.ph"/>
    <s v="Ship's Catering Services NC I"/>
    <n v="1"/>
    <n v="156"/>
    <n v="154"/>
  </r>
  <r>
    <x v="343"/>
    <s v="TVIs"/>
    <s v="National Capital Region (NCR)"/>
    <s v="City of Manila"/>
    <s v="Ermita, City of Manila"/>
    <s v="No. 1381 San Marcelino Street, Ermita, Manila"/>
    <s v="JESUS C. ESCALA"/>
    <s v="242-6582/242-6581"/>
    <s v="training@nputc.com"/>
    <s v="Ship's Catering Services NC I"/>
    <n v="2"/>
    <n v="155"/>
    <n v="151"/>
  </r>
  <r>
    <x v="229"/>
    <s v="TVIs"/>
    <s v="National Capital Region (NCR)"/>
    <s v="City of Manila"/>
    <s v="Quiapo, City of Manila"/>
    <s v="938 Arlegui Street cor. Aguila Streets, Quiapo, Manila"/>
    <s v="ELISA ABUID CAYAB"/>
    <s v="734-8897/ 734-1651/ 734-8898"/>
    <s v="pstc_25anniv@yahoo.com"/>
    <s v="Ship's Catering Services NC I"/>
    <n v="1"/>
    <n v="220"/>
    <n v="218"/>
  </r>
  <r>
    <x v="23"/>
    <s v="TVIs"/>
    <s v="National Capital Region (NCR)"/>
    <s v="City of Manila"/>
    <s v="Malate, City of Manila"/>
    <s v="2F Marbella II Bldg. 2071 Roxas Blvd., Malate, Manila"/>
    <s v="Francis T. Tajanlangit "/>
    <s v="331-3180 / 331-3177 / 742-3400"/>
    <s v="powerlink0615@gmail.com"/>
    <s v="Ship's Catering Services NC I"/>
    <n v="2"/>
    <n v="58"/>
    <n v="58"/>
  </r>
  <r>
    <x v="26"/>
    <s v="TVIs"/>
    <s v="National Capital Region (NCR)"/>
    <s v="City of Manila"/>
    <s v="Ermita, City of Manila"/>
    <s v="402 Bel-Air Apartment 4/F, 1020 Roxas Blvd., Ermita, Manila"/>
    <s v="Ricky M. Purificacion"/>
    <s v="523-7652"/>
    <s v="rcticorp@yahoo.com"/>
    <s v="Ship's Catering Services NC I"/>
    <n v="2"/>
    <n v="460"/>
    <n v="437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Ship's Catering Services NC I"/>
    <n v="1"/>
    <n v="299"/>
    <n v="379"/>
  </r>
  <r>
    <x v="273"/>
    <s v="TVIs"/>
    <s v="National Capital Region (NCR)"/>
    <s v="City of Manila"/>
    <s v="Sampaloc, City of Manila"/>
    <s v="867 G Tolentino Street, Sampaloc, Manila"/>
    <s v="TERESITA Y. MARCOS. MSBM"/>
    <s v="736-2279"/>
    <s v="ne.guarina@seamac.ph.education"/>
    <s v="Ship's Catering Services NC I"/>
    <n v="1"/>
    <n v="248"/>
    <n v="233"/>
  </r>
  <r>
    <x v="339"/>
    <s v="TVIs"/>
    <s v="National Capital Region (NCR)"/>
    <s v="City of Manila"/>
    <s v="Ermita, City of Manila"/>
    <s v="2/F The Grand Place Building, 1424 M.H. Del Pilar Street, Ermita, Manila"/>
    <s v="Norma J. Blasquez"/>
    <s v="254-8225"/>
    <s v="sims_manila@yahoo.com"/>
    <s v="Ship's Catering Services NC I"/>
    <n v="5"/>
    <n v="1019"/>
    <n v="1010"/>
  </r>
  <r>
    <x v="291"/>
    <s v="TVIs"/>
    <s v="National Capital Region (NCR)"/>
    <s v="CAMANAVA"/>
    <s v="Caloocan City"/>
    <s v="Unit M03 and 2nd Floor Consuelo Building, 116 Benin Street Corner EDSA Monumento, Zone 8, Barangay 86, Caloocan City"/>
    <s v="REA A. ROQUE"/>
    <n v="87216790"/>
    <s v="trident.tvi2023@gmail.com"/>
    <s v="Ship's Catering Services NC I"/>
    <n v="3"/>
    <n v="476"/>
    <n v="402"/>
  </r>
  <r>
    <x v="38"/>
    <s v="TVIs"/>
    <s v="National Capital Region (NCR)"/>
    <s v="PASMAK"/>
    <s v="Pasay City"/>
    <s v="4th Floor Sea Tower Bldg. 2332 Roxas Blvd. cor. Arnaiz St. Pasay City"/>
    <s v="Wilhermino S. Maniego"/>
    <n v="8230918"/>
    <s v="uimtac_inc@yahoo.com.ph"/>
    <s v="Ship's Catering Services NC I"/>
    <n v="5"/>
    <n v="1701"/>
    <n v="75"/>
  </r>
  <r>
    <x v="344"/>
    <s v="TVIs"/>
    <s v="National Capital Region (NCR)"/>
    <s v="City of Manila"/>
    <s v="Ermita, City of Manila"/>
    <s v="G/F YMCA of Manila Buidling Antonio Villegas St., Ermita, Manila"/>
    <s v="CAPT. CESARIO S. CORNEJO JR."/>
    <s v="241-0881"/>
    <s v="usmci2010@gmail.com"/>
    <s v="Ship's Catering Services NC I"/>
    <n v="2"/>
    <n v="221"/>
    <n v="215"/>
  </r>
  <r>
    <x v="345"/>
    <s v="TVIs"/>
    <s v="National Capital Region (NCR)"/>
    <s v="CAMANAVA"/>
    <s v="Caloocan City"/>
    <s v="3772 Sinilyasi St. cor. Lapulapu Ave. Ext., Dagatdagatan, Caloocan city"/>
    <s v="ETHEL C. BRIONES"/>
    <s v="285-5201"/>
    <s v="agileslaughtering1955@yahoo.com.ph"/>
    <s v="Slaughtering Operations (Swine) NC II"/>
    <n v="1"/>
    <n v="24"/>
    <n v="24"/>
  </r>
  <r>
    <x v="65"/>
    <s v="TVIs"/>
    <s v="National Capital Region (NCR)"/>
    <s v="PAMAMARISAN"/>
    <s v="Pasig City"/>
    <s v="B85 L3 P2C3 KC33 St., Karangalan Village, Manggahan, Pasig City"/>
    <s v="LALAINE J. BRINGUELO "/>
    <s v="956-8640/0956-432-9868"/>
    <s v="mlbtraveltours@gmail.com"/>
    <s v="Slaughtering Operations (Swine) NC II"/>
    <n v="2"/>
    <n v="178"/>
    <n v="256"/>
  </r>
  <r>
    <x v="346"/>
    <s v="TVIs"/>
    <s v="National Capital Region (NCR)"/>
    <s v="PAMAMARISAN"/>
    <s v="Marikina City"/>
    <s v="2F Loza Business Center, Lilac Avenue, Hacienda Heights, Concepcion Dos, Marikina City"/>
    <s v="Aubrey S. Belardo"/>
    <s v="0917-572-5893"/>
    <s v="drisingsun.marikina@gmail.com"/>
    <s v="Slaughtering Operations (Swine) NC II"/>
    <n v="3"/>
    <n v="417"/>
    <n v="458"/>
  </r>
  <r>
    <x v="347"/>
    <s v="TVIs"/>
    <s v="National Capital Region (NCR)"/>
    <s v="MUNTIPARLASTAPAT"/>
    <s v="Muntinlupa City"/>
    <s v="3/F DLA Bldg. National Road, Putatan, Muntinlupa City"/>
    <s v="Aubrey S. Belardo"/>
    <s v="781-0331"/>
    <s v="aubreybelardo@gmail.com"/>
    <s v="Slaughtering Operations (Swine) NC II"/>
    <n v="3"/>
    <n v="289"/>
    <n v="235"/>
  </r>
  <r>
    <x v="348"/>
    <s v="TVIs"/>
    <s v="National Capital Region (NCR)"/>
    <s v="Quezon City"/>
    <s v="Quezon City"/>
    <s v="5/F Doña Consolation Bldg., #602 Gen Santos St., Araneta Center, Cubao Quezon City"/>
    <s v="Rowena Ugalde"/>
    <s v="911-2055/ 911-6650"/>
    <s v="mcadtechvoc@gmail.com"/>
    <s v="Technical Drafting NC II"/>
    <n v="2"/>
    <n v="33"/>
    <n v="0"/>
  </r>
  <r>
    <x v="168"/>
    <s v="TTI (PTC)"/>
    <s v="National Capital Region (NCR)"/>
    <s v="PASMAK"/>
    <s v="Makati City"/>
    <s v="Building 15, TESDA Complex, East Service Road, South Superhighway, Taguig City"/>
    <s v="VERNADETTE D. FLORES-GONZALES"/>
    <n v="9688524038"/>
    <s v="pmdtac@tesda.gov.ph"/>
    <s v="Technical Drafting NC II"/>
    <n v="1"/>
    <n v="85"/>
    <n v="138"/>
  </r>
  <r>
    <x v="349"/>
    <s v="TVIs"/>
    <s v="National Capital Region (NCR)"/>
    <s v="Quezon City"/>
    <s v="Quezon City"/>
    <s v="Unit 305 - 306 West City Plaza, 66 West Avenue West Triangle, Quezon City"/>
    <s v="Erlbert T. Besar"/>
    <s v="0956-8740561"/>
    <s v="uptitudeqc@gmail.com"/>
    <s v="Technical Drafting NC II"/>
    <n v="1"/>
    <n v="31"/>
    <n v="25"/>
  </r>
  <r>
    <x v="114"/>
    <s v="TVIs"/>
    <s v="National Capital Region (NCR)"/>
    <s v="Quezon City"/>
    <s v="Quezon City"/>
    <s v="Dela Rama Bldg. Buenamar St. Buenamar Subd. Novaliches, Quezon City"/>
    <s v="JOEY Q. MANALO"/>
    <s v="7754-9645"/>
    <s v="qc.iihnovatvimis@gmail.com"/>
    <s v="Tile Setting NC II"/>
    <n v="1"/>
    <n v="106"/>
    <n v="106"/>
  </r>
  <r>
    <x v="208"/>
    <s v="TTI (PTC)"/>
    <s v="National Capital Region (NCR)"/>
    <s v="MUNTIPARLASTAPAT"/>
    <s v="Taguig City"/>
    <s v="Bldg. 9, (formerly Pinoy Bayanihan Project) TESDA Complex, East Service Road, South Luzon Expressway, Taguig City"/>
    <s v="MARLON A. FELIX"/>
    <s v="8-886-5306"/>
    <s v="mdtac@tesda.gov.ph"/>
    <s v="Tile Setting NC II"/>
    <n v="3"/>
    <n v="169"/>
    <n v="146"/>
  </r>
  <r>
    <x v="350"/>
    <s v="TVIs"/>
    <s v="National Capital Region (NCR)"/>
    <s v="PAMAMARISAN"/>
    <s v="Marikina City"/>
    <s v="PSS Lacolina Multipurpose Hall, PSS Lacolina, Santan Street, Fortune, Marikina City"/>
    <s v="MS. VALERIE M. CONTAOE"/>
    <n v="9214557777"/>
    <s v="philasiancr08@gmail.com"/>
    <s v="Tile Setting NC II"/>
    <n v="3"/>
    <n v="115"/>
    <n v="97"/>
  </r>
  <r>
    <x v="169"/>
    <s v="TVIs"/>
    <s v="National Capital Region (NCR)"/>
    <s v="PASMAK"/>
    <s v="Makati City"/>
    <s v="8837 Colmena St. Brgy. Olympia Makati City"/>
    <s v="MARIA CRISELLA O. BINAYUG"/>
    <s v="(+63) 29642237 / 09173005827 / 09173001527"/>
    <s v="jjlbinayug@qtekcenter.com"/>
    <s v="Tile Setting NC II"/>
    <n v="2"/>
    <n v="195"/>
    <n v="192"/>
  </r>
  <r>
    <x v="223"/>
    <s v="TVIs"/>
    <s v="National Capital Region (NCR)"/>
    <s v="City of Manila"/>
    <s v="Sampaloc, City of Manila"/>
    <s v="1789 Dimasalang Street, Sta. Cruz, Manila"/>
    <s v="Melody S. Cruz"/>
    <s v="712-2381/ 247-7651"/>
    <s v="techvoc_skills.incorporated@yahoo.com"/>
    <s v="Tile Setting NC II"/>
    <n v="5"/>
    <n v="804"/>
    <n v="617"/>
  </r>
  <r>
    <x v="41"/>
    <s v="TVIs"/>
    <s v="National Capital Region (NCR)"/>
    <s v="PAMAMARISAN"/>
    <s v="Marikina City"/>
    <s v="712 JP Rizal Concepcion Uno, Marikina City"/>
    <s v="MADONNA V. VITALIANO "/>
    <s v="0915-800-1270"/>
    <s v="aplustechvoc@gmail.com"/>
    <s v="Tourism Promotion Services NC II"/>
    <n v="3"/>
    <n v="179"/>
    <n v="179"/>
  </r>
  <r>
    <x v="65"/>
    <s v="TVIs"/>
    <s v="National Capital Region (NCR)"/>
    <s v="PAMAMARISAN"/>
    <s v="Pasig City"/>
    <s v="B85 L3 P2C3 KC33 St., Karangalan Village, Manggahan, Pasig City"/>
    <s v="LALAINE J. BRINGUELO "/>
    <s v="956-8640/0956-432-9868"/>
    <s v="mlbtraveltours@gmail.com"/>
    <s v="Tourism Promotion Services NC II"/>
    <n v="1"/>
    <n v="220"/>
    <n v="499"/>
  </r>
  <r>
    <x v="212"/>
    <s v="TVIs"/>
    <s v="National Capital Region (NCR)"/>
    <s v="PAMAMARISAN"/>
    <s v="San Juan City"/>
    <s v="4 2nd West Crame, San Juan City"/>
    <s v="Rodell King Alcantara "/>
    <s v="8521-9958/ 09192898785"/>
    <s v="bluechiptrainingcenterph@gmail.com"/>
    <s v="Tourism Promotion Services NC II"/>
    <n v="1"/>
    <n v="51"/>
    <n v="47"/>
  </r>
  <r>
    <x v="290"/>
    <s v="TVIs"/>
    <s v="National Capital Region (NCR)"/>
    <s v="PASMAK"/>
    <s v="Pasay City"/>
    <s v="2199 2nd Flr. Robert Street, Zone 4 Barangay 13 District 1, Pasay City"/>
    <s v="EUGENE M. RUIZ"/>
    <s v="0995-813-8316"/>
    <s v="St.lorenzoruiztesda2023@gmail.com"/>
    <s v="Tourism Promotion Services NC II"/>
    <n v="1"/>
    <n v="145"/>
    <n v="143"/>
  </r>
  <r>
    <x v="172"/>
    <s v="TVIs"/>
    <s v="National Capital Region (NCR)"/>
    <s v="PAMAMARISAN"/>
    <s v="San Juan City"/>
    <s v="Unit 302, 304 and 1502 Jafer Place Building Eisenhower St. Greenhills, San Juan City"/>
    <s v="Ms. Teresa A. Jondonero"/>
    <s v="727-6731 / 985-5895"/>
    <s v="arayaskillsdic@gmail.com"/>
    <s v="Trainers Methodology Level I"/>
    <n v="2"/>
    <n v="405"/>
    <n v="294"/>
  </r>
  <r>
    <x v="42"/>
    <s v="TVIs"/>
    <s v="National Capital Region (NCR)"/>
    <s v="PAMAMARISAN"/>
    <s v="Pasig City"/>
    <s v="115 E. Santos Ave., Bambang, Pasig City"/>
    <s v="Ms. Marjorie G. Mendenilla"/>
    <s v="7746-0097"/>
    <s v="asianentrepreneurstech2009@gmail.com"/>
    <s v="Trainers Methodology Level I"/>
    <n v="2"/>
    <n v="142"/>
    <n v="89"/>
  </r>
  <r>
    <x v="65"/>
    <s v="TVIs"/>
    <s v="National Capital Region (NCR)"/>
    <s v="PAMAMARISAN"/>
    <s v="Pasig City"/>
    <s v="B85 L3 P2C3 KC33 St., Karangalan Village, Manggahan, Pasig City"/>
    <s v="LALAINE J. BRINGUELO "/>
    <s v="956-8640/0956-432-9868"/>
    <s v="mlbtraveltours@gmail.com"/>
    <s v="Trainers Methodology Level I"/>
    <n v="2"/>
    <n v="95"/>
    <n v="45"/>
  </r>
  <r>
    <x v="277"/>
    <s v="HEIs"/>
    <s v="National Capital Region (NCR)"/>
    <s v="City of Manila"/>
    <s v="Paco, City of Manila"/>
    <s v="1739 P. Gil Street, Paco, Manila"/>
    <s v="Sr. Ana J. Amar, DC"/>
    <s v="563-4352/564-2001"/>
    <s v="tesda@laconcordia.edu.ph"/>
    <s v="Trainers Methodology Level I"/>
    <n v="1"/>
    <n v="56"/>
    <n v="52"/>
  </r>
  <r>
    <x v="280"/>
    <s v="TVIs"/>
    <s v="National Capital Region (NCR)"/>
    <s v="PAMAMARISAN"/>
    <s v="Pasig City"/>
    <s v="201 Mahogany Street cor. Marcos Hi-way, Barangay Santolan , Pasig City"/>
    <s v="GEORGINA B. BANZON"/>
    <s v="8656-1738"/>
    <s v="exceltscc2015@gmail.com"/>
    <s v="Trainers Methodology Level I"/>
    <n v="2"/>
    <n v="153"/>
    <n v="152"/>
  </r>
  <r>
    <x v="37"/>
    <s v="TVIs"/>
    <s v="National Capital Region (NCR)"/>
    <s v="MUNTIPARLASTAPAT"/>
    <s v="Muntinlupa City"/>
    <s v="Timbol Bldg., No. 21 National Road, Putatan, Muntinlupa City"/>
    <s v="Julita M. Concepcion"/>
    <s v="550-2260/861-0397"/>
    <s v="techvoc.lakewood@gmail.com"/>
    <s v="Trainers Methodology Level I"/>
    <n v="1"/>
    <n v="6"/>
    <n v="6"/>
  </r>
  <r>
    <x v="52"/>
    <s v="TVIs"/>
    <s v="National Capital Region (NCR)"/>
    <s v="MUNTIPARLASTAPAT"/>
    <s v="Muntinlupa City"/>
    <s v="Km. 30 National Road, Tunasan, Muntinlupa City"/>
    <s v="Abigael D. Guda"/>
    <s v="403-8248"/>
    <s v="loatechdept@gmail.com"/>
    <s v="Trainers Methodology Level I"/>
    <n v="2"/>
    <n v="51"/>
    <n v="49"/>
  </r>
  <r>
    <x v="191"/>
    <s v="TVIs"/>
    <s v="National Capital Region (NCR)"/>
    <s v="PASMAK"/>
    <s v="Pasay City"/>
    <s v="3rd Floor Gateway Building Taft Avenue Cartimar Shopping Center, Barangay 39, Pasay City"/>
    <s v="MARY GRACE ROSALIA N. GULAN"/>
    <s v="0917-527-7351"/>
    <s v="marygrace.international@gmail.com"/>
    <s v="Trainers Methodology Level I"/>
    <n v="2"/>
    <n v="102"/>
    <n v="97"/>
  </r>
  <r>
    <x v="351"/>
    <s v="TTI (School)"/>
    <s v="National Capital Region (NCR)"/>
    <s v="PAMAMARISAN"/>
    <s v="Marikina City"/>
    <s v="NTTA Bldg., Mayor Chanyungco St., Sta. Elena, Marikina City"/>
    <s v="Stephen I. Cezar"/>
    <s v="655-6577 / 655-7065"/>
    <s v="ntta@tesda.gov.ph"/>
    <s v="Trainers Methodology Level I"/>
    <n v="1"/>
    <n v="40"/>
    <n v="15"/>
  </r>
  <r>
    <x v="168"/>
    <s v="TTI (PTC)"/>
    <s v="National Capital Region (NCR)"/>
    <s v="PASMAK"/>
    <s v="Makati City"/>
    <s v="Building 15, TESDA Complex, East Service Road, South Superhighway, Taguig City"/>
    <s v="VERNADETTE D. FLORES-GONZALES"/>
    <n v="9688524038"/>
    <s v="pmdtac@tesda.gov.ph"/>
    <s v="Trainers Methodology Level I"/>
    <n v="3"/>
    <n v="101"/>
    <n v="73"/>
  </r>
  <r>
    <x v="58"/>
    <s v="TVIs"/>
    <s v="National Capital Region (NCR)"/>
    <s v="PAMAMARISAN"/>
    <s v="Marikina City"/>
    <s v="4/F Maria Compound Bldg., # 14 Nicanor Roxas St. Brgy. San Roque, Marikina City "/>
    <s v="MAYDA LO L. TABANGIN"/>
    <s v="0920-9530092"/>
    <s v="philacademymarikina@gmail.com"/>
    <s v="Trainers Methodology Level I"/>
    <n v="2"/>
    <n v="222"/>
    <n v="148"/>
  </r>
  <r>
    <x v="71"/>
    <s v="TVIs"/>
    <s v="National Capital Region (NCR)"/>
    <s v="City of Manila"/>
    <s v="Pandacan, City of Manila"/>
    <s v="1745 Abdon St., Brgy. 843, Pandacan, Manila"/>
    <s v="Riza D. Sorima-Matias"/>
    <s v="563-8105"/>
    <s v="psaamlatvet2011@gmail.com"/>
    <s v="Trainers Methodology Level I"/>
    <n v="2"/>
    <n v="104"/>
    <n v="93"/>
  </r>
  <r>
    <x v="40"/>
    <s v="TTI (PTC)"/>
    <s v="National Capital Region (NCR)"/>
    <s v="Quezon City"/>
    <s v="Quezon City"/>
    <s v="Lot 10, Block 17, Dahlia Avenue, Fairview Quezon City"/>
    <s v="EDMAR JAY O. BLANCO"/>
    <s v="799-9092"/>
    <s v="qclbsdc@tesda.gov.ph"/>
    <s v="Trainers Methodology Level I"/>
    <n v="1"/>
    <n v="14"/>
    <n v="14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Trainers Methodology Level I"/>
    <n v="2"/>
    <n v="99"/>
    <n v="143"/>
  </r>
  <r>
    <x v="200"/>
    <s v="TVIs"/>
    <s v="National Capital Region (NCR)"/>
    <s v="City of Manila"/>
    <s v="Malate, City of Manila"/>
    <s v="Grd. Flr. Marbella II Bldg. 2071 Roxas Blvd. Brgy. 701, Malate, Manila"/>
    <s v="RIZALINA D. CORDOVA "/>
    <s v="252-1192"/>
    <s v="seagem629@gmail.com"/>
    <s v="Trainers Methodology Level I"/>
    <n v="3"/>
    <n v="75"/>
    <n v="75"/>
  </r>
  <r>
    <x v="62"/>
    <s v="TTI (PTC)"/>
    <s v="National Capital Region (NCR)"/>
    <s v="City of Manila"/>
    <s v="Paco, City of Manila"/>
    <s v="No. 1314 Mahatma Gandhi St., Paco, Manila"/>
    <s v="VIGNETTE D. NAVASERO"/>
    <n v="85168347"/>
    <s v="tmtac@tesda.gov.ph"/>
    <s v="Trainers Methodology Level I"/>
    <n v="2"/>
    <n v="304"/>
    <n v="297"/>
  </r>
  <r>
    <x v="263"/>
    <s v="TTI (PTC)"/>
    <s v="National Capital Region (NCR)"/>
    <s v="PAMAMARISAN"/>
    <s v="Marikina City"/>
    <s v="Rm. 304, 3rd Floor, NTTA Bldg., MPC Compound, Mayor Chanyungco St. Brgy. Sta. Elena, Marikina City"/>
    <s v="CHRISTIAN JOSEPH C. AGUILAR"/>
    <s v="8570-9893/ 7728-8871"/>
    <s v="tptac@tesda.gov.ph"/>
    <s v="Trainers Methodology Level I"/>
    <n v="1"/>
    <n v="109"/>
    <n v="80"/>
  </r>
  <r>
    <x v="7"/>
    <s v="TTI (School)"/>
    <s v="National Capital Region (NCR)"/>
    <s v="MUNTIPARLASTAPAT"/>
    <s v="Taguig City"/>
    <s v="TESDA Bldg. 2, Gate 1, TESDA Complex, East Service Road South Luzon Expressway (SLEX), Taguig City"/>
    <s v="MYLENE H. SOMERA"/>
    <n v="8172650"/>
    <s v="twc@tesda.gov.ph"/>
    <s v="Trainers Methodology Level I"/>
    <n v="0"/>
    <n v="0"/>
    <n v="49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Trainers Methodology Level I"/>
    <n v="1"/>
    <n v="19"/>
    <n v="0"/>
  </r>
  <r>
    <x v="31"/>
    <s v="TVIs"/>
    <s v="National Capital Region (NCR)"/>
    <s v="PASMAK"/>
    <s v="Makati City"/>
    <s v="No. 1587 Paradiso Centre, Copernico Street, Brgy. San Isidro, Makati City"/>
    <s v="MARY GRACE ROSALIA GULAN"/>
    <s v="843-5918/844-3231"/>
    <s v="uno_training@yahoo.com"/>
    <s v="Trainers Methodology Level I"/>
    <n v="2"/>
    <n v="53"/>
    <n v="52"/>
  </r>
  <r>
    <x v="231"/>
    <s v="HEIs"/>
    <s v="National Capital Region (NCR)"/>
    <s v="PAMAMARISAN"/>
    <s v="Marikina City"/>
    <s v="289 L. De Guzman St., Concepcion, Marikina City"/>
    <s v="VILMA C. CAPARROS"/>
    <s v="TeleFax: 948-2978 / 997-6601 / 948-2978 / 942-330"/>
    <s v="karen.ocampo@marikina.sti.edu"/>
    <s v="Travel Services NC II"/>
    <n v="1"/>
    <n v="12"/>
    <n v="12"/>
  </r>
  <r>
    <x v="32"/>
    <s v="TVIs"/>
    <s v="National Capital Region (NCR)"/>
    <s v="PAMAMARISAN"/>
    <s v="Marikina City"/>
    <s v="2/F WRC Bldg. No. 47 Gil Fernando Midtown Subd., San Roque, Marikina City "/>
    <s v="MR. JAIME G. DOLERA JR."/>
    <s v="Tel. No. 234-0996"/>
    <s v="academy.asia@gmail.com"/>
    <s v="Visual Graphic Design NC III"/>
    <n v="0"/>
    <n v="0"/>
    <n v="38"/>
  </r>
  <r>
    <x v="348"/>
    <s v="TVIs"/>
    <s v="National Capital Region (NCR)"/>
    <s v="Quezon City"/>
    <s v="Quezon City"/>
    <s v="5/F Doña Consolation Bldg., #602 Gen Santos St., Araneta Center, Cubao Quezon City"/>
    <s v="Rowena Ugalde"/>
    <s v="911-2055/ 911-6650"/>
    <s v="mcadtechvoc@gmail.com"/>
    <s v="Visual Graphic Design NC III"/>
    <n v="2"/>
    <n v="79"/>
    <n v="126"/>
  </r>
  <r>
    <x v="318"/>
    <s v="TVIs"/>
    <s v="National Capital Region (NCR)"/>
    <s v="PASMAK"/>
    <s v="Makati City"/>
    <s v="Kodak Building 2247 Chino Roces Avenue, Brgy. Bangkal, Makati City"/>
    <s v="MARY JOSSA T. MIRANDA"/>
    <n v="7593087"/>
    <s v="tesda.pcci@gmail.com"/>
    <s v="Visual Graphic Design NC III"/>
    <n v="2"/>
    <n v="147"/>
    <n v="99"/>
  </r>
  <r>
    <x v="317"/>
    <s v="TTI (RTC)"/>
    <s v="National Capital Region (NCR)"/>
    <s v="MUNTIPARLASTAPAT"/>
    <s v="Taguig City"/>
    <s v="Building 14, Gate 2, TESDA Complex East Service Road, South Luzon Expressway (SLEX), Fort Bonifacio, Taguig City"/>
    <s v="GILBERT M. CASTRO"/>
    <n v="9171273635"/>
    <s v="rtcncr@tesda.gov.ph"/>
    <s v="Visual Graphic Design NC III"/>
    <n v="1"/>
    <n v="72"/>
    <n v="149"/>
  </r>
  <r>
    <x v="66"/>
    <s v="TVIs"/>
    <s v="National Capital Region (NCR)"/>
    <s v="Quezon City"/>
    <s v="Quezon City"/>
    <s v="B1 L1 Salvador Ave. cor., Quirino Highway, Jordan Plains Subd., Quezon City "/>
    <s v="MELODY B. DIGAO"/>
    <s v="292-6536"/>
    <s v="sldmcollegesofqc2014@gmail.com"/>
    <s v="Visual Graphic Design NC III"/>
    <n v="2"/>
    <n v="113"/>
    <n v="63"/>
  </r>
  <r>
    <x v="204"/>
    <s v="TTI (PTC)"/>
    <s v="National Capital Region (NCR)"/>
    <s v="CAMANAVA"/>
    <s v="Navotas City"/>
    <s v="C3 Road, corner Virgo Drive, Brgy. NBBS Kaunlaran, Navotas City"/>
    <s v="PAUL JOHN P. RAMOS"/>
    <s v="(02)82827276"/>
    <s v="tnti@tesda.gov.ph"/>
    <s v="Visual Graphic Design NC III"/>
    <n v="1"/>
    <n v="51"/>
    <n v="46"/>
  </r>
  <r>
    <x v="352"/>
    <s v="Enterprise/Company"/>
    <s v="National Capital Region (NCR)"/>
    <s v="MUNTIPARLASTAPAT"/>
    <s v="Taguig City"/>
    <s v="AFP RSBS, Industrial Park, Western Bicutan, Taguig City"/>
    <s v="SHERYL N. GUTIERREZ"/>
    <n v="9569137422"/>
    <s v="sheryl.gutierrez@msl.com.ph"/>
    <s v="Warehousing Services NC II"/>
    <n v="1"/>
    <n v="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62283-DB6E-2C45-9363-1006B9DD71C0}" name="PivotTable1" cacheId="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R356" firstHeaderRow="1" firstDataRow="1" firstDataCol="1"/>
  <pivotFields count="13">
    <pivotField axis="axisRow" showAll="0">
      <items count="354">
        <item x="209"/>
        <item x="294"/>
        <item x="10"/>
        <item x="170"/>
        <item x="142"/>
        <item x="32"/>
        <item x="69"/>
        <item x="295"/>
        <item x="33"/>
        <item x="171"/>
        <item x="345"/>
        <item x="303"/>
        <item x="225"/>
        <item x="210"/>
        <item x="211"/>
        <item x="70"/>
        <item x="81"/>
        <item x="41"/>
        <item x="110"/>
        <item x="172"/>
        <item x="72"/>
        <item x="236"/>
        <item x="135"/>
        <item x="116"/>
        <item x="88"/>
        <item x="131"/>
        <item x="173"/>
        <item x="42"/>
        <item x="11"/>
        <item x="2"/>
        <item x="307"/>
        <item x="264"/>
        <item x="65"/>
        <item x="311"/>
        <item x="174"/>
        <item x="107"/>
        <item x="212"/>
        <item x="175"/>
        <item x="176"/>
        <item x="331"/>
        <item x="276"/>
        <item x="80"/>
        <item x="132"/>
        <item x="296"/>
        <item x="177"/>
        <item x="145"/>
        <item x="178"/>
        <item x="312"/>
        <item x="12"/>
        <item x="13"/>
        <item x="90"/>
        <item x="14"/>
        <item x="15"/>
        <item x="213"/>
        <item x="179"/>
        <item x="16"/>
        <item x="337"/>
        <item x="102"/>
        <item x="157"/>
        <item x="237"/>
        <item x="252"/>
        <item x="43"/>
        <item x="226"/>
        <item x="133"/>
        <item x="34"/>
        <item x="78"/>
        <item x="277"/>
        <item x="17"/>
        <item x="150"/>
        <item x="153"/>
        <item x="167"/>
        <item x="278"/>
        <item x="279"/>
        <item x="346"/>
        <item x="347"/>
        <item x="137"/>
        <item x="233"/>
        <item x="134"/>
        <item x="99"/>
        <item x="320"/>
        <item x="332"/>
        <item x="120"/>
        <item x="265"/>
        <item x="323"/>
        <item x="1"/>
        <item x="161"/>
        <item x="308"/>
        <item x="266"/>
        <item x="180"/>
        <item x="309"/>
        <item x="214"/>
        <item x="138"/>
        <item x="267"/>
        <item x="126"/>
        <item x="148"/>
        <item x="152"/>
        <item x="101"/>
        <item x="122"/>
        <item x="280"/>
        <item x="257"/>
        <item x="321"/>
        <item x="238"/>
        <item x="341"/>
        <item x="239"/>
        <item x="44"/>
        <item x="258"/>
        <item x="325"/>
        <item x="91"/>
        <item x="164"/>
        <item x="215"/>
        <item x="35"/>
        <item x="89"/>
        <item x="112"/>
        <item x="117"/>
        <item x="216"/>
        <item x="304"/>
        <item x="3"/>
        <item x="76"/>
        <item x="45"/>
        <item x="18"/>
        <item x="143"/>
        <item x="240"/>
        <item x="181"/>
        <item x="327"/>
        <item x="182"/>
        <item x="73"/>
        <item x="241"/>
        <item x="19"/>
        <item x="183"/>
        <item x="67"/>
        <item x="98"/>
        <item x="46"/>
        <item x="0"/>
        <item x="184"/>
        <item x="105"/>
        <item x="68"/>
        <item x="227"/>
        <item x="47"/>
        <item x="151"/>
        <item x="242"/>
        <item x="185"/>
        <item x="48"/>
        <item x="217"/>
        <item x="218"/>
        <item x="281"/>
        <item x="113"/>
        <item x="49"/>
        <item x="219"/>
        <item x="114"/>
        <item x="83"/>
        <item x="186"/>
        <item x="187"/>
        <item x="268"/>
        <item x="188"/>
        <item x="189"/>
        <item x="342"/>
        <item x="127"/>
        <item x="36"/>
        <item x="301"/>
        <item x="269"/>
        <item x="270"/>
        <item x="322"/>
        <item x="330"/>
        <item x="190"/>
        <item x="243"/>
        <item x="244"/>
        <item x="50"/>
        <item x="293"/>
        <item x="37"/>
        <item x="51"/>
        <item x="82"/>
        <item x="245"/>
        <item x="282"/>
        <item x="246"/>
        <item x="162"/>
        <item x="52"/>
        <item x="93"/>
        <item x="253"/>
        <item x="115"/>
        <item x="53"/>
        <item x="100"/>
        <item x="54"/>
        <item x="310"/>
        <item x="165"/>
        <item x="141"/>
        <item x="191"/>
        <item x="297"/>
        <item x="247"/>
        <item x="55"/>
        <item x="124"/>
        <item x="271"/>
        <item x="319"/>
        <item x="275"/>
        <item x="315"/>
        <item x="228"/>
        <item x="192"/>
        <item x="316"/>
        <item x="348"/>
        <item x="96"/>
        <item x="84"/>
        <item x="108"/>
        <item x="193"/>
        <item x="334"/>
        <item x="194"/>
        <item x="56"/>
        <item x="298"/>
        <item x="139"/>
        <item x="109"/>
        <item x="272"/>
        <item x="208"/>
        <item x="20"/>
        <item x="154"/>
        <item x="21"/>
        <item x="351"/>
        <item x="235"/>
        <item x="97"/>
        <item x="22"/>
        <item x="343"/>
        <item x="305"/>
        <item x="220"/>
        <item x="125"/>
        <item x="352"/>
        <item x="195"/>
        <item x="146"/>
        <item x="283"/>
        <item x="118"/>
        <item x="299"/>
        <item x="300"/>
        <item x="9"/>
        <item x="57"/>
        <item x="168"/>
        <item x="39"/>
        <item x="328"/>
        <item x="104"/>
        <item x="350"/>
        <item x="58"/>
        <item x="196"/>
        <item x="318"/>
        <item x="136"/>
        <item x="259"/>
        <item x="75"/>
        <item x="229"/>
        <item x="326"/>
        <item x="284"/>
        <item x="23"/>
        <item x="248"/>
        <item x="249"/>
        <item x="149"/>
        <item x="324"/>
        <item x="71"/>
        <item x="274"/>
        <item x="169"/>
        <item x="40"/>
        <item x="24"/>
        <item x="260"/>
        <item x="25"/>
        <item x="26"/>
        <item x="317"/>
        <item x="197"/>
        <item x="261"/>
        <item x="313"/>
        <item x="106"/>
        <item x="262"/>
        <item x="329"/>
        <item x="198"/>
        <item x="285"/>
        <item x="77"/>
        <item x="85"/>
        <item x="199"/>
        <item x="166"/>
        <item x="4"/>
        <item x="121"/>
        <item x="59"/>
        <item x="200"/>
        <item x="273"/>
        <item x="338"/>
        <item x="286"/>
        <item x="230"/>
        <item x="123"/>
        <item x="60"/>
        <item x="287"/>
        <item x="314"/>
        <item x="66"/>
        <item x="254"/>
        <item x="27"/>
        <item x="140"/>
        <item x="288"/>
        <item x="339"/>
        <item x="221"/>
        <item x="222"/>
        <item x="147"/>
        <item x="155"/>
        <item x="61"/>
        <item x="28"/>
        <item x="128"/>
        <item x="289"/>
        <item x="201"/>
        <item x="290"/>
        <item x="119"/>
        <item x="29"/>
        <item x="74"/>
        <item x="87"/>
        <item x="159"/>
        <item x="202"/>
        <item x="95"/>
        <item x="79"/>
        <item x="302"/>
        <item x="231"/>
        <item x="5"/>
        <item x="130"/>
        <item x="30"/>
        <item x="156"/>
        <item x="232"/>
        <item x="6"/>
        <item x="306"/>
        <item x="223"/>
        <item x="203"/>
        <item x="62"/>
        <item x="263"/>
        <item x="7"/>
        <item x="204"/>
        <item x="234"/>
        <item x="256"/>
        <item x="255"/>
        <item x="205"/>
        <item x="94"/>
        <item x="291"/>
        <item x="111"/>
        <item x="86"/>
        <item x="64"/>
        <item x="63"/>
        <item x="206"/>
        <item x="38"/>
        <item x="340"/>
        <item x="344"/>
        <item x="163"/>
        <item x="250"/>
        <item x="158"/>
        <item x="31"/>
        <item x="349"/>
        <item x="92"/>
        <item x="336"/>
        <item x="8"/>
        <item x="292"/>
        <item x="144"/>
        <item x="335"/>
        <item x="224"/>
        <item x="129"/>
        <item x="103"/>
        <item x="251"/>
        <item x="333"/>
        <item x="207"/>
        <item x="1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 t="grand">
      <x/>
    </i>
  </rowItems>
  <colItems count="1">
    <i/>
  </colItems>
  <dataFields count="1">
    <dataField name="Sum of Graduat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558AC8-6D65-E348-9335-2F7802C8AEDF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Provider Name" tableColumnId="1"/>
      <queryTableField id="2" name="Graduates" tableColumnId="2"/>
      <queryTableField id="3" name="Class Name" tableColumnId="3"/>
      <queryTableField id="4" name="Region Name" tableColumnId="4"/>
      <queryTableField id="5" name="Province Name" tableColumnId="5"/>
      <queryTableField id="6" name="City Name" tableColumnId="6"/>
      <queryTableField id="7" name="Address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C8190-1507-664C-B4E0-16D5B2F62A4F}" name="Sheet3" displayName="Sheet3" ref="A1:J354" tableType="queryTable" totalsRowShown="0">
  <autoFilter ref="A1:J354" xr:uid="{009C8190-1507-664C-B4E0-16D5B2F62A4F}"/>
  <sortState xmlns:xlrd2="http://schemas.microsoft.com/office/spreadsheetml/2017/richdata2" ref="A2:J354">
    <sortCondition descending="1" ref="B1:B354"/>
  </sortState>
  <tableColumns count="10">
    <tableColumn id="1" xr3:uid="{6957FDF2-DD76-6148-971E-03495DB4176F}" uniqueName="1" name="Provider Name" queryTableFieldId="1" dataDxfId="25"/>
    <tableColumn id="2" xr3:uid="{928E3245-E3D1-4540-B418-DAA233589D6A}" uniqueName="2" name="Graduates" queryTableFieldId="2"/>
    <tableColumn id="3" xr3:uid="{FA255822-076C-314B-88B0-EE65457F1F27}" uniqueName="3" name="Class Name" queryTableFieldId="3" dataDxfId="24"/>
    <tableColumn id="4" xr3:uid="{FE4880EB-6FB0-2F42-AD0C-E0DC7F8BCC02}" uniqueName="4" name="Region Name" queryTableFieldId="4" dataDxfId="23"/>
    <tableColumn id="5" xr3:uid="{020EF3ED-7CB5-C644-8437-BC1EF07EE9D8}" uniqueName="5" name="Province Name" queryTableFieldId="5" dataDxfId="22"/>
    <tableColumn id="6" xr3:uid="{699B219B-4F4B-C045-8FB9-9B3257F27262}" uniqueName="6" name="City Name" queryTableFieldId="6" dataDxfId="21"/>
    <tableColumn id="7" xr3:uid="{CD4E1020-E93F-E34D-BDFE-24DE468391A9}" uniqueName="7" name="Address" queryTableFieldId="7" dataDxfId="20"/>
    <tableColumn id="8" xr3:uid="{9C411D1D-1B28-EA49-B3E8-C70CFAF8A655}" uniqueName="8" name="lat" queryTableFieldId="8" dataDxfId="19"/>
    <tableColumn id="9" xr3:uid="{4A2DDFEA-AEDC-C84A-8B39-B32394735D87}" uniqueName="9" name="lon" queryTableFieldId="9" dataDxfId="18"/>
    <tableColumn id="10" xr3:uid="{0D609444-3DA9-7541-8579-98EE221482BC}" uniqueName="10" name="formatted" queryTableFieldId="10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170BA7-BAC8-9E44-95C0-74A27CDA7F77}" name="Table3" displayName="Table3" ref="A1:C18" totalsRowShown="0">
  <autoFilter ref="A1:C18" xr:uid="{90170BA7-BAC8-9E44-95C0-74A27CDA7F77}"/>
  <sortState xmlns:xlrd2="http://schemas.microsoft.com/office/spreadsheetml/2017/richdata2" ref="A2:C18">
    <sortCondition descending="1" ref="C1:C18"/>
  </sortState>
  <tableColumns count="3">
    <tableColumn id="1" xr3:uid="{9E9E90AD-180F-EC4E-A74A-8DFB6FC10788}" name="Municipality"/>
    <tableColumn id="2" xr3:uid="{F93ECAED-F7E5-CA46-9C03-46D23D6A5C0C}" name="Municipality Code"/>
    <tableColumn id="3" xr3:uid="{7776FA01-022A-3244-975A-22A10636A53D}" name="Graduate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59719-461C-6848-B6A6-CE957652C537}" name="Table5" displayName="Table5" ref="A1:M850" totalsRowShown="0" headerRowDxfId="16" dataDxfId="14" headerRowBorderDxfId="15" tableBorderDxfId="13">
  <autoFilter ref="A1:M850" xr:uid="{8C359719-461C-6848-B6A6-CE957652C537}"/>
  <sortState xmlns:xlrd2="http://schemas.microsoft.com/office/spreadsheetml/2017/richdata2" ref="A2:M100">
    <sortCondition descending="1" ref="M1:M850"/>
  </sortState>
  <tableColumns count="13">
    <tableColumn id="1" xr3:uid="{806F9144-3D7D-2B4D-B319-8D1DA413E938}" name="Provider Name" dataDxfId="12"/>
    <tableColumn id="2" xr3:uid="{04171BEB-882A-824D-A056-63FF15155CD0}" name="Class Name" dataDxfId="11"/>
    <tableColumn id="3" xr3:uid="{CB6541FF-9D47-614F-B09C-C5DBD13DD151}" name="Region Name" dataDxfId="10"/>
    <tableColumn id="4" xr3:uid="{DB01E0D9-54EE-6048-B0B9-C44D4DFC63C9}" name="Province Name" dataDxfId="9"/>
    <tableColumn id="5" xr3:uid="{89A872F5-8052-8248-BEA7-F2C0EE473ACF}" name="City Name" dataDxfId="8"/>
    <tableColumn id="6" xr3:uid="{47485469-BE06-4844-81F9-F5139171B912}" name="Address" dataDxfId="7"/>
    <tableColumn id="7" xr3:uid="{D5E624A7-A40B-5342-ADAB-7D4325280CCA}" name="focal" dataDxfId="6"/>
    <tableColumn id="8" xr3:uid="{EB13E1F0-F6B6-204E-A432-A9266AD11C9E}" name="phone" dataDxfId="5"/>
    <tableColumn id="9" xr3:uid="{45FBDF77-7B90-C64F-B669-A7334DE62B50}" name="e mail" dataDxfId="4"/>
    <tableColumn id="10" xr3:uid="{26883FA8-EA5E-D149-9AF5-32E72EDB0FFD}" name="Qualification" dataDxfId="3"/>
    <tableColumn id="11" xr3:uid="{14A26805-2468-664A-8069-828301E21F82}" name="Trainer Count" dataDxfId="2"/>
    <tableColumn id="12" xr3:uid="{E4E24184-7D79-4547-A069-F78C9865065C}" name="Enrolled" dataDxfId="1"/>
    <tableColumn id="13" xr3:uid="{D74A577E-B35F-564F-86EF-3F40A9D6A87E}" name="Gradua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496B-2796-604E-9870-46BC36905C8A}">
  <dimension ref="A1:J362"/>
  <sheetViews>
    <sheetView tabSelected="1" topLeftCell="B338" workbookViewId="0">
      <selection activeCell="B354" sqref="B2:B354"/>
    </sheetView>
  </sheetViews>
  <sheetFormatPr baseColWidth="10" defaultRowHeight="16" x14ac:dyDescent="0.2"/>
  <cols>
    <col min="1" max="1" width="80.6640625" bestFit="1" customWidth="1"/>
    <col min="2" max="2" width="12.33203125" bestFit="1" customWidth="1"/>
    <col min="3" max="3" width="18" bestFit="1" customWidth="1"/>
    <col min="4" max="4" width="26.1640625" bestFit="1" customWidth="1"/>
    <col min="5" max="5" width="17.33203125" bestFit="1" customWidth="1"/>
    <col min="6" max="6" width="22.1640625" bestFit="1" customWidth="1"/>
    <col min="7" max="7" width="80.6640625" bestFit="1" customWidth="1"/>
  </cols>
  <sheetData>
    <row r="1" spans="1:10" x14ac:dyDescent="0.2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2" t="s">
        <v>1898</v>
      </c>
      <c r="I1" s="12" t="s">
        <v>1899</v>
      </c>
      <c r="J1" s="12" t="s">
        <v>1900</v>
      </c>
    </row>
    <row r="2" spans="1:10" x14ac:dyDescent="0.2">
      <c r="A2" t="s">
        <v>1033</v>
      </c>
      <c r="B2">
        <v>3191</v>
      </c>
      <c r="C2" t="s">
        <v>23</v>
      </c>
      <c r="D2" t="s">
        <v>15</v>
      </c>
      <c r="E2" t="s">
        <v>55</v>
      </c>
      <c r="F2" t="s">
        <v>92</v>
      </c>
      <c r="G2" t="s">
        <v>1034</v>
      </c>
      <c r="H2" s="14">
        <v>14.561566054348701</v>
      </c>
      <c r="I2" s="14">
        <v>121.028392040562</v>
      </c>
      <c r="J2" s="14"/>
    </row>
    <row r="3" spans="1:10" x14ac:dyDescent="0.2">
      <c r="A3" t="s">
        <v>61</v>
      </c>
      <c r="B3">
        <v>2491</v>
      </c>
      <c r="C3" t="s">
        <v>14</v>
      </c>
      <c r="D3" t="s">
        <v>15</v>
      </c>
      <c r="E3" t="s">
        <v>16</v>
      </c>
      <c r="F3" t="s">
        <v>17</v>
      </c>
      <c r="G3" t="s">
        <v>62</v>
      </c>
      <c r="H3" s="13">
        <v>7.0849419999999999</v>
      </c>
      <c r="I3" s="13">
        <v>125.58089699999999</v>
      </c>
      <c r="J3" s="13" t="s">
        <v>2151</v>
      </c>
    </row>
    <row r="4" spans="1:10" x14ac:dyDescent="0.2">
      <c r="A4" t="s">
        <v>91</v>
      </c>
      <c r="B4">
        <v>2193</v>
      </c>
      <c r="C4" t="s">
        <v>23</v>
      </c>
      <c r="D4" t="s">
        <v>15</v>
      </c>
      <c r="E4" t="s">
        <v>55</v>
      </c>
      <c r="F4" t="s">
        <v>92</v>
      </c>
      <c r="G4" t="s">
        <v>93</v>
      </c>
      <c r="H4" s="13">
        <v>14.5631165</v>
      </c>
      <c r="I4" s="13">
        <v>121.011093</v>
      </c>
      <c r="J4" s="13" t="s">
        <v>1947</v>
      </c>
    </row>
    <row r="5" spans="1:10" x14ac:dyDescent="0.2">
      <c r="A5" t="s">
        <v>415</v>
      </c>
      <c r="B5">
        <v>1972</v>
      </c>
      <c r="C5" t="s">
        <v>23</v>
      </c>
      <c r="D5" t="s">
        <v>15</v>
      </c>
      <c r="E5" t="s">
        <v>36</v>
      </c>
      <c r="F5" t="s">
        <v>37</v>
      </c>
      <c r="G5" t="s">
        <v>416</v>
      </c>
      <c r="H5" s="13">
        <v>14.589485</v>
      </c>
      <c r="I5" s="13">
        <v>121.034862</v>
      </c>
      <c r="J5" s="13" t="s">
        <v>2091</v>
      </c>
    </row>
    <row r="6" spans="1:10" x14ac:dyDescent="0.2">
      <c r="A6" t="s">
        <v>1168</v>
      </c>
      <c r="B6">
        <v>1917</v>
      </c>
      <c r="C6" t="s">
        <v>23</v>
      </c>
      <c r="D6" t="s">
        <v>15</v>
      </c>
      <c r="E6" t="s">
        <v>24</v>
      </c>
      <c r="F6" t="s">
        <v>80</v>
      </c>
      <c r="G6" t="s">
        <v>1169</v>
      </c>
      <c r="H6" s="13">
        <v>14.623675</v>
      </c>
      <c r="I6" s="13">
        <v>120.9891408</v>
      </c>
      <c r="J6" s="13" t="s">
        <v>2148</v>
      </c>
    </row>
    <row r="7" spans="1:10" x14ac:dyDescent="0.2">
      <c r="A7" t="s">
        <v>191</v>
      </c>
      <c r="B7">
        <v>1703</v>
      </c>
      <c r="C7" t="s">
        <v>23</v>
      </c>
      <c r="D7" t="s">
        <v>15</v>
      </c>
      <c r="E7" t="s">
        <v>55</v>
      </c>
      <c r="F7" t="s">
        <v>92</v>
      </c>
      <c r="G7" t="s">
        <v>192</v>
      </c>
      <c r="H7" s="13">
        <v>14.553710000000001</v>
      </c>
      <c r="I7" s="13">
        <v>121.00510199999999</v>
      </c>
      <c r="J7" s="13" t="s">
        <v>2168</v>
      </c>
    </row>
    <row r="8" spans="1:10" x14ac:dyDescent="0.2">
      <c r="A8" t="s">
        <v>510</v>
      </c>
      <c r="B8">
        <v>1675</v>
      </c>
      <c r="C8" t="s">
        <v>23</v>
      </c>
      <c r="D8" t="s">
        <v>15</v>
      </c>
      <c r="E8" t="s">
        <v>72</v>
      </c>
      <c r="F8" t="s">
        <v>213</v>
      </c>
      <c r="G8" t="s">
        <v>511</v>
      </c>
      <c r="H8" s="13">
        <v>14.5999324</v>
      </c>
      <c r="I8" s="13">
        <v>121.02677730000001</v>
      </c>
      <c r="J8" s="13" t="s">
        <v>2048</v>
      </c>
    </row>
    <row r="9" spans="1:10" x14ac:dyDescent="0.2">
      <c r="A9" t="s">
        <v>1025</v>
      </c>
      <c r="B9">
        <v>1572</v>
      </c>
      <c r="C9" t="s">
        <v>23</v>
      </c>
      <c r="D9" t="s">
        <v>15</v>
      </c>
      <c r="E9" t="s">
        <v>72</v>
      </c>
      <c r="F9" t="s">
        <v>119</v>
      </c>
      <c r="G9" t="s">
        <v>1883</v>
      </c>
      <c r="H9" s="13">
        <v>14.650435</v>
      </c>
      <c r="I9" s="13">
        <v>121.029966</v>
      </c>
      <c r="J9" s="13" t="s">
        <v>1914</v>
      </c>
    </row>
    <row r="10" spans="1:10" x14ac:dyDescent="0.2">
      <c r="A10" t="s">
        <v>364</v>
      </c>
      <c r="B10">
        <v>1446</v>
      </c>
      <c r="C10" t="s">
        <v>23</v>
      </c>
      <c r="D10" t="s">
        <v>15</v>
      </c>
      <c r="E10" t="s">
        <v>72</v>
      </c>
      <c r="F10" t="s">
        <v>119</v>
      </c>
      <c r="G10" t="s">
        <v>365</v>
      </c>
      <c r="H10" s="13">
        <v>12.885300000000001</v>
      </c>
      <c r="I10" s="13">
        <v>123.1718</v>
      </c>
      <c r="J10" s="13" t="s">
        <v>1932</v>
      </c>
    </row>
    <row r="11" spans="1:10" x14ac:dyDescent="0.2">
      <c r="A11" t="s">
        <v>1653</v>
      </c>
      <c r="B11">
        <v>1438</v>
      </c>
      <c r="C11" t="s">
        <v>1654</v>
      </c>
      <c r="D11" t="s">
        <v>15</v>
      </c>
      <c r="E11" t="s">
        <v>16</v>
      </c>
      <c r="F11" t="s">
        <v>17</v>
      </c>
      <c r="G11" t="s">
        <v>1655</v>
      </c>
      <c r="H11" s="13">
        <v>14.528381</v>
      </c>
      <c r="I11" s="13">
        <v>121.0234416</v>
      </c>
      <c r="J11" s="13" t="s">
        <v>2103</v>
      </c>
    </row>
    <row r="12" spans="1:10" x14ac:dyDescent="0.2">
      <c r="A12" t="s">
        <v>1885</v>
      </c>
      <c r="B12">
        <v>1374</v>
      </c>
      <c r="C12" t="s">
        <v>23</v>
      </c>
      <c r="D12" t="s">
        <v>15</v>
      </c>
      <c r="E12" t="s">
        <v>44</v>
      </c>
      <c r="F12" t="s">
        <v>44</v>
      </c>
      <c r="G12" t="s">
        <v>1886</v>
      </c>
      <c r="H12" s="13">
        <v>14.6145595</v>
      </c>
      <c r="I12" s="13">
        <v>121.07048930000001</v>
      </c>
      <c r="J12" s="13" t="s">
        <v>2070</v>
      </c>
    </row>
    <row r="13" spans="1:10" x14ac:dyDescent="0.2">
      <c r="A13" t="s">
        <v>1360</v>
      </c>
      <c r="B13">
        <v>1318</v>
      </c>
      <c r="C13" t="s">
        <v>23</v>
      </c>
      <c r="D13" t="s">
        <v>15</v>
      </c>
      <c r="E13" t="s">
        <v>36</v>
      </c>
      <c r="F13" t="s">
        <v>207</v>
      </c>
      <c r="G13" t="s">
        <v>1361</v>
      </c>
      <c r="H13" s="13">
        <v>14.757463899999999</v>
      </c>
      <c r="I13" s="13">
        <v>121.0437106</v>
      </c>
      <c r="J13" s="13" t="s">
        <v>2107</v>
      </c>
    </row>
    <row r="14" spans="1:10" x14ac:dyDescent="0.2">
      <c r="A14" t="s">
        <v>358</v>
      </c>
      <c r="B14">
        <v>1298</v>
      </c>
      <c r="C14" t="s">
        <v>23</v>
      </c>
      <c r="D14" t="s">
        <v>15</v>
      </c>
      <c r="E14" t="s">
        <v>72</v>
      </c>
      <c r="F14" t="s">
        <v>119</v>
      </c>
      <c r="G14" t="s">
        <v>359</v>
      </c>
      <c r="H14" s="13">
        <v>14.589449999999999</v>
      </c>
      <c r="I14" s="13">
        <v>121.0413199</v>
      </c>
      <c r="J14" s="13" t="s">
        <v>2159</v>
      </c>
    </row>
    <row r="15" spans="1:10" x14ac:dyDescent="0.2">
      <c r="A15" t="s">
        <v>973</v>
      </c>
      <c r="B15">
        <v>1238</v>
      </c>
      <c r="C15" t="s">
        <v>23</v>
      </c>
      <c r="D15" t="s">
        <v>15</v>
      </c>
      <c r="E15" t="s">
        <v>72</v>
      </c>
      <c r="F15" t="s">
        <v>119</v>
      </c>
      <c r="G15" t="s">
        <v>974</v>
      </c>
      <c r="H15" s="13">
        <v>12.885300000000001</v>
      </c>
      <c r="I15" s="13">
        <v>123.1718</v>
      </c>
      <c r="J15" s="13" t="s">
        <v>1932</v>
      </c>
    </row>
    <row r="16" spans="1:10" x14ac:dyDescent="0.2">
      <c r="A16" t="s">
        <v>150</v>
      </c>
      <c r="B16">
        <v>1214</v>
      </c>
      <c r="C16" t="s">
        <v>23</v>
      </c>
      <c r="D16" t="s">
        <v>15</v>
      </c>
      <c r="E16" t="s">
        <v>24</v>
      </c>
      <c r="F16" t="s">
        <v>135</v>
      </c>
      <c r="G16" t="s">
        <v>151</v>
      </c>
      <c r="H16" s="13">
        <v>14.5734203</v>
      </c>
      <c r="I16" s="13">
        <v>120.98074250000001</v>
      </c>
      <c r="J16" s="13" t="s">
        <v>2092</v>
      </c>
    </row>
    <row r="17" spans="1:10" x14ac:dyDescent="0.2">
      <c r="A17" t="s">
        <v>394</v>
      </c>
      <c r="B17">
        <v>1169</v>
      </c>
      <c r="C17" t="s">
        <v>23</v>
      </c>
      <c r="D17" t="s">
        <v>15</v>
      </c>
      <c r="E17" t="s">
        <v>24</v>
      </c>
      <c r="F17" t="s">
        <v>395</v>
      </c>
      <c r="G17" t="s">
        <v>396</v>
      </c>
      <c r="H17" s="13">
        <v>14.5880454</v>
      </c>
      <c r="I17" s="13">
        <v>120.9990547</v>
      </c>
      <c r="J17" s="13" t="s">
        <v>2039</v>
      </c>
    </row>
    <row r="18" spans="1:10" x14ac:dyDescent="0.2">
      <c r="A18" t="s">
        <v>1780</v>
      </c>
      <c r="B18">
        <v>1169</v>
      </c>
      <c r="C18" t="s">
        <v>23</v>
      </c>
      <c r="D18" t="s">
        <v>15</v>
      </c>
      <c r="E18" t="s">
        <v>24</v>
      </c>
      <c r="F18" t="s">
        <v>166</v>
      </c>
      <c r="G18" t="s">
        <v>1781</v>
      </c>
      <c r="H18" s="13">
        <v>14.576015999999999</v>
      </c>
      <c r="I18" s="13">
        <v>120.9809922</v>
      </c>
      <c r="J18" s="13" t="s">
        <v>2129</v>
      </c>
    </row>
    <row r="19" spans="1:10" x14ac:dyDescent="0.2">
      <c r="A19" t="s">
        <v>1877</v>
      </c>
      <c r="B19">
        <v>1117</v>
      </c>
      <c r="C19" t="s">
        <v>23</v>
      </c>
      <c r="D19" t="s">
        <v>15</v>
      </c>
      <c r="E19" t="s">
        <v>24</v>
      </c>
      <c r="F19" t="s">
        <v>25</v>
      </c>
      <c r="G19" t="s">
        <v>26</v>
      </c>
      <c r="H19" s="13">
        <v>14.602774</v>
      </c>
      <c r="I19" s="13">
        <v>121.015788</v>
      </c>
      <c r="J19" s="13" t="s">
        <v>1978</v>
      </c>
    </row>
    <row r="20" spans="1:10" x14ac:dyDescent="0.2">
      <c r="A20" t="s">
        <v>1090</v>
      </c>
      <c r="B20">
        <v>1035</v>
      </c>
      <c r="C20" t="s">
        <v>240</v>
      </c>
      <c r="D20" t="s">
        <v>15</v>
      </c>
      <c r="E20" t="s">
        <v>16</v>
      </c>
      <c r="F20" t="s">
        <v>17</v>
      </c>
      <c r="G20" t="s">
        <v>1091</v>
      </c>
      <c r="H20" s="13">
        <v>14.441962</v>
      </c>
      <c r="I20" s="13">
        <v>121.045275</v>
      </c>
      <c r="J20" s="13" t="s">
        <v>2068</v>
      </c>
    </row>
    <row r="21" spans="1:10" x14ac:dyDescent="0.2">
      <c r="A21" t="s">
        <v>328</v>
      </c>
      <c r="B21">
        <v>1026</v>
      </c>
      <c r="C21" t="s">
        <v>23</v>
      </c>
      <c r="D21" t="s">
        <v>15</v>
      </c>
      <c r="E21" t="s">
        <v>72</v>
      </c>
      <c r="F21" t="s">
        <v>73</v>
      </c>
      <c r="G21" t="s">
        <v>1892</v>
      </c>
      <c r="H21" s="13">
        <v>14.622502000000001</v>
      </c>
      <c r="I21" s="13">
        <v>121.096588</v>
      </c>
      <c r="J21" s="13" t="s">
        <v>2087</v>
      </c>
    </row>
    <row r="22" spans="1:10" x14ac:dyDescent="0.2">
      <c r="A22" t="s">
        <v>86</v>
      </c>
      <c r="B22">
        <v>1006</v>
      </c>
      <c r="C22" t="s">
        <v>23</v>
      </c>
      <c r="D22" t="s">
        <v>15</v>
      </c>
      <c r="E22" t="s">
        <v>72</v>
      </c>
      <c r="F22" t="s">
        <v>73</v>
      </c>
      <c r="G22" t="s">
        <v>87</v>
      </c>
      <c r="H22" s="13">
        <v>14.622658400000001</v>
      </c>
      <c r="I22" s="13">
        <v>121.0877928</v>
      </c>
      <c r="J22" s="13" t="s">
        <v>1928</v>
      </c>
    </row>
    <row r="23" spans="1:10" x14ac:dyDescent="0.2">
      <c r="A23" t="s">
        <v>1070</v>
      </c>
      <c r="B23">
        <v>983</v>
      </c>
      <c r="C23" t="s">
        <v>240</v>
      </c>
      <c r="D23" t="s">
        <v>15</v>
      </c>
      <c r="E23" t="s">
        <v>36</v>
      </c>
      <c r="F23" t="s">
        <v>145</v>
      </c>
      <c r="G23" t="s">
        <v>1071</v>
      </c>
      <c r="H23" s="13">
        <v>14.641231100000001</v>
      </c>
      <c r="I23" s="13">
        <v>120.95831339999999</v>
      </c>
      <c r="J23" s="13" t="s">
        <v>2152</v>
      </c>
    </row>
    <row r="24" spans="1:10" x14ac:dyDescent="0.2">
      <c r="A24" t="s">
        <v>461</v>
      </c>
      <c r="B24">
        <v>970</v>
      </c>
      <c r="C24" t="s">
        <v>23</v>
      </c>
      <c r="D24" t="s">
        <v>15</v>
      </c>
      <c r="E24" t="s">
        <v>36</v>
      </c>
      <c r="F24" t="s">
        <v>37</v>
      </c>
      <c r="G24" t="s">
        <v>462</v>
      </c>
      <c r="H24" s="13">
        <v>14.718090999999999</v>
      </c>
      <c r="I24" s="13">
        <v>120.976107</v>
      </c>
      <c r="J24" s="13" t="s">
        <v>2052</v>
      </c>
    </row>
    <row r="25" spans="1:10" x14ac:dyDescent="0.2">
      <c r="A25" t="s">
        <v>1404</v>
      </c>
      <c r="B25">
        <v>957</v>
      </c>
      <c r="C25" t="s">
        <v>23</v>
      </c>
      <c r="D25" t="s">
        <v>15</v>
      </c>
      <c r="E25" t="s">
        <v>44</v>
      </c>
      <c r="F25" t="s">
        <v>44</v>
      </c>
      <c r="G25" t="s">
        <v>1405</v>
      </c>
      <c r="H25" s="13">
        <v>14.6790159</v>
      </c>
      <c r="I25" s="13">
        <v>121.0250901</v>
      </c>
      <c r="J25" s="13" t="s">
        <v>2057</v>
      </c>
    </row>
    <row r="26" spans="1:10" x14ac:dyDescent="0.2">
      <c r="A26" t="s">
        <v>187</v>
      </c>
      <c r="B26">
        <v>930</v>
      </c>
      <c r="C26" t="s">
        <v>66</v>
      </c>
      <c r="D26" t="s">
        <v>15</v>
      </c>
      <c r="E26" t="s">
        <v>16</v>
      </c>
      <c r="F26" t="s">
        <v>17</v>
      </c>
      <c r="G26" t="s">
        <v>188</v>
      </c>
      <c r="H26" s="13">
        <v>14.522391000000001</v>
      </c>
      <c r="I26" s="13">
        <v>121.056804</v>
      </c>
      <c r="J26" s="13" t="s">
        <v>2143</v>
      </c>
    </row>
    <row r="27" spans="1:10" x14ac:dyDescent="0.2">
      <c r="A27" t="s">
        <v>905</v>
      </c>
      <c r="B27">
        <v>913</v>
      </c>
      <c r="C27" t="s">
        <v>23</v>
      </c>
      <c r="D27" t="s">
        <v>15</v>
      </c>
      <c r="E27" t="s">
        <v>44</v>
      </c>
      <c r="F27" t="s">
        <v>44</v>
      </c>
      <c r="G27" t="s">
        <v>906</v>
      </c>
      <c r="H27" s="13">
        <v>14.6510546</v>
      </c>
      <c r="I27" s="13">
        <v>121.04862540000001</v>
      </c>
      <c r="J27" s="13" t="s">
        <v>1904</v>
      </c>
    </row>
    <row r="28" spans="1:10" x14ac:dyDescent="0.2">
      <c r="A28" t="s">
        <v>898</v>
      </c>
      <c r="B28">
        <v>906</v>
      </c>
      <c r="C28" t="s">
        <v>23</v>
      </c>
      <c r="D28" t="s">
        <v>15</v>
      </c>
      <c r="E28" t="s">
        <v>72</v>
      </c>
      <c r="F28" t="s">
        <v>213</v>
      </c>
      <c r="G28" t="s">
        <v>899</v>
      </c>
      <c r="H28" s="13">
        <v>14.5876933</v>
      </c>
      <c r="I28" s="13">
        <v>121.03491990000001</v>
      </c>
      <c r="J28" s="13" t="s">
        <v>2098</v>
      </c>
    </row>
    <row r="29" spans="1:10" x14ac:dyDescent="0.2">
      <c r="A29" t="s">
        <v>1329</v>
      </c>
      <c r="B29">
        <v>897</v>
      </c>
      <c r="C29" t="s">
        <v>23</v>
      </c>
      <c r="D29" t="s">
        <v>15</v>
      </c>
      <c r="E29" t="s">
        <v>16</v>
      </c>
      <c r="F29" t="s">
        <v>108</v>
      </c>
      <c r="G29" t="s">
        <v>1330</v>
      </c>
      <c r="H29" s="13">
        <v>14.500818000000001</v>
      </c>
      <c r="I29" s="13">
        <v>120.99775700000001</v>
      </c>
      <c r="J29" s="13" t="s">
        <v>2154</v>
      </c>
    </row>
    <row r="30" spans="1:10" x14ac:dyDescent="0.2">
      <c r="A30" t="s">
        <v>374</v>
      </c>
      <c r="B30">
        <v>895</v>
      </c>
      <c r="C30" t="s">
        <v>23</v>
      </c>
      <c r="D30" t="s">
        <v>15</v>
      </c>
      <c r="E30" t="s">
        <v>36</v>
      </c>
      <c r="F30" t="s">
        <v>207</v>
      </c>
      <c r="G30" t="s">
        <v>375</v>
      </c>
      <c r="H30" s="13">
        <v>14.649115</v>
      </c>
      <c r="I30" s="13">
        <v>120.98386600000001</v>
      </c>
      <c r="J30" s="13" t="s">
        <v>2012</v>
      </c>
    </row>
    <row r="31" spans="1:10" x14ac:dyDescent="0.2">
      <c r="A31" t="s">
        <v>618</v>
      </c>
      <c r="B31">
        <v>880</v>
      </c>
      <c r="C31" t="s">
        <v>23</v>
      </c>
      <c r="D31" t="s">
        <v>15</v>
      </c>
      <c r="E31" t="s">
        <v>44</v>
      </c>
      <c r="F31" t="s">
        <v>44</v>
      </c>
      <c r="G31" t="s">
        <v>619</v>
      </c>
      <c r="H31" s="13">
        <v>14.719117600000001</v>
      </c>
      <c r="I31" s="13">
        <v>121.0391441</v>
      </c>
      <c r="J31" s="13" t="s">
        <v>2026</v>
      </c>
    </row>
    <row r="32" spans="1:10" x14ac:dyDescent="0.2">
      <c r="A32" t="s">
        <v>239</v>
      </c>
      <c r="B32">
        <v>868</v>
      </c>
      <c r="C32" t="s">
        <v>240</v>
      </c>
      <c r="D32" t="s">
        <v>15</v>
      </c>
      <c r="E32" t="s">
        <v>44</v>
      </c>
      <c r="F32" t="s">
        <v>44</v>
      </c>
      <c r="G32" t="s">
        <v>241</v>
      </c>
      <c r="H32" s="13">
        <v>14.699943149999999</v>
      </c>
      <c r="I32" s="13">
        <v>121.06125735000001</v>
      </c>
      <c r="J32" s="13" t="s">
        <v>2099</v>
      </c>
    </row>
    <row r="33" spans="1:10" x14ac:dyDescent="0.2">
      <c r="A33" t="s">
        <v>1894</v>
      </c>
      <c r="B33">
        <v>844</v>
      </c>
      <c r="C33" t="s">
        <v>23</v>
      </c>
      <c r="D33" t="s">
        <v>15</v>
      </c>
      <c r="E33" t="s">
        <v>44</v>
      </c>
      <c r="F33" t="s">
        <v>44</v>
      </c>
      <c r="G33" t="s">
        <v>1895</v>
      </c>
      <c r="H33" s="13">
        <v>14.723474400000001</v>
      </c>
      <c r="I33" s="13">
        <v>121.04404</v>
      </c>
      <c r="J33" s="13" t="s">
        <v>2124</v>
      </c>
    </row>
    <row r="34" spans="1:10" x14ac:dyDescent="0.2">
      <c r="A34" t="s">
        <v>763</v>
      </c>
      <c r="B34">
        <v>841</v>
      </c>
      <c r="C34" t="s">
        <v>23</v>
      </c>
      <c r="D34" t="s">
        <v>15</v>
      </c>
      <c r="E34" t="s">
        <v>55</v>
      </c>
      <c r="F34" t="s">
        <v>92</v>
      </c>
      <c r="G34" t="s">
        <v>764</v>
      </c>
      <c r="H34" s="13">
        <v>14.567050200000001</v>
      </c>
      <c r="I34" s="13">
        <v>121.0334332</v>
      </c>
      <c r="J34" s="13" t="s">
        <v>2127</v>
      </c>
    </row>
    <row r="35" spans="1:10" x14ac:dyDescent="0.2">
      <c r="A35" t="s">
        <v>1158</v>
      </c>
      <c r="B35">
        <v>838</v>
      </c>
      <c r="C35" t="s">
        <v>23</v>
      </c>
      <c r="D35" t="s">
        <v>15</v>
      </c>
      <c r="E35" t="s">
        <v>72</v>
      </c>
      <c r="F35" t="s">
        <v>119</v>
      </c>
      <c r="G35" t="s">
        <v>1159</v>
      </c>
      <c r="H35" s="13">
        <v>14.569065999999999</v>
      </c>
      <c r="I35" s="13">
        <v>121.0641794</v>
      </c>
      <c r="J35" s="13" t="s">
        <v>2130</v>
      </c>
    </row>
    <row r="36" spans="1:10" x14ac:dyDescent="0.2">
      <c r="A36" t="s">
        <v>134</v>
      </c>
      <c r="B36">
        <v>782</v>
      </c>
      <c r="C36" t="s">
        <v>23</v>
      </c>
      <c r="D36" t="s">
        <v>15</v>
      </c>
      <c r="E36" t="s">
        <v>24</v>
      </c>
      <c r="F36" t="s">
        <v>135</v>
      </c>
      <c r="G36" t="s">
        <v>136</v>
      </c>
      <c r="H36" s="13">
        <v>14.570849000000001</v>
      </c>
      <c r="I36" s="13">
        <v>120.9935069</v>
      </c>
      <c r="J36" s="13" t="s">
        <v>2069</v>
      </c>
    </row>
    <row r="37" spans="1:10" x14ac:dyDescent="0.2">
      <c r="A37" t="s">
        <v>578</v>
      </c>
      <c r="B37">
        <v>764</v>
      </c>
      <c r="C37" t="s">
        <v>23</v>
      </c>
      <c r="D37" t="s">
        <v>15</v>
      </c>
      <c r="E37" t="s">
        <v>24</v>
      </c>
      <c r="F37" t="s">
        <v>182</v>
      </c>
      <c r="G37" t="s">
        <v>579</v>
      </c>
      <c r="H37" s="13">
        <v>14.627802900000001</v>
      </c>
      <c r="I37" s="13">
        <v>120.981735</v>
      </c>
      <c r="J37" s="13" t="s">
        <v>2106</v>
      </c>
    </row>
    <row r="38" spans="1:10" x14ac:dyDescent="0.2">
      <c r="A38" t="s">
        <v>1117</v>
      </c>
      <c r="B38">
        <v>757</v>
      </c>
      <c r="C38" t="s">
        <v>23</v>
      </c>
      <c r="D38" t="s">
        <v>15</v>
      </c>
      <c r="E38" t="s">
        <v>44</v>
      </c>
      <c r="F38" t="s">
        <v>44</v>
      </c>
      <c r="G38" t="s">
        <v>1118</v>
      </c>
      <c r="H38" s="13">
        <v>14.640431700000001</v>
      </c>
      <c r="I38" s="13">
        <v>121.0164838</v>
      </c>
      <c r="J38" s="13" t="s">
        <v>1952</v>
      </c>
    </row>
    <row r="39" spans="1:10" x14ac:dyDescent="0.2">
      <c r="A39" t="s">
        <v>171</v>
      </c>
      <c r="B39">
        <v>749</v>
      </c>
      <c r="C39" t="s">
        <v>23</v>
      </c>
      <c r="D39" t="s">
        <v>15</v>
      </c>
      <c r="E39" t="s">
        <v>55</v>
      </c>
      <c r="F39" t="s">
        <v>56</v>
      </c>
      <c r="G39" t="s">
        <v>172</v>
      </c>
      <c r="H39" s="13">
        <v>14.555869599999999</v>
      </c>
      <c r="I39" s="13">
        <v>120.99660950000001</v>
      </c>
      <c r="J39" s="13" t="s">
        <v>2126</v>
      </c>
    </row>
    <row r="40" spans="1:10" x14ac:dyDescent="0.2">
      <c r="A40" t="s">
        <v>934</v>
      </c>
      <c r="B40">
        <v>731</v>
      </c>
      <c r="C40" t="s">
        <v>23</v>
      </c>
      <c r="D40" t="s">
        <v>15</v>
      </c>
      <c r="E40" t="s">
        <v>72</v>
      </c>
      <c r="F40" t="s">
        <v>73</v>
      </c>
      <c r="G40" t="s">
        <v>935</v>
      </c>
      <c r="H40" s="13">
        <v>14.605733000000001</v>
      </c>
      <c r="I40" s="13">
        <v>120.98737800000001</v>
      </c>
      <c r="J40" s="13" t="s">
        <v>1938</v>
      </c>
    </row>
    <row r="41" spans="1:10" x14ac:dyDescent="0.2">
      <c r="A41" t="s">
        <v>175</v>
      </c>
      <c r="B41">
        <v>730</v>
      </c>
      <c r="C41" t="s">
        <v>23</v>
      </c>
      <c r="D41" t="s">
        <v>15</v>
      </c>
      <c r="E41" t="s">
        <v>36</v>
      </c>
      <c r="F41" t="s">
        <v>176</v>
      </c>
      <c r="G41" t="s">
        <v>177</v>
      </c>
      <c r="H41" s="13">
        <v>14.6356556</v>
      </c>
      <c r="I41" s="13">
        <v>121.0943159</v>
      </c>
      <c r="J41" s="13" t="s">
        <v>2134</v>
      </c>
    </row>
    <row r="42" spans="1:10" x14ac:dyDescent="0.2">
      <c r="A42" t="s">
        <v>247</v>
      </c>
      <c r="B42">
        <v>727</v>
      </c>
      <c r="C42" t="s">
        <v>23</v>
      </c>
      <c r="D42" t="s">
        <v>15</v>
      </c>
      <c r="E42" t="s">
        <v>72</v>
      </c>
      <c r="F42" t="s">
        <v>73</v>
      </c>
      <c r="G42" t="s">
        <v>248</v>
      </c>
      <c r="H42" s="13">
        <v>14.6510742</v>
      </c>
      <c r="I42" s="13">
        <v>121.10382269999999</v>
      </c>
      <c r="J42" s="13" t="s">
        <v>1918</v>
      </c>
    </row>
    <row r="43" spans="1:10" x14ac:dyDescent="0.2">
      <c r="A43" t="s">
        <v>212</v>
      </c>
      <c r="B43">
        <v>719</v>
      </c>
      <c r="C43" t="s">
        <v>23</v>
      </c>
      <c r="D43" t="s">
        <v>15</v>
      </c>
      <c r="E43" t="s">
        <v>72</v>
      </c>
      <c r="F43" t="s">
        <v>213</v>
      </c>
      <c r="G43" t="s">
        <v>214</v>
      </c>
      <c r="H43" s="13">
        <v>14.575290000000001</v>
      </c>
      <c r="I43" s="13">
        <v>121.053017</v>
      </c>
      <c r="J43" s="13" t="s">
        <v>1996</v>
      </c>
    </row>
    <row r="44" spans="1:10" x14ac:dyDescent="0.2">
      <c r="A44" t="s">
        <v>405</v>
      </c>
      <c r="B44">
        <v>705</v>
      </c>
      <c r="C44" t="s">
        <v>23</v>
      </c>
      <c r="D44" t="s">
        <v>15</v>
      </c>
      <c r="E44" t="s">
        <v>24</v>
      </c>
      <c r="F44" t="s">
        <v>349</v>
      </c>
      <c r="G44" t="s">
        <v>406</v>
      </c>
      <c r="H44" s="13">
        <v>14.588215999999999</v>
      </c>
      <c r="I44" s="13">
        <v>120.997699</v>
      </c>
      <c r="J44" s="13" t="s">
        <v>2008</v>
      </c>
    </row>
    <row r="45" spans="1:10" x14ac:dyDescent="0.2">
      <c r="A45" t="s">
        <v>1510</v>
      </c>
      <c r="B45">
        <v>695</v>
      </c>
      <c r="C45" t="s">
        <v>23</v>
      </c>
      <c r="D45" t="s">
        <v>15</v>
      </c>
      <c r="E45" t="s">
        <v>36</v>
      </c>
      <c r="F45" t="s">
        <v>207</v>
      </c>
      <c r="G45" t="s">
        <v>1511</v>
      </c>
      <c r="H45" s="13">
        <v>14.656535999999999</v>
      </c>
      <c r="I45" s="13">
        <v>120.985477</v>
      </c>
      <c r="J45" s="13" t="s">
        <v>2156</v>
      </c>
    </row>
    <row r="46" spans="1:10" x14ac:dyDescent="0.2">
      <c r="A46" t="s">
        <v>1020</v>
      </c>
      <c r="B46">
        <v>685</v>
      </c>
      <c r="C46" t="s">
        <v>23</v>
      </c>
      <c r="D46" t="s">
        <v>15</v>
      </c>
      <c r="E46" t="s">
        <v>44</v>
      </c>
      <c r="F46" t="s">
        <v>44</v>
      </c>
      <c r="G46" t="s">
        <v>1021</v>
      </c>
      <c r="H46" s="13">
        <v>14.6357772</v>
      </c>
      <c r="I46" s="13">
        <v>121.031167</v>
      </c>
      <c r="J46" s="13" t="s">
        <v>2064</v>
      </c>
    </row>
    <row r="47" spans="1:10" x14ac:dyDescent="0.2">
      <c r="A47" t="s">
        <v>915</v>
      </c>
      <c r="B47">
        <v>668</v>
      </c>
      <c r="C47" t="s">
        <v>23</v>
      </c>
      <c r="D47" t="s">
        <v>15</v>
      </c>
      <c r="E47" t="s">
        <v>72</v>
      </c>
      <c r="F47" t="s">
        <v>491</v>
      </c>
      <c r="G47" t="s">
        <v>916</v>
      </c>
      <c r="H47" s="13">
        <v>14.60509375</v>
      </c>
      <c r="I47" s="13">
        <v>121.04917629260299</v>
      </c>
      <c r="J47" s="13" t="s">
        <v>1920</v>
      </c>
    </row>
    <row r="48" spans="1:10" x14ac:dyDescent="0.2">
      <c r="A48" t="s">
        <v>218</v>
      </c>
      <c r="B48">
        <v>663</v>
      </c>
      <c r="C48" t="s">
        <v>23</v>
      </c>
      <c r="D48" t="s">
        <v>15</v>
      </c>
      <c r="E48" t="s">
        <v>72</v>
      </c>
      <c r="F48" t="s">
        <v>213</v>
      </c>
      <c r="G48" t="s">
        <v>219</v>
      </c>
      <c r="H48" s="13">
        <v>14.572697</v>
      </c>
      <c r="I48" s="13">
        <v>121.05564800000001</v>
      </c>
      <c r="J48" s="13" t="s">
        <v>2034</v>
      </c>
    </row>
    <row r="49" spans="1:10" x14ac:dyDescent="0.2">
      <c r="A49" t="s">
        <v>389</v>
      </c>
      <c r="B49">
        <v>661</v>
      </c>
      <c r="C49" t="s">
        <v>23</v>
      </c>
      <c r="D49" t="s">
        <v>15</v>
      </c>
      <c r="E49" t="s">
        <v>36</v>
      </c>
      <c r="F49" t="s">
        <v>37</v>
      </c>
      <c r="G49" t="s">
        <v>390</v>
      </c>
      <c r="H49" s="13">
        <v>14.697301299999999</v>
      </c>
      <c r="I49" s="13">
        <v>120.9516765</v>
      </c>
      <c r="J49" s="13" t="s">
        <v>1916</v>
      </c>
    </row>
    <row r="50" spans="1:10" x14ac:dyDescent="0.2">
      <c r="A50" t="s">
        <v>1865</v>
      </c>
      <c r="B50">
        <v>644</v>
      </c>
      <c r="C50" t="s">
        <v>23</v>
      </c>
      <c r="D50" t="s">
        <v>15</v>
      </c>
      <c r="E50" t="s">
        <v>72</v>
      </c>
      <c r="F50" t="s">
        <v>73</v>
      </c>
      <c r="G50" t="s">
        <v>1866</v>
      </c>
      <c r="H50" s="13">
        <v>14.642225850000001</v>
      </c>
      <c r="I50" s="13">
        <v>121.10459125</v>
      </c>
      <c r="J50" s="13" t="s">
        <v>1906</v>
      </c>
    </row>
    <row r="51" spans="1:10" x14ac:dyDescent="0.2">
      <c r="A51" t="s">
        <v>430</v>
      </c>
      <c r="B51">
        <v>637</v>
      </c>
      <c r="C51" t="s">
        <v>23</v>
      </c>
      <c r="D51" t="s">
        <v>15</v>
      </c>
      <c r="E51" t="s">
        <v>36</v>
      </c>
      <c r="F51" t="s">
        <v>176</v>
      </c>
      <c r="G51" t="s">
        <v>1874</v>
      </c>
      <c r="H51" s="13">
        <v>14.717475</v>
      </c>
      <c r="I51" s="13">
        <v>120.91704900000001</v>
      </c>
      <c r="J51" s="13" t="s">
        <v>1933</v>
      </c>
    </row>
    <row r="52" spans="1:10" x14ac:dyDescent="0.2">
      <c r="A52" t="s">
        <v>165</v>
      </c>
      <c r="B52">
        <v>633</v>
      </c>
      <c r="C52" t="s">
        <v>23</v>
      </c>
      <c r="D52" t="s">
        <v>15</v>
      </c>
      <c r="E52" t="s">
        <v>24</v>
      </c>
      <c r="F52" t="s">
        <v>166</v>
      </c>
      <c r="G52" t="s">
        <v>167</v>
      </c>
      <c r="H52" s="13">
        <v>14.5688052</v>
      </c>
      <c r="I52" s="13">
        <v>120.98294749999999</v>
      </c>
      <c r="J52" s="13" t="s">
        <v>2102</v>
      </c>
    </row>
    <row r="53" spans="1:10" x14ac:dyDescent="0.2">
      <c r="A53" t="s">
        <v>261</v>
      </c>
      <c r="B53">
        <v>620</v>
      </c>
      <c r="C53" t="s">
        <v>23</v>
      </c>
      <c r="D53" t="s">
        <v>15</v>
      </c>
      <c r="E53" t="s">
        <v>55</v>
      </c>
      <c r="F53" t="s">
        <v>92</v>
      </c>
      <c r="G53" t="s">
        <v>1880</v>
      </c>
      <c r="H53" s="13">
        <v>14.562545</v>
      </c>
      <c r="I53" s="13">
        <v>121.05394699999999</v>
      </c>
      <c r="J53" s="13" t="s">
        <v>1991</v>
      </c>
    </row>
    <row r="54" spans="1:10" x14ac:dyDescent="0.2">
      <c r="A54" t="s">
        <v>1790</v>
      </c>
      <c r="B54">
        <v>614</v>
      </c>
      <c r="C54" t="s">
        <v>23</v>
      </c>
      <c r="D54" t="s">
        <v>15</v>
      </c>
      <c r="E54" t="s">
        <v>24</v>
      </c>
      <c r="F54" t="s">
        <v>166</v>
      </c>
      <c r="G54" t="s">
        <v>1791</v>
      </c>
      <c r="H54" s="13">
        <v>14.580530100000001</v>
      </c>
      <c r="I54" s="13">
        <v>120.9800298</v>
      </c>
      <c r="J54" s="13" t="s">
        <v>1989</v>
      </c>
    </row>
    <row r="55" spans="1:10" x14ac:dyDescent="0.2">
      <c r="A55" t="s">
        <v>1029</v>
      </c>
      <c r="B55">
        <v>607</v>
      </c>
      <c r="C55" t="s">
        <v>23</v>
      </c>
      <c r="D55" t="s">
        <v>15</v>
      </c>
      <c r="E55" t="s">
        <v>72</v>
      </c>
      <c r="F55" t="s">
        <v>491</v>
      </c>
      <c r="G55" t="s">
        <v>1030</v>
      </c>
      <c r="H55" s="13">
        <v>14.6035988</v>
      </c>
      <c r="I55" s="13">
        <v>121.0494851</v>
      </c>
      <c r="J55" s="13" t="s">
        <v>2078</v>
      </c>
    </row>
    <row r="56" spans="1:10" x14ac:dyDescent="0.2">
      <c r="A56" t="s">
        <v>435</v>
      </c>
      <c r="B56">
        <v>592</v>
      </c>
      <c r="C56" t="s">
        <v>23</v>
      </c>
      <c r="D56" t="s">
        <v>15</v>
      </c>
      <c r="E56" t="s">
        <v>36</v>
      </c>
      <c r="F56" t="s">
        <v>207</v>
      </c>
      <c r="G56" t="s">
        <v>436</v>
      </c>
      <c r="H56" s="13">
        <v>14.750244</v>
      </c>
      <c r="I56" s="13">
        <v>121.05368799999999</v>
      </c>
      <c r="J56" s="13" t="s">
        <v>1911</v>
      </c>
    </row>
    <row r="57" spans="1:10" x14ac:dyDescent="0.2">
      <c r="A57" t="s">
        <v>13</v>
      </c>
      <c r="B57">
        <v>588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s="13">
        <v>14.5347691</v>
      </c>
      <c r="I57" s="13">
        <v>121.0408659</v>
      </c>
      <c r="J57" s="13" t="s">
        <v>2013</v>
      </c>
    </row>
    <row r="58" spans="1:10" x14ac:dyDescent="0.2">
      <c r="A58" t="s">
        <v>894</v>
      </c>
      <c r="B58">
        <v>584</v>
      </c>
      <c r="C58" t="s">
        <v>240</v>
      </c>
      <c r="D58" t="s">
        <v>15</v>
      </c>
      <c r="E58" t="s">
        <v>55</v>
      </c>
      <c r="F58" t="s">
        <v>92</v>
      </c>
      <c r="G58" t="s">
        <v>895</v>
      </c>
      <c r="H58" s="13">
        <v>14.550269999999999</v>
      </c>
      <c r="I58" s="13">
        <v>121.03269</v>
      </c>
      <c r="J58" s="13" t="s">
        <v>1992</v>
      </c>
    </row>
    <row r="59" spans="1:10" x14ac:dyDescent="0.2">
      <c r="A59" t="s">
        <v>525</v>
      </c>
      <c r="B59">
        <v>581</v>
      </c>
      <c r="C59" t="s">
        <v>23</v>
      </c>
      <c r="D59" t="s">
        <v>15</v>
      </c>
      <c r="E59" t="s">
        <v>44</v>
      </c>
      <c r="F59" t="s">
        <v>44</v>
      </c>
      <c r="G59" t="s">
        <v>526</v>
      </c>
      <c r="H59" s="13">
        <v>14.735062299999999</v>
      </c>
      <c r="I59" s="13">
        <v>121.0689323</v>
      </c>
      <c r="J59" s="13" t="s">
        <v>2063</v>
      </c>
    </row>
    <row r="60" spans="1:10" x14ac:dyDescent="0.2">
      <c r="A60" t="s">
        <v>500</v>
      </c>
      <c r="B60">
        <v>571</v>
      </c>
      <c r="C60" t="s">
        <v>23</v>
      </c>
      <c r="D60" t="s">
        <v>15</v>
      </c>
      <c r="E60" t="s">
        <v>72</v>
      </c>
      <c r="F60" t="s">
        <v>491</v>
      </c>
      <c r="G60" t="s">
        <v>501</v>
      </c>
      <c r="H60" s="13">
        <v>14.594785</v>
      </c>
      <c r="I60" s="13">
        <v>121.043249</v>
      </c>
      <c r="J60" s="13" t="s">
        <v>1993</v>
      </c>
    </row>
    <row r="61" spans="1:10" x14ac:dyDescent="0.2">
      <c r="A61" t="s">
        <v>734</v>
      </c>
      <c r="B61">
        <v>556</v>
      </c>
      <c r="C61" t="s">
        <v>23</v>
      </c>
      <c r="D61" t="s">
        <v>15</v>
      </c>
      <c r="E61" t="s">
        <v>44</v>
      </c>
      <c r="F61" t="s">
        <v>44</v>
      </c>
      <c r="G61" t="s">
        <v>735</v>
      </c>
      <c r="H61" s="13">
        <v>14.650435</v>
      </c>
      <c r="I61" s="13">
        <v>121.029966</v>
      </c>
      <c r="J61" s="13" t="s">
        <v>1914</v>
      </c>
    </row>
    <row r="62" spans="1:10" x14ac:dyDescent="0.2">
      <c r="A62" t="s">
        <v>828</v>
      </c>
      <c r="B62">
        <v>555</v>
      </c>
      <c r="C62" t="s">
        <v>23</v>
      </c>
      <c r="D62" t="s">
        <v>15</v>
      </c>
      <c r="E62" t="s">
        <v>16</v>
      </c>
      <c r="F62" t="s">
        <v>17</v>
      </c>
      <c r="G62" t="s">
        <v>829</v>
      </c>
      <c r="H62" s="13">
        <v>14.532501</v>
      </c>
      <c r="I62" s="13">
        <v>121.076358</v>
      </c>
      <c r="J62" s="13" t="s">
        <v>1966</v>
      </c>
    </row>
    <row r="63" spans="1:10" x14ac:dyDescent="0.2">
      <c r="A63" t="s">
        <v>313</v>
      </c>
      <c r="B63">
        <v>548</v>
      </c>
      <c r="C63" t="s">
        <v>23</v>
      </c>
      <c r="D63" t="s">
        <v>15</v>
      </c>
      <c r="E63" t="s">
        <v>16</v>
      </c>
      <c r="F63" t="s">
        <v>108</v>
      </c>
      <c r="G63" t="s">
        <v>314</v>
      </c>
      <c r="H63" s="13">
        <v>14.451466999999999</v>
      </c>
      <c r="I63" s="13">
        <v>121.024906</v>
      </c>
      <c r="J63" s="13" t="s">
        <v>2056</v>
      </c>
    </row>
    <row r="64" spans="1:10" x14ac:dyDescent="0.2">
      <c r="A64" t="s">
        <v>102</v>
      </c>
      <c r="B64">
        <v>521</v>
      </c>
      <c r="C64" t="s">
        <v>23</v>
      </c>
      <c r="D64" t="s">
        <v>15</v>
      </c>
      <c r="E64" t="s">
        <v>44</v>
      </c>
      <c r="F64" t="s">
        <v>44</v>
      </c>
      <c r="G64" t="s">
        <v>103</v>
      </c>
      <c r="H64" s="13">
        <v>14.6998043</v>
      </c>
      <c r="I64" s="13">
        <v>121.063908349881</v>
      </c>
      <c r="J64" s="13" t="s">
        <v>1950</v>
      </c>
    </row>
    <row r="65" spans="1:10" x14ac:dyDescent="0.2">
      <c r="A65" t="s">
        <v>1563</v>
      </c>
      <c r="B65">
        <v>510</v>
      </c>
      <c r="C65" t="s">
        <v>23</v>
      </c>
      <c r="D65" t="s">
        <v>15</v>
      </c>
      <c r="E65" t="s">
        <v>16</v>
      </c>
      <c r="F65" t="s">
        <v>108</v>
      </c>
      <c r="G65" t="s">
        <v>1564</v>
      </c>
      <c r="H65" s="13">
        <v>14.4850242</v>
      </c>
      <c r="I65" s="13">
        <v>121.0318173</v>
      </c>
      <c r="J65" s="13" t="s">
        <v>2035</v>
      </c>
    </row>
    <row r="66" spans="1:10" x14ac:dyDescent="0.2">
      <c r="A66" t="s">
        <v>1365</v>
      </c>
      <c r="B66">
        <v>500</v>
      </c>
      <c r="C66" t="s">
        <v>240</v>
      </c>
      <c r="D66" t="s">
        <v>15</v>
      </c>
      <c r="E66" t="s">
        <v>72</v>
      </c>
      <c r="F66" t="s">
        <v>73</v>
      </c>
      <c r="G66" t="s">
        <v>1366</v>
      </c>
      <c r="H66" s="13">
        <v>14.621114199999999</v>
      </c>
      <c r="I66" s="13">
        <v>121.1018385</v>
      </c>
      <c r="J66" s="13" t="s">
        <v>2150</v>
      </c>
    </row>
    <row r="67" spans="1:10" x14ac:dyDescent="0.2">
      <c r="A67" t="s">
        <v>1051</v>
      </c>
      <c r="B67">
        <v>492</v>
      </c>
      <c r="C67" t="s">
        <v>23</v>
      </c>
      <c r="D67" t="s">
        <v>15</v>
      </c>
      <c r="E67" t="s">
        <v>24</v>
      </c>
      <c r="F67" t="s">
        <v>135</v>
      </c>
      <c r="G67" t="s">
        <v>1052</v>
      </c>
      <c r="H67" s="13">
        <v>14.556118400000001</v>
      </c>
      <c r="I67" s="13">
        <v>120.9879669</v>
      </c>
      <c r="J67" s="13" t="s">
        <v>2117</v>
      </c>
    </row>
    <row r="68" spans="1:10" x14ac:dyDescent="0.2">
      <c r="A68" t="s">
        <v>1870</v>
      </c>
      <c r="B68">
        <v>491</v>
      </c>
      <c r="C68" t="s">
        <v>23</v>
      </c>
      <c r="D68" t="s">
        <v>15</v>
      </c>
      <c r="E68" t="s">
        <v>72</v>
      </c>
      <c r="F68" t="s">
        <v>119</v>
      </c>
      <c r="G68" t="s">
        <v>253</v>
      </c>
      <c r="H68" s="13">
        <v>14.5561417</v>
      </c>
      <c r="I68" s="13">
        <v>121.0715448</v>
      </c>
      <c r="J68" s="13" t="s">
        <v>1927</v>
      </c>
    </row>
    <row r="69" spans="1:10" x14ac:dyDescent="0.2">
      <c r="A69" t="s">
        <v>384</v>
      </c>
      <c r="B69">
        <v>489</v>
      </c>
      <c r="C69" t="s">
        <v>23</v>
      </c>
      <c r="D69" t="s">
        <v>15</v>
      </c>
      <c r="E69" t="s">
        <v>72</v>
      </c>
      <c r="F69" t="s">
        <v>119</v>
      </c>
      <c r="G69" t="s">
        <v>1867</v>
      </c>
      <c r="H69" s="13">
        <v>14.573786849999999</v>
      </c>
      <c r="I69" s="13">
        <v>121.06653048605099</v>
      </c>
      <c r="J69" s="13" t="s">
        <v>1907</v>
      </c>
    </row>
    <row r="70" spans="1:10" x14ac:dyDescent="0.2">
      <c r="A70" t="s">
        <v>1257</v>
      </c>
      <c r="B70">
        <v>480</v>
      </c>
      <c r="C70" t="s">
        <v>23</v>
      </c>
      <c r="D70" t="s">
        <v>15</v>
      </c>
      <c r="E70" t="s">
        <v>44</v>
      </c>
      <c r="F70" t="s">
        <v>44</v>
      </c>
      <c r="G70" t="s">
        <v>1258</v>
      </c>
      <c r="H70" s="13">
        <v>14.6345338</v>
      </c>
      <c r="I70" s="13">
        <v>121.0439169</v>
      </c>
      <c r="J70" s="13" t="s">
        <v>2009</v>
      </c>
    </row>
    <row r="71" spans="1:10" x14ac:dyDescent="0.2">
      <c r="A71" t="s">
        <v>440</v>
      </c>
      <c r="B71">
        <v>477</v>
      </c>
      <c r="C71" t="s">
        <v>23</v>
      </c>
      <c r="D71" t="s">
        <v>15</v>
      </c>
      <c r="E71" t="s">
        <v>44</v>
      </c>
      <c r="F71" t="s">
        <v>44</v>
      </c>
      <c r="G71" t="s">
        <v>441</v>
      </c>
      <c r="H71" s="13">
        <v>14.619514799999999</v>
      </c>
      <c r="I71" s="13">
        <v>121.0712553</v>
      </c>
      <c r="J71" s="13" t="s">
        <v>1941</v>
      </c>
    </row>
    <row r="72" spans="1:10" x14ac:dyDescent="0.2">
      <c r="A72" t="s">
        <v>1414</v>
      </c>
      <c r="B72">
        <v>476</v>
      </c>
      <c r="C72" t="s">
        <v>23</v>
      </c>
      <c r="D72" t="s">
        <v>15</v>
      </c>
      <c r="E72" t="s">
        <v>24</v>
      </c>
      <c r="F72" t="s">
        <v>80</v>
      </c>
      <c r="G72" t="s">
        <v>1415</v>
      </c>
      <c r="H72" s="13">
        <v>14.6090119</v>
      </c>
      <c r="I72" s="13">
        <v>120.9862017</v>
      </c>
      <c r="J72" s="13" t="s">
        <v>2118</v>
      </c>
    </row>
    <row r="73" spans="1:10" x14ac:dyDescent="0.2">
      <c r="A73" t="s">
        <v>420</v>
      </c>
      <c r="B73">
        <v>474</v>
      </c>
      <c r="C73" t="s">
        <v>23</v>
      </c>
      <c r="D73" t="s">
        <v>15</v>
      </c>
      <c r="E73" t="s">
        <v>55</v>
      </c>
      <c r="F73" t="s">
        <v>92</v>
      </c>
      <c r="G73" t="s">
        <v>421</v>
      </c>
      <c r="H73" s="13">
        <v>14.564536</v>
      </c>
      <c r="I73" s="13">
        <v>121.0110287</v>
      </c>
      <c r="J73" s="13" t="s">
        <v>2003</v>
      </c>
    </row>
    <row r="74" spans="1:10" x14ac:dyDescent="0.2">
      <c r="A74" t="s">
        <v>309</v>
      </c>
      <c r="B74">
        <v>460</v>
      </c>
      <c r="C74" t="s">
        <v>23</v>
      </c>
      <c r="D74" t="s">
        <v>15</v>
      </c>
      <c r="E74" t="s">
        <v>36</v>
      </c>
      <c r="F74" t="s">
        <v>37</v>
      </c>
      <c r="G74" t="s">
        <v>310</v>
      </c>
      <c r="H74" s="13">
        <v>14.718090999999999</v>
      </c>
      <c r="I74" s="13">
        <v>120.976107</v>
      </c>
      <c r="J74" s="13" t="s">
        <v>2052</v>
      </c>
    </row>
    <row r="75" spans="1:10" x14ac:dyDescent="0.2">
      <c r="A75" t="s">
        <v>1815</v>
      </c>
      <c r="B75">
        <v>458</v>
      </c>
      <c r="C75" t="s">
        <v>23</v>
      </c>
      <c r="D75" t="s">
        <v>15</v>
      </c>
      <c r="E75" t="s">
        <v>72</v>
      </c>
      <c r="F75" t="s">
        <v>73</v>
      </c>
      <c r="G75" t="s">
        <v>1816</v>
      </c>
      <c r="H75" s="13">
        <v>14.642569999999999</v>
      </c>
      <c r="I75" s="13">
        <v>121.122121204979</v>
      </c>
      <c r="J75" s="13" t="s">
        <v>1969</v>
      </c>
    </row>
    <row r="76" spans="1:10" x14ac:dyDescent="0.2">
      <c r="A76" t="s">
        <v>348</v>
      </c>
      <c r="B76">
        <v>454</v>
      </c>
      <c r="C76" t="s">
        <v>240</v>
      </c>
      <c r="D76" t="s">
        <v>15</v>
      </c>
      <c r="E76" t="s">
        <v>24</v>
      </c>
      <c r="F76" t="s">
        <v>349</v>
      </c>
      <c r="G76" t="s">
        <v>350</v>
      </c>
      <c r="H76" s="13">
        <v>14.580664499999999</v>
      </c>
      <c r="I76" s="13">
        <v>120.9913397</v>
      </c>
      <c r="J76" s="13" t="s">
        <v>2149</v>
      </c>
    </row>
    <row r="77" spans="1:10" x14ac:dyDescent="0.2">
      <c r="A77" t="s">
        <v>71</v>
      </c>
      <c r="B77">
        <v>452</v>
      </c>
      <c r="C77" t="s">
        <v>66</v>
      </c>
      <c r="D77" t="s">
        <v>15</v>
      </c>
      <c r="E77" t="s">
        <v>72</v>
      </c>
      <c r="F77" t="s">
        <v>73</v>
      </c>
      <c r="G77" t="s">
        <v>74</v>
      </c>
      <c r="H77" s="13">
        <v>14.6414791</v>
      </c>
      <c r="I77" s="13">
        <v>121.1126723</v>
      </c>
      <c r="J77" s="13" t="s">
        <v>2082</v>
      </c>
    </row>
    <row r="78" spans="1:10" x14ac:dyDescent="0.2">
      <c r="A78" t="s">
        <v>1518</v>
      </c>
      <c r="B78">
        <v>449</v>
      </c>
      <c r="C78" t="s">
        <v>23</v>
      </c>
      <c r="D78" t="s">
        <v>15</v>
      </c>
      <c r="E78" t="s">
        <v>44</v>
      </c>
      <c r="F78" t="s">
        <v>44</v>
      </c>
      <c r="G78" t="s">
        <v>1519</v>
      </c>
      <c r="H78" s="13">
        <v>14.6559984</v>
      </c>
      <c r="I78" s="13">
        <v>121.0095721</v>
      </c>
      <c r="J78" s="13" t="s">
        <v>2043</v>
      </c>
    </row>
    <row r="79" spans="1:10" x14ac:dyDescent="0.2">
      <c r="A79" t="s">
        <v>338</v>
      </c>
      <c r="B79">
        <v>447</v>
      </c>
      <c r="C79" t="s">
        <v>23</v>
      </c>
      <c r="D79" t="s">
        <v>15</v>
      </c>
      <c r="E79" t="s">
        <v>55</v>
      </c>
      <c r="F79" t="s">
        <v>56</v>
      </c>
      <c r="G79" t="s">
        <v>339</v>
      </c>
      <c r="H79" s="13">
        <v>14.550440999999999</v>
      </c>
      <c r="I79" s="13">
        <v>120.999994</v>
      </c>
      <c r="J79" s="13" t="s">
        <v>1960</v>
      </c>
    </row>
    <row r="80" spans="1:10" x14ac:dyDescent="0.2">
      <c r="A80" t="s">
        <v>475</v>
      </c>
      <c r="B80">
        <v>445</v>
      </c>
      <c r="C80" t="s">
        <v>23</v>
      </c>
      <c r="D80" t="s">
        <v>15</v>
      </c>
      <c r="E80" t="s">
        <v>72</v>
      </c>
      <c r="F80" t="s">
        <v>73</v>
      </c>
      <c r="G80" t="s">
        <v>476</v>
      </c>
      <c r="H80" s="13">
        <v>14.622502000000001</v>
      </c>
      <c r="I80" s="13">
        <v>121.096588</v>
      </c>
      <c r="J80" s="13" t="s">
        <v>2087</v>
      </c>
    </row>
    <row r="81" spans="1:10" x14ac:dyDescent="0.2">
      <c r="A81" t="s">
        <v>379</v>
      </c>
      <c r="B81">
        <v>442</v>
      </c>
      <c r="C81" t="s">
        <v>23</v>
      </c>
      <c r="D81" t="s">
        <v>15</v>
      </c>
      <c r="E81" t="s">
        <v>44</v>
      </c>
      <c r="F81" t="s">
        <v>44</v>
      </c>
      <c r="G81" t="s">
        <v>1882</v>
      </c>
      <c r="H81" s="13">
        <v>14.048531000000001</v>
      </c>
      <c r="I81" s="13">
        <v>121.15745468210901</v>
      </c>
      <c r="J81" s="13" t="s">
        <v>2015</v>
      </c>
    </row>
    <row r="82" spans="1:10" x14ac:dyDescent="0.2">
      <c r="A82" t="s">
        <v>1534</v>
      </c>
      <c r="B82">
        <v>437</v>
      </c>
      <c r="C82" t="s">
        <v>23</v>
      </c>
      <c r="D82" t="s">
        <v>15</v>
      </c>
      <c r="E82" t="s">
        <v>72</v>
      </c>
      <c r="F82" t="s">
        <v>213</v>
      </c>
      <c r="G82" t="s">
        <v>1535</v>
      </c>
      <c r="H82" s="13">
        <v>14.5832</v>
      </c>
      <c r="I82" s="13">
        <v>121.04089999999999</v>
      </c>
      <c r="J82" s="13" t="s">
        <v>1943</v>
      </c>
    </row>
    <row r="83" spans="1:10" x14ac:dyDescent="0.2">
      <c r="A83" t="s">
        <v>1873</v>
      </c>
      <c r="B83">
        <v>427</v>
      </c>
      <c r="C83" t="s">
        <v>23</v>
      </c>
      <c r="D83" t="s">
        <v>15</v>
      </c>
      <c r="E83" t="s">
        <v>44</v>
      </c>
      <c r="F83" t="s">
        <v>44</v>
      </c>
      <c r="G83" t="s">
        <v>950</v>
      </c>
      <c r="H83" s="13">
        <v>14.642037699999999</v>
      </c>
      <c r="I83" s="13">
        <v>121.0490803</v>
      </c>
      <c r="J83" s="13" t="s">
        <v>1953</v>
      </c>
    </row>
    <row r="84" spans="1:10" x14ac:dyDescent="0.2">
      <c r="A84" t="s">
        <v>1872</v>
      </c>
      <c r="B84">
        <v>426</v>
      </c>
      <c r="C84" t="s">
        <v>23</v>
      </c>
      <c r="D84" t="s">
        <v>15</v>
      </c>
      <c r="E84" t="s">
        <v>44</v>
      </c>
      <c r="F84" t="s">
        <v>44</v>
      </c>
      <c r="G84" t="s">
        <v>940</v>
      </c>
      <c r="H84" s="13">
        <v>14.6190444</v>
      </c>
      <c r="I84" s="13">
        <v>121.014179027073</v>
      </c>
      <c r="J84" s="13" t="s">
        <v>1944</v>
      </c>
    </row>
    <row r="85" spans="1:10" x14ac:dyDescent="0.2">
      <c r="A85" t="s">
        <v>1505</v>
      </c>
      <c r="B85">
        <v>424</v>
      </c>
      <c r="C85" t="s">
        <v>23</v>
      </c>
      <c r="D85" t="s">
        <v>15</v>
      </c>
      <c r="E85" t="s">
        <v>55</v>
      </c>
      <c r="F85" t="s">
        <v>56</v>
      </c>
      <c r="G85" t="s">
        <v>1506</v>
      </c>
      <c r="H85" s="13">
        <v>14.545071</v>
      </c>
      <c r="I85" s="13">
        <v>120.99890499999999</v>
      </c>
      <c r="J85" s="13" t="s">
        <v>1905</v>
      </c>
    </row>
    <row r="86" spans="1:10" x14ac:dyDescent="0.2">
      <c r="A86" t="s">
        <v>1277</v>
      </c>
      <c r="B86">
        <v>422</v>
      </c>
      <c r="C86" t="s">
        <v>23</v>
      </c>
      <c r="D86" t="s">
        <v>15</v>
      </c>
      <c r="E86" t="s">
        <v>24</v>
      </c>
      <c r="F86" t="s">
        <v>135</v>
      </c>
      <c r="G86" t="s">
        <v>1278</v>
      </c>
      <c r="H86" s="13">
        <v>14.593819</v>
      </c>
      <c r="I86" s="13">
        <v>120.992302</v>
      </c>
      <c r="J86" s="13" t="s">
        <v>1958</v>
      </c>
    </row>
    <row r="87" spans="1:10" x14ac:dyDescent="0.2">
      <c r="A87" t="s">
        <v>425</v>
      </c>
      <c r="B87">
        <v>417</v>
      </c>
      <c r="C87" t="s">
        <v>23</v>
      </c>
      <c r="D87" t="s">
        <v>15</v>
      </c>
      <c r="E87" t="s">
        <v>44</v>
      </c>
      <c r="F87" t="s">
        <v>44</v>
      </c>
      <c r="G87" t="s">
        <v>1893</v>
      </c>
      <c r="H87" s="13">
        <v>14.7383609</v>
      </c>
      <c r="I87" s="13">
        <v>121.0508834</v>
      </c>
      <c r="J87" s="13" t="s">
        <v>2111</v>
      </c>
    </row>
    <row r="88" spans="1:10" x14ac:dyDescent="0.2">
      <c r="A88" t="s">
        <v>1173</v>
      </c>
      <c r="B88">
        <v>417</v>
      </c>
      <c r="C88" t="s">
        <v>23</v>
      </c>
      <c r="D88" t="s">
        <v>15</v>
      </c>
      <c r="E88" t="s">
        <v>44</v>
      </c>
      <c r="F88" t="s">
        <v>44</v>
      </c>
      <c r="G88" t="s">
        <v>1174</v>
      </c>
      <c r="H88" s="13">
        <v>14.736561200000001</v>
      </c>
      <c r="I88" s="13">
        <v>121.0476792</v>
      </c>
      <c r="J88" s="13" t="s">
        <v>2174</v>
      </c>
    </row>
    <row r="89" spans="1:10" x14ac:dyDescent="0.2">
      <c r="A89" t="s">
        <v>544</v>
      </c>
      <c r="B89">
        <v>416</v>
      </c>
      <c r="C89" t="s">
        <v>23</v>
      </c>
      <c r="D89" t="s">
        <v>15</v>
      </c>
      <c r="E89" t="s">
        <v>72</v>
      </c>
      <c r="F89" t="s">
        <v>491</v>
      </c>
      <c r="G89" t="s">
        <v>545</v>
      </c>
      <c r="H89" s="13">
        <v>14.5999324</v>
      </c>
      <c r="I89" s="13">
        <v>121.02677730000001</v>
      </c>
      <c r="J89" s="13" t="s">
        <v>2048</v>
      </c>
    </row>
    <row r="90" spans="1:10" x14ac:dyDescent="0.2">
      <c r="A90" t="s">
        <v>450</v>
      </c>
      <c r="B90">
        <v>404</v>
      </c>
      <c r="C90" t="s">
        <v>23</v>
      </c>
      <c r="D90" t="s">
        <v>15</v>
      </c>
      <c r="E90" t="s">
        <v>55</v>
      </c>
      <c r="F90" t="s">
        <v>56</v>
      </c>
      <c r="G90" t="s">
        <v>451</v>
      </c>
      <c r="H90" s="13">
        <v>14.552232999999999</v>
      </c>
      <c r="I90" s="13">
        <v>120.99102000000001</v>
      </c>
      <c r="J90" s="13" t="s">
        <v>2045</v>
      </c>
    </row>
    <row r="91" spans="1:10" x14ac:dyDescent="0.2">
      <c r="A91" t="s">
        <v>410</v>
      </c>
      <c r="B91">
        <v>403</v>
      </c>
      <c r="C91" t="s">
        <v>23</v>
      </c>
      <c r="D91" t="s">
        <v>15</v>
      </c>
      <c r="E91" t="s">
        <v>36</v>
      </c>
      <c r="F91" t="s">
        <v>176</v>
      </c>
      <c r="G91" t="s">
        <v>411</v>
      </c>
      <c r="H91" s="14">
        <v>14.686623047003801</v>
      </c>
      <c r="I91" s="14">
        <v>120.957892009734</v>
      </c>
      <c r="J91" s="14"/>
    </row>
    <row r="92" spans="1:10" x14ac:dyDescent="0.2">
      <c r="A92" t="s">
        <v>54</v>
      </c>
      <c r="B92">
        <v>399</v>
      </c>
      <c r="C92" t="s">
        <v>23</v>
      </c>
      <c r="D92" t="s">
        <v>15</v>
      </c>
      <c r="E92" t="s">
        <v>55</v>
      </c>
      <c r="F92" t="s">
        <v>56</v>
      </c>
      <c r="G92" t="s">
        <v>57</v>
      </c>
      <c r="H92" s="13">
        <v>14.547527199999999</v>
      </c>
      <c r="I92" s="13">
        <v>120.99355749999999</v>
      </c>
      <c r="J92" s="13" t="s">
        <v>2146</v>
      </c>
    </row>
    <row r="93" spans="1:10" x14ac:dyDescent="0.2">
      <c r="A93" t="s">
        <v>1075</v>
      </c>
      <c r="B93">
        <v>386</v>
      </c>
      <c r="C93" t="s">
        <v>23</v>
      </c>
      <c r="D93" t="s">
        <v>15</v>
      </c>
      <c r="E93" t="s">
        <v>24</v>
      </c>
      <c r="F93" t="s">
        <v>135</v>
      </c>
      <c r="G93" t="s">
        <v>1076</v>
      </c>
      <c r="H93" s="13">
        <v>14.593819</v>
      </c>
      <c r="I93" s="13">
        <v>120.992302</v>
      </c>
      <c r="J93" s="13" t="s">
        <v>1958</v>
      </c>
    </row>
    <row r="94" spans="1:10" x14ac:dyDescent="0.2">
      <c r="A94" t="s">
        <v>1868</v>
      </c>
      <c r="B94">
        <v>380</v>
      </c>
      <c r="C94" t="s">
        <v>23</v>
      </c>
      <c r="D94" t="s">
        <v>15</v>
      </c>
      <c r="E94" t="s">
        <v>72</v>
      </c>
      <c r="F94" t="s">
        <v>119</v>
      </c>
      <c r="G94" t="s">
        <v>203</v>
      </c>
      <c r="H94" s="13">
        <v>14.5451637</v>
      </c>
      <c r="I94" s="13">
        <v>121.1001375</v>
      </c>
      <c r="J94" s="13" t="s">
        <v>1909</v>
      </c>
    </row>
    <row r="95" spans="1:10" x14ac:dyDescent="0.2">
      <c r="A95" t="s">
        <v>233</v>
      </c>
      <c r="B95">
        <v>367</v>
      </c>
      <c r="C95" t="s">
        <v>66</v>
      </c>
      <c r="D95" t="s">
        <v>15</v>
      </c>
      <c r="E95" t="s">
        <v>72</v>
      </c>
      <c r="F95" t="s">
        <v>119</v>
      </c>
      <c r="G95" t="s">
        <v>1889</v>
      </c>
      <c r="H95" s="13">
        <v>14.555577</v>
      </c>
      <c r="I95" s="13">
        <v>121.08237120026401</v>
      </c>
      <c r="J95" s="13" t="s">
        <v>2083</v>
      </c>
    </row>
    <row r="96" spans="1:10" x14ac:dyDescent="0.2">
      <c r="A96" t="s">
        <v>1065</v>
      </c>
      <c r="B96">
        <v>367</v>
      </c>
      <c r="C96" t="s">
        <v>23</v>
      </c>
      <c r="D96" t="s">
        <v>15</v>
      </c>
      <c r="E96" t="s">
        <v>72</v>
      </c>
      <c r="F96" t="s">
        <v>119</v>
      </c>
      <c r="G96" t="s">
        <v>1066</v>
      </c>
      <c r="H96" s="13">
        <v>12.885300000000001</v>
      </c>
      <c r="I96" s="13">
        <v>123.1718</v>
      </c>
      <c r="J96" s="13" t="s">
        <v>1932</v>
      </c>
    </row>
    <row r="97" spans="1:10" x14ac:dyDescent="0.2">
      <c r="A97" t="s">
        <v>1037</v>
      </c>
      <c r="B97">
        <v>365</v>
      </c>
      <c r="C97" t="s">
        <v>23</v>
      </c>
      <c r="D97" t="s">
        <v>15</v>
      </c>
      <c r="E97" t="s">
        <v>72</v>
      </c>
      <c r="F97" t="s">
        <v>213</v>
      </c>
      <c r="G97" t="s">
        <v>1038</v>
      </c>
      <c r="H97" s="13">
        <v>14.575290000000001</v>
      </c>
      <c r="I97" s="13">
        <v>121.053017</v>
      </c>
      <c r="J97" s="13" t="s">
        <v>1996</v>
      </c>
    </row>
    <row r="98" spans="1:10" x14ac:dyDescent="0.2">
      <c r="A98" t="s">
        <v>455</v>
      </c>
      <c r="B98">
        <v>355</v>
      </c>
      <c r="C98" t="s">
        <v>23</v>
      </c>
      <c r="D98" t="s">
        <v>15</v>
      </c>
      <c r="E98" t="s">
        <v>16</v>
      </c>
      <c r="F98" t="s">
        <v>456</v>
      </c>
      <c r="G98" t="s">
        <v>457</v>
      </c>
      <c r="H98" s="13">
        <v>14.44229</v>
      </c>
      <c r="I98" s="13">
        <v>120.985364</v>
      </c>
      <c r="J98" s="13" t="s">
        <v>2027</v>
      </c>
    </row>
    <row r="99" spans="1:10" x14ac:dyDescent="0.2">
      <c r="A99" t="s">
        <v>400</v>
      </c>
      <c r="B99">
        <v>352</v>
      </c>
      <c r="C99" t="s">
        <v>43</v>
      </c>
      <c r="D99" t="s">
        <v>15</v>
      </c>
      <c r="E99" t="s">
        <v>24</v>
      </c>
      <c r="F99" t="s">
        <v>80</v>
      </c>
      <c r="G99" t="s">
        <v>401</v>
      </c>
      <c r="H99" s="13">
        <v>14.600982699999999</v>
      </c>
      <c r="I99" s="13">
        <v>120.9984896</v>
      </c>
      <c r="J99" s="13" t="s">
        <v>1921</v>
      </c>
    </row>
    <row r="100" spans="1:10" x14ac:dyDescent="0.2">
      <c r="A100" t="s">
        <v>206</v>
      </c>
      <c r="B100">
        <v>346</v>
      </c>
      <c r="C100" t="s">
        <v>23</v>
      </c>
      <c r="D100" t="s">
        <v>15</v>
      </c>
      <c r="E100" t="s">
        <v>36</v>
      </c>
      <c r="F100" t="s">
        <v>207</v>
      </c>
      <c r="G100" t="s">
        <v>208</v>
      </c>
      <c r="H100" s="13">
        <v>13.909825</v>
      </c>
      <c r="I100" s="13">
        <v>121.61576100000001</v>
      </c>
      <c r="J100" s="13" t="s">
        <v>1963</v>
      </c>
    </row>
    <row r="101" spans="1:10" x14ac:dyDescent="0.2">
      <c r="A101" t="s">
        <v>1622</v>
      </c>
      <c r="B101">
        <v>345</v>
      </c>
      <c r="C101" t="s">
        <v>23</v>
      </c>
      <c r="D101" t="s">
        <v>15</v>
      </c>
      <c r="E101" t="s">
        <v>55</v>
      </c>
      <c r="F101" t="s">
        <v>56</v>
      </c>
      <c r="G101" t="s">
        <v>1623</v>
      </c>
      <c r="H101" s="13">
        <v>14.546562</v>
      </c>
      <c r="I101" s="13">
        <v>121.007375</v>
      </c>
      <c r="J101" s="13" t="s">
        <v>1946</v>
      </c>
    </row>
    <row r="102" spans="1:10" x14ac:dyDescent="0.2">
      <c r="A102" t="s">
        <v>490</v>
      </c>
      <c r="B102">
        <v>341</v>
      </c>
      <c r="C102" t="s">
        <v>23</v>
      </c>
      <c r="D102" t="s">
        <v>15</v>
      </c>
      <c r="E102" t="s">
        <v>72</v>
      </c>
      <c r="F102" t="s">
        <v>491</v>
      </c>
      <c r="G102" t="s">
        <v>492</v>
      </c>
      <c r="H102" s="13">
        <v>14.607862799999999</v>
      </c>
      <c r="I102" s="13">
        <v>121.0331012</v>
      </c>
      <c r="J102" s="13" t="s">
        <v>1949</v>
      </c>
    </row>
    <row r="103" spans="1:10" x14ac:dyDescent="0.2">
      <c r="A103" t="s">
        <v>290</v>
      </c>
      <c r="B103">
        <v>337</v>
      </c>
      <c r="C103" t="s">
        <v>43</v>
      </c>
      <c r="D103" t="s">
        <v>15</v>
      </c>
      <c r="E103" t="s">
        <v>72</v>
      </c>
      <c r="F103" t="s">
        <v>213</v>
      </c>
      <c r="G103" t="s">
        <v>291</v>
      </c>
      <c r="H103" s="13">
        <v>14.59712465</v>
      </c>
      <c r="I103" s="13">
        <v>121.055211198707</v>
      </c>
      <c r="J103" s="13" t="s">
        <v>2042</v>
      </c>
    </row>
    <row r="104" spans="1:10" x14ac:dyDescent="0.2">
      <c r="A104" t="s">
        <v>480</v>
      </c>
      <c r="B104">
        <v>329</v>
      </c>
      <c r="C104" t="s">
        <v>23</v>
      </c>
      <c r="D104" t="s">
        <v>15</v>
      </c>
      <c r="E104" t="s">
        <v>72</v>
      </c>
      <c r="F104" t="s">
        <v>119</v>
      </c>
      <c r="G104" t="s">
        <v>481</v>
      </c>
      <c r="H104" s="13">
        <v>14.5681283</v>
      </c>
      <c r="I104" s="13">
        <v>121.08559530670399</v>
      </c>
      <c r="J104" s="13" t="s">
        <v>1924</v>
      </c>
    </row>
    <row r="105" spans="1:10" x14ac:dyDescent="0.2">
      <c r="A105" t="s">
        <v>144</v>
      </c>
      <c r="B105">
        <v>329</v>
      </c>
      <c r="C105" t="s">
        <v>66</v>
      </c>
      <c r="D105" t="s">
        <v>15</v>
      </c>
      <c r="E105" t="s">
        <v>36</v>
      </c>
      <c r="F105" t="s">
        <v>145</v>
      </c>
      <c r="G105" t="s">
        <v>146</v>
      </c>
      <c r="H105" s="13">
        <v>14.666831999999999</v>
      </c>
      <c r="I105" s="13">
        <v>120.942919</v>
      </c>
      <c r="J105" s="13" t="s">
        <v>2073</v>
      </c>
    </row>
    <row r="106" spans="1:10" x14ac:dyDescent="0.2">
      <c r="A106" t="s">
        <v>229</v>
      </c>
      <c r="B106">
        <v>325</v>
      </c>
      <c r="C106" t="s">
        <v>23</v>
      </c>
      <c r="D106" t="s">
        <v>15</v>
      </c>
      <c r="E106" t="s">
        <v>55</v>
      </c>
      <c r="F106" t="s">
        <v>56</v>
      </c>
      <c r="G106" t="s">
        <v>230</v>
      </c>
      <c r="H106" s="13">
        <v>14.749039</v>
      </c>
      <c r="I106" s="13">
        <v>121.040611</v>
      </c>
      <c r="J106" s="13" t="s">
        <v>2162</v>
      </c>
    </row>
    <row r="107" spans="1:10" x14ac:dyDescent="0.2">
      <c r="A107" t="s">
        <v>539</v>
      </c>
      <c r="B107">
        <v>314</v>
      </c>
      <c r="C107" t="s">
        <v>23</v>
      </c>
      <c r="D107" t="s">
        <v>15</v>
      </c>
      <c r="E107" t="s">
        <v>36</v>
      </c>
      <c r="F107" t="s">
        <v>176</v>
      </c>
      <c r="G107" t="s">
        <v>540</v>
      </c>
      <c r="H107" s="13">
        <v>14.717475</v>
      </c>
      <c r="I107" s="13">
        <v>120.91704900000001</v>
      </c>
      <c r="J107" s="13" t="s">
        <v>1933</v>
      </c>
    </row>
    <row r="108" spans="1:10" x14ac:dyDescent="0.2">
      <c r="A108" t="s">
        <v>588</v>
      </c>
      <c r="B108">
        <v>310</v>
      </c>
      <c r="C108" t="s">
        <v>23</v>
      </c>
      <c r="D108" t="s">
        <v>15</v>
      </c>
      <c r="E108" t="s">
        <v>72</v>
      </c>
      <c r="F108" t="s">
        <v>119</v>
      </c>
      <c r="G108" t="s">
        <v>589</v>
      </c>
      <c r="H108" s="13">
        <v>12.885300000000001</v>
      </c>
      <c r="I108" s="13">
        <v>123.1718</v>
      </c>
      <c r="J108" s="13" t="s">
        <v>1932</v>
      </c>
    </row>
    <row r="109" spans="1:10" x14ac:dyDescent="0.2">
      <c r="A109" t="s">
        <v>1687</v>
      </c>
      <c r="B109">
        <v>304</v>
      </c>
      <c r="C109" t="s">
        <v>23</v>
      </c>
      <c r="D109" t="s">
        <v>15</v>
      </c>
      <c r="E109" t="s">
        <v>36</v>
      </c>
      <c r="F109" t="s">
        <v>176</v>
      </c>
      <c r="G109" t="s">
        <v>1688</v>
      </c>
      <c r="H109" s="13">
        <v>15.059835</v>
      </c>
      <c r="I109" s="13">
        <v>120.646733</v>
      </c>
      <c r="J109" s="13" t="s">
        <v>2038</v>
      </c>
    </row>
    <row r="110" spans="1:10" x14ac:dyDescent="0.2">
      <c r="A110" t="s">
        <v>343</v>
      </c>
      <c r="B110">
        <v>302</v>
      </c>
      <c r="C110" t="s">
        <v>23</v>
      </c>
      <c r="D110" t="s">
        <v>15</v>
      </c>
      <c r="E110" t="s">
        <v>16</v>
      </c>
      <c r="F110" t="s">
        <v>224</v>
      </c>
      <c r="G110" t="s">
        <v>344</v>
      </c>
      <c r="H110" s="13">
        <v>14.4241195</v>
      </c>
      <c r="I110" s="13">
        <v>121.04564565</v>
      </c>
      <c r="J110" s="13" t="s">
        <v>2133</v>
      </c>
    </row>
    <row r="111" spans="1:10" x14ac:dyDescent="0.2">
      <c r="A111" t="s">
        <v>1455</v>
      </c>
      <c r="B111">
        <v>297</v>
      </c>
      <c r="C111" t="s">
        <v>23</v>
      </c>
      <c r="D111" t="s">
        <v>15</v>
      </c>
      <c r="E111" t="s">
        <v>72</v>
      </c>
      <c r="F111" t="s">
        <v>119</v>
      </c>
      <c r="G111" t="s">
        <v>1456</v>
      </c>
      <c r="H111" s="13">
        <v>12.885300000000001</v>
      </c>
      <c r="I111" s="13">
        <v>123.1718</v>
      </c>
      <c r="J111" s="13" t="s">
        <v>1932</v>
      </c>
    </row>
    <row r="112" spans="1:10" x14ac:dyDescent="0.2">
      <c r="A112" t="s">
        <v>583</v>
      </c>
      <c r="B112">
        <v>292</v>
      </c>
      <c r="C112" t="s">
        <v>23</v>
      </c>
      <c r="D112" t="s">
        <v>15</v>
      </c>
      <c r="E112" t="s">
        <v>16</v>
      </c>
      <c r="F112" t="s">
        <v>456</v>
      </c>
      <c r="G112" t="s">
        <v>584</v>
      </c>
      <c r="H112" s="13">
        <v>14.468614000000001</v>
      </c>
      <c r="I112" s="13">
        <v>120.97261899999999</v>
      </c>
      <c r="J112" s="13" t="s">
        <v>1935</v>
      </c>
    </row>
    <row r="113" spans="1:10" x14ac:dyDescent="0.2">
      <c r="A113" t="s">
        <v>1569</v>
      </c>
      <c r="B113">
        <v>287</v>
      </c>
      <c r="C113" t="s">
        <v>23</v>
      </c>
      <c r="D113" t="s">
        <v>15</v>
      </c>
      <c r="E113" t="s">
        <v>16</v>
      </c>
      <c r="F113" t="s">
        <v>108</v>
      </c>
      <c r="G113" t="s">
        <v>1570</v>
      </c>
      <c r="H113" s="13">
        <v>14.456980400000001</v>
      </c>
      <c r="I113" s="13">
        <v>121.0531587</v>
      </c>
      <c r="J113" s="13" t="s">
        <v>1917</v>
      </c>
    </row>
    <row r="114" spans="1:10" x14ac:dyDescent="0.2">
      <c r="A114" t="s">
        <v>1465</v>
      </c>
      <c r="B114">
        <v>286</v>
      </c>
      <c r="C114" t="s">
        <v>23</v>
      </c>
      <c r="D114" t="s">
        <v>15</v>
      </c>
      <c r="E114" t="s">
        <v>55</v>
      </c>
      <c r="F114" t="s">
        <v>92</v>
      </c>
      <c r="G114" t="s">
        <v>1466</v>
      </c>
      <c r="H114" s="13">
        <v>14.564542700000001</v>
      </c>
      <c r="I114" s="13">
        <v>121.0036851</v>
      </c>
      <c r="J114" s="13" t="s">
        <v>2046</v>
      </c>
    </row>
    <row r="115" spans="1:10" x14ac:dyDescent="0.2">
      <c r="A115" t="s">
        <v>49</v>
      </c>
      <c r="B115">
        <v>286</v>
      </c>
      <c r="C115" t="s">
        <v>23</v>
      </c>
      <c r="D115" t="s">
        <v>15</v>
      </c>
      <c r="E115" t="s">
        <v>44</v>
      </c>
      <c r="F115" t="s">
        <v>44</v>
      </c>
      <c r="G115" t="s">
        <v>50</v>
      </c>
      <c r="H115" s="13">
        <v>14.719117600000001</v>
      </c>
      <c r="I115" s="13">
        <v>121.0391441</v>
      </c>
      <c r="J115" s="13" t="s">
        <v>2026</v>
      </c>
    </row>
    <row r="116" spans="1:10" x14ac:dyDescent="0.2">
      <c r="A116" t="s">
        <v>740</v>
      </c>
      <c r="B116">
        <v>283</v>
      </c>
      <c r="C116" t="s">
        <v>23</v>
      </c>
      <c r="D116" t="s">
        <v>15</v>
      </c>
      <c r="E116" t="s">
        <v>72</v>
      </c>
      <c r="F116" t="s">
        <v>213</v>
      </c>
      <c r="G116" t="s">
        <v>741</v>
      </c>
      <c r="H116" s="13">
        <v>14.588265</v>
      </c>
      <c r="I116" s="13">
        <v>121.058469</v>
      </c>
      <c r="J116" s="13" t="s">
        <v>2089</v>
      </c>
    </row>
    <row r="117" spans="1:10" x14ac:dyDescent="0.2">
      <c r="A117" t="s">
        <v>678</v>
      </c>
      <c r="B117">
        <v>282</v>
      </c>
      <c r="C117" t="s">
        <v>23</v>
      </c>
      <c r="D117" t="s">
        <v>15</v>
      </c>
      <c r="E117" t="s">
        <v>16</v>
      </c>
      <c r="F117" t="s">
        <v>108</v>
      </c>
      <c r="G117" t="s">
        <v>679</v>
      </c>
      <c r="H117" s="13">
        <v>14.469136000000001</v>
      </c>
      <c r="I117" s="13">
        <v>121.011853</v>
      </c>
      <c r="J117" s="13" t="s">
        <v>2076</v>
      </c>
    </row>
    <row r="118" spans="1:10" x14ac:dyDescent="0.2">
      <c r="A118" t="s">
        <v>1010</v>
      </c>
      <c r="B118">
        <v>278</v>
      </c>
      <c r="C118" t="s">
        <v>23</v>
      </c>
      <c r="D118" t="s">
        <v>15</v>
      </c>
      <c r="E118" t="s">
        <v>55</v>
      </c>
      <c r="F118" t="s">
        <v>56</v>
      </c>
      <c r="G118" t="s">
        <v>1011</v>
      </c>
      <c r="H118" s="13">
        <v>14.567009000000001</v>
      </c>
      <c r="I118" s="13">
        <v>120.992493</v>
      </c>
      <c r="J118" s="13" t="s">
        <v>2054</v>
      </c>
    </row>
    <row r="119" spans="1:10" x14ac:dyDescent="0.2">
      <c r="A119" t="s">
        <v>1581</v>
      </c>
      <c r="B119">
        <v>271</v>
      </c>
      <c r="C119" t="s">
        <v>23</v>
      </c>
      <c r="D119" t="s">
        <v>15</v>
      </c>
      <c r="E119" t="s">
        <v>72</v>
      </c>
      <c r="F119" t="s">
        <v>119</v>
      </c>
      <c r="G119" t="s">
        <v>1582</v>
      </c>
      <c r="H119" s="13">
        <v>14.573935000000001</v>
      </c>
      <c r="I119" s="13">
        <v>121.080945</v>
      </c>
      <c r="J119" s="13" t="s">
        <v>2001</v>
      </c>
    </row>
    <row r="120" spans="1:10" x14ac:dyDescent="0.2">
      <c r="A120" t="s">
        <v>1197</v>
      </c>
      <c r="B120">
        <v>269</v>
      </c>
      <c r="C120" t="s">
        <v>23</v>
      </c>
      <c r="D120" t="s">
        <v>15</v>
      </c>
      <c r="E120" t="s">
        <v>24</v>
      </c>
      <c r="F120" t="s">
        <v>1143</v>
      </c>
      <c r="G120" t="s">
        <v>1198</v>
      </c>
      <c r="H120" s="13">
        <v>14.593819</v>
      </c>
      <c r="I120" s="13">
        <v>120.992302</v>
      </c>
      <c r="J120" s="13" t="s">
        <v>1958</v>
      </c>
    </row>
    <row r="121" spans="1:10" x14ac:dyDescent="0.2">
      <c r="A121" t="s">
        <v>445</v>
      </c>
      <c r="B121">
        <v>259</v>
      </c>
      <c r="C121" t="s">
        <v>23</v>
      </c>
      <c r="D121" t="s">
        <v>15</v>
      </c>
      <c r="E121" t="s">
        <v>16</v>
      </c>
      <c r="F121" t="s">
        <v>108</v>
      </c>
      <c r="G121" t="s">
        <v>446</v>
      </c>
      <c r="H121" s="13">
        <v>14.456980400000001</v>
      </c>
      <c r="I121" s="13">
        <v>121.0531587</v>
      </c>
      <c r="J121" s="13" t="s">
        <v>1917</v>
      </c>
    </row>
    <row r="122" spans="1:10" x14ac:dyDescent="0.2">
      <c r="A122" t="s">
        <v>353</v>
      </c>
      <c r="B122">
        <v>256</v>
      </c>
      <c r="C122" t="s">
        <v>23</v>
      </c>
      <c r="D122" t="s">
        <v>15</v>
      </c>
      <c r="E122" t="s">
        <v>16</v>
      </c>
      <c r="F122" t="s">
        <v>108</v>
      </c>
      <c r="G122" t="s">
        <v>354</v>
      </c>
      <c r="H122" s="13">
        <v>14.4608752</v>
      </c>
      <c r="I122" s="13">
        <v>121.0347656</v>
      </c>
      <c r="J122" s="13" t="s">
        <v>2160</v>
      </c>
    </row>
    <row r="123" spans="1:10" x14ac:dyDescent="0.2">
      <c r="A123" t="s">
        <v>628</v>
      </c>
      <c r="B123">
        <v>255</v>
      </c>
      <c r="C123" t="s">
        <v>23</v>
      </c>
      <c r="D123" t="s">
        <v>15</v>
      </c>
      <c r="E123" t="s">
        <v>16</v>
      </c>
      <c r="F123" t="s">
        <v>17</v>
      </c>
      <c r="G123" t="s">
        <v>629</v>
      </c>
      <c r="H123" s="13">
        <v>14.5095273</v>
      </c>
      <c r="I123" s="13">
        <v>121.0380244</v>
      </c>
      <c r="J123" s="13" t="s">
        <v>1923</v>
      </c>
    </row>
    <row r="124" spans="1:10" x14ac:dyDescent="0.2">
      <c r="A124" t="s">
        <v>964</v>
      </c>
      <c r="B124">
        <v>251</v>
      </c>
      <c r="C124" t="s">
        <v>23</v>
      </c>
      <c r="D124" t="s">
        <v>15</v>
      </c>
      <c r="E124" t="s">
        <v>36</v>
      </c>
      <c r="F124" t="s">
        <v>176</v>
      </c>
      <c r="G124" t="s">
        <v>965</v>
      </c>
      <c r="H124" s="13">
        <v>14.717475</v>
      </c>
      <c r="I124" s="13">
        <v>120.91704900000001</v>
      </c>
      <c r="J124" s="13" t="s">
        <v>1933</v>
      </c>
    </row>
    <row r="125" spans="1:10" x14ac:dyDescent="0.2">
      <c r="A125" t="s">
        <v>1881</v>
      </c>
      <c r="B125">
        <v>247</v>
      </c>
      <c r="C125" t="s">
        <v>23</v>
      </c>
      <c r="D125" t="s">
        <v>15</v>
      </c>
      <c r="E125" t="s">
        <v>55</v>
      </c>
      <c r="F125" t="s">
        <v>92</v>
      </c>
      <c r="G125" t="s">
        <v>1342</v>
      </c>
      <c r="H125" s="13">
        <v>14.550269999999999</v>
      </c>
      <c r="I125" s="13">
        <v>121.03269</v>
      </c>
      <c r="J125" s="13" t="s">
        <v>1992</v>
      </c>
    </row>
    <row r="126" spans="1:10" x14ac:dyDescent="0.2">
      <c r="A126" t="s">
        <v>505</v>
      </c>
      <c r="B126">
        <v>246</v>
      </c>
      <c r="C126" t="s">
        <v>43</v>
      </c>
      <c r="D126" t="s">
        <v>15</v>
      </c>
      <c r="E126" t="s">
        <v>44</v>
      </c>
      <c r="F126" t="s">
        <v>44</v>
      </c>
      <c r="G126" t="s">
        <v>506</v>
      </c>
      <c r="H126" s="13">
        <v>14.6940443</v>
      </c>
      <c r="I126" s="13">
        <v>121.09114839999999</v>
      </c>
      <c r="J126" s="13" t="s">
        <v>2169</v>
      </c>
    </row>
    <row r="127" spans="1:10" x14ac:dyDescent="0.2">
      <c r="A127" t="s">
        <v>1732</v>
      </c>
      <c r="B127">
        <v>243</v>
      </c>
      <c r="C127" t="s">
        <v>23</v>
      </c>
      <c r="D127" t="s">
        <v>15</v>
      </c>
      <c r="E127" t="s">
        <v>24</v>
      </c>
      <c r="F127" t="s">
        <v>395</v>
      </c>
      <c r="G127" t="s">
        <v>1733</v>
      </c>
      <c r="H127" s="13">
        <v>14.605733000000001</v>
      </c>
      <c r="I127" s="13">
        <v>120.98737800000001</v>
      </c>
      <c r="J127" s="13" t="s">
        <v>1938</v>
      </c>
    </row>
    <row r="128" spans="1:10" x14ac:dyDescent="0.2">
      <c r="A128" t="s">
        <v>223</v>
      </c>
      <c r="B128">
        <v>240</v>
      </c>
      <c r="C128" t="s">
        <v>23</v>
      </c>
      <c r="D128" t="s">
        <v>15</v>
      </c>
      <c r="E128" t="s">
        <v>16</v>
      </c>
      <c r="F128" t="s">
        <v>224</v>
      </c>
      <c r="G128" t="s">
        <v>225</v>
      </c>
      <c r="H128" s="13">
        <v>14.397010699999999</v>
      </c>
      <c r="I128" s="13">
        <v>121.0450342</v>
      </c>
      <c r="J128" s="13" t="s">
        <v>1970</v>
      </c>
    </row>
    <row r="129" spans="1:10" x14ac:dyDescent="0.2">
      <c r="A129" t="s">
        <v>1820</v>
      </c>
      <c r="B129">
        <v>235</v>
      </c>
      <c r="C129" t="s">
        <v>23</v>
      </c>
      <c r="D129" t="s">
        <v>15</v>
      </c>
      <c r="E129" t="s">
        <v>16</v>
      </c>
      <c r="F129" t="s">
        <v>224</v>
      </c>
      <c r="G129" t="s">
        <v>1821</v>
      </c>
      <c r="H129" s="13">
        <v>14.397010699999999</v>
      </c>
      <c r="I129" s="13">
        <v>121.0450342</v>
      </c>
      <c r="J129" s="13" t="s">
        <v>1970</v>
      </c>
    </row>
    <row r="130" spans="1:10" x14ac:dyDescent="0.2">
      <c r="A130" t="s">
        <v>968</v>
      </c>
      <c r="B130">
        <v>235</v>
      </c>
      <c r="C130" t="s">
        <v>23</v>
      </c>
      <c r="D130" t="s">
        <v>15</v>
      </c>
      <c r="E130" t="s">
        <v>24</v>
      </c>
      <c r="F130" t="s">
        <v>25</v>
      </c>
      <c r="G130" t="s">
        <v>969</v>
      </c>
      <c r="H130" s="13">
        <v>14.588067000000001</v>
      </c>
      <c r="I130" s="13">
        <v>120.9777145</v>
      </c>
      <c r="J130" s="13" t="s">
        <v>2011</v>
      </c>
    </row>
    <row r="131" spans="1:10" x14ac:dyDescent="0.2">
      <c r="A131" t="s">
        <v>558</v>
      </c>
      <c r="B131">
        <v>234</v>
      </c>
      <c r="C131" t="s">
        <v>23</v>
      </c>
      <c r="D131" t="s">
        <v>15</v>
      </c>
      <c r="E131" t="s">
        <v>16</v>
      </c>
      <c r="F131" t="s">
        <v>17</v>
      </c>
      <c r="G131" t="s">
        <v>559</v>
      </c>
      <c r="H131" s="13">
        <v>9.3105259999999994</v>
      </c>
      <c r="I131" s="13">
        <v>123.30719000000001</v>
      </c>
      <c r="J131" s="13" t="s">
        <v>1956</v>
      </c>
    </row>
    <row r="132" spans="1:10" x14ac:dyDescent="0.2">
      <c r="A132" t="s">
        <v>1248</v>
      </c>
      <c r="B132">
        <v>232</v>
      </c>
      <c r="C132" t="s">
        <v>23</v>
      </c>
      <c r="D132" t="s">
        <v>15</v>
      </c>
      <c r="E132" t="s">
        <v>24</v>
      </c>
      <c r="F132" t="s">
        <v>135</v>
      </c>
      <c r="G132" t="s">
        <v>1249</v>
      </c>
      <c r="H132" s="13">
        <v>14.565798600000001</v>
      </c>
      <c r="I132" s="13">
        <v>120.9957593</v>
      </c>
      <c r="J132" s="13" t="s">
        <v>1990</v>
      </c>
    </row>
    <row r="133" spans="1:10" x14ac:dyDescent="0.2">
      <c r="A133" t="s">
        <v>1183</v>
      </c>
      <c r="B133">
        <v>231</v>
      </c>
      <c r="C133" t="s">
        <v>23</v>
      </c>
      <c r="D133" t="s">
        <v>15</v>
      </c>
      <c r="E133" t="s">
        <v>44</v>
      </c>
      <c r="F133" t="s">
        <v>44</v>
      </c>
      <c r="G133" t="s">
        <v>1184</v>
      </c>
      <c r="H133" s="13">
        <v>14.7393448</v>
      </c>
      <c r="I133" s="13">
        <v>121.02655970000001</v>
      </c>
      <c r="J133" s="13" t="s">
        <v>1961</v>
      </c>
    </row>
    <row r="134" spans="1:10" x14ac:dyDescent="0.2">
      <c r="A134" t="s">
        <v>323</v>
      </c>
      <c r="B134">
        <v>230</v>
      </c>
      <c r="C134" t="s">
        <v>23</v>
      </c>
      <c r="D134" t="s">
        <v>15</v>
      </c>
      <c r="E134" t="s">
        <v>16</v>
      </c>
      <c r="F134" t="s">
        <v>108</v>
      </c>
      <c r="G134" t="s">
        <v>324</v>
      </c>
      <c r="H134" s="13">
        <v>14.48156</v>
      </c>
      <c r="I134" s="13">
        <v>121.01749</v>
      </c>
      <c r="J134" s="13" t="s">
        <v>1931</v>
      </c>
    </row>
    <row r="135" spans="1:10" x14ac:dyDescent="0.2">
      <c r="A135" t="s">
        <v>746</v>
      </c>
      <c r="B135">
        <v>228</v>
      </c>
      <c r="C135" t="s">
        <v>23</v>
      </c>
      <c r="D135" t="s">
        <v>15</v>
      </c>
      <c r="E135" t="s">
        <v>72</v>
      </c>
      <c r="F135" t="s">
        <v>73</v>
      </c>
      <c r="G135" t="s">
        <v>747</v>
      </c>
      <c r="H135" s="13">
        <v>14.985932999999999</v>
      </c>
      <c r="I135" s="13">
        <v>120.76424</v>
      </c>
      <c r="J135" s="13" t="s">
        <v>1971</v>
      </c>
    </row>
    <row r="136" spans="1:10" x14ac:dyDescent="0.2">
      <c r="A136" t="s">
        <v>1102</v>
      </c>
      <c r="B136">
        <v>224</v>
      </c>
      <c r="C136" t="s">
        <v>23</v>
      </c>
      <c r="D136" t="s">
        <v>15</v>
      </c>
      <c r="E136" t="s">
        <v>44</v>
      </c>
      <c r="F136" t="s">
        <v>44</v>
      </c>
      <c r="G136" t="s">
        <v>1103</v>
      </c>
      <c r="H136" s="13">
        <v>14.650435</v>
      </c>
      <c r="I136" s="13">
        <v>121.029966</v>
      </c>
      <c r="J136" s="13" t="s">
        <v>1914</v>
      </c>
    </row>
    <row r="137" spans="1:10" x14ac:dyDescent="0.2">
      <c r="A137" t="s">
        <v>1060</v>
      </c>
      <c r="B137">
        <v>223</v>
      </c>
      <c r="C137" t="s">
        <v>23</v>
      </c>
      <c r="D137" t="s">
        <v>15</v>
      </c>
      <c r="E137" t="s">
        <v>36</v>
      </c>
      <c r="F137" t="s">
        <v>37</v>
      </c>
      <c r="G137" t="s">
        <v>1896</v>
      </c>
      <c r="H137" s="13">
        <v>14.7090236</v>
      </c>
      <c r="I137" s="13">
        <v>120.9599032</v>
      </c>
      <c r="J137" s="13" t="s">
        <v>2139</v>
      </c>
    </row>
    <row r="138" spans="1:10" x14ac:dyDescent="0.2">
      <c r="A138" t="s">
        <v>1234</v>
      </c>
      <c r="B138">
        <v>222</v>
      </c>
      <c r="C138" t="s">
        <v>23</v>
      </c>
      <c r="D138" t="s">
        <v>15</v>
      </c>
      <c r="E138" t="s">
        <v>24</v>
      </c>
      <c r="F138" t="s">
        <v>135</v>
      </c>
      <c r="G138" t="s">
        <v>1235</v>
      </c>
      <c r="H138" s="13">
        <v>14.575313599999999</v>
      </c>
      <c r="I138" s="13">
        <v>120.9888059</v>
      </c>
      <c r="J138" s="13" t="s">
        <v>1922</v>
      </c>
    </row>
    <row r="139" spans="1:10" x14ac:dyDescent="0.2">
      <c r="A139" t="s">
        <v>553</v>
      </c>
      <c r="B139">
        <v>218</v>
      </c>
      <c r="C139" t="s">
        <v>23</v>
      </c>
      <c r="D139" t="s">
        <v>15</v>
      </c>
      <c r="E139" t="s">
        <v>36</v>
      </c>
      <c r="F139" t="s">
        <v>207</v>
      </c>
      <c r="G139" t="s">
        <v>554</v>
      </c>
      <c r="H139" s="13">
        <v>14.6541976</v>
      </c>
      <c r="I139" s="13">
        <v>120.9769082</v>
      </c>
      <c r="J139" s="13" t="s">
        <v>1985</v>
      </c>
    </row>
    <row r="140" spans="1:10" x14ac:dyDescent="0.2">
      <c r="A140" t="s">
        <v>1668</v>
      </c>
      <c r="B140">
        <v>217</v>
      </c>
      <c r="C140" t="s">
        <v>23</v>
      </c>
      <c r="D140" t="s">
        <v>15</v>
      </c>
      <c r="E140" t="s">
        <v>44</v>
      </c>
      <c r="F140" t="s">
        <v>44</v>
      </c>
      <c r="G140" t="s">
        <v>1669</v>
      </c>
      <c r="H140" s="13">
        <v>14.639918</v>
      </c>
      <c r="I140" s="13">
        <v>121.0165756</v>
      </c>
      <c r="J140" s="13" t="s">
        <v>2058</v>
      </c>
    </row>
    <row r="141" spans="1:10" x14ac:dyDescent="0.2">
      <c r="A141" t="s">
        <v>632</v>
      </c>
      <c r="B141">
        <v>215</v>
      </c>
      <c r="C141" t="s">
        <v>23</v>
      </c>
      <c r="D141" t="s">
        <v>15</v>
      </c>
      <c r="E141" t="s">
        <v>72</v>
      </c>
      <c r="F141" t="s">
        <v>119</v>
      </c>
      <c r="G141" t="s">
        <v>633</v>
      </c>
      <c r="H141" s="13">
        <v>14.58691</v>
      </c>
      <c r="I141" s="13">
        <v>121.06140000000001</v>
      </c>
      <c r="J141" s="13" t="s">
        <v>1999</v>
      </c>
    </row>
    <row r="142" spans="1:10" x14ac:dyDescent="0.2">
      <c r="A142" t="s">
        <v>1663</v>
      </c>
      <c r="B142">
        <v>215</v>
      </c>
      <c r="C142" t="s">
        <v>23</v>
      </c>
      <c r="D142" t="s">
        <v>15</v>
      </c>
      <c r="E142" t="s">
        <v>55</v>
      </c>
      <c r="F142" t="s">
        <v>92</v>
      </c>
      <c r="G142" t="s">
        <v>1664</v>
      </c>
      <c r="H142" s="13">
        <v>14.543682799999999</v>
      </c>
      <c r="I142" s="13">
        <v>121.0177372</v>
      </c>
      <c r="J142" s="13" t="s">
        <v>2088</v>
      </c>
    </row>
    <row r="143" spans="1:10" x14ac:dyDescent="0.2">
      <c r="A143" t="s">
        <v>1804</v>
      </c>
      <c r="B143">
        <v>215</v>
      </c>
      <c r="C143" t="s">
        <v>23</v>
      </c>
      <c r="D143" t="s">
        <v>15</v>
      </c>
      <c r="E143" t="s">
        <v>24</v>
      </c>
      <c r="F143" t="s">
        <v>166</v>
      </c>
      <c r="G143" t="s">
        <v>1805</v>
      </c>
      <c r="H143" s="13">
        <v>14.5889694</v>
      </c>
      <c r="I143" s="13">
        <v>120.9822521</v>
      </c>
      <c r="J143" s="13" t="s">
        <v>2164</v>
      </c>
    </row>
    <row r="144" spans="1:10" x14ac:dyDescent="0.2">
      <c r="A144" t="s">
        <v>1714</v>
      </c>
      <c r="B144">
        <v>213</v>
      </c>
      <c r="C144" t="s">
        <v>23</v>
      </c>
      <c r="D144" t="s">
        <v>15</v>
      </c>
      <c r="E144" t="s">
        <v>36</v>
      </c>
      <c r="F144" t="s">
        <v>145</v>
      </c>
      <c r="G144" t="s">
        <v>1715</v>
      </c>
      <c r="H144" s="13">
        <v>14.666831999999999</v>
      </c>
      <c r="I144" s="13">
        <v>120.942919</v>
      </c>
      <c r="J144" s="13" t="s">
        <v>2073</v>
      </c>
    </row>
    <row r="145" spans="1:10" x14ac:dyDescent="0.2">
      <c r="A145" t="s">
        <v>645</v>
      </c>
      <c r="B145">
        <v>213</v>
      </c>
      <c r="C145" t="s">
        <v>23</v>
      </c>
      <c r="D145" t="s">
        <v>15</v>
      </c>
      <c r="E145" t="s">
        <v>36</v>
      </c>
      <c r="F145" t="s">
        <v>207</v>
      </c>
      <c r="G145" t="s">
        <v>646</v>
      </c>
      <c r="H145" s="13">
        <v>14.747171700000001</v>
      </c>
      <c r="I145" s="13">
        <v>121.014663</v>
      </c>
      <c r="J145" s="13" t="s">
        <v>2137</v>
      </c>
    </row>
    <row r="146" spans="1:10" x14ac:dyDescent="0.2">
      <c r="A146" t="s">
        <v>1334</v>
      </c>
      <c r="B146">
        <v>210</v>
      </c>
      <c r="C146" t="s">
        <v>23</v>
      </c>
      <c r="D146" t="s">
        <v>15</v>
      </c>
      <c r="E146" t="s">
        <v>24</v>
      </c>
      <c r="F146" t="s">
        <v>1335</v>
      </c>
      <c r="G146" t="s">
        <v>1336</v>
      </c>
      <c r="H146" s="13">
        <v>14.598704100000001</v>
      </c>
      <c r="I146" s="13">
        <v>120.9948105</v>
      </c>
      <c r="J146" s="13" t="s">
        <v>1987</v>
      </c>
    </row>
    <row r="147" spans="1:10" x14ac:dyDescent="0.2">
      <c r="A147" t="s">
        <v>1591</v>
      </c>
      <c r="B147">
        <v>210</v>
      </c>
      <c r="C147" t="s">
        <v>23</v>
      </c>
      <c r="D147" t="s">
        <v>15</v>
      </c>
      <c r="E147" t="s">
        <v>72</v>
      </c>
      <c r="F147" t="s">
        <v>73</v>
      </c>
      <c r="G147" t="s">
        <v>1592</v>
      </c>
      <c r="H147" s="13">
        <v>14.6488589</v>
      </c>
      <c r="I147" s="13">
        <v>121.12325199999999</v>
      </c>
      <c r="J147" s="13" t="s">
        <v>2147</v>
      </c>
    </row>
    <row r="148" spans="1:10" x14ac:dyDescent="0.2">
      <c r="A148" t="s">
        <v>1238</v>
      </c>
      <c r="B148">
        <v>206</v>
      </c>
      <c r="C148" t="s">
        <v>23</v>
      </c>
      <c r="D148" t="s">
        <v>15</v>
      </c>
      <c r="E148" t="s">
        <v>24</v>
      </c>
      <c r="F148" t="s">
        <v>818</v>
      </c>
      <c r="G148" t="s">
        <v>1239</v>
      </c>
      <c r="H148" s="13">
        <v>14.593819</v>
      </c>
      <c r="I148" s="13">
        <v>120.992302</v>
      </c>
      <c r="J148" s="13" t="s">
        <v>1958</v>
      </c>
    </row>
    <row r="149" spans="1:10" x14ac:dyDescent="0.2">
      <c r="A149" t="s">
        <v>1612</v>
      </c>
      <c r="B149">
        <v>204</v>
      </c>
      <c r="C149" t="s">
        <v>23</v>
      </c>
      <c r="D149" t="s">
        <v>15</v>
      </c>
      <c r="E149" t="s">
        <v>72</v>
      </c>
      <c r="F149" t="s">
        <v>73</v>
      </c>
      <c r="G149" t="s">
        <v>1613</v>
      </c>
      <c r="H149" s="13">
        <v>14.605733000000001</v>
      </c>
      <c r="I149" s="13">
        <v>120.98737800000001</v>
      </c>
      <c r="J149" s="13" t="s">
        <v>1938</v>
      </c>
    </row>
    <row r="150" spans="1:10" x14ac:dyDescent="0.2">
      <c r="A150" t="s">
        <v>181</v>
      </c>
      <c r="B150">
        <v>203</v>
      </c>
      <c r="C150" t="s">
        <v>23</v>
      </c>
      <c r="D150" t="s">
        <v>15</v>
      </c>
      <c r="E150" t="s">
        <v>24</v>
      </c>
      <c r="F150" t="s">
        <v>182</v>
      </c>
      <c r="G150" t="s">
        <v>183</v>
      </c>
      <c r="H150" s="13">
        <v>14.593819</v>
      </c>
      <c r="I150" s="13">
        <v>120.992302</v>
      </c>
      <c r="J150" s="13" t="s">
        <v>1958</v>
      </c>
    </row>
    <row r="151" spans="1:10" x14ac:dyDescent="0.2">
      <c r="A151" t="s">
        <v>1470</v>
      </c>
      <c r="B151">
        <v>199</v>
      </c>
      <c r="C151" t="s">
        <v>23</v>
      </c>
      <c r="D151" t="s">
        <v>15</v>
      </c>
      <c r="E151" t="s">
        <v>44</v>
      </c>
      <c r="F151" t="s">
        <v>44</v>
      </c>
      <c r="G151" t="s">
        <v>1471</v>
      </c>
      <c r="H151" s="13">
        <v>14.650435</v>
      </c>
      <c r="I151" s="13">
        <v>121.029966</v>
      </c>
      <c r="J151" s="13" t="s">
        <v>1914</v>
      </c>
    </row>
    <row r="152" spans="1:10" x14ac:dyDescent="0.2">
      <c r="A152" t="s">
        <v>65</v>
      </c>
      <c r="B152">
        <v>199</v>
      </c>
      <c r="C152" t="s">
        <v>66</v>
      </c>
      <c r="D152" t="s">
        <v>15</v>
      </c>
      <c r="E152" t="s">
        <v>36</v>
      </c>
      <c r="F152" t="s">
        <v>37</v>
      </c>
      <c r="G152" t="s">
        <v>67</v>
      </c>
      <c r="H152" s="13">
        <v>14.699150599999999</v>
      </c>
      <c r="I152" s="13">
        <v>120.99496478397199</v>
      </c>
      <c r="J152" s="13" t="s">
        <v>2171</v>
      </c>
    </row>
    <row r="153" spans="1:10" x14ac:dyDescent="0.2">
      <c r="A153" t="s">
        <v>1445</v>
      </c>
      <c r="B153">
        <v>198</v>
      </c>
      <c r="C153" t="s">
        <v>23</v>
      </c>
      <c r="D153" t="s">
        <v>15</v>
      </c>
      <c r="E153" t="s">
        <v>55</v>
      </c>
      <c r="F153" t="s">
        <v>56</v>
      </c>
      <c r="G153" t="s">
        <v>1446</v>
      </c>
      <c r="H153" s="13">
        <v>14.550440999999999</v>
      </c>
      <c r="I153" s="13">
        <v>120.999994</v>
      </c>
      <c r="J153" s="13" t="s">
        <v>1960</v>
      </c>
    </row>
    <row r="154" spans="1:10" x14ac:dyDescent="0.2">
      <c r="A154" t="s">
        <v>466</v>
      </c>
      <c r="B154">
        <v>197</v>
      </c>
      <c r="C154" t="s">
        <v>23</v>
      </c>
      <c r="D154" t="s">
        <v>15</v>
      </c>
      <c r="E154" t="s">
        <v>16</v>
      </c>
      <c r="F154" t="s">
        <v>224</v>
      </c>
      <c r="G154" t="s">
        <v>467</v>
      </c>
      <c r="H154" s="13">
        <v>14.4172058</v>
      </c>
      <c r="I154" s="13">
        <v>121.0497584</v>
      </c>
      <c r="J154" s="13" t="s">
        <v>2112</v>
      </c>
    </row>
    <row r="155" spans="1:10" x14ac:dyDescent="0.2">
      <c r="A155" t="s">
        <v>470</v>
      </c>
      <c r="B155">
        <v>197</v>
      </c>
      <c r="C155" t="s">
        <v>23</v>
      </c>
      <c r="D155" t="s">
        <v>15</v>
      </c>
      <c r="E155" t="s">
        <v>36</v>
      </c>
      <c r="F155" t="s">
        <v>207</v>
      </c>
      <c r="G155" t="s">
        <v>471</v>
      </c>
      <c r="H155" s="13">
        <v>14.763158799999999</v>
      </c>
      <c r="I155" s="13">
        <v>121.0865041</v>
      </c>
      <c r="J155" s="13" t="s">
        <v>2158</v>
      </c>
    </row>
    <row r="156" spans="1:10" x14ac:dyDescent="0.2">
      <c r="A156" t="s">
        <v>276</v>
      </c>
      <c r="B156">
        <v>191</v>
      </c>
      <c r="C156" t="s">
        <v>23</v>
      </c>
      <c r="D156" t="s">
        <v>15</v>
      </c>
      <c r="E156" t="s">
        <v>16</v>
      </c>
      <c r="F156" t="s">
        <v>224</v>
      </c>
      <c r="G156" t="s">
        <v>277</v>
      </c>
      <c r="H156" s="13">
        <v>14.418170999999999</v>
      </c>
      <c r="I156" s="13">
        <v>121.04796640000001</v>
      </c>
      <c r="J156" s="13" t="s">
        <v>2017</v>
      </c>
    </row>
    <row r="157" spans="1:10" x14ac:dyDescent="0.2">
      <c r="A157" t="s">
        <v>520</v>
      </c>
      <c r="B157">
        <v>190</v>
      </c>
      <c r="C157" t="s">
        <v>23</v>
      </c>
      <c r="D157" t="s">
        <v>15</v>
      </c>
      <c r="E157" t="s">
        <v>55</v>
      </c>
      <c r="F157" t="s">
        <v>56</v>
      </c>
      <c r="G157" t="s">
        <v>521</v>
      </c>
      <c r="H157" s="13">
        <v>7.1111310000000003</v>
      </c>
      <c r="I157" s="13">
        <v>125.609471</v>
      </c>
      <c r="J157" s="13" t="s">
        <v>2140</v>
      </c>
    </row>
    <row r="158" spans="1:10" x14ac:dyDescent="0.2">
      <c r="A158" t="s">
        <v>1324</v>
      </c>
      <c r="B158">
        <v>189</v>
      </c>
      <c r="C158" t="s">
        <v>23</v>
      </c>
      <c r="D158" t="s">
        <v>15</v>
      </c>
      <c r="E158" t="s">
        <v>24</v>
      </c>
      <c r="F158" t="s">
        <v>182</v>
      </c>
      <c r="G158" t="s">
        <v>1325</v>
      </c>
      <c r="H158" s="13">
        <v>14.593819</v>
      </c>
      <c r="I158" s="13">
        <v>120.992302</v>
      </c>
      <c r="J158" s="13" t="s">
        <v>1958</v>
      </c>
    </row>
    <row r="159" spans="1:10" x14ac:dyDescent="0.2">
      <c r="A159" t="s">
        <v>751</v>
      </c>
      <c r="B159">
        <v>188</v>
      </c>
      <c r="C159" t="s">
        <v>23</v>
      </c>
      <c r="D159" t="s">
        <v>15</v>
      </c>
      <c r="E159" t="s">
        <v>36</v>
      </c>
      <c r="F159" t="s">
        <v>207</v>
      </c>
      <c r="G159" t="s">
        <v>752</v>
      </c>
      <c r="H159" s="13">
        <v>14.605733000000001</v>
      </c>
      <c r="I159" s="13">
        <v>120.98737800000001</v>
      </c>
      <c r="J159" s="13" t="s">
        <v>1938</v>
      </c>
    </row>
    <row r="160" spans="1:10" x14ac:dyDescent="0.2">
      <c r="A160" t="s">
        <v>129</v>
      </c>
      <c r="B160">
        <v>186</v>
      </c>
      <c r="C160" t="s">
        <v>23</v>
      </c>
      <c r="D160" t="s">
        <v>15</v>
      </c>
      <c r="E160" t="s">
        <v>16</v>
      </c>
      <c r="F160" t="s">
        <v>108</v>
      </c>
      <c r="G160" t="s">
        <v>130</v>
      </c>
      <c r="H160" s="13">
        <v>14.4536543</v>
      </c>
      <c r="I160" s="13">
        <v>121.045509</v>
      </c>
      <c r="J160" s="13" t="s">
        <v>2010</v>
      </c>
    </row>
    <row r="161" spans="1:10" x14ac:dyDescent="0.2">
      <c r="A161" t="s">
        <v>1056</v>
      </c>
      <c r="B161">
        <v>183</v>
      </c>
      <c r="C161" t="s">
        <v>23</v>
      </c>
      <c r="D161" t="s">
        <v>15</v>
      </c>
      <c r="E161" t="s">
        <v>36</v>
      </c>
      <c r="F161" t="s">
        <v>37</v>
      </c>
      <c r="G161" t="s">
        <v>1057</v>
      </c>
      <c r="H161" s="13">
        <v>14.689484</v>
      </c>
      <c r="I161" s="13">
        <v>120.977829</v>
      </c>
      <c r="J161" s="13" t="s">
        <v>2136</v>
      </c>
    </row>
    <row r="162" spans="1:10" x14ac:dyDescent="0.2">
      <c r="A162" t="s">
        <v>285</v>
      </c>
      <c r="B162">
        <v>182</v>
      </c>
      <c r="C162" t="s">
        <v>23</v>
      </c>
      <c r="D162" t="s">
        <v>15</v>
      </c>
      <c r="E162" t="s">
        <v>16</v>
      </c>
      <c r="F162" t="s">
        <v>108</v>
      </c>
      <c r="G162" t="s">
        <v>286</v>
      </c>
      <c r="H162" s="13">
        <v>14.456980400000001</v>
      </c>
      <c r="I162" s="13">
        <v>121.0531587</v>
      </c>
      <c r="J162" s="13" t="s">
        <v>1917</v>
      </c>
    </row>
    <row r="163" spans="1:10" x14ac:dyDescent="0.2">
      <c r="A163" t="s">
        <v>768</v>
      </c>
      <c r="B163">
        <v>182</v>
      </c>
      <c r="C163" t="s">
        <v>43</v>
      </c>
      <c r="D163" t="s">
        <v>15</v>
      </c>
      <c r="E163" t="s">
        <v>24</v>
      </c>
      <c r="F163" t="s">
        <v>80</v>
      </c>
      <c r="G163" t="s">
        <v>769</v>
      </c>
      <c r="H163" s="13">
        <v>14.617937</v>
      </c>
      <c r="I163" s="13">
        <v>120.99864599999999</v>
      </c>
      <c r="J163" s="13" t="s">
        <v>1910</v>
      </c>
    </row>
    <row r="164" spans="1:10" x14ac:dyDescent="0.2">
      <c r="A164" t="s">
        <v>593</v>
      </c>
      <c r="B164">
        <v>181</v>
      </c>
      <c r="C164" t="s">
        <v>23</v>
      </c>
      <c r="D164" t="s">
        <v>15</v>
      </c>
      <c r="E164" t="s">
        <v>16</v>
      </c>
      <c r="F164" t="s">
        <v>456</v>
      </c>
      <c r="G164" t="s">
        <v>594</v>
      </c>
      <c r="H164" s="13">
        <v>14.46945</v>
      </c>
      <c r="I164" s="13">
        <v>120.97211799999999</v>
      </c>
      <c r="J164" s="13" t="s">
        <v>2067</v>
      </c>
    </row>
    <row r="165" spans="1:10" x14ac:dyDescent="0.2">
      <c r="A165" t="s">
        <v>608</v>
      </c>
      <c r="B165">
        <v>180</v>
      </c>
      <c r="C165" t="s">
        <v>23</v>
      </c>
      <c r="D165" t="s">
        <v>15</v>
      </c>
      <c r="E165" t="s">
        <v>36</v>
      </c>
      <c r="F165" t="s">
        <v>207</v>
      </c>
      <c r="G165" t="s">
        <v>609</v>
      </c>
      <c r="H165" s="13">
        <v>14.755382000000001</v>
      </c>
      <c r="I165" s="13">
        <v>121.03057800000001</v>
      </c>
      <c r="J165" s="13" t="s">
        <v>1998</v>
      </c>
    </row>
    <row r="166" spans="1:10" x14ac:dyDescent="0.2">
      <c r="A166" t="s">
        <v>755</v>
      </c>
      <c r="B166">
        <v>179</v>
      </c>
      <c r="C166" t="s">
        <v>23</v>
      </c>
      <c r="D166" t="s">
        <v>15</v>
      </c>
      <c r="E166" t="s">
        <v>72</v>
      </c>
      <c r="F166" t="s">
        <v>73</v>
      </c>
      <c r="G166" t="s">
        <v>756</v>
      </c>
      <c r="H166" s="13">
        <v>14.648099999999999</v>
      </c>
      <c r="I166" s="13">
        <v>121.1133</v>
      </c>
      <c r="J166" s="13" t="s">
        <v>2066</v>
      </c>
    </row>
    <row r="167" spans="1:10" x14ac:dyDescent="0.2">
      <c r="A167" t="s">
        <v>1269</v>
      </c>
      <c r="B167">
        <v>178</v>
      </c>
      <c r="C167" t="s">
        <v>23</v>
      </c>
      <c r="D167" t="s">
        <v>15</v>
      </c>
      <c r="E167" t="s">
        <v>44</v>
      </c>
      <c r="F167" t="s">
        <v>44</v>
      </c>
      <c r="G167" t="s">
        <v>1270</v>
      </c>
      <c r="H167" s="13">
        <v>14.672129200000001</v>
      </c>
      <c r="I167" s="13">
        <v>121.06827490000001</v>
      </c>
      <c r="J167" s="13" t="s">
        <v>2041</v>
      </c>
    </row>
    <row r="168" spans="1:10" x14ac:dyDescent="0.2">
      <c r="A168" t="s">
        <v>778</v>
      </c>
      <c r="B168">
        <v>177</v>
      </c>
      <c r="C168" t="s">
        <v>23</v>
      </c>
      <c r="D168" t="s">
        <v>15</v>
      </c>
      <c r="E168" t="s">
        <v>55</v>
      </c>
      <c r="F168" t="s">
        <v>56</v>
      </c>
      <c r="G168" t="s">
        <v>779</v>
      </c>
      <c r="H168" s="13">
        <v>14.541658999999999</v>
      </c>
      <c r="I168" s="13">
        <v>121.007705</v>
      </c>
      <c r="J168" s="13" t="s">
        <v>2006</v>
      </c>
    </row>
    <row r="169" spans="1:10" x14ac:dyDescent="0.2">
      <c r="A169" t="s">
        <v>97</v>
      </c>
      <c r="B169">
        <v>173</v>
      </c>
      <c r="C169" t="s">
        <v>23</v>
      </c>
      <c r="D169" t="s">
        <v>15</v>
      </c>
      <c r="E169" t="s">
        <v>24</v>
      </c>
      <c r="F169" t="s">
        <v>25</v>
      </c>
      <c r="G169" t="s">
        <v>98</v>
      </c>
      <c r="H169" s="13">
        <v>14.558736100000001</v>
      </c>
      <c r="I169" s="13">
        <v>121.01267679999999</v>
      </c>
      <c r="J169" s="13" t="s">
        <v>1948</v>
      </c>
    </row>
    <row r="170" spans="1:10" x14ac:dyDescent="0.2">
      <c r="A170" t="s">
        <v>485</v>
      </c>
      <c r="B170">
        <v>173</v>
      </c>
      <c r="C170" t="s">
        <v>23</v>
      </c>
      <c r="D170" t="s">
        <v>15</v>
      </c>
      <c r="E170" t="s">
        <v>44</v>
      </c>
      <c r="F170" t="s">
        <v>44</v>
      </c>
      <c r="G170" t="s">
        <v>486</v>
      </c>
      <c r="H170" s="13">
        <v>14.7064202</v>
      </c>
      <c r="I170" s="13">
        <v>121.0671352</v>
      </c>
      <c r="J170" s="13" t="s">
        <v>1997</v>
      </c>
    </row>
    <row r="171" spans="1:10" x14ac:dyDescent="0.2">
      <c r="A171" t="s">
        <v>333</v>
      </c>
      <c r="B171">
        <v>173</v>
      </c>
      <c r="C171" t="s">
        <v>23</v>
      </c>
      <c r="D171" t="s">
        <v>15</v>
      </c>
      <c r="E171" t="s">
        <v>16</v>
      </c>
      <c r="F171" t="s">
        <v>108</v>
      </c>
      <c r="G171" t="s">
        <v>334</v>
      </c>
      <c r="H171" s="13">
        <v>14.465612500000001</v>
      </c>
      <c r="I171" s="13">
        <v>121.01789290000001</v>
      </c>
      <c r="J171" s="13" t="s">
        <v>2116</v>
      </c>
    </row>
    <row r="172" spans="1:10" x14ac:dyDescent="0.2">
      <c r="A172" t="s">
        <v>723</v>
      </c>
      <c r="B172">
        <v>170</v>
      </c>
      <c r="C172" t="s">
        <v>23</v>
      </c>
      <c r="D172" t="s">
        <v>15</v>
      </c>
      <c r="E172" t="s">
        <v>44</v>
      </c>
      <c r="F172" t="s">
        <v>44</v>
      </c>
      <c r="G172" t="s">
        <v>724</v>
      </c>
      <c r="H172" s="13">
        <v>14.6390674</v>
      </c>
      <c r="I172" s="13">
        <v>120.980808</v>
      </c>
      <c r="J172" s="13" t="s">
        <v>1962</v>
      </c>
    </row>
    <row r="173" spans="1:10" x14ac:dyDescent="0.2">
      <c r="A173" t="s">
        <v>688</v>
      </c>
      <c r="B173">
        <v>169</v>
      </c>
      <c r="C173" t="s">
        <v>23</v>
      </c>
      <c r="D173" t="s">
        <v>15</v>
      </c>
      <c r="E173" t="s">
        <v>44</v>
      </c>
      <c r="F173" t="s">
        <v>44</v>
      </c>
      <c r="G173" t="s">
        <v>689</v>
      </c>
      <c r="H173" s="13">
        <v>14.6148191</v>
      </c>
      <c r="I173" s="13">
        <v>121.0706225</v>
      </c>
      <c r="J173" s="13" t="s">
        <v>2033</v>
      </c>
    </row>
    <row r="174" spans="1:10" x14ac:dyDescent="0.2">
      <c r="A174" t="s">
        <v>1282</v>
      </c>
      <c r="B174">
        <v>168</v>
      </c>
      <c r="C174" t="s">
        <v>23</v>
      </c>
      <c r="D174" t="s">
        <v>15</v>
      </c>
      <c r="E174" t="s">
        <v>55</v>
      </c>
      <c r="F174" t="s">
        <v>56</v>
      </c>
      <c r="G174" t="s">
        <v>1283</v>
      </c>
      <c r="H174" s="13">
        <v>14.550440999999999</v>
      </c>
      <c r="I174" s="13">
        <v>120.999994</v>
      </c>
      <c r="J174" s="13" t="s">
        <v>1960</v>
      </c>
    </row>
    <row r="175" spans="1:10" x14ac:dyDescent="0.2">
      <c r="A175" t="s">
        <v>1292</v>
      </c>
      <c r="B175">
        <v>168</v>
      </c>
      <c r="C175" t="s">
        <v>23</v>
      </c>
      <c r="D175" t="s">
        <v>15</v>
      </c>
      <c r="E175" t="s">
        <v>16</v>
      </c>
      <c r="F175" t="s">
        <v>108</v>
      </c>
      <c r="G175" t="s">
        <v>1293</v>
      </c>
      <c r="H175" s="13">
        <v>14.455512300000001</v>
      </c>
      <c r="I175" s="13">
        <v>121.0394952</v>
      </c>
      <c r="J175" s="13" t="s">
        <v>2094</v>
      </c>
    </row>
    <row r="176" spans="1:10" x14ac:dyDescent="0.2">
      <c r="A176" t="s">
        <v>563</v>
      </c>
      <c r="B176">
        <v>168</v>
      </c>
      <c r="C176" t="s">
        <v>23</v>
      </c>
      <c r="D176" t="s">
        <v>15</v>
      </c>
      <c r="E176" t="s">
        <v>44</v>
      </c>
      <c r="F176" t="s">
        <v>44</v>
      </c>
      <c r="G176" t="s">
        <v>564</v>
      </c>
      <c r="H176" s="13">
        <v>14.6232658</v>
      </c>
      <c r="I176" s="13">
        <v>121.05391299999999</v>
      </c>
      <c r="J176" s="13" t="s">
        <v>2176</v>
      </c>
    </row>
    <row r="177" spans="1:10" x14ac:dyDescent="0.2">
      <c r="A177" t="s">
        <v>714</v>
      </c>
      <c r="B177">
        <v>165</v>
      </c>
      <c r="C177" t="s">
        <v>23</v>
      </c>
      <c r="D177" t="s">
        <v>15</v>
      </c>
      <c r="E177" t="s">
        <v>36</v>
      </c>
      <c r="F177" t="s">
        <v>207</v>
      </c>
      <c r="G177" t="s">
        <v>715</v>
      </c>
      <c r="H177" s="13">
        <v>14.437469999999999</v>
      </c>
      <c r="I177" s="13">
        <v>120.949455</v>
      </c>
      <c r="J177" s="13" t="s">
        <v>1925</v>
      </c>
    </row>
    <row r="178" spans="1:10" x14ac:dyDescent="0.2">
      <c r="A178" t="s">
        <v>530</v>
      </c>
      <c r="B178">
        <v>165</v>
      </c>
      <c r="C178" t="s">
        <v>66</v>
      </c>
      <c r="D178" t="s">
        <v>15</v>
      </c>
      <c r="E178" t="s">
        <v>36</v>
      </c>
      <c r="F178" t="s">
        <v>145</v>
      </c>
      <c r="G178" t="s">
        <v>531</v>
      </c>
      <c r="H178" s="14">
        <v>14.640606992216499</v>
      </c>
      <c r="I178" s="14">
        <v>120.95794669086899</v>
      </c>
      <c r="J178" s="14"/>
    </row>
    <row r="179" spans="1:10" x14ac:dyDescent="0.2">
      <c r="A179" t="s">
        <v>1096</v>
      </c>
      <c r="B179">
        <v>164</v>
      </c>
      <c r="C179" t="s">
        <v>23</v>
      </c>
      <c r="D179" t="s">
        <v>15</v>
      </c>
      <c r="E179" t="s">
        <v>72</v>
      </c>
      <c r="F179" t="s">
        <v>213</v>
      </c>
      <c r="G179" t="s">
        <v>1097</v>
      </c>
      <c r="H179" s="13">
        <v>14.5900692</v>
      </c>
      <c r="I179" s="13">
        <v>121.0345598</v>
      </c>
      <c r="J179" s="13" t="s">
        <v>1901</v>
      </c>
    </row>
    <row r="180" spans="1:10" x14ac:dyDescent="0.2">
      <c r="A180" t="s">
        <v>1127</v>
      </c>
      <c r="B180">
        <v>163</v>
      </c>
      <c r="C180" t="s">
        <v>23</v>
      </c>
      <c r="D180" t="s">
        <v>15</v>
      </c>
      <c r="E180" t="s">
        <v>44</v>
      </c>
      <c r="F180" t="s">
        <v>44</v>
      </c>
      <c r="G180" t="s">
        <v>1128</v>
      </c>
      <c r="H180" s="13">
        <v>14.655016</v>
      </c>
      <c r="I180" s="13">
        <v>121.034413</v>
      </c>
      <c r="J180" s="13" t="s">
        <v>1995</v>
      </c>
    </row>
    <row r="181" spans="1:10" x14ac:dyDescent="0.2">
      <c r="A181" t="s">
        <v>1399</v>
      </c>
      <c r="B181">
        <v>163</v>
      </c>
      <c r="C181" t="s">
        <v>23</v>
      </c>
      <c r="D181" t="s">
        <v>15</v>
      </c>
      <c r="E181" t="s">
        <v>16</v>
      </c>
      <c r="F181" t="s">
        <v>17</v>
      </c>
      <c r="G181" t="s">
        <v>1400</v>
      </c>
      <c r="H181" s="13">
        <v>14.5065679</v>
      </c>
      <c r="I181" s="13">
        <v>121.049151707221</v>
      </c>
      <c r="J181" s="13" t="s">
        <v>2037</v>
      </c>
    </row>
    <row r="182" spans="1:10" x14ac:dyDescent="0.2">
      <c r="A182" t="s">
        <v>1718</v>
      </c>
      <c r="B182">
        <v>162</v>
      </c>
      <c r="C182" t="s">
        <v>23</v>
      </c>
      <c r="D182" t="s">
        <v>15</v>
      </c>
      <c r="E182" t="s">
        <v>16</v>
      </c>
      <c r="F182" t="s">
        <v>108</v>
      </c>
      <c r="G182" t="s">
        <v>1719</v>
      </c>
      <c r="H182" s="13">
        <v>14.459227</v>
      </c>
      <c r="I182" s="13">
        <v>121.032561</v>
      </c>
      <c r="J182" s="13" t="s">
        <v>2007</v>
      </c>
    </row>
    <row r="183" spans="1:10" x14ac:dyDescent="0.2">
      <c r="A183" t="s">
        <v>1722</v>
      </c>
      <c r="B183">
        <v>162</v>
      </c>
      <c r="C183" t="s">
        <v>23</v>
      </c>
      <c r="D183" t="s">
        <v>15</v>
      </c>
      <c r="E183" t="s">
        <v>72</v>
      </c>
      <c r="F183" t="s">
        <v>73</v>
      </c>
      <c r="G183" t="s">
        <v>1890</v>
      </c>
      <c r="H183" s="13">
        <v>14.6405888</v>
      </c>
      <c r="I183" s="13">
        <v>121.1208184</v>
      </c>
      <c r="J183" s="13" t="s">
        <v>2084</v>
      </c>
    </row>
    <row r="184" spans="1:10" x14ac:dyDescent="0.2">
      <c r="A184" t="s">
        <v>929</v>
      </c>
      <c r="B184">
        <v>161</v>
      </c>
      <c r="C184" t="s">
        <v>23</v>
      </c>
      <c r="D184" t="s">
        <v>15</v>
      </c>
      <c r="E184" t="s">
        <v>24</v>
      </c>
      <c r="F184" t="s">
        <v>930</v>
      </c>
      <c r="G184" t="s">
        <v>931</v>
      </c>
      <c r="H184" s="13">
        <v>14.599542</v>
      </c>
      <c r="I184" s="13">
        <v>120.97846850000001</v>
      </c>
      <c r="J184" s="13" t="s">
        <v>1937</v>
      </c>
    </row>
    <row r="185" spans="1:10" x14ac:dyDescent="0.2">
      <c r="A185" t="s">
        <v>1312</v>
      </c>
      <c r="B185">
        <v>160</v>
      </c>
      <c r="C185" t="s">
        <v>66</v>
      </c>
      <c r="D185" t="s">
        <v>15</v>
      </c>
      <c r="E185" t="s">
        <v>72</v>
      </c>
      <c r="F185" t="s">
        <v>213</v>
      </c>
      <c r="G185" t="s">
        <v>1313</v>
      </c>
      <c r="H185" s="13">
        <v>14.5846976</v>
      </c>
      <c r="I185" s="13">
        <v>121.03811499627101</v>
      </c>
      <c r="J185" s="13" t="s">
        <v>2049</v>
      </c>
    </row>
    <row r="186" spans="1:10" x14ac:dyDescent="0.2">
      <c r="A186" t="s">
        <v>118</v>
      </c>
      <c r="B186">
        <v>159</v>
      </c>
      <c r="C186" t="s">
        <v>23</v>
      </c>
      <c r="D186" t="s">
        <v>15</v>
      </c>
      <c r="E186" t="s">
        <v>72</v>
      </c>
      <c r="F186" t="s">
        <v>119</v>
      </c>
      <c r="G186" t="s">
        <v>120</v>
      </c>
      <c r="H186" s="13">
        <v>14.561653099999999</v>
      </c>
      <c r="I186" s="13">
        <v>121.06772119999999</v>
      </c>
      <c r="J186" s="13" t="s">
        <v>1964</v>
      </c>
    </row>
    <row r="187" spans="1:10" x14ac:dyDescent="0.2">
      <c r="A187" t="s">
        <v>655</v>
      </c>
      <c r="B187">
        <v>159</v>
      </c>
      <c r="C187" t="s">
        <v>23</v>
      </c>
      <c r="D187" t="s">
        <v>15</v>
      </c>
      <c r="E187" t="s">
        <v>24</v>
      </c>
      <c r="F187" t="s">
        <v>182</v>
      </c>
      <c r="G187" t="s">
        <v>656</v>
      </c>
      <c r="H187" s="13">
        <v>14.621539500000001</v>
      </c>
      <c r="I187" s="13">
        <v>120.9828997</v>
      </c>
      <c r="J187" s="13" t="s">
        <v>2115</v>
      </c>
    </row>
    <row r="188" spans="1:10" x14ac:dyDescent="0.2">
      <c r="A188" t="s">
        <v>920</v>
      </c>
      <c r="B188">
        <v>156</v>
      </c>
      <c r="C188" t="s">
        <v>23</v>
      </c>
      <c r="D188" t="s">
        <v>15</v>
      </c>
      <c r="E188" t="s">
        <v>16</v>
      </c>
      <c r="F188" t="s">
        <v>17</v>
      </c>
      <c r="G188" t="s">
        <v>921</v>
      </c>
      <c r="H188" s="13">
        <v>14.527154100000001</v>
      </c>
      <c r="I188" s="13">
        <v>121.0514496</v>
      </c>
      <c r="J188" s="13" t="s">
        <v>1926</v>
      </c>
    </row>
    <row r="189" spans="1:10" x14ac:dyDescent="0.2">
      <c r="A189" t="s">
        <v>910</v>
      </c>
      <c r="B189">
        <v>155</v>
      </c>
      <c r="C189" t="s">
        <v>23</v>
      </c>
      <c r="D189" t="s">
        <v>15</v>
      </c>
      <c r="E189" t="s">
        <v>24</v>
      </c>
      <c r="F189" t="s">
        <v>80</v>
      </c>
      <c r="G189" t="s">
        <v>911</v>
      </c>
      <c r="H189" s="13">
        <v>14.617937</v>
      </c>
      <c r="I189" s="13">
        <v>120.99864599999999</v>
      </c>
      <c r="J189" s="13" t="s">
        <v>1910</v>
      </c>
    </row>
    <row r="190" spans="1:10" x14ac:dyDescent="0.2">
      <c r="A190" t="s">
        <v>1450</v>
      </c>
      <c r="B190">
        <v>155</v>
      </c>
      <c r="C190" t="s">
        <v>23</v>
      </c>
      <c r="D190" t="s">
        <v>15</v>
      </c>
      <c r="E190" t="s">
        <v>55</v>
      </c>
      <c r="F190" t="s">
        <v>92</v>
      </c>
      <c r="G190" t="s">
        <v>1451</v>
      </c>
      <c r="H190" s="13">
        <v>14.553755199999999</v>
      </c>
      <c r="I190" s="13">
        <v>121.0622771</v>
      </c>
      <c r="J190" s="13" t="s">
        <v>1968</v>
      </c>
    </row>
    <row r="191" spans="1:10" x14ac:dyDescent="0.2">
      <c r="A191" t="s">
        <v>1727</v>
      </c>
      <c r="B191">
        <v>155</v>
      </c>
      <c r="C191" t="s">
        <v>23</v>
      </c>
      <c r="D191" t="s">
        <v>15</v>
      </c>
      <c r="E191" t="s">
        <v>72</v>
      </c>
      <c r="F191" t="s">
        <v>213</v>
      </c>
      <c r="G191" t="s">
        <v>1728</v>
      </c>
      <c r="H191" s="13">
        <v>14.580654900000001</v>
      </c>
      <c r="I191" s="13">
        <v>121.034102</v>
      </c>
      <c r="J191" s="13" t="s">
        <v>2108</v>
      </c>
    </row>
    <row r="192" spans="1:10" x14ac:dyDescent="0.2">
      <c r="A192" t="s">
        <v>1460</v>
      </c>
      <c r="B192">
        <v>154</v>
      </c>
      <c r="C192" t="s">
        <v>23</v>
      </c>
      <c r="D192" t="s">
        <v>15</v>
      </c>
      <c r="E192" t="s">
        <v>16</v>
      </c>
      <c r="F192" t="s">
        <v>17</v>
      </c>
      <c r="G192" t="s">
        <v>1461</v>
      </c>
      <c r="H192" s="13">
        <v>14.5516743</v>
      </c>
      <c r="I192" s="13">
        <v>121.08213739999999</v>
      </c>
      <c r="J192" s="13" t="s">
        <v>2023</v>
      </c>
    </row>
    <row r="193" spans="1:10" x14ac:dyDescent="0.2">
      <c r="A193" t="s">
        <v>1794</v>
      </c>
      <c r="B193">
        <v>154</v>
      </c>
      <c r="C193" t="s">
        <v>23</v>
      </c>
      <c r="D193" t="s">
        <v>15</v>
      </c>
      <c r="E193" t="s">
        <v>24</v>
      </c>
      <c r="F193" t="s">
        <v>166</v>
      </c>
      <c r="G193" t="s">
        <v>1795</v>
      </c>
      <c r="H193" s="13">
        <v>14.644995099999999</v>
      </c>
      <c r="I193" s="13">
        <v>121.061969</v>
      </c>
      <c r="J193" s="13" t="s">
        <v>2032</v>
      </c>
    </row>
    <row r="194" spans="1:10" x14ac:dyDescent="0.2">
      <c r="A194" t="s">
        <v>124</v>
      </c>
      <c r="B194">
        <v>153</v>
      </c>
      <c r="C194" t="s">
        <v>23</v>
      </c>
      <c r="D194" t="s">
        <v>15</v>
      </c>
      <c r="E194" t="s">
        <v>16</v>
      </c>
      <c r="F194" t="s">
        <v>108</v>
      </c>
      <c r="G194" t="s">
        <v>125</v>
      </c>
      <c r="H194" s="13">
        <v>14.473157499999999</v>
      </c>
      <c r="I194" s="13">
        <v>121.0274799</v>
      </c>
      <c r="J194" s="13" t="s">
        <v>2005</v>
      </c>
    </row>
    <row r="195" spans="1:10" x14ac:dyDescent="0.2">
      <c r="A195" t="s">
        <v>515</v>
      </c>
      <c r="B195">
        <v>152</v>
      </c>
      <c r="C195" t="s">
        <v>23</v>
      </c>
      <c r="D195" t="s">
        <v>15</v>
      </c>
      <c r="E195" t="s">
        <v>16</v>
      </c>
      <c r="F195" t="s">
        <v>17</v>
      </c>
      <c r="G195" t="s">
        <v>516</v>
      </c>
      <c r="H195" s="13">
        <v>14.6309234</v>
      </c>
      <c r="I195" s="13">
        <v>120.9954187</v>
      </c>
      <c r="J195" s="13" t="s">
        <v>2155</v>
      </c>
    </row>
    <row r="196" spans="1:10" x14ac:dyDescent="0.2">
      <c r="A196" t="s">
        <v>1799</v>
      </c>
      <c r="B196">
        <v>151</v>
      </c>
      <c r="C196" t="s">
        <v>23</v>
      </c>
      <c r="D196" t="s">
        <v>15</v>
      </c>
      <c r="E196" t="s">
        <v>24</v>
      </c>
      <c r="F196" t="s">
        <v>166</v>
      </c>
      <c r="G196" t="s">
        <v>1800</v>
      </c>
      <c r="H196" s="13">
        <v>14.577014399999999</v>
      </c>
      <c r="I196" s="13">
        <v>120.9904818</v>
      </c>
      <c r="J196" s="13" t="s">
        <v>2074</v>
      </c>
    </row>
    <row r="197" spans="1:10" x14ac:dyDescent="0.2">
      <c r="A197" t="s">
        <v>1005</v>
      </c>
      <c r="B197">
        <v>150</v>
      </c>
      <c r="C197" t="s">
        <v>23</v>
      </c>
      <c r="D197" t="s">
        <v>15</v>
      </c>
      <c r="E197" t="s">
        <v>24</v>
      </c>
      <c r="F197" t="s">
        <v>395</v>
      </c>
      <c r="G197" t="s">
        <v>1006</v>
      </c>
      <c r="H197" s="13">
        <v>14.5880454</v>
      </c>
      <c r="I197" s="13">
        <v>120.9990547</v>
      </c>
      <c r="J197" s="13" t="s">
        <v>2039</v>
      </c>
    </row>
    <row r="198" spans="1:10" x14ac:dyDescent="0.2">
      <c r="A198" t="s">
        <v>1306</v>
      </c>
      <c r="B198">
        <v>148</v>
      </c>
      <c r="C198" t="s">
        <v>66</v>
      </c>
      <c r="D198" t="s">
        <v>15</v>
      </c>
      <c r="E198" t="s">
        <v>36</v>
      </c>
      <c r="F198" t="s">
        <v>176</v>
      </c>
      <c r="G198" t="s">
        <v>1307</v>
      </c>
      <c r="H198" s="13">
        <v>14.668262</v>
      </c>
      <c r="I198" s="13">
        <v>120.96622000000001</v>
      </c>
      <c r="J198" s="13" t="s">
        <v>1959</v>
      </c>
    </row>
    <row r="199" spans="1:10" x14ac:dyDescent="0.2">
      <c r="A199" t="s">
        <v>623</v>
      </c>
      <c r="B199">
        <v>145</v>
      </c>
      <c r="C199" t="s">
        <v>23</v>
      </c>
      <c r="D199" t="s">
        <v>15</v>
      </c>
      <c r="E199" t="s">
        <v>24</v>
      </c>
      <c r="F199" t="s">
        <v>166</v>
      </c>
      <c r="G199" t="s">
        <v>624</v>
      </c>
      <c r="H199" s="13">
        <v>14.5806779</v>
      </c>
      <c r="I199" s="13">
        <v>120.9813024</v>
      </c>
      <c r="J199" s="13" t="s">
        <v>2050</v>
      </c>
    </row>
    <row r="200" spans="1:10" x14ac:dyDescent="0.2">
      <c r="A200" t="s">
        <v>598</v>
      </c>
      <c r="B200">
        <v>142</v>
      </c>
      <c r="C200" t="s">
        <v>23</v>
      </c>
      <c r="D200" t="s">
        <v>15</v>
      </c>
      <c r="E200" t="s">
        <v>16</v>
      </c>
      <c r="F200" t="s">
        <v>108</v>
      </c>
      <c r="G200" t="s">
        <v>599</v>
      </c>
      <c r="H200" s="13">
        <v>14.491862599999999</v>
      </c>
      <c r="I200" s="13">
        <v>121.01929619907</v>
      </c>
      <c r="J200" s="13" t="s">
        <v>1919</v>
      </c>
    </row>
    <row r="201" spans="1:10" x14ac:dyDescent="0.2">
      <c r="A201" t="s">
        <v>1015</v>
      </c>
      <c r="B201">
        <v>142</v>
      </c>
      <c r="C201" t="s">
        <v>23</v>
      </c>
      <c r="D201" t="s">
        <v>15</v>
      </c>
      <c r="E201" t="s">
        <v>72</v>
      </c>
      <c r="F201" t="s">
        <v>119</v>
      </c>
      <c r="G201" t="s">
        <v>1016</v>
      </c>
      <c r="H201" s="13">
        <v>14.593311</v>
      </c>
      <c r="I201" s="13">
        <v>121.05847199999999</v>
      </c>
      <c r="J201" s="13" t="s">
        <v>2060</v>
      </c>
    </row>
    <row r="202" spans="1:10" x14ac:dyDescent="0.2">
      <c r="A202" t="s">
        <v>534</v>
      </c>
      <c r="B202">
        <v>131</v>
      </c>
      <c r="C202" t="s">
        <v>23</v>
      </c>
      <c r="D202" t="s">
        <v>15</v>
      </c>
      <c r="E202" t="s">
        <v>24</v>
      </c>
      <c r="F202" t="s">
        <v>80</v>
      </c>
      <c r="G202" t="s">
        <v>535</v>
      </c>
      <c r="H202" s="14">
        <v>14.6018900905416</v>
      </c>
      <c r="I202" s="14">
        <v>120.98806440473</v>
      </c>
      <c r="J202" s="14"/>
    </row>
    <row r="203" spans="1:10" x14ac:dyDescent="0.2">
      <c r="A203" t="s">
        <v>35</v>
      </c>
      <c r="B203">
        <v>130</v>
      </c>
      <c r="C203" t="s">
        <v>23</v>
      </c>
      <c r="D203" t="s">
        <v>15</v>
      </c>
      <c r="E203" t="s">
        <v>36</v>
      </c>
      <c r="F203" t="s">
        <v>37</v>
      </c>
      <c r="G203" t="s">
        <v>38</v>
      </c>
      <c r="H203" s="13">
        <v>14.5825624</v>
      </c>
      <c r="I203" s="13">
        <v>120.982811</v>
      </c>
      <c r="J203" s="13" t="s">
        <v>2002</v>
      </c>
    </row>
    <row r="204" spans="1:10" x14ac:dyDescent="0.2">
      <c r="A204" t="s">
        <v>1428</v>
      </c>
      <c r="B204">
        <v>130</v>
      </c>
      <c r="C204" t="s">
        <v>23</v>
      </c>
      <c r="D204" t="s">
        <v>15</v>
      </c>
      <c r="E204" t="s">
        <v>72</v>
      </c>
      <c r="F204" t="s">
        <v>119</v>
      </c>
      <c r="G204" t="s">
        <v>1429</v>
      </c>
      <c r="H204" s="13">
        <v>14.58691</v>
      </c>
      <c r="I204" s="13">
        <v>121.06140000000001</v>
      </c>
      <c r="J204" s="13" t="s">
        <v>1999</v>
      </c>
    </row>
    <row r="205" spans="1:10" x14ac:dyDescent="0.2">
      <c r="A205" t="s">
        <v>773</v>
      </c>
      <c r="B205">
        <v>129</v>
      </c>
      <c r="C205" t="s">
        <v>23</v>
      </c>
      <c r="D205" t="s">
        <v>15</v>
      </c>
      <c r="E205" t="s">
        <v>55</v>
      </c>
      <c r="F205" t="s">
        <v>56</v>
      </c>
      <c r="G205" t="s">
        <v>1864</v>
      </c>
      <c r="H205" s="13">
        <v>14.545071</v>
      </c>
      <c r="I205" s="13">
        <v>120.99890499999999</v>
      </c>
      <c r="J205" s="13" t="s">
        <v>1905</v>
      </c>
    </row>
    <row r="206" spans="1:10" x14ac:dyDescent="0.2">
      <c r="A206" t="s">
        <v>1351</v>
      </c>
      <c r="B206">
        <v>128</v>
      </c>
      <c r="C206" t="s">
        <v>23</v>
      </c>
      <c r="D206" t="s">
        <v>15</v>
      </c>
      <c r="E206" t="s">
        <v>16</v>
      </c>
      <c r="F206" t="s">
        <v>108</v>
      </c>
      <c r="G206" t="s">
        <v>1352</v>
      </c>
      <c r="H206" s="13">
        <v>14.490652499999999</v>
      </c>
      <c r="I206" s="13">
        <v>120.9872676</v>
      </c>
      <c r="J206" s="13" t="s">
        <v>2101</v>
      </c>
    </row>
    <row r="207" spans="1:10" x14ac:dyDescent="0.2">
      <c r="A207" t="s">
        <v>1112</v>
      </c>
      <c r="B207">
        <v>127</v>
      </c>
      <c r="C207" t="s">
        <v>23</v>
      </c>
      <c r="D207" t="s">
        <v>15</v>
      </c>
      <c r="E207" t="s">
        <v>72</v>
      </c>
      <c r="F207" t="s">
        <v>491</v>
      </c>
      <c r="G207" t="s">
        <v>1113</v>
      </c>
      <c r="H207" s="13">
        <v>14.608438100000001</v>
      </c>
      <c r="I207" s="13">
        <v>121.0498023</v>
      </c>
      <c r="J207" s="13" t="s">
        <v>1936</v>
      </c>
    </row>
    <row r="208" spans="1:10" x14ac:dyDescent="0.2">
      <c r="A208" t="s">
        <v>1738</v>
      </c>
      <c r="B208">
        <v>127</v>
      </c>
      <c r="C208" t="s">
        <v>23</v>
      </c>
      <c r="D208" t="s">
        <v>15</v>
      </c>
      <c r="E208" t="s">
        <v>44</v>
      </c>
      <c r="F208" t="s">
        <v>44</v>
      </c>
      <c r="G208" t="s">
        <v>1739</v>
      </c>
      <c r="H208" s="13">
        <v>14.7224006</v>
      </c>
      <c r="I208" s="13">
        <v>121.0378161</v>
      </c>
      <c r="J208" s="13" t="s">
        <v>1939</v>
      </c>
    </row>
    <row r="209" spans="1:10" x14ac:dyDescent="0.2">
      <c r="A209" t="s">
        <v>1132</v>
      </c>
      <c r="B209">
        <v>127</v>
      </c>
      <c r="C209" t="s">
        <v>23</v>
      </c>
      <c r="D209" t="s">
        <v>15</v>
      </c>
      <c r="E209" t="s">
        <v>44</v>
      </c>
      <c r="F209" t="s">
        <v>44</v>
      </c>
      <c r="G209" t="s">
        <v>1133</v>
      </c>
      <c r="H209" s="13">
        <v>14.6303052</v>
      </c>
      <c r="I209" s="13">
        <v>121.044314</v>
      </c>
      <c r="J209" s="13" t="s">
        <v>2000</v>
      </c>
    </row>
    <row r="210" spans="1:10" x14ac:dyDescent="0.2">
      <c r="A210" t="s">
        <v>1264</v>
      </c>
      <c r="B210">
        <v>127</v>
      </c>
      <c r="C210" t="s">
        <v>23</v>
      </c>
      <c r="D210" t="s">
        <v>15</v>
      </c>
      <c r="E210" t="s">
        <v>44</v>
      </c>
      <c r="F210" t="s">
        <v>44</v>
      </c>
      <c r="G210" t="s">
        <v>1265</v>
      </c>
      <c r="H210" s="13">
        <v>14.6521019</v>
      </c>
      <c r="I210" s="13">
        <v>121.0239308</v>
      </c>
      <c r="J210" s="13" t="s">
        <v>2040</v>
      </c>
    </row>
    <row r="211" spans="1:10" x14ac:dyDescent="0.2">
      <c r="A211" t="s">
        <v>1824</v>
      </c>
      <c r="B211">
        <v>126</v>
      </c>
      <c r="C211" t="s">
        <v>23</v>
      </c>
      <c r="D211" t="s">
        <v>15</v>
      </c>
      <c r="E211" t="s">
        <v>44</v>
      </c>
      <c r="F211" t="s">
        <v>44</v>
      </c>
      <c r="G211" t="s">
        <v>1825</v>
      </c>
      <c r="H211" s="13">
        <v>14.688301900000001</v>
      </c>
      <c r="I211" s="13">
        <v>121.0481492</v>
      </c>
      <c r="J211" s="13" t="s">
        <v>2062</v>
      </c>
    </row>
    <row r="212" spans="1:10" x14ac:dyDescent="0.2">
      <c r="A212" t="s">
        <v>1682</v>
      </c>
      <c r="B212">
        <v>125</v>
      </c>
      <c r="C212" t="s">
        <v>23</v>
      </c>
      <c r="D212" t="s">
        <v>15</v>
      </c>
      <c r="E212" t="s">
        <v>36</v>
      </c>
      <c r="F212" t="s">
        <v>207</v>
      </c>
      <c r="G212" t="s">
        <v>1879</v>
      </c>
      <c r="H212" s="13">
        <v>14.605733000000001</v>
      </c>
      <c r="I212" s="13">
        <v>120.98737800000001</v>
      </c>
      <c r="J212" s="13" t="s">
        <v>1938</v>
      </c>
    </row>
    <row r="213" spans="1:10" x14ac:dyDescent="0.2">
      <c r="A213" t="s">
        <v>1142</v>
      </c>
      <c r="B213">
        <v>124</v>
      </c>
      <c r="C213" t="s">
        <v>23</v>
      </c>
      <c r="D213" t="s">
        <v>15</v>
      </c>
      <c r="E213" t="s">
        <v>24</v>
      </c>
      <c r="F213" t="s">
        <v>1143</v>
      </c>
      <c r="G213" t="s">
        <v>1144</v>
      </c>
      <c r="H213" s="13">
        <v>14.6031595</v>
      </c>
      <c r="I213" s="13">
        <v>120.9849251</v>
      </c>
      <c r="J213" s="13" t="s">
        <v>2022</v>
      </c>
    </row>
    <row r="214" spans="1:10" x14ac:dyDescent="0.2">
      <c r="A214" t="s">
        <v>1575</v>
      </c>
      <c r="B214">
        <v>122</v>
      </c>
      <c r="C214" t="s">
        <v>23</v>
      </c>
      <c r="D214" t="s">
        <v>15</v>
      </c>
      <c r="E214" t="s">
        <v>16</v>
      </c>
      <c r="F214" t="s">
        <v>224</v>
      </c>
      <c r="G214" t="s">
        <v>1576</v>
      </c>
      <c r="H214" s="13">
        <v>14.3841167</v>
      </c>
      <c r="I214" s="13">
        <v>121.0506259</v>
      </c>
      <c r="J214" s="13" t="s">
        <v>1912</v>
      </c>
    </row>
    <row r="215" spans="1:10" x14ac:dyDescent="0.2">
      <c r="A215" t="s">
        <v>1677</v>
      </c>
      <c r="B215">
        <v>121</v>
      </c>
      <c r="C215" t="s">
        <v>23</v>
      </c>
      <c r="D215" t="s">
        <v>15</v>
      </c>
      <c r="E215" t="s">
        <v>72</v>
      </c>
      <c r="F215" t="s">
        <v>73</v>
      </c>
      <c r="G215" t="s">
        <v>1678</v>
      </c>
      <c r="H215" s="13">
        <v>14.320563999999999</v>
      </c>
      <c r="I215" s="13">
        <v>120.971872</v>
      </c>
      <c r="J215" s="13" t="s">
        <v>1974</v>
      </c>
    </row>
    <row r="216" spans="1:10" x14ac:dyDescent="0.2">
      <c r="A216" t="s">
        <v>1206</v>
      </c>
      <c r="B216">
        <v>120</v>
      </c>
      <c r="C216" t="s">
        <v>43</v>
      </c>
      <c r="D216" t="s">
        <v>15</v>
      </c>
      <c r="E216" t="s">
        <v>72</v>
      </c>
      <c r="F216" t="s">
        <v>73</v>
      </c>
      <c r="G216" t="s">
        <v>1207</v>
      </c>
      <c r="H216" s="13">
        <v>16.068242999999999</v>
      </c>
      <c r="I216" s="13">
        <v>120.402771</v>
      </c>
      <c r="J216" s="13" t="s">
        <v>2141</v>
      </c>
    </row>
    <row r="217" spans="1:10" x14ac:dyDescent="0.2">
      <c r="A217" t="s">
        <v>1618</v>
      </c>
      <c r="B217">
        <v>119</v>
      </c>
      <c r="C217" t="s">
        <v>23</v>
      </c>
      <c r="D217" t="s">
        <v>15</v>
      </c>
      <c r="E217" t="s">
        <v>36</v>
      </c>
      <c r="F217" t="s">
        <v>176</v>
      </c>
      <c r="G217" t="s">
        <v>1619</v>
      </c>
      <c r="H217" s="13">
        <v>14.717475</v>
      </c>
      <c r="I217" s="13">
        <v>120.91704900000001</v>
      </c>
      <c r="J217" s="13" t="s">
        <v>1933</v>
      </c>
    </row>
    <row r="218" spans="1:10" x14ac:dyDescent="0.2">
      <c r="A218" t="s">
        <v>1376</v>
      </c>
      <c r="B218">
        <v>119</v>
      </c>
      <c r="C218" t="s">
        <v>23</v>
      </c>
      <c r="D218" t="s">
        <v>15</v>
      </c>
      <c r="E218" t="s">
        <v>72</v>
      </c>
      <c r="F218" t="s">
        <v>213</v>
      </c>
      <c r="G218" t="s">
        <v>1377</v>
      </c>
      <c r="H218" s="13">
        <v>14.5832</v>
      </c>
      <c r="I218" s="13">
        <v>121.04089999999999</v>
      </c>
      <c r="J218" s="13" t="s">
        <v>1943</v>
      </c>
    </row>
    <row r="219" spans="1:10" x14ac:dyDescent="0.2">
      <c r="A219" t="s">
        <v>944</v>
      </c>
      <c r="B219">
        <v>116</v>
      </c>
      <c r="C219" t="s">
        <v>23</v>
      </c>
      <c r="D219" t="s">
        <v>15</v>
      </c>
      <c r="E219" t="s">
        <v>72</v>
      </c>
      <c r="F219" t="s">
        <v>119</v>
      </c>
      <c r="G219" t="s">
        <v>945</v>
      </c>
      <c r="H219" s="13">
        <v>12.885300000000001</v>
      </c>
      <c r="I219" s="13">
        <v>123.1718</v>
      </c>
      <c r="J219" s="13" t="s">
        <v>1932</v>
      </c>
    </row>
    <row r="220" spans="1:10" x14ac:dyDescent="0.2">
      <c r="A220" t="s">
        <v>1550</v>
      </c>
      <c r="B220">
        <v>116</v>
      </c>
      <c r="C220" t="s">
        <v>23</v>
      </c>
      <c r="D220" t="s">
        <v>15</v>
      </c>
      <c r="E220" t="s">
        <v>44</v>
      </c>
      <c r="F220" t="s">
        <v>44</v>
      </c>
      <c r="G220" t="s">
        <v>1551</v>
      </c>
      <c r="H220" s="13">
        <v>14.7372538</v>
      </c>
      <c r="I220" s="13">
        <v>121.0523871</v>
      </c>
      <c r="J220" s="13" t="s">
        <v>2080</v>
      </c>
    </row>
    <row r="221" spans="1:10" x14ac:dyDescent="0.2">
      <c r="A221" t="s">
        <v>568</v>
      </c>
      <c r="B221">
        <v>115</v>
      </c>
      <c r="C221" t="s">
        <v>23</v>
      </c>
      <c r="D221" t="s">
        <v>15</v>
      </c>
      <c r="E221" t="s">
        <v>36</v>
      </c>
      <c r="F221" t="s">
        <v>176</v>
      </c>
      <c r="G221" t="s">
        <v>1891</v>
      </c>
      <c r="H221" s="13">
        <v>14.686937</v>
      </c>
      <c r="I221" s="13">
        <v>120.95312800000001</v>
      </c>
      <c r="J221" s="13" t="s">
        <v>2085</v>
      </c>
    </row>
    <row r="222" spans="1:10" x14ac:dyDescent="0.2">
      <c r="A222" t="s">
        <v>1215</v>
      </c>
      <c r="B222">
        <v>113</v>
      </c>
      <c r="C222" t="s">
        <v>43</v>
      </c>
      <c r="D222" t="s">
        <v>15</v>
      </c>
      <c r="E222" t="s">
        <v>24</v>
      </c>
      <c r="F222" t="s">
        <v>80</v>
      </c>
      <c r="G222" t="s">
        <v>1216</v>
      </c>
      <c r="H222" s="13">
        <v>14.601498299999999</v>
      </c>
      <c r="I222" s="13">
        <v>121.0022544</v>
      </c>
      <c r="J222" s="13" t="s">
        <v>1972</v>
      </c>
    </row>
    <row r="223" spans="1:10" x14ac:dyDescent="0.2">
      <c r="A223" t="s">
        <v>1381</v>
      </c>
      <c r="B223">
        <v>111</v>
      </c>
      <c r="C223" t="s">
        <v>23</v>
      </c>
      <c r="D223" t="s">
        <v>15</v>
      </c>
      <c r="E223" t="s">
        <v>36</v>
      </c>
      <c r="F223" t="s">
        <v>37</v>
      </c>
      <c r="G223" t="s">
        <v>1382</v>
      </c>
      <c r="H223" s="14">
        <v>14.6751935236429</v>
      </c>
      <c r="I223" s="14">
        <v>120.981382672148</v>
      </c>
      <c r="J223" s="14"/>
    </row>
    <row r="224" spans="1:10" x14ac:dyDescent="0.2">
      <c r="A224" t="s">
        <v>573</v>
      </c>
      <c r="B224">
        <v>111</v>
      </c>
      <c r="C224" t="s">
        <v>23</v>
      </c>
      <c r="D224" t="s">
        <v>15</v>
      </c>
      <c r="E224" t="s">
        <v>44</v>
      </c>
      <c r="F224" t="s">
        <v>44</v>
      </c>
      <c r="G224" t="s">
        <v>574</v>
      </c>
      <c r="H224" s="13">
        <v>14.7201413</v>
      </c>
      <c r="I224" s="13">
        <v>121.0650208</v>
      </c>
      <c r="J224" s="13" t="s">
        <v>2014</v>
      </c>
    </row>
    <row r="225" spans="1:10" x14ac:dyDescent="0.2">
      <c r="A225" t="s">
        <v>697</v>
      </c>
      <c r="B225">
        <v>111</v>
      </c>
      <c r="C225" t="s">
        <v>23</v>
      </c>
      <c r="D225" t="s">
        <v>15</v>
      </c>
      <c r="E225" t="s">
        <v>16</v>
      </c>
      <c r="F225" t="s">
        <v>224</v>
      </c>
      <c r="G225" t="s">
        <v>698</v>
      </c>
      <c r="H225" s="13">
        <v>14.421215</v>
      </c>
      <c r="I225" s="13">
        <v>121.05010299999999</v>
      </c>
      <c r="J225" s="13" t="s">
        <v>2175</v>
      </c>
    </row>
    <row r="226" spans="1:10" x14ac:dyDescent="0.2">
      <c r="A226" t="s">
        <v>1524</v>
      </c>
      <c r="B226">
        <v>110</v>
      </c>
      <c r="C226" t="s">
        <v>23</v>
      </c>
      <c r="D226" t="s">
        <v>15</v>
      </c>
      <c r="E226" t="s">
        <v>72</v>
      </c>
      <c r="F226" t="s">
        <v>119</v>
      </c>
      <c r="G226" t="s">
        <v>1525</v>
      </c>
      <c r="H226" s="13">
        <v>14.572182099999999</v>
      </c>
      <c r="I226" s="13">
        <v>121.07643403819699</v>
      </c>
      <c r="J226" s="13" t="s">
        <v>1902</v>
      </c>
    </row>
    <row r="227" spans="1:10" x14ac:dyDescent="0.2">
      <c r="A227" t="s">
        <v>888</v>
      </c>
      <c r="B227">
        <v>108</v>
      </c>
      <c r="C227" t="s">
        <v>23</v>
      </c>
      <c r="D227" t="s">
        <v>15</v>
      </c>
      <c r="E227" t="s">
        <v>16</v>
      </c>
      <c r="F227" t="s">
        <v>17</v>
      </c>
      <c r="G227" t="s">
        <v>1875</v>
      </c>
      <c r="H227" s="13">
        <v>14.514110000000001</v>
      </c>
      <c r="I227" s="13">
        <v>121.050686</v>
      </c>
      <c r="J227" s="13" t="s">
        <v>1967</v>
      </c>
    </row>
    <row r="228" spans="1:10" x14ac:dyDescent="0.2">
      <c r="A228" t="s">
        <v>1743</v>
      </c>
      <c r="B228">
        <v>108</v>
      </c>
      <c r="C228" t="s">
        <v>23</v>
      </c>
      <c r="D228" t="s">
        <v>15</v>
      </c>
      <c r="E228" t="s">
        <v>72</v>
      </c>
      <c r="F228" t="s">
        <v>213</v>
      </c>
      <c r="G228" t="s">
        <v>1876</v>
      </c>
      <c r="H228" s="13">
        <v>14.5792962</v>
      </c>
      <c r="I228" s="13">
        <v>121.0363007</v>
      </c>
      <c r="J228" s="13" t="s">
        <v>1975</v>
      </c>
    </row>
    <row r="229" spans="1:10" x14ac:dyDescent="0.2">
      <c r="A229" t="s">
        <v>1440</v>
      </c>
      <c r="B229">
        <v>106</v>
      </c>
      <c r="C229" t="s">
        <v>43</v>
      </c>
      <c r="D229" t="s">
        <v>15</v>
      </c>
      <c r="E229" t="s">
        <v>24</v>
      </c>
      <c r="F229" t="s">
        <v>349</v>
      </c>
      <c r="G229" t="s">
        <v>1441</v>
      </c>
      <c r="H229" s="13">
        <v>14.593819</v>
      </c>
      <c r="I229" s="13">
        <v>120.992302</v>
      </c>
      <c r="J229" s="13" t="s">
        <v>1958</v>
      </c>
    </row>
    <row r="230" spans="1:10" x14ac:dyDescent="0.2">
      <c r="A230" t="s">
        <v>807</v>
      </c>
      <c r="B230">
        <v>106</v>
      </c>
      <c r="C230" t="s">
        <v>23</v>
      </c>
      <c r="D230" t="s">
        <v>15</v>
      </c>
      <c r="E230" t="s">
        <v>55</v>
      </c>
      <c r="F230" t="s">
        <v>92</v>
      </c>
      <c r="G230" t="s">
        <v>808</v>
      </c>
      <c r="H230" s="13">
        <v>14.556589499999999</v>
      </c>
      <c r="I230" s="13">
        <v>121.00875019999999</v>
      </c>
      <c r="J230" s="13" t="s">
        <v>2095</v>
      </c>
    </row>
    <row r="231" spans="1:10" x14ac:dyDescent="0.2">
      <c r="A231" t="s">
        <v>660</v>
      </c>
      <c r="B231">
        <v>103</v>
      </c>
      <c r="C231" t="s">
        <v>23</v>
      </c>
      <c r="D231" t="s">
        <v>15</v>
      </c>
      <c r="E231" t="s">
        <v>36</v>
      </c>
      <c r="F231" t="s">
        <v>37</v>
      </c>
      <c r="G231" t="s">
        <v>661</v>
      </c>
      <c r="H231" s="13">
        <v>14.7095418</v>
      </c>
      <c r="I231" s="13">
        <v>120.9472834</v>
      </c>
      <c r="J231" s="13" t="s">
        <v>1986</v>
      </c>
    </row>
    <row r="232" spans="1:10" x14ac:dyDescent="0.2">
      <c r="A232" t="s">
        <v>1586</v>
      </c>
      <c r="B232">
        <v>102</v>
      </c>
      <c r="C232" t="s">
        <v>23</v>
      </c>
      <c r="D232" t="s">
        <v>15</v>
      </c>
      <c r="E232" t="s">
        <v>16</v>
      </c>
      <c r="F232" t="s">
        <v>224</v>
      </c>
      <c r="G232" t="s">
        <v>1587</v>
      </c>
      <c r="H232" s="13">
        <v>14.402222</v>
      </c>
      <c r="I232" s="13">
        <v>121.05036800000001</v>
      </c>
      <c r="J232" s="13" t="s">
        <v>2075</v>
      </c>
    </row>
    <row r="233" spans="1:10" x14ac:dyDescent="0.2">
      <c r="A233" t="s">
        <v>1748</v>
      </c>
      <c r="B233">
        <v>102</v>
      </c>
      <c r="C233" t="s">
        <v>23</v>
      </c>
      <c r="D233" t="s">
        <v>15</v>
      </c>
      <c r="E233" t="s">
        <v>44</v>
      </c>
      <c r="F233" t="s">
        <v>44</v>
      </c>
      <c r="G233" t="s">
        <v>1749</v>
      </c>
      <c r="H233" s="13">
        <v>14.6510546</v>
      </c>
      <c r="I233" s="13">
        <v>121.04862540000001</v>
      </c>
      <c r="J233" s="13" t="s">
        <v>1904</v>
      </c>
    </row>
    <row r="234" spans="1:10" x14ac:dyDescent="0.2">
      <c r="A234" t="s">
        <v>995</v>
      </c>
      <c r="B234">
        <v>101</v>
      </c>
      <c r="C234" t="s">
        <v>23</v>
      </c>
      <c r="D234" t="s">
        <v>15</v>
      </c>
      <c r="E234" t="s">
        <v>16</v>
      </c>
      <c r="F234" t="s">
        <v>456</v>
      </c>
      <c r="G234" t="s">
        <v>996</v>
      </c>
      <c r="H234" s="13">
        <v>14.46945</v>
      </c>
      <c r="I234" s="13">
        <v>120.97211799999999</v>
      </c>
      <c r="J234" s="13" t="s">
        <v>2030</v>
      </c>
    </row>
    <row r="235" spans="1:10" x14ac:dyDescent="0.2">
      <c r="A235" t="s">
        <v>300</v>
      </c>
      <c r="B235">
        <v>101</v>
      </c>
      <c r="C235" t="s">
        <v>23</v>
      </c>
      <c r="D235" t="s">
        <v>15</v>
      </c>
      <c r="E235" t="s">
        <v>16</v>
      </c>
      <c r="F235" t="s">
        <v>224</v>
      </c>
      <c r="G235" t="s">
        <v>301</v>
      </c>
      <c r="H235" s="13">
        <v>14.3738177</v>
      </c>
      <c r="I235" s="13">
        <v>121.0482907</v>
      </c>
      <c r="J235" s="13" t="s">
        <v>2047</v>
      </c>
    </row>
    <row r="236" spans="1:10" x14ac:dyDescent="0.2">
      <c r="A236" t="s">
        <v>1041</v>
      </c>
      <c r="B236">
        <v>101</v>
      </c>
      <c r="C236" t="s">
        <v>23</v>
      </c>
      <c r="D236" t="s">
        <v>15</v>
      </c>
      <c r="E236" t="s">
        <v>36</v>
      </c>
      <c r="F236" t="s">
        <v>176</v>
      </c>
      <c r="G236" t="s">
        <v>1042</v>
      </c>
      <c r="H236" s="13">
        <v>14.43661</v>
      </c>
      <c r="I236" s="13">
        <v>120.978622</v>
      </c>
      <c r="J236" s="13" t="s">
        <v>2109</v>
      </c>
    </row>
    <row r="237" spans="1:10" x14ac:dyDescent="0.2">
      <c r="A237" t="s">
        <v>155</v>
      </c>
      <c r="B237">
        <v>100</v>
      </c>
      <c r="C237" t="s">
        <v>23</v>
      </c>
      <c r="D237" t="s">
        <v>15</v>
      </c>
      <c r="E237" t="s">
        <v>44</v>
      </c>
      <c r="F237" t="s">
        <v>44</v>
      </c>
      <c r="G237" t="s">
        <v>156</v>
      </c>
      <c r="H237" s="13">
        <v>14.629792800000001</v>
      </c>
      <c r="I237" s="13">
        <v>121.04514639999999</v>
      </c>
      <c r="J237" s="13" t="s">
        <v>2100</v>
      </c>
    </row>
    <row r="238" spans="1:10" x14ac:dyDescent="0.2">
      <c r="A238" t="s">
        <v>1632</v>
      </c>
      <c r="B238">
        <v>100</v>
      </c>
      <c r="C238" t="s">
        <v>23</v>
      </c>
      <c r="D238" t="s">
        <v>15</v>
      </c>
      <c r="E238" t="s">
        <v>44</v>
      </c>
      <c r="F238" t="s">
        <v>44</v>
      </c>
      <c r="G238" t="s">
        <v>1633</v>
      </c>
      <c r="H238" s="13">
        <v>14.6746903</v>
      </c>
      <c r="I238" s="13">
        <v>121.03225310000001</v>
      </c>
      <c r="J238" s="13" t="s">
        <v>2123</v>
      </c>
    </row>
    <row r="239" spans="1:10" x14ac:dyDescent="0.2">
      <c r="A239" t="s">
        <v>1188</v>
      </c>
      <c r="B239">
        <v>99</v>
      </c>
      <c r="C239" t="s">
        <v>23</v>
      </c>
      <c r="D239" t="s">
        <v>15</v>
      </c>
      <c r="E239" t="s">
        <v>72</v>
      </c>
      <c r="F239" t="s">
        <v>73</v>
      </c>
      <c r="G239" t="s">
        <v>1189</v>
      </c>
      <c r="H239" s="13">
        <v>14.6343169</v>
      </c>
      <c r="I239" s="13">
        <v>121.0997028</v>
      </c>
      <c r="J239" s="13" t="s">
        <v>2016</v>
      </c>
    </row>
    <row r="240" spans="1:10" x14ac:dyDescent="0.2">
      <c r="A240" t="s">
        <v>1137</v>
      </c>
      <c r="B240">
        <v>99</v>
      </c>
      <c r="C240" t="s">
        <v>23</v>
      </c>
      <c r="D240" t="s">
        <v>15</v>
      </c>
      <c r="E240" t="s">
        <v>16</v>
      </c>
      <c r="F240" t="s">
        <v>224</v>
      </c>
      <c r="G240" t="s">
        <v>1138</v>
      </c>
      <c r="H240" s="13">
        <v>14.425467599999999</v>
      </c>
      <c r="I240" s="13">
        <v>121.0406109</v>
      </c>
      <c r="J240" s="13" t="s">
        <v>2021</v>
      </c>
    </row>
    <row r="241" spans="1:10" x14ac:dyDescent="0.2">
      <c r="A241" t="s">
        <v>1153</v>
      </c>
      <c r="B241">
        <v>99</v>
      </c>
      <c r="C241" t="s">
        <v>23</v>
      </c>
      <c r="D241" t="s">
        <v>15</v>
      </c>
      <c r="E241" t="s">
        <v>72</v>
      </c>
      <c r="F241" t="s">
        <v>213</v>
      </c>
      <c r="G241" t="s">
        <v>1154</v>
      </c>
      <c r="H241" s="13">
        <v>14.5832</v>
      </c>
      <c r="I241" s="13">
        <v>121.04089999999999</v>
      </c>
      <c r="J241" s="13" t="s">
        <v>1943</v>
      </c>
    </row>
    <row r="242" spans="1:10" x14ac:dyDescent="0.2">
      <c r="A242" t="s">
        <v>1839</v>
      </c>
      <c r="B242">
        <v>97</v>
      </c>
      <c r="C242" t="s">
        <v>23</v>
      </c>
      <c r="D242" t="s">
        <v>15</v>
      </c>
      <c r="E242" t="s">
        <v>72</v>
      </c>
      <c r="F242" t="s">
        <v>73</v>
      </c>
      <c r="G242" t="s">
        <v>1840</v>
      </c>
      <c r="H242" s="13">
        <v>14.660600499999999</v>
      </c>
      <c r="I242" s="13">
        <v>121.1249315</v>
      </c>
      <c r="J242" s="13" t="s">
        <v>2086</v>
      </c>
    </row>
    <row r="243" spans="1:10" x14ac:dyDescent="0.2">
      <c r="A243" t="s">
        <v>987</v>
      </c>
      <c r="B243">
        <v>96</v>
      </c>
      <c r="C243" t="s">
        <v>43</v>
      </c>
      <c r="D243" t="s">
        <v>15</v>
      </c>
      <c r="E243" t="s">
        <v>24</v>
      </c>
      <c r="F243" t="s">
        <v>80</v>
      </c>
      <c r="G243" t="s">
        <v>988</v>
      </c>
      <c r="H243" s="13">
        <v>14.604596000000001</v>
      </c>
      <c r="I243" s="13">
        <v>120.9853854</v>
      </c>
      <c r="J243" s="13" t="s">
        <v>2028</v>
      </c>
    </row>
    <row r="244" spans="1:10" x14ac:dyDescent="0.2">
      <c r="A244" t="s">
        <v>959</v>
      </c>
      <c r="B244">
        <v>95</v>
      </c>
      <c r="C244" t="s">
        <v>23</v>
      </c>
      <c r="D244" t="s">
        <v>15</v>
      </c>
      <c r="E244" t="s">
        <v>24</v>
      </c>
      <c r="F244" t="s">
        <v>135</v>
      </c>
      <c r="G244" t="s">
        <v>960</v>
      </c>
      <c r="H244" s="13">
        <v>14.593819</v>
      </c>
      <c r="I244" s="13">
        <v>120.992302</v>
      </c>
      <c r="J244" s="13" t="s">
        <v>1958</v>
      </c>
    </row>
    <row r="245" spans="1:10" x14ac:dyDescent="0.2">
      <c r="A245" t="s">
        <v>603</v>
      </c>
      <c r="B245">
        <v>95</v>
      </c>
      <c r="C245" t="s">
        <v>23</v>
      </c>
      <c r="D245" t="s">
        <v>15</v>
      </c>
      <c r="E245" t="s">
        <v>44</v>
      </c>
      <c r="F245" t="s">
        <v>44</v>
      </c>
      <c r="G245" t="s">
        <v>604</v>
      </c>
      <c r="H245" s="13">
        <v>14.715710400000001</v>
      </c>
      <c r="I245" s="13">
        <v>121.0406395</v>
      </c>
      <c r="J245" s="13" t="s">
        <v>2157</v>
      </c>
    </row>
    <row r="246" spans="1:10" x14ac:dyDescent="0.2">
      <c r="A246" t="s">
        <v>783</v>
      </c>
      <c r="B246">
        <v>95</v>
      </c>
      <c r="C246" t="s">
        <v>23</v>
      </c>
      <c r="D246" t="s">
        <v>15</v>
      </c>
      <c r="E246" t="s">
        <v>55</v>
      </c>
      <c r="F246" t="s">
        <v>92</v>
      </c>
      <c r="G246" t="s">
        <v>784</v>
      </c>
      <c r="H246" s="13">
        <v>14.550269999999999</v>
      </c>
      <c r="I246" s="13">
        <v>121.03269</v>
      </c>
      <c r="J246" s="13" t="s">
        <v>1992</v>
      </c>
    </row>
    <row r="247" spans="1:10" x14ac:dyDescent="0.2">
      <c r="A247" t="s">
        <v>1640</v>
      </c>
      <c r="B247">
        <v>93</v>
      </c>
      <c r="C247" t="s">
        <v>23</v>
      </c>
      <c r="D247" t="s">
        <v>15</v>
      </c>
      <c r="E247" t="s">
        <v>55</v>
      </c>
      <c r="F247" t="s">
        <v>56</v>
      </c>
      <c r="G247" t="s">
        <v>1641</v>
      </c>
      <c r="H247" s="13">
        <v>14.545071</v>
      </c>
      <c r="I247" s="13">
        <v>120.99890499999999</v>
      </c>
      <c r="J247" s="13" t="s">
        <v>1905</v>
      </c>
    </row>
    <row r="248" spans="1:10" x14ac:dyDescent="0.2">
      <c r="A248" t="s">
        <v>1435</v>
      </c>
      <c r="B248">
        <v>92</v>
      </c>
      <c r="C248" t="s">
        <v>23</v>
      </c>
      <c r="D248" t="s">
        <v>15</v>
      </c>
      <c r="E248" t="s">
        <v>72</v>
      </c>
      <c r="F248" t="s">
        <v>491</v>
      </c>
      <c r="G248" t="s">
        <v>1871</v>
      </c>
      <c r="H248" s="13">
        <v>15.028600000000001</v>
      </c>
      <c r="I248" s="13">
        <v>120.68980000000001</v>
      </c>
      <c r="J248" s="13" t="s">
        <v>1940</v>
      </c>
    </row>
    <row r="249" spans="1:10" x14ac:dyDescent="0.2">
      <c r="A249" t="s">
        <v>42</v>
      </c>
      <c r="B249">
        <v>91</v>
      </c>
      <c r="C249" t="s">
        <v>43</v>
      </c>
      <c r="D249" t="s">
        <v>15</v>
      </c>
      <c r="E249" t="s">
        <v>44</v>
      </c>
      <c r="F249" t="s">
        <v>44</v>
      </c>
      <c r="G249" t="s">
        <v>45</v>
      </c>
      <c r="H249" s="13">
        <v>14.612520399999999</v>
      </c>
      <c r="I249" s="13">
        <v>121.0543672</v>
      </c>
      <c r="J249" s="13" t="s">
        <v>2114</v>
      </c>
    </row>
    <row r="250" spans="1:10" x14ac:dyDescent="0.2">
      <c r="A250" t="s">
        <v>1555</v>
      </c>
      <c r="B250">
        <v>86</v>
      </c>
      <c r="C250" t="s">
        <v>23</v>
      </c>
      <c r="D250" t="s">
        <v>15</v>
      </c>
      <c r="E250" t="s">
        <v>55</v>
      </c>
      <c r="F250" t="s">
        <v>92</v>
      </c>
      <c r="G250" t="s">
        <v>1556</v>
      </c>
      <c r="H250" s="13">
        <v>14.554290999999999</v>
      </c>
      <c r="I250" s="13">
        <v>121.00237439999999</v>
      </c>
      <c r="J250" s="13" t="s">
        <v>2081</v>
      </c>
    </row>
    <row r="251" spans="1:10" x14ac:dyDescent="0.2">
      <c r="A251" t="s">
        <v>693</v>
      </c>
      <c r="B251">
        <v>85</v>
      </c>
      <c r="C251" t="s">
        <v>23</v>
      </c>
      <c r="D251" t="s">
        <v>15</v>
      </c>
      <c r="E251" t="s">
        <v>16</v>
      </c>
      <c r="F251" t="s">
        <v>456</v>
      </c>
      <c r="G251" t="s">
        <v>694</v>
      </c>
      <c r="H251" s="13">
        <v>14.498738250000001</v>
      </c>
      <c r="I251" s="13">
        <v>121.02643057138999</v>
      </c>
      <c r="J251" s="13" t="s">
        <v>2135</v>
      </c>
    </row>
    <row r="252" spans="1:10" x14ac:dyDescent="0.2">
      <c r="A252" t="s">
        <v>788</v>
      </c>
      <c r="B252">
        <v>81</v>
      </c>
      <c r="C252" t="s">
        <v>23</v>
      </c>
      <c r="D252" t="s">
        <v>15</v>
      </c>
      <c r="E252" t="s">
        <v>16</v>
      </c>
      <c r="F252" t="s">
        <v>108</v>
      </c>
      <c r="G252" t="s">
        <v>789</v>
      </c>
      <c r="H252" s="13">
        <v>14.446278899999999</v>
      </c>
      <c r="I252" s="13">
        <v>121.02741090000001</v>
      </c>
      <c r="J252" s="13" t="s">
        <v>1945</v>
      </c>
    </row>
    <row r="253" spans="1:10" x14ac:dyDescent="0.2">
      <c r="A253" t="s">
        <v>257</v>
      </c>
      <c r="B253">
        <v>81</v>
      </c>
      <c r="C253" t="s">
        <v>23</v>
      </c>
      <c r="D253" t="s">
        <v>15</v>
      </c>
      <c r="E253" t="s">
        <v>55</v>
      </c>
      <c r="F253" t="s">
        <v>56</v>
      </c>
      <c r="G253" t="s">
        <v>258</v>
      </c>
      <c r="H253" s="13">
        <v>14.550440999999999</v>
      </c>
      <c r="I253" s="13">
        <v>120.999994</v>
      </c>
      <c r="J253" s="13" t="s">
        <v>1960</v>
      </c>
    </row>
    <row r="254" spans="1:10" x14ac:dyDescent="0.2">
      <c r="A254" t="s">
        <v>1648</v>
      </c>
      <c r="B254">
        <v>81</v>
      </c>
      <c r="C254" t="s">
        <v>23</v>
      </c>
      <c r="D254" t="s">
        <v>15</v>
      </c>
      <c r="E254" t="s">
        <v>55</v>
      </c>
      <c r="F254" t="s">
        <v>56</v>
      </c>
      <c r="G254" t="s">
        <v>1649</v>
      </c>
      <c r="H254" s="13">
        <v>14.552050599999999</v>
      </c>
      <c r="I254" s="13">
        <v>121.00150895280299</v>
      </c>
      <c r="J254" s="13" t="s">
        <v>2061</v>
      </c>
    </row>
    <row r="255" spans="1:10" x14ac:dyDescent="0.2">
      <c r="A255" t="s">
        <v>1162</v>
      </c>
      <c r="B255">
        <v>81</v>
      </c>
      <c r="C255" t="s">
        <v>23</v>
      </c>
      <c r="D255" t="s">
        <v>15</v>
      </c>
      <c r="E255" t="s">
        <v>36</v>
      </c>
      <c r="F255" t="s">
        <v>37</v>
      </c>
      <c r="G255" t="s">
        <v>1163</v>
      </c>
      <c r="H255" s="13">
        <v>14.522148</v>
      </c>
      <c r="I255" s="13">
        <v>121.000658</v>
      </c>
      <c r="J255" s="13" t="s">
        <v>2131</v>
      </c>
    </row>
    <row r="256" spans="1:10" x14ac:dyDescent="0.2">
      <c r="A256" t="s">
        <v>802</v>
      </c>
      <c r="B256">
        <v>80</v>
      </c>
      <c r="C256" t="s">
        <v>43</v>
      </c>
      <c r="D256" t="s">
        <v>15</v>
      </c>
      <c r="E256" t="s">
        <v>24</v>
      </c>
      <c r="F256" t="s">
        <v>166</v>
      </c>
      <c r="G256" t="s">
        <v>803</v>
      </c>
      <c r="H256" s="13">
        <v>14.582421800000001</v>
      </c>
      <c r="I256" s="13">
        <v>120.986348192615</v>
      </c>
      <c r="J256" s="13" t="s">
        <v>1983</v>
      </c>
    </row>
    <row r="257" spans="1:10" x14ac:dyDescent="0.2">
      <c r="A257" t="s">
        <v>1391</v>
      </c>
      <c r="B257">
        <v>80</v>
      </c>
      <c r="C257" t="s">
        <v>23</v>
      </c>
      <c r="D257" t="s">
        <v>15</v>
      </c>
      <c r="E257" t="s">
        <v>16</v>
      </c>
      <c r="F257" t="s">
        <v>224</v>
      </c>
      <c r="G257" t="s">
        <v>1392</v>
      </c>
      <c r="H257" s="13">
        <v>14.418170999999999</v>
      </c>
      <c r="I257" s="13">
        <v>121.04796640000001</v>
      </c>
      <c r="J257" s="13" t="s">
        <v>2017</v>
      </c>
    </row>
    <row r="258" spans="1:10" x14ac:dyDescent="0.2">
      <c r="A258" t="s">
        <v>1475</v>
      </c>
      <c r="B258">
        <v>80</v>
      </c>
      <c r="C258" t="s">
        <v>23</v>
      </c>
      <c r="D258" t="s">
        <v>15</v>
      </c>
      <c r="E258" t="s">
        <v>44</v>
      </c>
      <c r="F258" t="s">
        <v>44</v>
      </c>
      <c r="G258" t="s">
        <v>1476</v>
      </c>
      <c r="H258" s="13">
        <v>14.650435</v>
      </c>
      <c r="I258" s="13">
        <v>121.029966</v>
      </c>
      <c r="J258" s="13" t="s">
        <v>1914</v>
      </c>
    </row>
    <row r="259" spans="1:10" x14ac:dyDescent="0.2">
      <c r="A259" t="s">
        <v>266</v>
      </c>
      <c r="B259">
        <v>78</v>
      </c>
      <c r="C259" t="s">
        <v>23</v>
      </c>
      <c r="D259" t="s">
        <v>15</v>
      </c>
      <c r="E259" t="s">
        <v>16</v>
      </c>
      <c r="F259" t="s">
        <v>108</v>
      </c>
      <c r="G259" t="s">
        <v>267</v>
      </c>
      <c r="H259" s="13">
        <v>14.478216</v>
      </c>
      <c r="I259" s="13">
        <v>121.024332</v>
      </c>
      <c r="J259" s="13" t="s">
        <v>2004</v>
      </c>
    </row>
    <row r="260" spans="1:10" x14ac:dyDescent="0.2">
      <c r="A260" t="s">
        <v>1500</v>
      </c>
      <c r="B260">
        <v>78</v>
      </c>
      <c r="C260" t="s">
        <v>23</v>
      </c>
      <c r="D260" t="s">
        <v>15</v>
      </c>
      <c r="E260" t="s">
        <v>36</v>
      </c>
      <c r="F260" t="s">
        <v>207</v>
      </c>
      <c r="G260" t="s">
        <v>1501</v>
      </c>
      <c r="H260" s="14">
        <v>14.761683577938101</v>
      </c>
      <c r="I260" s="14">
        <v>121.04630748724399</v>
      </c>
      <c r="J260" s="14"/>
    </row>
    <row r="261" spans="1:10" x14ac:dyDescent="0.2">
      <c r="A261" t="s">
        <v>1000</v>
      </c>
      <c r="B261">
        <v>77</v>
      </c>
      <c r="C261" t="s">
        <v>23</v>
      </c>
      <c r="D261" t="s">
        <v>15</v>
      </c>
      <c r="E261" t="s">
        <v>55</v>
      </c>
      <c r="F261" t="s">
        <v>92</v>
      </c>
      <c r="G261" t="s">
        <v>1001</v>
      </c>
      <c r="H261" s="13">
        <v>14.59156245</v>
      </c>
      <c r="I261" s="13">
        <v>120.974326894331</v>
      </c>
      <c r="J261" s="13" t="s">
        <v>2031</v>
      </c>
    </row>
    <row r="262" spans="1:10" x14ac:dyDescent="0.2">
      <c r="A262" t="s">
        <v>1887</v>
      </c>
      <c r="B262">
        <v>77</v>
      </c>
      <c r="C262" t="s">
        <v>23</v>
      </c>
      <c r="D262" t="s">
        <v>15</v>
      </c>
      <c r="E262" t="s">
        <v>72</v>
      </c>
      <c r="F262" t="s">
        <v>213</v>
      </c>
      <c r="G262" t="s">
        <v>794</v>
      </c>
      <c r="H262" s="13">
        <v>14.5832</v>
      </c>
      <c r="I262" s="13">
        <v>121.04089999999999</v>
      </c>
      <c r="J262" s="13" t="s">
        <v>1943</v>
      </c>
    </row>
    <row r="263" spans="1:10" x14ac:dyDescent="0.2">
      <c r="A263" t="s">
        <v>812</v>
      </c>
      <c r="B263">
        <v>75</v>
      </c>
      <c r="C263" t="s">
        <v>23</v>
      </c>
      <c r="D263" t="s">
        <v>15</v>
      </c>
      <c r="E263" t="s">
        <v>16</v>
      </c>
      <c r="F263" t="s">
        <v>108</v>
      </c>
      <c r="G263" t="s">
        <v>813</v>
      </c>
      <c r="H263" s="13">
        <v>14.515654</v>
      </c>
      <c r="I263" s="13">
        <v>121.00247899999999</v>
      </c>
      <c r="J263" s="13" t="s">
        <v>1965</v>
      </c>
    </row>
    <row r="264" spans="1:10" x14ac:dyDescent="0.2">
      <c r="A264" t="s">
        <v>798</v>
      </c>
      <c r="B264">
        <v>75</v>
      </c>
      <c r="C264" t="s">
        <v>43</v>
      </c>
      <c r="D264" t="s">
        <v>15</v>
      </c>
      <c r="E264" t="s">
        <v>16</v>
      </c>
      <c r="F264" t="s">
        <v>456</v>
      </c>
      <c r="G264" t="s">
        <v>799</v>
      </c>
      <c r="H264" s="13">
        <v>14.4487091</v>
      </c>
      <c r="I264" s="13">
        <v>120.98381379999999</v>
      </c>
      <c r="J264" s="13" t="s">
        <v>2132</v>
      </c>
    </row>
    <row r="265" spans="1:10" x14ac:dyDescent="0.2">
      <c r="A265" t="s">
        <v>613</v>
      </c>
      <c r="B265">
        <v>74</v>
      </c>
      <c r="C265" t="s">
        <v>23</v>
      </c>
      <c r="D265" t="s">
        <v>15</v>
      </c>
      <c r="E265" t="s">
        <v>72</v>
      </c>
      <c r="F265" t="s">
        <v>73</v>
      </c>
      <c r="G265" t="s">
        <v>614</v>
      </c>
      <c r="H265" s="13">
        <v>14.619508</v>
      </c>
      <c r="I265" s="13">
        <v>121.09730500000001</v>
      </c>
      <c r="J265" s="13" t="s">
        <v>2024</v>
      </c>
    </row>
    <row r="266" spans="1:10" x14ac:dyDescent="0.2">
      <c r="A266" t="s">
        <v>1272</v>
      </c>
      <c r="B266">
        <v>70</v>
      </c>
      <c r="C266" t="s">
        <v>23</v>
      </c>
      <c r="D266" t="s">
        <v>15</v>
      </c>
      <c r="E266" t="s">
        <v>16</v>
      </c>
      <c r="F266" t="s">
        <v>456</v>
      </c>
      <c r="G266" t="s">
        <v>1273</v>
      </c>
      <c r="H266" s="13">
        <v>14.605733000000001</v>
      </c>
      <c r="I266" s="13">
        <v>120.98737800000001</v>
      </c>
      <c r="J266" s="13" t="s">
        <v>1938</v>
      </c>
    </row>
    <row r="267" spans="1:10" x14ac:dyDescent="0.2">
      <c r="A267" t="s">
        <v>79</v>
      </c>
      <c r="B267">
        <v>68</v>
      </c>
      <c r="C267" t="s">
        <v>23</v>
      </c>
      <c r="D267" t="s">
        <v>15</v>
      </c>
      <c r="E267" t="s">
        <v>24</v>
      </c>
      <c r="F267" t="s">
        <v>80</v>
      </c>
      <c r="G267" t="s">
        <v>81</v>
      </c>
      <c r="H267" s="13">
        <v>14.605397200000001</v>
      </c>
      <c r="I267" s="13">
        <v>120.9876806</v>
      </c>
      <c r="J267" s="13" t="s">
        <v>1903</v>
      </c>
    </row>
    <row r="268" spans="1:10" x14ac:dyDescent="0.2">
      <c r="A268" t="s">
        <v>925</v>
      </c>
      <c r="B268">
        <v>68</v>
      </c>
      <c r="C268" t="s">
        <v>23</v>
      </c>
      <c r="D268" t="s">
        <v>15</v>
      </c>
      <c r="E268" t="s">
        <v>72</v>
      </c>
      <c r="F268" t="s">
        <v>119</v>
      </c>
      <c r="G268" t="s">
        <v>926</v>
      </c>
      <c r="H268" s="13">
        <v>14.5734558</v>
      </c>
      <c r="I268" s="13">
        <v>121.06262270000001</v>
      </c>
      <c r="J268" s="13" t="s">
        <v>1934</v>
      </c>
    </row>
    <row r="269" spans="1:10" x14ac:dyDescent="0.2">
      <c r="A269" t="s">
        <v>1355</v>
      </c>
      <c r="B269">
        <v>68</v>
      </c>
      <c r="C269" t="s">
        <v>23</v>
      </c>
      <c r="D269" t="s">
        <v>15</v>
      </c>
      <c r="E269" t="s">
        <v>36</v>
      </c>
      <c r="F269" t="s">
        <v>207</v>
      </c>
      <c r="G269" t="s">
        <v>1356</v>
      </c>
      <c r="H269" s="13">
        <v>14.289901</v>
      </c>
      <c r="I269" s="13">
        <v>121.00396379999999</v>
      </c>
      <c r="J269" s="13" t="s">
        <v>2104</v>
      </c>
    </row>
    <row r="270" spans="1:10" x14ac:dyDescent="0.2">
      <c r="A270" t="s">
        <v>706</v>
      </c>
      <c r="B270">
        <v>68</v>
      </c>
      <c r="C270" t="s">
        <v>23</v>
      </c>
      <c r="D270" t="s">
        <v>15</v>
      </c>
      <c r="E270" t="s">
        <v>44</v>
      </c>
      <c r="F270" t="s">
        <v>44</v>
      </c>
      <c r="G270" t="s">
        <v>707</v>
      </c>
      <c r="H270" s="13">
        <v>14.663365600000001</v>
      </c>
      <c r="I270" s="13">
        <v>121.0745636</v>
      </c>
      <c r="J270" s="13" t="s">
        <v>2142</v>
      </c>
    </row>
    <row r="271" spans="1:10" x14ac:dyDescent="0.2">
      <c r="A271" t="s">
        <v>640</v>
      </c>
      <c r="B271">
        <v>64</v>
      </c>
      <c r="C271" t="s">
        <v>43</v>
      </c>
      <c r="D271" t="s">
        <v>15</v>
      </c>
      <c r="E271" t="s">
        <v>36</v>
      </c>
      <c r="F271" t="s">
        <v>37</v>
      </c>
      <c r="G271" t="s">
        <v>1888</v>
      </c>
      <c r="H271" s="13">
        <v>14.689458999999999</v>
      </c>
      <c r="I271" s="13">
        <v>120.999762</v>
      </c>
      <c r="J271" s="13" t="s">
        <v>2079</v>
      </c>
    </row>
    <row r="272" spans="1:10" x14ac:dyDescent="0.2">
      <c r="A272" t="s">
        <v>1409</v>
      </c>
      <c r="B272">
        <v>61</v>
      </c>
      <c r="C272" t="s">
        <v>23</v>
      </c>
      <c r="D272" t="s">
        <v>15</v>
      </c>
      <c r="E272" t="s">
        <v>44</v>
      </c>
      <c r="F272" t="s">
        <v>44</v>
      </c>
      <c r="G272" t="s">
        <v>1410</v>
      </c>
      <c r="H272" s="13">
        <v>14.650435</v>
      </c>
      <c r="I272" s="13">
        <v>121.029966</v>
      </c>
      <c r="J272" s="13" t="s">
        <v>1914</v>
      </c>
    </row>
    <row r="273" spans="1:10" x14ac:dyDescent="0.2">
      <c r="A273" t="s">
        <v>1122</v>
      </c>
      <c r="B273">
        <v>60</v>
      </c>
      <c r="C273" t="s">
        <v>23</v>
      </c>
      <c r="D273" t="s">
        <v>15</v>
      </c>
      <c r="E273" t="s">
        <v>44</v>
      </c>
      <c r="F273" t="s">
        <v>44</v>
      </c>
      <c r="G273" t="s">
        <v>1123</v>
      </c>
      <c r="H273" s="13">
        <v>14.6838429</v>
      </c>
      <c r="I273" s="13">
        <v>121.076608484544</v>
      </c>
      <c r="J273" s="13" t="s">
        <v>1980</v>
      </c>
    </row>
    <row r="274" spans="1:10" x14ac:dyDescent="0.2">
      <c r="A274" t="s">
        <v>1480</v>
      </c>
      <c r="B274">
        <v>60</v>
      </c>
      <c r="C274" t="s">
        <v>23</v>
      </c>
      <c r="D274" t="s">
        <v>15</v>
      </c>
      <c r="E274" t="s">
        <v>36</v>
      </c>
      <c r="F274" t="s">
        <v>37</v>
      </c>
      <c r="G274" t="s">
        <v>1481</v>
      </c>
      <c r="H274" s="13">
        <v>14.713419099999999</v>
      </c>
      <c r="I274" s="13">
        <v>120.96892080000001</v>
      </c>
      <c r="J274" s="13" t="s">
        <v>2110</v>
      </c>
    </row>
    <row r="275" spans="1:10" x14ac:dyDescent="0.2">
      <c r="A275" t="s">
        <v>1530</v>
      </c>
      <c r="B275">
        <v>58</v>
      </c>
      <c r="C275" t="s">
        <v>23</v>
      </c>
      <c r="D275" t="s">
        <v>15</v>
      </c>
      <c r="E275" t="s">
        <v>55</v>
      </c>
      <c r="F275" t="s">
        <v>56</v>
      </c>
      <c r="G275" t="s">
        <v>1531</v>
      </c>
      <c r="H275" s="13">
        <v>14.522672699999999</v>
      </c>
      <c r="I275" s="13">
        <v>121.0134529</v>
      </c>
      <c r="J275" s="13" t="s">
        <v>1908</v>
      </c>
    </row>
    <row r="276" spans="1:10" x14ac:dyDescent="0.2">
      <c r="A276" t="s">
        <v>30</v>
      </c>
      <c r="B276">
        <v>58</v>
      </c>
      <c r="C276" t="s">
        <v>23</v>
      </c>
      <c r="D276" t="s">
        <v>15</v>
      </c>
      <c r="E276" t="s">
        <v>16</v>
      </c>
      <c r="F276" t="s">
        <v>17</v>
      </c>
      <c r="G276" t="s">
        <v>31</v>
      </c>
      <c r="H276" s="13">
        <v>14.554675</v>
      </c>
      <c r="I276" s="13">
        <v>121.04825289999999</v>
      </c>
      <c r="J276" s="13" t="s">
        <v>1929</v>
      </c>
    </row>
    <row r="277" spans="1:10" x14ac:dyDescent="0.2">
      <c r="A277" t="s">
        <v>954</v>
      </c>
      <c r="B277">
        <v>58</v>
      </c>
      <c r="C277" t="s">
        <v>23</v>
      </c>
      <c r="D277" t="s">
        <v>15</v>
      </c>
      <c r="E277" t="s">
        <v>72</v>
      </c>
      <c r="F277" t="s">
        <v>119</v>
      </c>
      <c r="G277" t="s">
        <v>1878</v>
      </c>
      <c r="H277" s="13">
        <v>14.5732433</v>
      </c>
      <c r="I277" s="13">
        <v>121.0630378</v>
      </c>
      <c r="J277" s="13" t="s">
        <v>1915</v>
      </c>
    </row>
    <row r="278" spans="1:10" x14ac:dyDescent="0.2">
      <c r="A278" t="s">
        <v>650</v>
      </c>
      <c r="B278">
        <v>57</v>
      </c>
      <c r="C278" t="s">
        <v>23</v>
      </c>
      <c r="D278" t="s">
        <v>15</v>
      </c>
      <c r="E278" t="s">
        <v>36</v>
      </c>
      <c r="F278" t="s">
        <v>207</v>
      </c>
      <c r="G278" t="s">
        <v>651</v>
      </c>
      <c r="H278" s="13">
        <v>14.660016199999999</v>
      </c>
      <c r="I278" s="13">
        <v>120.9796114</v>
      </c>
      <c r="J278" s="13" t="s">
        <v>1976</v>
      </c>
    </row>
    <row r="279" spans="1:10" x14ac:dyDescent="0.2">
      <c r="A279" t="s">
        <v>1046</v>
      </c>
      <c r="B279">
        <v>56</v>
      </c>
      <c r="C279" t="s">
        <v>23</v>
      </c>
      <c r="D279" t="s">
        <v>15</v>
      </c>
      <c r="E279" t="s">
        <v>24</v>
      </c>
      <c r="F279" t="s">
        <v>182</v>
      </c>
      <c r="G279" t="s">
        <v>1047</v>
      </c>
      <c r="H279" s="13">
        <v>14.593819</v>
      </c>
      <c r="I279" s="13">
        <v>120.992302</v>
      </c>
      <c r="J279" s="13" t="s">
        <v>1958</v>
      </c>
    </row>
    <row r="280" spans="1:10" x14ac:dyDescent="0.2">
      <c r="A280" t="s">
        <v>992</v>
      </c>
      <c r="B280">
        <v>55</v>
      </c>
      <c r="C280" t="s">
        <v>43</v>
      </c>
      <c r="D280" t="s">
        <v>15</v>
      </c>
      <c r="E280" t="s">
        <v>36</v>
      </c>
      <c r="F280" t="s">
        <v>207</v>
      </c>
      <c r="G280" t="s">
        <v>993</v>
      </c>
      <c r="H280" s="13">
        <v>14.649114600000001</v>
      </c>
      <c r="I280" s="13">
        <v>120.9838657</v>
      </c>
      <c r="J280" s="13" t="s">
        <v>2029</v>
      </c>
    </row>
    <row r="281" spans="1:10" x14ac:dyDescent="0.2">
      <c r="A281" t="s">
        <v>1202</v>
      </c>
      <c r="B281">
        <v>53</v>
      </c>
      <c r="C281" t="s">
        <v>23</v>
      </c>
      <c r="D281" t="s">
        <v>15</v>
      </c>
      <c r="E281" t="s">
        <v>24</v>
      </c>
      <c r="F281" t="s">
        <v>25</v>
      </c>
      <c r="G281" t="s">
        <v>1203</v>
      </c>
      <c r="H281" s="13">
        <v>14.593819</v>
      </c>
      <c r="I281" s="13">
        <v>120.992302</v>
      </c>
      <c r="J281" s="13" t="s">
        <v>1958</v>
      </c>
    </row>
    <row r="282" spans="1:10" x14ac:dyDescent="0.2">
      <c r="A282" t="s">
        <v>1085</v>
      </c>
      <c r="B282">
        <v>53</v>
      </c>
      <c r="C282" t="s">
        <v>23</v>
      </c>
      <c r="D282" t="s">
        <v>15</v>
      </c>
      <c r="E282" t="s">
        <v>72</v>
      </c>
      <c r="F282" t="s">
        <v>73</v>
      </c>
      <c r="G282" t="s">
        <v>1086</v>
      </c>
      <c r="H282" s="13">
        <v>14.635214100000001</v>
      </c>
      <c r="I282" s="13">
        <v>121.0962847</v>
      </c>
      <c r="J282" s="13" t="s">
        <v>2177</v>
      </c>
    </row>
    <row r="283" spans="1:10" x14ac:dyDescent="0.2">
      <c r="A283" t="s">
        <v>113</v>
      </c>
      <c r="B283">
        <v>52</v>
      </c>
      <c r="C283" t="s">
        <v>23</v>
      </c>
      <c r="D283" t="s">
        <v>15</v>
      </c>
      <c r="E283" t="s">
        <v>44</v>
      </c>
      <c r="F283" t="s">
        <v>44</v>
      </c>
      <c r="G283" t="s">
        <v>114</v>
      </c>
      <c r="H283" s="13">
        <v>14.629163</v>
      </c>
      <c r="I283" s="13">
        <v>121.0592085</v>
      </c>
      <c r="J283" s="13" t="s">
        <v>1954</v>
      </c>
    </row>
    <row r="284" spans="1:10" x14ac:dyDescent="0.2">
      <c r="A284" t="s">
        <v>1607</v>
      </c>
      <c r="B284">
        <v>52</v>
      </c>
      <c r="C284" t="s">
        <v>23</v>
      </c>
      <c r="D284" t="s">
        <v>15</v>
      </c>
      <c r="E284" t="s">
        <v>44</v>
      </c>
      <c r="F284" t="s">
        <v>44</v>
      </c>
      <c r="G284" t="s">
        <v>1608</v>
      </c>
      <c r="H284" s="13">
        <v>14.650435</v>
      </c>
      <c r="I284" s="13">
        <v>121.029966</v>
      </c>
      <c r="J284" s="13" t="s">
        <v>1914</v>
      </c>
    </row>
    <row r="285" spans="1:10" x14ac:dyDescent="0.2">
      <c r="A285" t="s">
        <v>982</v>
      </c>
      <c r="B285">
        <v>52</v>
      </c>
      <c r="C285" t="s">
        <v>43</v>
      </c>
      <c r="D285" t="s">
        <v>15</v>
      </c>
      <c r="E285" t="s">
        <v>36</v>
      </c>
      <c r="F285" t="s">
        <v>207</v>
      </c>
      <c r="G285" t="s">
        <v>983</v>
      </c>
      <c r="H285" s="13">
        <v>14.107229999999999</v>
      </c>
      <c r="I285" s="13">
        <v>121.39335</v>
      </c>
      <c r="J285" s="13" t="s">
        <v>2019</v>
      </c>
    </row>
    <row r="286" spans="1:10" x14ac:dyDescent="0.2">
      <c r="A286" t="s">
        <v>1148</v>
      </c>
      <c r="B286">
        <v>51</v>
      </c>
      <c r="C286" t="s">
        <v>23</v>
      </c>
      <c r="D286" t="s">
        <v>15</v>
      </c>
      <c r="E286" t="s">
        <v>36</v>
      </c>
      <c r="F286" t="s">
        <v>37</v>
      </c>
      <c r="G286" t="s">
        <v>1149</v>
      </c>
      <c r="H286" s="13">
        <v>14.71428585</v>
      </c>
      <c r="I286" s="13">
        <v>120.957781677494</v>
      </c>
      <c r="J286" s="13" t="s">
        <v>2025</v>
      </c>
    </row>
    <row r="287" spans="1:10" x14ac:dyDescent="0.2">
      <c r="A287" t="s">
        <v>295</v>
      </c>
      <c r="B287">
        <v>51</v>
      </c>
      <c r="C287" t="s">
        <v>23</v>
      </c>
      <c r="D287" t="s">
        <v>15</v>
      </c>
      <c r="E287" t="s">
        <v>44</v>
      </c>
      <c r="F287" t="s">
        <v>44</v>
      </c>
      <c r="G287" t="s">
        <v>296</v>
      </c>
      <c r="H287" s="13">
        <v>14.528302399999999</v>
      </c>
      <c r="I287" s="13">
        <v>121.0758336</v>
      </c>
      <c r="J287" s="13" t="s">
        <v>2044</v>
      </c>
    </row>
    <row r="288" spans="1:10" x14ac:dyDescent="0.2">
      <c r="A288" t="s">
        <v>1080</v>
      </c>
      <c r="B288">
        <v>51</v>
      </c>
      <c r="C288" t="s">
        <v>23</v>
      </c>
      <c r="D288" t="s">
        <v>15</v>
      </c>
      <c r="E288" t="s">
        <v>72</v>
      </c>
      <c r="F288" t="s">
        <v>73</v>
      </c>
      <c r="G288" t="s">
        <v>1081</v>
      </c>
      <c r="H288" s="13">
        <v>14.631195999999999</v>
      </c>
      <c r="I288" s="13">
        <v>121.095592</v>
      </c>
      <c r="J288" s="13" t="s">
        <v>2161</v>
      </c>
    </row>
    <row r="289" spans="1:10" x14ac:dyDescent="0.2">
      <c r="A289" t="s">
        <v>1602</v>
      </c>
      <c r="B289">
        <v>50</v>
      </c>
      <c r="C289" t="s">
        <v>23</v>
      </c>
      <c r="D289" t="s">
        <v>15</v>
      </c>
      <c r="E289" t="s">
        <v>55</v>
      </c>
      <c r="F289" t="s">
        <v>56</v>
      </c>
      <c r="G289" t="s">
        <v>1603</v>
      </c>
      <c r="H289" s="13">
        <v>14.545071</v>
      </c>
      <c r="I289" s="13">
        <v>120.99890499999999</v>
      </c>
      <c r="J289" s="13" t="s">
        <v>1905</v>
      </c>
    </row>
    <row r="290" spans="1:10" x14ac:dyDescent="0.2">
      <c r="A290" t="s">
        <v>1539</v>
      </c>
      <c r="B290">
        <v>50</v>
      </c>
      <c r="C290" t="s">
        <v>43</v>
      </c>
      <c r="D290" t="s">
        <v>15</v>
      </c>
      <c r="E290" t="s">
        <v>44</v>
      </c>
      <c r="F290" t="s">
        <v>44</v>
      </c>
      <c r="G290" t="s">
        <v>1540</v>
      </c>
      <c r="H290" s="13">
        <v>14.668513900000001</v>
      </c>
      <c r="I290" s="13">
        <v>121.076287344279</v>
      </c>
      <c r="J290" s="13" t="s">
        <v>2055</v>
      </c>
    </row>
    <row r="291" spans="1:10" x14ac:dyDescent="0.2">
      <c r="A291" t="s">
        <v>665</v>
      </c>
      <c r="B291">
        <v>50</v>
      </c>
      <c r="C291" t="s">
        <v>23</v>
      </c>
      <c r="D291" t="s">
        <v>15</v>
      </c>
      <c r="E291" t="s">
        <v>55</v>
      </c>
      <c r="F291" t="s">
        <v>92</v>
      </c>
      <c r="G291" t="s">
        <v>666</v>
      </c>
      <c r="H291" s="13">
        <v>14.5575288</v>
      </c>
      <c r="I291" s="13">
        <v>121.0233343</v>
      </c>
      <c r="J291" s="13" t="s">
        <v>2121</v>
      </c>
    </row>
    <row r="292" spans="1:10" x14ac:dyDescent="0.2">
      <c r="A292" t="s">
        <v>670</v>
      </c>
      <c r="B292">
        <v>49</v>
      </c>
      <c r="C292" t="s">
        <v>23</v>
      </c>
      <c r="D292" t="s">
        <v>15</v>
      </c>
      <c r="E292" t="s">
        <v>24</v>
      </c>
      <c r="F292" t="s">
        <v>25</v>
      </c>
      <c r="G292" t="s">
        <v>671</v>
      </c>
      <c r="H292" s="13">
        <v>14.593819</v>
      </c>
      <c r="I292" s="13">
        <v>120.992302</v>
      </c>
      <c r="J292" s="13" t="s">
        <v>1958</v>
      </c>
    </row>
    <row r="293" spans="1:10" x14ac:dyDescent="0.2">
      <c r="A293" t="s">
        <v>1243</v>
      </c>
      <c r="B293">
        <v>48</v>
      </c>
      <c r="C293" t="s">
        <v>23</v>
      </c>
      <c r="D293" t="s">
        <v>15</v>
      </c>
      <c r="E293" t="s">
        <v>16</v>
      </c>
      <c r="F293" t="s">
        <v>108</v>
      </c>
      <c r="G293" t="s">
        <v>1244</v>
      </c>
      <c r="H293" s="13">
        <v>16.400523400000001</v>
      </c>
      <c r="I293" s="13">
        <v>120.3549725</v>
      </c>
      <c r="J293" s="13" t="s">
        <v>1988</v>
      </c>
    </row>
    <row r="294" spans="1:10" x14ac:dyDescent="0.2">
      <c r="A294" t="s">
        <v>305</v>
      </c>
      <c r="B294">
        <v>47</v>
      </c>
      <c r="C294" t="s">
        <v>23</v>
      </c>
      <c r="D294" t="s">
        <v>15</v>
      </c>
      <c r="E294" t="s">
        <v>24</v>
      </c>
      <c r="F294" t="s">
        <v>182</v>
      </c>
      <c r="G294" t="s">
        <v>306</v>
      </c>
      <c r="H294" s="13">
        <v>14.6122377</v>
      </c>
      <c r="I294" s="13">
        <v>120.98117240000001</v>
      </c>
      <c r="J294" s="13" t="s">
        <v>2051</v>
      </c>
    </row>
    <row r="295" spans="1:10" x14ac:dyDescent="0.2">
      <c r="A295" t="s">
        <v>1544</v>
      </c>
      <c r="B295">
        <v>47</v>
      </c>
      <c r="C295" t="s">
        <v>1884</v>
      </c>
      <c r="D295" t="s">
        <v>15</v>
      </c>
      <c r="E295" t="s">
        <v>44</v>
      </c>
      <c r="F295" t="s">
        <v>44</v>
      </c>
      <c r="G295" t="s">
        <v>1546</v>
      </c>
      <c r="H295" s="13">
        <v>14.6510546</v>
      </c>
      <c r="I295" s="13">
        <v>121.04862540000001</v>
      </c>
      <c r="J295" s="13" t="s">
        <v>1904</v>
      </c>
    </row>
    <row r="296" spans="1:10" x14ac:dyDescent="0.2">
      <c r="A296" t="s">
        <v>1495</v>
      </c>
      <c r="B296">
        <v>47</v>
      </c>
      <c r="C296" t="s">
        <v>23</v>
      </c>
      <c r="D296" t="s">
        <v>15</v>
      </c>
      <c r="E296" t="s">
        <v>16</v>
      </c>
      <c r="F296" t="s">
        <v>108</v>
      </c>
      <c r="G296" t="s">
        <v>1496</v>
      </c>
      <c r="H296" s="13">
        <v>14.5288427</v>
      </c>
      <c r="I296" s="13">
        <v>120.9972269</v>
      </c>
      <c r="J296" s="13" t="s">
        <v>2128</v>
      </c>
    </row>
    <row r="297" spans="1:10" x14ac:dyDescent="0.2">
      <c r="A297" t="s">
        <v>1107</v>
      </c>
      <c r="B297">
        <v>46</v>
      </c>
      <c r="C297" t="s">
        <v>23</v>
      </c>
      <c r="D297" t="s">
        <v>15</v>
      </c>
      <c r="E297" t="s">
        <v>72</v>
      </c>
      <c r="F297" t="s">
        <v>119</v>
      </c>
      <c r="G297" t="s">
        <v>1869</v>
      </c>
      <c r="H297" s="13">
        <v>14.5732433</v>
      </c>
      <c r="I297" s="13">
        <v>121.0630378</v>
      </c>
      <c r="J297" s="13" t="s">
        <v>1915</v>
      </c>
    </row>
    <row r="298" spans="1:10" x14ac:dyDescent="0.2">
      <c r="A298" t="s">
        <v>1598</v>
      </c>
      <c r="B298">
        <v>45</v>
      </c>
      <c r="C298" t="s">
        <v>23</v>
      </c>
      <c r="D298" t="s">
        <v>15</v>
      </c>
      <c r="E298" t="s">
        <v>55</v>
      </c>
      <c r="F298" t="s">
        <v>56</v>
      </c>
      <c r="G298" t="s">
        <v>1599</v>
      </c>
      <c r="H298" s="13">
        <v>14.543830099999999</v>
      </c>
      <c r="I298" s="13">
        <v>120.994953897458</v>
      </c>
      <c r="J298" s="13" t="s">
        <v>1930</v>
      </c>
    </row>
    <row r="299" spans="1:10" x14ac:dyDescent="0.2">
      <c r="A299" t="s">
        <v>817</v>
      </c>
      <c r="B299">
        <v>45</v>
      </c>
      <c r="C299" t="s">
        <v>23</v>
      </c>
      <c r="D299" t="s">
        <v>15</v>
      </c>
      <c r="E299" t="s">
        <v>24</v>
      </c>
      <c r="F299" t="s">
        <v>818</v>
      </c>
      <c r="G299" t="s">
        <v>819</v>
      </c>
      <c r="H299" s="13">
        <v>14.593819</v>
      </c>
      <c r="I299" s="13">
        <v>120.992302</v>
      </c>
      <c r="J299" s="13" t="s">
        <v>1958</v>
      </c>
    </row>
    <row r="300" spans="1:10" x14ac:dyDescent="0.2">
      <c r="A300" t="s">
        <v>1627</v>
      </c>
      <c r="B300">
        <v>44</v>
      </c>
      <c r="C300" t="s">
        <v>23</v>
      </c>
      <c r="D300" t="s">
        <v>15</v>
      </c>
      <c r="E300" t="s">
        <v>36</v>
      </c>
      <c r="F300" t="s">
        <v>207</v>
      </c>
      <c r="G300" t="s">
        <v>1628</v>
      </c>
      <c r="H300" s="13">
        <v>14.743646999999999</v>
      </c>
      <c r="I300" s="13">
        <v>121.036604</v>
      </c>
      <c r="J300" s="13" t="s">
        <v>2105</v>
      </c>
    </row>
    <row r="301" spans="1:10" x14ac:dyDescent="0.2">
      <c r="A301" t="s">
        <v>1754</v>
      </c>
      <c r="B301">
        <v>43</v>
      </c>
      <c r="C301" t="s">
        <v>23</v>
      </c>
      <c r="D301" t="s">
        <v>15</v>
      </c>
      <c r="E301" t="s">
        <v>36</v>
      </c>
      <c r="F301" t="s">
        <v>207</v>
      </c>
      <c r="G301" t="s">
        <v>1755</v>
      </c>
      <c r="H301" s="13">
        <v>17.790299999999998</v>
      </c>
      <c r="I301" s="13">
        <v>121.31019999999999</v>
      </c>
      <c r="J301" s="13" t="s">
        <v>2065</v>
      </c>
    </row>
    <row r="302" spans="1:10" x14ac:dyDescent="0.2">
      <c r="A302" t="s">
        <v>1485</v>
      </c>
      <c r="B302">
        <v>43</v>
      </c>
      <c r="C302" t="s">
        <v>23</v>
      </c>
      <c r="D302" t="s">
        <v>15</v>
      </c>
      <c r="E302" t="s">
        <v>72</v>
      </c>
      <c r="F302" t="s">
        <v>73</v>
      </c>
      <c r="G302" t="s">
        <v>1486</v>
      </c>
      <c r="H302" s="13">
        <v>14.581083</v>
      </c>
      <c r="I302" s="13">
        <v>121.09841</v>
      </c>
      <c r="J302" s="13" t="s">
        <v>2120</v>
      </c>
    </row>
    <row r="303" spans="1:10" x14ac:dyDescent="0.2">
      <c r="A303" t="s">
        <v>823</v>
      </c>
      <c r="B303">
        <v>42</v>
      </c>
      <c r="C303" t="s">
        <v>23</v>
      </c>
      <c r="D303" t="s">
        <v>15</v>
      </c>
      <c r="E303" t="s">
        <v>24</v>
      </c>
      <c r="F303" t="s">
        <v>80</v>
      </c>
      <c r="G303" t="s">
        <v>824</v>
      </c>
      <c r="H303" s="13">
        <v>14.607400999999999</v>
      </c>
      <c r="I303" s="13">
        <v>121.01207290000001</v>
      </c>
      <c r="J303" s="13" t="s">
        <v>1984</v>
      </c>
    </row>
    <row r="304" spans="1:10" x14ac:dyDescent="0.2">
      <c r="A304" t="s">
        <v>1514</v>
      </c>
      <c r="B304">
        <v>42</v>
      </c>
      <c r="C304" t="s">
        <v>43</v>
      </c>
      <c r="D304" t="s">
        <v>15</v>
      </c>
      <c r="E304" t="s">
        <v>36</v>
      </c>
      <c r="F304" t="s">
        <v>207</v>
      </c>
      <c r="G304" t="s">
        <v>1515</v>
      </c>
      <c r="H304" s="13">
        <v>14.656251299999999</v>
      </c>
      <c r="I304" s="13">
        <v>120.9911822</v>
      </c>
      <c r="J304" s="13" t="s">
        <v>2172</v>
      </c>
    </row>
    <row r="305" spans="1:10" x14ac:dyDescent="0.2">
      <c r="A305" t="s">
        <v>683</v>
      </c>
      <c r="B305">
        <v>40</v>
      </c>
      <c r="C305" t="s">
        <v>23</v>
      </c>
      <c r="D305" t="s">
        <v>15</v>
      </c>
      <c r="E305" t="s">
        <v>44</v>
      </c>
      <c r="F305" t="s">
        <v>44</v>
      </c>
      <c r="G305" t="s">
        <v>684</v>
      </c>
      <c r="H305" s="13">
        <v>14.6802493</v>
      </c>
      <c r="I305" s="13">
        <v>121.0190522</v>
      </c>
      <c r="J305" s="13" t="s">
        <v>1982</v>
      </c>
    </row>
    <row r="306" spans="1:10" x14ac:dyDescent="0.2">
      <c r="A306" t="s">
        <v>1386</v>
      </c>
      <c r="B306">
        <v>38</v>
      </c>
      <c r="C306" t="s">
        <v>23</v>
      </c>
      <c r="D306" t="s">
        <v>15</v>
      </c>
      <c r="E306" t="s">
        <v>36</v>
      </c>
      <c r="F306" t="s">
        <v>37</v>
      </c>
      <c r="G306" t="s">
        <v>1387</v>
      </c>
      <c r="H306" s="13">
        <v>14.706899999999999</v>
      </c>
      <c r="I306" s="13">
        <v>121.1306</v>
      </c>
      <c r="J306" s="13" t="s">
        <v>1981</v>
      </c>
    </row>
    <row r="307" spans="1:10" x14ac:dyDescent="0.2">
      <c r="A307" t="s">
        <v>271</v>
      </c>
      <c r="B307">
        <v>37</v>
      </c>
      <c r="C307" t="s">
        <v>43</v>
      </c>
      <c r="D307" t="s">
        <v>15</v>
      </c>
      <c r="E307" t="s">
        <v>16</v>
      </c>
      <c r="F307" t="s">
        <v>17</v>
      </c>
      <c r="G307" t="s">
        <v>272</v>
      </c>
      <c r="H307" s="14">
        <v>14.515755712673</v>
      </c>
      <c r="I307" s="14">
        <v>121.061468695461</v>
      </c>
      <c r="J307" s="14"/>
    </row>
    <row r="308" spans="1:10" x14ac:dyDescent="0.2">
      <c r="A308" t="s">
        <v>1897</v>
      </c>
      <c r="B308">
        <v>37</v>
      </c>
      <c r="C308" t="s">
        <v>23</v>
      </c>
      <c r="D308" t="s">
        <v>15</v>
      </c>
      <c r="E308" t="s">
        <v>36</v>
      </c>
      <c r="F308" t="s">
        <v>207</v>
      </c>
      <c r="G308" t="s">
        <v>1759</v>
      </c>
      <c r="H308" s="13">
        <v>14.64953</v>
      </c>
      <c r="I308" s="13">
        <v>120.96787999999999</v>
      </c>
      <c r="J308" s="13" t="s">
        <v>2173</v>
      </c>
    </row>
    <row r="309" spans="1:10" x14ac:dyDescent="0.2">
      <c r="A309" t="s">
        <v>107</v>
      </c>
      <c r="B309">
        <v>36</v>
      </c>
      <c r="C309" t="s">
        <v>66</v>
      </c>
      <c r="D309" t="s">
        <v>15</v>
      </c>
      <c r="E309" t="s">
        <v>16</v>
      </c>
      <c r="F309" t="s">
        <v>108</v>
      </c>
      <c r="G309" t="s">
        <v>109</v>
      </c>
      <c r="H309" s="13">
        <v>14.4517895</v>
      </c>
      <c r="I309" s="13">
        <v>121.034997</v>
      </c>
      <c r="J309" s="13" t="s">
        <v>1951</v>
      </c>
    </row>
    <row r="310" spans="1:10" x14ac:dyDescent="0.2">
      <c r="A310" t="s">
        <v>1709</v>
      </c>
      <c r="B310">
        <v>34</v>
      </c>
      <c r="C310" t="s">
        <v>23</v>
      </c>
      <c r="D310" t="s">
        <v>15</v>
      </c>
      <c r="E310" t="s">
        <v>36</v>
      </c>
      <c r="F310" t="s">
        <v>176</v>
      </c>
      <c r="G310" t="s">
        <v>1710</v>
      </c>
      <c r="H310" s="13">
        <v>14.717475</v>
      </c>
      <c r="I310" s="13">
        <v>120.91704900000001</v>
      </c>
      <c r="J310" s="13" t="s">
        <v>1933</v>
      </c>
    </row>
    <row r="311" spans="1:10" x14ac:dyDescent="0.2">
      <c r="A311" t="s">
        <v>832</v>
      </c>
      <c r="B311">
        <v>34</v>
      </c>
      <c r="C311" t="s">
        <v>23</v>
      </c>
      <c r="D311" t="s">
        <v>15</v>
      </c>
      <c r="E311" t="s">
        <v>16</v>
      </c>
      <c r="F311" t="s">
        <v>224</v>
      </c>
      <c r="G311" t="s">
        <v>833</v>
      </c>
      <c r="H311" s="13">
        <v>14.417628000000001</v>
      </c>
      <c r="I311" s="13">
        <v>121.045194</v>
      </c>
      <c r="J311" s="13" t="s">
        <v>2020</v>
      </c>
    </row>
    <row r="312" spans="1:10" x14ac:dyDescent="0.2">
      <c r="A312" t="s">
        <v>1785</v>
      </c>
      <c r="B312">
        <v>31</v>
      </c>
      <c r="C312" t="s">
        <v>23</v>
      </c>
      <c r="D312" t="s">
        <v>15</v>
      </c>
      <c r="E312" t="s">
        <v>24</v>
      </c>
      <c r="F312" t="s">
        <v>135</v>
      </c>
      <c r="G312" t="s">
        <v>1786</v>
      </c>
      <c r="H312" s="13">
        <v>14.5703586</v>
      </c>
      <c r="I312" s="13">
        <v>120.99265939999999</v>
      </c>
      <c r="J312" s="13" t="s">
        <v>2163</v>
      </c>
    </row>
    <row r="313" spans="1:10" x14ac:dyDescent="0.2">
      <c r="A313" t="s">
        <v>1260</v>
      </c>
      <c r="B313">
        <v>28</v>
      </c>
      <c r="C313" t="s">
        <v>23</v>
      </c>
      <c r="D313" t="s">
        <v>15</v>
      </c>
      <c r="E313" t="s">
        <v>16</v>
      </c>
      <c r="F313" t="s">
        <v>17</v>
      </c>
      <c r="G313" t="s">
        <v>1261</v>
      </c>
      <c r="H313" s="13">
        <v>14.529038099999999</v>
      </c>
      <c r="I313" s="13">
        <v>121.0701881</v>
      </c>
      <c r="J313" s="13" t="s">
        <v>2018</v>
      </c>
    </row>
    <row r="314" spans="1:10" x14ac:dyDescent="0.2">
      <c r="A314" t="s">
        <v>849</v>
      </c>
      <c r="B314">
        <v>28</v>
      </c>
      <c r="C314" t="s">
        <v>23</v>
      </c>
      <c r="D314" t="s">
        <v>15</v>
      </c>
      <c r="E314" t="s">
        <v>16</v>
      </c>
      <c r="F314" t="s">
        <v>456</v>
      </c>
      <c r="G314" t="s">
        <v>850</v>
      </c>
      <c r="H314" s="13">
        <v>14.449527249999999</v>
      </c>
      <c r="I314" s="13">
        <v>120.986689707026</v>
      </c>
      <c r="J314" s="13" t="s">
        <v>2167</v>
      </c>
    </row>
    <row r="315" spans="1:10" x14ac:dyDescent="0.2">
      <c r="A315" t="s">
        <v>1346</v>
      </c>
      <c r="B315">
        <v>25</v>
      </c>
      <c r="C315" t="s">
        <v>729</v>
      </c>
      <c r="D315" t="s">
        <v>15</v>
      </c>
      <c r="E315" t="s">
        <v>44</v>
      </c>
      <c r="F315" t="s">
        <v>44</v>
      </c>
      <c r="G315" t="s">
        <v>1347</v>
      </c>
      <c r="H315" s="13">
        <v>14.60860005</v>
      </c>
      <c r="I315" s="13">
        <v>121.054170788829</v>
      </c>
      <c r="J315" s="13" t="s">
        <v>2090</v>
      </c>
    </row>
    <row r="316" spans="1:10" x14ac:dyDescent="0.2">
      <c r="A316" t="s">
        <v>837</v>
      </c>
      <c r="B316">
        <v>25</v>
      </c>
      <c r="C316" t="s">
        <v>23</v>
      </c>
      <c r="D316" t="s">
        <v>15</v>
      </c>
      <c r="E316" t="s">
        <v>16</v>
      </c>
      <c r="F316" t="s">
        <v>456</v>
      </c>
      <c r="G316" t="s">
        <v>799</v>
      </c>
      <c r="H316" s="13">
        <v>14.4487091</v>
      </c>
      <c r="I316" s="13">
        <v>120.98381379999999</v>
      </c>
      <c r="J316" s="13" t="s">
        <v>2132</v>
      </c>
    </row>
    <row r="317" spans="1:10" x14ac:dyDescent="0.2">
      <c r="A317" t="s">
        <v>839</v>
      </c>
      <c r="B317">
        <v>25</v>
      </c>
      <c r="C317" t="s">
        <v>23</v>
      </c>
      <c r="D317" t="s">
        <v>15</v>
      </c>
      <c r="E317" t="s">
        <v>16</v>
      </c>
      <c r="F317" t="s">
        <v>456</v>
      </c>
      <c r="G317" t="s">
        <v>840</v>
      </c>
      <c r="H317" s="13">
        <v>14.442341000000001</v>
      </c>
      <c r="I317" s="13">
        <v>120.990747</v>
      </c>
      <c r="J317" s="13" t="s">
        <v>2144</v>
      </c>
    </row>
    <row r="318" spans="1:10" x14ac:dyDescent="0.2">
      <c r="A318" t="s">
        <v>1830</v>
      </c>
      <c r="B318">
        <v>25</v>
      </c>
      <c r="C318" t="s">
        <v>23</v>
      </c>
      <c r="D318" t="s">
        <v>15</v>
      </c>
      <c r="E318" t="s">
        <v>44</v>
      </c>
      <c r="F318" t="s">
        <v>44</v>
      </c>
      <c r="G318" t="s">
        <v>1831</v>
      </c>
      <c r="H318" s="13">
        <v>14.650435</v>
      </c>
      <c r="I318" s="13">
        <v>121.029966</v>
      </c>
      <c r="J318" s="13" t="s">
        <v>1914</v>
      </c>
    </row>
    <row r="319" spans="1:10" x14ac:dyDescent="0.2">
      <c r="A319" t="s">
        <v>1301</v>
      </c>
      <c r="B319">
        <v>25</v>
      </c>
      <c r="C319" t="s">
        <v>23</v>
      </c>
      <c r="D319" t="s">
        <v>15</v>
      </c>
      <c r="E319" t="s">
        <v>24</v>
      </c>
      <c r="F319" t="s">
        <v>818</v>
      </c>
      <c r="G319" t="s">
        <v>1302</v>
      </c>
      <c r="H319" s="13">
        <v>14.593819</v>
      </c>
      <c r="I319" s="13">
        <v>120.992302</v>
      </c>
      <c r="J319" s="13" t="s">
        <v>1958</v>
      </c>
    </row>
    <row r="320" spans="1:10" x14ac:dyDescent="0.2">
      <c r="A320" t="s">
        <v>1809</v>
      </c>
      <c r="B320">
        <v>24</v>
      </c>
      <c r="C320" t="s">
        <v>23</v>
      </c>
      <c r="D320" t="s">
        <v>15</v>
      </c>
      <c r="E320" t="s">
        <v>36</v>
      </c>
      <c r="F320" t="s">
        <v>207</v>
      </c>
      <c r="G320" t="s">
        <v>1810</v>
      </c>
      <c r="H320" s="13">
        <v>14.750244</v>
      </c>
      <c r="I320" s="13">
        <v>121.05368799999999</v>
      </c>
      <c r="J320" s="13" t="s">
        <v>1911</v>
      </c>
    </row>
    <row r="321" spans="1:10" x14ac:dyDescent="0.2">
      <c r="A321" t="s">
        <v>1704</v>
      </c>
      <c r="B321">
        <v>23</v>
      </c>
      <c r="C321" t="s">
        <v>23</v>
      </c>
      <c r="D321" t="s">
        <v>15</v>
      </c>
      <c r="E321" t="s">
        <v>44</v>
      </c>
      <c r="F321" t="s">
        <v>44</v>
      </c>
      <c r="G321" t="s">
        <v>1705</v>
      </c>
      <c r="H321" s="13">
        <v>14.714166049999999</v>
      </c>
      <c r="I321" s="13">
        <v>121.057645797642</v>
      </c>
      <c r="J321" s="13" t="s">
        <v>2096</v>
      </c>
    </row>
    <row r="322" spans="1:10" x14ac:dyDescent="0.2">
      <c r="A322" t="s">
        <v>844</v>
      </c>
      <c r="B322">
        <v>22</v>
      </c>
      <c r="C322" t="s">
        <v>23</v>
      </c>
      <c r="D322" t="s">
        <v>15</v>
      </c>
      <c r="E322" t="s">
        <v>24</v>
      </c>
      <c r="F322" t="s">
        <v>182</v>
      </c>
      <c r="G322" t="s">
        <v>845</v>
      </c>
      <c r="H322" s="13">
        <v>14.6256313</v>
      </c>
      <c r="I322" s="13">
        <v>120.9885022</v>
      </c>
      <c r="J322" s="13" t="s">
        <v>1957</v>
      </c>
    </row>
    <row r="323" spans="1:10" x14ac:dyDescent="0.2">
      <c r="A323" t="s">
        <v>1423</v>
      </c>
      <c r="B323">
        <v>22</v>
      </c>
      <c r="C323" t="s">
        <v>23</v>
      </c>
      <c r="D323" t="s">
        <v>15</v>
      </c>
      <c r="E323" t="s">
        <v>16</v>
      </c>
      <c r="F323" t="s">
        <v>17</v>
      </c>
      <c r="G323" t="s">
        <v>1424</v>
      </c>
      <c r="H323" s="13">
        <v>14.528584</v>
      </c>
      <c r="I323" s="13">
        <v>121.042292</v>
      </c>
      <c r="J323" s="13" t="s">
        <v>2097</v>
      </c>
    </row>
    <row r="324" spans="1:10" x14ac:dyDescent="0.2">
      <c r="A324" t="s">
        <v>1297</v>
      </c>
      <c r="B324">
        <v>22</v>
      </c>
      <c r="C324" t="s">
        <v>23</v>
      </c>
      <c r="D324" t="s">
        <v>15</v>
      </c>
      <c r="E324" t="s">
        <v>24</v>
      </c>
      <c r="F324" t="s">
        <v>349</v>
      </c>
      <c r="G324" t="s">
        <v>1298</v>
      </c>
      <c r="H324" s="13">
        <v>14.579230900000001</v>
      </c>
      <c r="I324" s="13">
        <v>120.9930298</v>
      </c>
      <c r="J324" s="13" t="s">
        <v>2166</v>
      </c>
    </row>
    <row r="325" spans="1:10" x14ac:dyDescent="0.2">
      <c r="A325" t="s">
        <v>719</v>
      </c>
      <c r="B325">
        <v>19</v>
      </c>
      <c r="C325" t="s">
        <v>23</v>
      </c>
      <c r="D325" t="s">
        <v>15</v>
      </c>
      <c r="E325" t="s">
        <v>16</v>
      </c>
      <c r="F325" t="s">
        <v>108</v>
      </c>
      <c r="G325" t="s">
        <v>720</v>
      </c>
      <c r="H325" s="13">
        <v>14.480581000000001</v>
      </c>
      <c r="I325" s="13">
        <v>121.03119599999999</v>
      </c>
      <c r="J325" s="13" t="s">
        <v>1942</v>
      </c>
    </row>
    <row r="326" spans="1:10" x14ac:dyDescent="0.2">
      <c r="A326" t="s">
        <v>281</v>
      </c>
      <c r="B326">
        <v>19</v>
      </c>
      <c r="C326" t="s">
        <v>23</v>
      </c>
      <c r="D326" t="s">
        <v>15</v>
      </c>
      <c r="E326" t="s">
        <v>16</v>
      </c>
      <c r="F326" t="s">
        <v>224</v>
      </c>
      <c r="G326" t="s">
        <v>282</v>
      </c>
      <c r="H326" s="13">
        <v>14.417628000000001</v>
      </c>
      <c r="I326" s="13">
        <v>121.045194</v>
      </c>
      <c r="J326" s="13" t="s">
        <v>2020</v>
      </c>
    </row>
    <row r="327" spans="1:10" x14ac:dyDescent="0.2">
      <c r="A327" t="s">
        <v>1849</v>
      </c>
      <c r="B327">
        <v>15</v>
      </c>
      <c r="C327" t="s">
        <v>14</v>
      </c>
      <c r="D327" t="s">
        <v>15</v>
      </c>
      <c r="E327" t="s">
        <v>72</v>
      </c>
      <c r="F327" t="s">
        <v>73</v>
      </c>
      <c r="G327" t="s">
        <v>1850</v>
      </c>
      <c r="H327" s="13">
        <v>14.632580000000001</v>
      </c>
      <c r="I327" s="13">
        <v>121.099649</v>
      </c>
      <c r="J327" s="13" t="s">
        <v>2071</v>
      </c>
    </row>
    <row r="328" spans="1:10" x14ac:dyDescent="0.2">
      <c r="A328" t="s">
        <v>1775</v>
      </c>
      <c r="B328">
        <v>14</v>
      </c>
      <c r="C328" t="s">
        <v>23</v>
      </c>
      <c r="D328" t="s">
        <v>15</v>
      </c>
      <c r="E328" t="s">
        <v>24</v>
      </c>
      <c r="F328" t="s">
        <v>166</v>
      </c>
      <c r="G328" t="s">
        <v>1776</v>
      </c>
      <c r="H328" s="13">
        <v>13.946418</v>
      </c>
      <c r="I328" s="13">
        <v>121.635199</v>
      </c>
      <c r="J328" s="13" t="s">
        <v>2119</v>
      </c>
    </row>
    <row r="329" spans="1:10" x14ac:dyDescent="0.2">
      <c r="A329" t="s">
        <v>1490</v>
      </c>
      <c r="B329">
        <v>14</v>
      </c>
      <c r="C329" t="s">
        <v>23</v>
      </c>
      <c r="D329" t="s">
        <v>15</v>
      </c>
      <c r="E329" t="s">
        <v>44</v>
      </c>
      <c r="F329" t="s">
        <v>44</v>
      </c>
      <c r="G329" t="s">
        <v>1491</v>
      </c>
      <c r="H329" s="13">
        <v>14.7265467</v>
      </c>
      <c r="I329" s="13">
        <v>121.0660228</v>
      </c>
      <c r="J329" s="13" t="s">
        <v>2122</v>
      </c>
    </row>
    <row r="330" spans="1:10" x14ac:dyDescent="0.2">
      <c r="A330" t="s">
        <v>854</v>
      </c>
      <c r="B330">
        <v>14</v>
      </c>
      <c r="C330" t="s">
        <v>43</v>
      </c>
      <c r="D330" t="s">
        <v>15</v>
      </c>
      <c r="E330" t="s">
        <v>44</v>
      </c>
      <c r="F330" t="s">
        <v>44</v>
      </c>
      <c r="G330" t="s">
        <v>855</v>
      </c>
      <c r="H330" s="13">
        <v>14.6314475</v>
      </c>
      <c r="I330" s="13">
        <v>121.0733121</v>
      </c>
      <c r="J330" s="13" t="s">
        <v>2138</v>
      </c>
    </row>
    <row r="331" spans="1:10" x14ac:dyDescent="0.2">
      <c r="A331" t="s">
        <v>1317</v>
      </c>
      <c r="B331">
        <v>10</v>
      </c>
      <c r="C331" t="s">
        <v>23</v>
      </c>
      <c r="D331" t="s">
        <v>15</v>
      </c>
      <c r="E331" t="s">
        <v>55</v>
      </c>
      <c r="F331" t="s">
        <v>92</v>
      </c>
      <c r="G331" t="s">
        <v>1318</v>
      </c>
      <c r="H331" s="13">
        <v>14.552201999999999</v>
      </c>
      <c r="I331" s="13">
        <v>121.01353469999999</v>
      </c>
      <c r="J331" s="13" t="s">
        <v>2125</v>
      </c>
    </row>
    <row r="332" spans="1:10" x14ac:dyDescent="0.2">
      <c r="A332" t="s">
        <v>859</v>
      </c>
      <c r="B332">
        <v>10</v>
      </c>
      <c r="C332" t="s">
        <v>23</v>
      </c>
      <c r="D332" t="s">
        <v>15</v>
      </c>
      <c r="E332" t="s">
        <v>72</v>
      </c>
      <c r="F332" t="s">
        <v>491</v>
      </c>
      <c r="G332" t="s">
        <v>860</v>
      </c>
      <c r="H332" s="13">
        <v>14.599565200000001</v>
      </c>
      <c r="I332" s="13">
        <v>121.0274653</v>
      </c>
      <c r="J332" s="13" t="s">
        <v>2178</v>
      </c>
    </row>
    <row r="333" spans="1:10" x14ac:dyDescent="0.2">
      <c r="A333" t="s">
        <v>1770</v>
      </c>
      <c r="B333">
        <v>9</v>
      </c>
      <c r="C333" t="s">
        <v>23</v>
      </c>
      <c r="D333" t="s">
        <v>15</v>
      </c>
      <c r="E333" t="s">
        <v>24</v>
      </c>
      <c r="F333" t="s">
        <v>182</v>
      </c>
      <c r="G333" t="s">
        <v>1771</v>
      </c>
      <c r="H333" s="13">
        <v>14.613776</v>
      </c>
      <c r="I333" s="13">
        <v>121.003789</v>
      </c>
      <c r="J333" s="13" t="s">
        <v>1955</v>
      </c>
    </row>
    <row r="334" spans="1:10" x14ac:dyDescent="0.2">
      <c r="A334" t="s">
        <v>864</v>
      </c>
      <c r="B334">
        <v>7</v>
      </c>
      <c r="C334" t="s">
        <v>43</v>
      </c>
      <c r="D334" t="s">
        <v>15</v>
      </c>
      <c r="E334" t="s">
        <v>44</v>
      </c>
      <c r="F334" t="s">
        <v>44</v>
      </c>
      <c r="G334" t="s">
        <v>865</v>
      </c>
      <c r="H334" s="13">
        <v>14.68000915</v>
      </c>
      <c r="I334" s="13">
        <v>121.021449682648</v>
      </c>
      <c r="J334" s="13" t="s">
        <v>1979</v>
      </c>
    </row>
    <row r="335" spans="1:10" x14ac:dyDescent="0.2">
      <c r="A335" t="s">
        <v>1211</v>
      </c>
      <c r="B335">
        <v>5</v>
      </c>
      <c r="C335" t="s">
        <v>23</v>
      </c>
      <c r="D335" t="s">
        <v>15</v>
      </c>
      <c r="E335" t="s">
        <v>55</v>
      </c>
      <c r="F335" t="s">
        <v>92</v>
      </c>
      <c r="G335" t="s">
        <v>1212</v>
      </c>
      <c r="H335" s="13">
        <v>14.396618</v>
      </c>
      <c r="I335" s="13">
        <v>120.985242</v>
      </c>
      <c r="J335" s="13" t="s">
        <v>2145</v>
      </c>
    </row>
    <row r="336" spans="1:10" x14ac:dyDescent="0.2">
      <c r="A336" t="s">
        <v>1222</v>
      </c>
      <c r="B336">
        <v>5</v>
      </c>
      <c r="C336" t="s">
        <v>23</v>
      </c>
      <c r="D336" t="s">
        <v>15</v>
      </c>
      <c r="E336" t="s">
        <v>55</v>
      </c>
      <c r="F336" t="s">
        <v>92</v>
      </c>
      <c r="G336" t="s">
        <v>1223</v>
      </c>
      <c r="H336" s="13">
        <v>14.538735000000001</v>
      </c>
      <c r="I336" s="13">
        <v>121.016868</v>
      </c>
      <c r="J336" s="13" t="s">
        <v>2153</v>
      </c>
    </row>
    <row r="337" spans="1:10" x14ac:dyDescent="0.2">
      <c r="A337" t="s">
        <v>1287</v>
      </c>
      <c r="B337">
        <v>2</v>
      </c>
      <c r="C337" t="s">
        <v>23</v>
      </c>
      <c r="D337" t="s">
        <v>15</v>
      </c>
      <c r="E337" t="s">
        <v>24</v>
      </c>
      <c r="F337" t="s">
        <v>349</v>
      </c>
      <c r="G337" t="s">
        <v>1288</v>
      </c>
      <c r="H337" s="13">
        <v>14.579392199999999</v>
      </c>
      <c r="I337" s="13">
        <v>121.0042138</v>
      </c>
      <c r="J337" s="13" t="s">
        <v>2093</v>
      </c>
    </row>
    <row r="338" spans="1:10" x14ac:dyDescent="0.2">
      <c r="A338" t="s">
        <v>1371</v>
      </c>
      <c r="B338">
        <v>1</v>
      </c>
      <c r="C338" t="s">
        <v>23</v>
      </c>
      <c r="D338" t="s">
        <v>15</v>
      </c>
      <c r="E338" t="s">
        <v>16</v>
      </c>
      <c r="F338" t="s">
        <v>108</v>
      </c>
      <c r="G338" t="s">
        <v>1372</v>
      </c>
      <c r="H338" s="13">
        <v>14.48156</v>
      </c>
      <c r="I338" s="13">
        <v>121.01749</v>
      </c>
      <c r="J338" s="13" t="s">
        <v>1931</v>
      </c>
    </row>
    <row r="339" spans="1:10" x14ac:dyDescent="0.2">
      <c r="A339" t="s">
        <v>1252</v>
      </c>
      <c r="B339">
        <v>1</v>
      </c>
      <c r="C339" t="s">
        <v>23</v>
      </c>
      <c r="D339" t="s">
        <v>15</v>
      </c>
      <c r="E339" t="s">
        <v>16</v>
      </c>
      <c r="F339" t="s">
        <v>108</v>
      </c>
      <c r="G339" t="s">
        <v>1253</v>
      </c>
      <c r="H339" s="13">
        <v>14.456980400000001</v>
      </c>
      <c r="I339" s="13">
        <v>121.0531587</v>
      </c>
      <c r="J339" s="13" t="s">
        <v>1917</v>
      </c>
    </row>
    <row r="340" spans="1:10" x14ac:dyDescent="0.2">
      <c r="A340" t="s">
        <v>1394</v>
      </c>
      <c r="B340">
        <v>1</v>
      </c>
      <c r="C340" t="s">
        <v>23</v>
      </c>
      <c r="D340" t="s">
        <v>15</v>
      </c>
      <c r="E340" t="s">
        <v>16</v>
      </c>
      <c r="F340" t="s">
        <v>108</v>
      </c>
      <c r="G340" t="s">
        <v>1395</v>
      </c>
      <c r="H340" s="13">
        <v>15.788752000000001</v>
      </c>
      <c r="I340" s="13">
        <v>120.999786</v>
      </c>
      <c r="J340" s="13" t="s">
        <v>2036</v>
      </c>
    </row>
    <row r="341" spans="1:10" x14ac:dyDescent="0.2">
      <c r="A341" t="s">
        <v>868</v>
      </c>
      <c r="B341">
        <v>1</v>
      </c>
      <c r="C341" t="s">
        <v>23</v>
      </c>
      <c r="D341" t="s">
        <v>15</v>
      </c>
      <c r="E341" t="s">
        <v>16</v>
      </c>
      <c r="F341" t="s">
        <v>108</v>
      </c>
      <c r="G341" t="s">
        <v>869</v>
      </c>
      <c r="H341" s="13">
        <v>14.480581000000001</v>
      </c>
      <c r="I341" s="13">
        <v>121.03119599999999</v>
      </c>
      <c r="J341" s="13" t="s">
        <v>1942</v>
      </c>
    </row>
    <row r="342" spans="1:10" x14ac:dyDescent="0.2">
      <c r="A342" t="s">
        <v>1229</v>
      </c>
      <c r="B342">
        <v>1</v>
      </c>
      <c r="C342" t="s">
        <v>43</v>
      </c>
      <c r="D342" t="s">
        <v>15</v>
      </c>
      <c r="E342" t="s">
        <v>24</v>
      </c>
      <c r="F342" t="s">
        <v>80</v>
      </c>
      <c r="G342" t="s">
        <v>1230</v>
      </c>
      <c r="H342" s="13">
        <v>14.604293</v>
      </c>
      <c r="I342" s="13">
        <v>120.994272731179</v>
      </c>
      <c r="J342" s="13" t="s">
        <v>2072</v>
      </c>
    </row>
    <row r="343" spans="1:10" x14ac:dyDescent="0.2">
      <c r="A343" t="s">
        <v>873</v>
      </c>
      <c r="B343">
        <v>1</v>
      </c>
      <c r="C343" t="s">
        <v>43</v>
      </c>
      <c r="D343" t="s">
        <v>15</v>
      </c>
      <c r="E343" t="s">
        <v>16</v>
      </c>
      <c r="F343" t="s">
        <v>108</v>
      </c>
      <c r="G343" t="s">
        <v>874</v>
      </c>
      <c r="H343" s="13">
        <v>14.4548372</v>
      </c>
      <c r="I343" s="13">
        <v>121.042697463921</v>
      </c>
      <c r="J343" s="13" t="s">
        <v>2165</v>
      </c>
    </row>
    <row r="344" spans="1:10" x14ac:dyDescent="0.2">
      <c r="A344" t="s">
        <v>1179</v>
      </c>
      <c r="B344">
        <v>0</v>
      </c>
      <c r="C344" t="s">
        <v>23</v>
      </c>
      <c r="D344" t="s">
        <v>15</v>
      </c>
      <c r="E344" t="s">
        <v>55</v>
      </c>
      <c r="F344" t="s">
        <v>92</v>
      </c>
      <c r="G344" t="s">
        <v>1180</v>
      </c>
      <c r="H344" s="13">
        <v>14.5430262</v>
      </c>
      <c r="I344" s="13">
        <v>121.0183796</v>
      </c>
      <c r="J344" s="13" t="s">
        <v>1913</v>
      </c>
    </row>
    <row r="345" spans="1:10" x14ac:dyDescent="0.2">
      <c r="A345" t="s">
        <v>728</v>
      </c>
      <c r="B345">
        <v>0</v>
      </c>
      <c r="C345" t="s">
        <v>729</v>
      </c>
      <c r="D345" t="s">
        <v>15</v>
      </c>
      <c r="E345" t="s">
        <v>16</v>
      </c>
      <c r="F345" t="s">
        <v>17</v>
      </c>
      <c r="G345" t="s">
        <v>730</v>
      </c>
      <c r="H345" s="13">
        <v>14.603540600000001</v>
      </c>
      <c r="I345" s="13">
        <v>121.0448277</v>
      </c>
      <c r="J345" s="13" t="s">
        <v>1973</v>
      </c>
    </row>
    <row r="346" spans="1:10" x14ac:dyDescent="0.2">
      <c r="A346" t="s">
        <v>1698</v>
      </c>
      <c r="B346">
        <v>0</v>
      </c>
      <c r="C346" t="s">
        <v>23</v>
      </c>
      <c r="D346" t="s">
        <v>15</v>
      </c>
      <c r="E346" t="s">
        <v>55</v>
      </c>
      <c r="F346" t="s">
        <v>92</v>
      </c>
      <c r="G346" t="s">
        <v>1699</v>
      </c>
      <c r="H346" s="13">
        <v>14.547442999999999</v>
      </c>
      <c r="I346" s="13">
        <v>121.01495199999999</v>
      </c>
      <c r="J346" s="13" t="s">
        <v>1977</v>
      </c>
    </row>
    <row r="347" spans="1:10" x14ac:dyDescent="0.2">
      <c r="A347" t="s">
        <v>878</v>
      </c>
      <c r="B347">
        <v>0</v>
      </c>
      <c r="C347" t="s">
        <v>23</v>
      </c>
      <c r="D347" t="s">
        <v>15</v>
      </c>
      <c r="E347" t="s">
        <v>16</v>
      </c>
      <c r="F347" t="s">
        <v>108</v>
      </c>
      <c r="G347" t="s">
        <v>879</v>
      </c>
      <c r="H347" s="13">
        <v>14.469787</v>
      </c>
      <c r="I347" s="13">
        <v>121.01800900000001</v>
      </c>
      <c r="J347" s="13" t="s">
        <v>1994</v>
      </c>
    </row>
    <row r="348" spans="1:10" x14ac:dyDescent="0.2">
      <c r="A348" t="s">
        <v>881</v>
      </c>
      <c r="B348">
        <v>0</v>
      </c>
      <c r="C348" t="s">
        <v>23</v>
      </c>
      <c r="D348" t="s">
        <v>15</v>
      </c>
      <c r="E348" t="s">
        <v>36</v>
      </c>
      <c r="F348" t="s">
        <v>207</v>
      </c>
      <c r="G348" t="s">
        <v>882</v>
      </c>
      <c r="H348" s="13">
        <v>14.642122499999999</v>
      </c>
      <c r="I348" s="13">
        <v>120.9755054</v>
      </c>
      <c r="J348" s="13" t="s">
        <v>2053</v>
      </c>
    </row>
    <row r="349" spans="1:10" x14ac:dyDescent="0.2">
      <c r="A349" t="s">
        <v>1193</v>
      </c>
      <c r="B349">
        <v>0</v>
      </c>
      <c r="C349" t="s">
        <v>23</v>
      </c>
      <c r="D349" t="s">
        <v>15</v>
      </c>
      <c r="E349" t="s">
        <v>44</v>
      </c>
      <c r="F349" t="s">
        <v>44</v>
      </c>
      <c r="G349" t="s">
        <v>1194</v>
      </c>
      <c r="H349" s="13">
        <v>14.613154</v>
      </c>
      <c r="I349" s="13">
        <v>121.0549968</v>
      </c>
      <c r="J349" s="13" t="s">
        <v>2059</v>
      </c>
    </row>
    <row r="350" spans="1:10" x14ac:dyDescent="0.2">
      <c r="A350" t="s">
        <v>318</v>
      </c>
      <c r="B350">
        <v>0</v>
      </c>
      <c r="C350" t="s">
        <v>23</v>
      </c>
      <c r="D350" t="s">
        <v>15</v>
      </c>
      <c r="E350" t="s">
        <v>16</v>
      </c>
      <c r="F350" t="s">
        <v>17</v>
      </c>
      <c r="G350" t="s">
        <v>319</v>
      </c>
      <c r="H350" s="13">
        <v>14.650435</v>
      </c>
      <c r="I350" s="13">
        <v>121.029966</v>
      </c>
      <c r="J350" s="13" t="s">
        <v>1914</v>
      </c>
    </row>
    <row r="351" spans="1:10" x14ac:dyDescent="0.2">
      <c r="A351" t="s">
        <v>1856</v>
      </c>
      <c r="B351">
        <v>0</v>
      </c>
      <c r="C351" t="s">
        <v>729</v>
      </c>
      <c r="D351" t="s">
        <v>15</v>
      </c>
      <c r="E351" t="s">
        <v>16</v>
      </c>
      <c r="F351" t="s">
        <v>17</v>
      </c>
      <c r="G351" t="s">
        <v>1857</v>
      </c>
      <c r="H351" s="13">
        <v>14.843408999999999</v>
      </c>
      <c r="I351" s="13">
        <v>120.471942</v>
      </c>
      <c r="J351" s="13" t="s">
        <v>2077</v>
      </c>
    </row>
    <row r="352" spans="1:10" x14ac:dyDescent="0.2">
      <c r="A352" t="s">
        <v>160</v>
      </c>
      <c r="B352">
        <v>0</v>
      </c>
      <c r="C352" t="s">
        <v>23</v>
      </c>
      <c r="D352" t="s">
        <v>15</v>
      </c>
      <c r="E352" t="s">
        <v>55</v>
      </c>
      <c r="F352" t="s">
        <v>56</v>
      </c>
      <c r="G352" t="s">
        <v>161</v>
      </c>
      <c r="H352" s="13">
        <v>14.605733000000001</v>
      </c>
      <c r="I352" s="13">
        <v>120.98737800000001</v>
      </c>
      <c r="J352" s="13" t="s">
        <v>1938</v>
      </c>
    </row>
    <row r="353" spans="1:10" x14ac:dyDescent="0.2">
      <c r="A353" t="s">
        <v>884</v>
      </c>
      <c r="B353">
        <v>0</v>
      </c>
      <c r="C353" t="s">
        <v>23</v>
      </c>
      <c r="D353" t="s">
        <v>15</v>
      </c>
      <c r="E353" t="s">
        <v>16</v>
      </c>
      <c r="F353" t="s">
        <v>456</v>
      </c>
      <c r="G353" t="s">
        <v>885</v>
      </c>
      <c r="H353" s="13">
        <v>14.445357100000001</v>
      </c>
      <c r="I353" s="13">
        <v>120.9843652</v>
      </c>
      <c r="J353" s="13" t="s">
        <v>2113</v>
      </c>
    </row>
    <row r="354" spans="1:10" x14ac:dyDescent="0.2">
      <c r="A354" t="s">
        <v>1764</v>
      </c>
      <c r="B354">
        <v>0</v>
      </c>
      <c r="C354" t="s">
        <v>66</v>
      </c>
      <c r="D354" t="s">
        <v>15</v>
      </c>
      <c r="E354" t="s">
        <v>36</v>
      </c>
      <c r="F354" t="s">
        <v>37</v>
      </c>
      <c r="G354" t="s">
        <v>1765</v>
      </c>
      <c r="H354" s="13">
        <v>14.698588300000001</v>
      </c>
      <c r="I354" s="13">
        <v>120.995316</v>
      </c>
      <c r="J354" s="13" t="s">
        <v>2170</v>
      </c>
    </row>
    <row r="358" spans="1:10" x14ac:dyDescent="0.2">
      <c r="C358">
        <f>MEDIAN(Sheet3[Graduates])</f>
        <v>165</v>
      </c>
    </row>
    <row r="359" spans="1:10" x14ac:dyDescent="0.2">
      <c r="C359">
        <f>AVERAGE(Sheet3[Graduates])</f>
        <v>310.51558073654388</v>
      </c>
    </row>
    <row r="360" spans="1:10" x14ac:dyDescent="0.2">
      <c r="C360" t="s">
        <v>2205</v>
      </c>
      <c r="D360">
        <f>COUNTA(B2:B22)</f>
        <v>21</v>
      </c>
      <c r="E360">
        <f>COUNTA(Sheet3[Graduates])</f>
        <v>353</v>
      </c>
      <c r="F360">
        <f>D360/E360</f>
        <v>5.9490084985835696E-2</v>
      </c>
    </row>
    <row r="361" spans="1:10" x14ac:dyDescent="0.2">
      <c r="C361" t="s">
        <v>2204</v>
      </c>
      <c r="D361">
        <f>COUNTA(B2:B108)</f>
        <v>107</v>
      </c>
      <c r="F361">
        <f>D361/E360</f>
        <v>0.30311614730878189</v>
      </c>
    </row>
    <row r="362" spans="1:10" x14ac:dyDescent="0.2">
      <c r="C362" t="s">
        <v>2206</v>
      </c>
      <c r="D362">
        <f>COUNTA(B108:B354)</f>
        <v>247</v>
      </c>
      <c r="E362">
        <f>D362/E360</f>
        <v>0.69971671388101986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4149-F446-5C43-B22F-FF1BA6B53C9F}">
  <dimension ref="A1:C18"/>
  <sheetViews>
    <sheetView zoomScale="125" workbookViewId="0">
      <selection activeCell="C4" sqref="C4:C5"/>
    </sheetView>
  </sheetViews>
  <sheetFormatPr baseColWidth="10" defaultRowHeight="16" x14ac:dyDescent="0.2"/>
  <cols>
    <col min="1" max="1" width="13" customWidth="1"/>
    <col min="2" max="2" width="18" customWidth="1"/>
    <col min="3" max="3" width="16.1640625" customWidth="1"/>
    <col min="7" max="7" width="17.1640625" customWidth="1"/>
  </cols>
  <sheetData>
    <row r="1" spans="1:3" x14ac:dyDescent="0.2">
      <c r="A1" t="s">
        <v>2180</v>
      </c>
      <c r="B1" t="s">
        <v>2181</v>
      </c>
      <c r="C1" t="s">
        <v>2199</v>
      </c>
    </row>
    <row r="2" spans="1:3" x14ac:dyDescent="0.2">
      <c r="A2" t="s">
        <v>2179</v>
      </c>
      <c r="B2" t="s">
        <v>2182</v>
      </c>
      <c r="C2">
        <v>18268</v>
      </c>
    </row>
    <row r="3" spans="1:3" x14ac:dyDescent="0.2">
      <c r="A3" t="s">
        <v>44</v>
      </c>
      <c r="B3" t="s">
        <v>2183</v>
      </c>
      <c r="C3">
        <v>16586</v>
      </c>
    </row>
    <row r="4" spans="1:3" x14ac:dyDescent="0.2">
      <c r="A4" t="s">
        <v>92</v>
      </c>
      <c r="B4" t="s">
        <v>2184</v>
      </c>
      <c r="C4">
        <v>11135</v>
      </c>
    </row>
    <row r="5" spans="1:3" x14ac:dyDescent="0.2">
      <c r="A5" s="16" t="s">
        <v>119</v>
      </c>
      <c r="B5" s="17" t="s">
        <v>2185</v>
      </c>
      <c r="C5">
        <v>10737</v>
      </c>
    </row>
    <row r="6" spans="1:3" x14ac:dyDescent="0.2">
      <c r="A6" t="s">
        <v>17</v>
      </c>
      <c r="B6" t="s">
        <v>2186</v>
      </c>
      <c r="C6">
        <v>8529</v>
      </c>
    </row>
    <row r="7" spans="1:3" x14ac:dyDescent="0.2">
      <c r="A7" t="s">
        <v>73</v>
      </c>
      <c r="B7" t="s">
        <v>2187</v>
      </c>
      <c r="C7">
        <v>7623</v>
      </c>
    </row>
    <row r="8" spans="1:3" x14ac:dyDescent="0.2">
      <c r="A8" t="s">
        <v>207</v>
      </c>
      <c r="B8" t="s">
        <v>2188</v>
      </c>
      <c r="C8">
        <v>5960</v>
      </c>
    </row>
    <row r="9" spans="1:3" x14ac:dyDescent="0.2">
      <c r="A9" t="s">
        <v>213</v>
      </c>
      <c r="B9" t="s">
        <v>2189</v>
      </c>
      <c r="C9">
        <v>5216</v>
      </c>
    </row>
    <row r="10" spans="1:3" x14ac:dyDescent="0.2">
      <c r="A10" t="s">
        <v>37</v>
      </c>
      <c r="B10" t="s">
        <v>2190</v>
      </c>
      <c r="C10">
        <v>5144</v>
      </c>
    </row>
    <row r="11" spans="1:3" x14ac:dyDescent="0.2">
      <c r="A11" t="s">
        <v>108</v>
      </c>
      <c r="B11" t="s">
        <v>2191</v>
      </c>
      <c r="C11">
        <v>4952</v>
      </c>
    </row>
    <row r="12" spans="1:3" x14ac:dyDescent="0.2">
      <c r="A12" s="15" t="s">
        <v>56</v>
      </c>
      <c r="B12" s="15" t="s">
        <v>2200</v>
      </c>
      <c r="C12">
        <v>4714</v>
      </c>
    </row>
    <row r="13" spans="1:3" x14ac:dyDescent="0.2">
      <c r="A13" t="s">
        <v>176</v>
      </c>
      <c r="B13" t="s">
        <v>2192</v>
      </c>
      <c r="C13">
        <v>3156</v>
      </c>
    </row>
    <row r="14" spans="1:3" x14ac:dyDescent="0.2">
      <c r="A14" t="s">
        <v>491</v>
      </c>
      <c r="B14" t="s">
        <v>2193</v>
      </c>
      <c r="C14">
        <v>2832</v>
      </c>
    </row>
    <row r="15" spans="1:3" x14ac:dyDescent="0.2">
      <c r="A15" t="s">
        <v>224</v>
      </c>
      <c r="B15" t="s">
        <v>2194</v>
      </c>
      <c r="C15">
        <v>1833</v>
      </c>
    </row>
    <row r="16" spans="1:3" x14ac:dyDescent="0.2">
      <c r="A16" t="s">
        <v>145</v>
      </c>
      <c r="B16" t="s">
        <v>2195</v>
      </c>
      <c r="C16">
        <v>1690</v>
      </c>
    </row>
    <row r="17" spans="1:3" x14ac:dyDescent="0.2">
      <c r="A17" t="s">
        <v>456</v>
      </c>
      <c r="B17" t="s">
        <v>2196</v>
      </c>
      <c r="C17">
        <v>1237</v>
      </c>
    </row>
    <row r="18" spans="1:3" x14ac:dyDescent="0.2">
      <c r="A18" t="s">
        <v>2197</v>
      </c>
      <c r="B18" t="s">
        <v>2198</v>
      </c>
      <c r="C18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D927-F8CE-2F4A-A685-0C6AFD960BD9}">
  <dimension ref="A1:R850"/>
  <sheetViews>
    <sheetView topLeftCell="A177" workbookViewId="0">
      <selection activeCell="B1" sqref="B1:F1"/>
    </sheetView>
  </sheetViews>
  <sheetFormatPr baseColWidth="10" defaultRowHeight="16" x14ac:dyDescent="0.2"/>
  <cols>
    <col min="2" max="2" width="18.33203125" customWidth="1"/>
    <col min="17" max="17" width="113.5" customWidth="1"/>
    <col min="18" max="18" width="15.83203125" bestFit="1" customWidth="1"/>
  </cols>
  <sheetData>
    <row r="1" spans="1:18" x14ac:dyDescent="0.2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spans="1:18" x14ac:dyDescent="0.2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9182178647</v>
      </c>
      <c r="I2" s="2" t="s">
        <v>20</v>
      </c>
      <c r="J2" s="2" t="s">
        <v>21</v>
      </c>
      <c r="K2" s="2">
        <v>1</v>
      </c>
      <c r="L2" s="2">
        <v>42</v>
      </c>
      <c r="M2" s="3">
        <v>30</v>
      </c>
      <c r="Q2" s="10" t="s">
        <v>1861</v>
      </c>
      <c r="R2" t="s">
        <v>1863</v>
      </c>
    </row>
    <row r="3" spans="1:18" x14ac:dyDescent="0.2">
      <c r="A3" s="1" t="s">
        <v>22</v>
      </c>
      <c r="B3" s="1" t="s">
        <v>23</v>
      </c>
      <c r="C3" s="1" t="s">
        <v>15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/>
      <c r="J3" s="2" t="s">
        <v>29</v>
      </c>
      <c r="K3" s="2">
        <v>1</v>
      </c>
      <c r="L3" s="2">
        <v>78</v>
      </c>
      <c r="M3" s="3">
        <v>114</v>
      </c>
      <c r="Q3" s="11" t="s">
        <v>1096</v>
      </c>
      <c r="R3">
        <v>164</v>
      </c>
    </row>
    <row r="4" spans="1:18" x14ac:dyDescent="0.2">
      <c r="A4" s="1" t="s">
        <v>30</v>
      </c>
      <c r="B4" s="1" t="s">
        <v>23</v>
      </c>
      <c r="C4" s="1" t="s">
        <v>15</v>
      </c>
      <c r="D4" s="2" t="s">
        <v>16</v>
      </c>
      <c r="E4" s="2" t="s">
        <v>17</v>
      </c>
      <c r="F4" s="2" t="s">
        <v>31</v>
      </c>
      <c r="G4" s="2" t="s">
        <v>32</v>
      </c>
      <c r="H4" s="2">
        <v>9175572100</v>
      </c>
      <c r="I4" s="2" t="s">
        <v>33</v>
      </c>
      <c r="J4" s="2" t="s">
        <v>34</v>
      </c>
      <c r="K4" s="2">
        <v>2</v>
      </c>
      <c r="L4" s="2">
        <v>27</v>
      </c>
      <c r="M4" s="3">
        <v>58</v>
      </c>
      <c r="Q4" s="11" t="s">
        <v>1524</v>
      </c>
      <c r="R4">
        <v>110</v>
      </c>
    </row>
    <row r="5" spans="1:18" x14ac:dyDescent="0.2">
      <c r="A5" s="1" t="s">
        <v>22</v>
      </c>
      <c r="B5" s="1" t="s">
        <v>23</v>
      </c>
      <c r="C5" s="1" t="s">
        <v>15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/>
      <c r="J5" s="2" t="s">
        <v>34</v>
      </c>
      <c r="K5" s="2">
        <v>1</v>
      </c>
      <c r="L5" s="2">
        <v>91</v>
      </c>
      <c r="M5" s="3">
        <v>120</v>
      </c>
      <c r="Q5" s="11" t="s">
        <v>79</v>
      </c>
      <c r="R5">
        <v>68</v>
      </c>
    </row>
    <row r="6" spans="1:18" x14ac:dyDescent="0.2">
      <c r="A6" s="1" t="s">
        <v>35</v>
      </c>
      <c r="B6" s="1" t="s">
        <v>23</v>
      </c>
      <c r="C6" s="1" t="s">
        <v>15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34</v>
      </c>
      <c r="K6" s="2">
        <v>1</v>
      </c>
      <c r="L6" s="2">
        <v>19</v>
      </c>
      <c r="M6" s="3">
        <v>9</v>
      </c>
      <c r="Q6" s="11" t="s">
        <v>905</v>
      </c>
      <c r="R6">
        <v>913</v>
      </c>
    </row>
    <row r="7" spans="1:18" x14ac:dyDescent="0.2">
      <c r="A7" s="1" t="s">
        <v>42</v>
      </c>
      <c r="B7" s="1" t="s">
        <v>43</v>
      </c>
      <c r="C7" s="1" t="s">
        <v>15</v>
      </c>
      <c r="D7" s="2" t="s">
        <v>44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34</v>
      </c>
      <c r="K7" s="2">
        <v>2</v>
      </c>
      <c r="L7" s="2">
        <v>70</v>
      </c>
      <c r="M7" s="3">
        <v>62</v>
      </c>
      <c r="Q7" s="11" t="s">
        <v>773</v>
      </c>
      <c r="R7">
        <v>129</v>
      </c>
    </row>
    <row r="8" spans="1:18" x14ac:dyDescent="0.2">
      <c r="A8" s="1" t="s">
        <v>49</v>
      </c>
      <c r="B8" s="1" t="s">
        <v>23</v>
      </c>
      <c r="C8" s="1" t="s">
        <v>15</v>
      </c>
      <c r="D8" s="2" t="s">
        <v>44</v>
      </c>
      <c r="E8" s="2" t="s">
        <v>44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34</v>
      </c>
      <c r="K8" s="2">
        <v>2</v>
      </c>
      <c r="L8" s="2">
        <v>250</v>
      </c>
      <c r="M8" s="3">
        <v>286</v>
      </c>
      <c r="Q8" s="11" t="s">
        <v>196</v>
      </c>
      <c r="R8">
        <v>644</v>
      </c>
    </row>
    <row r="9" spans="1:18" x14ac:dyDescent="0.2">
      <c r="A9" s="1" t="s">
        <v>54</v>
      </c>
      <c r="B9" s="1" t="s">
        <v>23</v>
      </c>
      <c r="C9" s="1" t="s">
        <v>15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34</v>
      </c>
      <c r="K9" s="2">
        <v>1</v>
      </c>
      <c r="L9" s="2">
        <v>48</v>
      </c>
      <c r="M9" s="3">
        <v>25</v>
      </c>
      <c r="Q9" s="11" t="s">
        <v>384</v>
      </c>
      <c r="R9">
        <v>489</v>
      </c>
    </row>
    <row r="10" spans="1:18" x14ac:dyDescent="0.2">
      <c r="A10" s="1" t="s">
        <v>61</v>
      </c>
      <c r="B10" s="1" t="s">
        <v>14</v>
      </c>
      <c r="C10" s="1" t="s">
        <v>15</v>
      </c>
      <c r="D10" s="2" t="s">
        <v>16</v>
      </c>
      <c r="E10" s="2" t="s">
        <v>17</v>
      </c>
      <c r="F10" s="2" t="s">
        <v>62</v>
      </c>
      <c r="G10" s="2" t="s">
        <v>63</v>
      </c>
      <c r="H10" s="2">
        <v>8172650</v>
      </c>
      <c r="I10" s="2" t="s">
        <v>64</v>
      </c>
      <c r="J10" s="2" t="s">
        <v>34</v>
      </c>
      <c r="K10" s="2">
        <v>1</v>
      </c>
      <c r="L10" s="2">
        <v>25</v>
      </c>
      <c r="M10" s="3">
        <v>25</v>
      </c>
      <c r="Q10" s="11" t="s">
        <v>1530</v>
      </c>
      <c r="R10">
        <v>58</v>
      </c>
    </row>
    <row r="11" spans="1:18" x14ac:dyDescent="0.2">
      <c r="A11" s="1" t="s">
        <v>65</v>
      </c>
      <c r="B11" s="1" t="s">
        <v>66</v>
      </c>
      <c r="C11" s="1" t="s">
        <v>15</v>
      </c>
      <c r="D11" s="2" t="s">
        <v>36</v>
      </c>
      <c r="E11" s="2" t="s">
        <v>37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34</v>
      </c>
      <c r="K11" s="2">
        <v>1</v>
      </c>
      <c r="L11" s="2">
        <v>27</v>
      </c>
      <c r="M11" s="3">
        <v>11</v>
      </c>
      <c r="Q11" s="11" t="s">
        <v>202</v>
      </c>
      <c r="R11">
        <v>380</v>
      </c>
    </row>
    <row r="12" spans="1:18" x14ac:dyDescent="0.2">
      <c r="A12" s="1" t="s">
        <v>71</v>
      </c>
      <c r="B12" s="1" t="s">
        <v>66</v>
      </c>
      <c r="C12" s="1" t="s">
        <v>15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77</v>
      </c>
      <c r="J12" s="2" t="s">
        <v>78</v>
      </c>
      <c r="K12" s="2">
        <v>1</v>
      </c>
      <c r="L12" s="2">
        <v>25</v>
      </c>
      <c r="M12" s="3">
        <v>24</v>
      </c>
      <c r="Q12" s="11" t="s">
        <v>910</v>
      </c>
      <c r="R12">
        <v>155</v>
      </c>
    </row>
    <row r="13" spans="1:18" x14ac:dyDescent="0.2">
      <c r="A13" s="1" t="s">
        <v>79</v>
      </c>
      <c r="B13" s="1" t="s">
        <v>23</v>
      </c>
      <c r="C13" s="1" t="s">
        <v>15</v>
      </c>
      <c r="D13" s="2" t="s">
        <v>24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85</v>
      </c>
      <c r="K13" s="2">
        <v>2</v>
      </c>
      <c r="L13" s="2">
        <v>60</v>
      </c>
      <c r="M13" s="3">
        <v>58</v>
      </c>
      <c r="Q13" s="11" t="s">
        <v>1809</v>
      </c>
      <c r="R13">
        <v>24</v>
      </c>
    </row>
    <row r="14" spans="1:18" x14ac:dyDescent="0.2">
      <c r="A14" s="1" t="s">
        <v>86</v>
      </c>
      <c r="B14" s="1" t="s">
        <v>23</v>
      </c>
      <c r="C14" s="1" t="s">
        <v>15</v>
      </c>
      <c r="D14" s="2" t="s">
        <v>72</v>
      </c>
      <c r="E14" s="2" t="s">
        <v>73</v>
      </c>
      <c r="F14" s="2" t="s">
        <v>87</v>
      </c>
      <c r="G14" s="2" t="s">
        <v>88</v>
      </c>
      <c r="H14" s="2" t="s">
        <v>89</v>
      </c>
      <c r="I14" s="2" t="s">
        <v>90</v>
      </c>
      <c r="J14" s="2" t="s">
        <v>85</v>
      </c>
      <c r="K14" s="2">
        <v>3</v>
      </c>
      <c r="L14" s="2">
        <v>348</v>
      </c>
      <c r="M14" s="3">
        <v>259</v>
      </c>
      <c r="Q14" s="11" t="s">
        <v>1575</v>
      </c>
      <c r="R14">
        <v>122</v>
      </c>
    </row>
    <row r="15" spans="1:18" x14ac:dyDescent="0.2">
      <c r="A15" s="1" t="s">
        <v>91</v>
      </c>
      <c r="B15" s="1" t="s">
        <v>23</v>
      </c>
      <c r="C15" s="1" t="s">
        <v>15</v>
      </c>
      <c r="D15" s="2" t="s">
        <v>55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96</v>
      </c>
      <c r="J15" s="2" t="s">
        <v>85</v>
      </c>
      <c r="K15" s="2">
        <v>8</v>
      </c>
      <c r="L15" s="2">
        <v>1115</v>
      </c>
      <c r="M15" s="3">
        <v>1180</v>
      </c>
      <c r="Q15" s="11" t="s">
        <v>1179</v>
      </c>
      <c r="R15">
        <v>0</v>
      </c>
    </row>
    <row r="16" spans="1:18" x14ac:dyDescent="0.2">
      <c r="A16" s="1" t="s">
        <v>97</v>
      </c>
      <c r="B16" s="1" t="s">
        <v>23</v>
      </c>
      <c r="C16" s="1" t="s">
        <v>15</v>
      </c>
      <c r="D16" s="2" t="s">
        <v>24</v>
      </c>
      <c r="E16" s="2" t="s">
        <v>25</v>
      </c>
      <c r="F16" s="2" t="s">
        <v>98</v>
      </c>
      <c r="G16" s="2" t="s">
        <v>94</v>
      </c>
      <c r="H16" s="2" t="s">
        <v>99</v>
      </c>
      <c r="I16" s="2" t="s">
        <v>96</v>
      </c>
      <c r="J16" s="2" t="s">
        <v>85</v>
      </c>
      <c r="K16" s="2">
        <v>3</v>
      </c>
      <c r="L16" s="2">
        <v>102</v>
      </c>
      <c r="M16" s="3">
        <v>48</v>
      </c>
      <c r="Q16" s="11" t="s">
        <v>1102</v>
      </c>
      <c r="R16">
        <v>224</v>
      </c>
    </row>
    <row r="17" spans="1:18" x14ac:dyDescent="0.2">
      <c r="A17" s="1" t="s">
        <v>97</v>
      </c>
      <c r="B17" s="1" t="s">
        <v>23</v>
      </c>
      <c r="C17" s="1" t="s">
        <v>15</v>
      </c>
      <c r="D17" s="2" t="s">
        <v>16</v>
      </c>
      <c r="E17" s="2" t="s">
        <v>17</v>
      </c>
      <c r="F17" s="2" t="s">
        <v>100</v>
      </c>
      <c r="G17" s="2" t="s">
        <v>94</v>
      </c>
      <c r="H17" s="2" t="s">
        <v>101</v>
      </c>
      <c r="I17" s="2" t="s">
        <v>96</v>
      </c>
      <c r="J17" s="2" t="s">
        <v>85</v>
      </c>
      <c r="K17" s="2">
        <v>3</v>
      </c>
      <c r="L17" s="2">
        <v>100</v>
      </c>
      <c r="M17" s="3">
        <v>100</v>
      </c>
      <c r="Q17" s="11" t="s">
        <v>1107</v>
      </c>
      <c r="R17">
        <v>46</v>
      </c>
    </row>
    <row r="18" spans="1:18" x14ac:dyDescent="0.2">
      <c r="A18" s="1" t="s">
        <v>102</v>
      </c>
      <c r="B18" s="1" t="s">
        <v>23</v>
      </c>
      <c r="C18" s="1" t="s">
        <v>15</v>
      </c>
      <c r="D18" s="2" t="s">
        <v>44</v>
      </c>
      <c r="E18" s="2" t="s">
        <v>44</v>
      </c>
      <c r="F18" s="2" t="s">
        <v>103</v>
      </c>
      <c r="G18" s="2" t="s">
        <v>104</v>
      </c>
      <c r="H18" s="2" t="s">
        <v>105</v>
      </c>
      <c r="I18" s="2" t="s">
        <v>106</v>
      </c>
      <c r="J18" s="2" t="s">
        <v>85</v>
      </c>
      <c r="K18" s="2">
        <v>4</v>
      </c>
      <c r="L18" s="2">
        <v>218</v>
      </c>
      <c r="M18" s="3">
        <v>155</v>
      </c>
      <c r="Q18" s="11" t="s">
        <v>389</v>
      </c>
      <c r="R18">
        <v>661</v>
      </c>
    </row>
    <row r="19" spans="1:18" x14ac:dyDescent="0.2">
      <c r="A19" s="1" t="s">
        <v>107</v>
      </c>
      <c r="B19" s="1" t="s">
        <v>66</v>
      </c>
      <c r="C19" s="1" t="s">
        <v>15</v>
      </c>
      <c r="D19" s="2" t="s">
        <v>16</v>
      </c>
      <c r="E19" s="2" t="s">
        <v>108</v>
      </c>
      <c r="F19" s="2" t="s">
        <v>109</v>
      </c>
      <c r="G19" s="2" t="s">
        <v>110</v>
      </c>
      <c r="H19" s="2" t="s">
        <v>111</v>
      </c>
      <c r="I19" s="2" t="s">
        <v>112</v>
      </c>
      <c r="J19" s="2" t="s">
        <v>85</v>
      </c>
      <c r="K19" s="2">
        <v>1</v>
      </c>
      <c r="L19" s="2">
        <v>48</v>
      </c>
      <c r="M19" s="3">
        <v>36</v>
      </c>
      <c r="Q19" s="11" t="s">
        <v>445</v>
      </c>
      <c r="R19">
        <v>259</v>
      </c>
    </row>
    <row r="20" spans="1:18" x14ac:dyDescent="0.2">
      <c r="A20" s="1" t="s">
        <v>113</v>
      </c>
      <c r="B20" s="1" t="s">
        <v>23</v>
      </c>
      <c r="C20" s="1" t="s">
        <v>15</v>
      </c>
      <c r="D20" s="2" t="s">
        <v>44</v>
      </c>
      <c r="E20" s="2" t="s">
        <v>44</v>
      </c>
      <c r="F20" s="2" t="s">
        <v>114</v>
      </c>
      <c r="G20" s="2" t="s">
        <v>115</v>
      </c>
      <c r="H20" s="2" t="s">
        <v>116</v>
      </c>
      <c r="I20" s="2" t="s">
        <v>117</v>
      </c>
      <c r="J20" s="2" t="s">
        <v>85</v>
      </c>
      <c r="K20" s="2">
        <v>1</v>
      </c>
      <c r="L20" s="2">
        <v>57</v>
      </c>
      <c r="M20" s="3">
        <v>28</v>
      </c>
      <c r="Q20" s="11" t="s">
        <v>247</v>
      </c>
      <c r="R20">
        <v>727</v>
      </c>
    </row>
    <row r="21" spans="1:18" x14ac:dyDescent="0.2">
      <c r="A21" s="1" t="s">
        <v>118</v>
      </c>
      <c r="B21" s="1" t="s">
        <v>23</v>
      </c>
      <c r="C21" s="1" t="s">
        <v>15</v>
      </c>
      <c r="D21" s="2" t="s">
        <v>72</v>
      </c>
      <c r="E21" s="2" t="s">
        <v>119</v>
      </c>
      <c r="F21" s="2" t="s">
        <v>120</v>
      </c>
      <c r="G21" s="2" t="s">
        <v>121</v>
      </c>
      <c r="H21" s="2" t="s">
        <v>122</v>
      </c>
      <c r="I21" s="2" t="s">
        <v>123</v>
      </c>
      <c r="J21" s="2" t="s">
        <v>85</v>
      </c>
      <c r="K21" s="2">
        <v>1</v>
      </c>
      <c r="L21" s="2">
        <v>141</v>
      </c>
      <c r="M21" s="3">
        <v>159</v>
      </c>
      <c r="Q21" s="11" t="s">
        <v>598</v>
      </c>
      <c r="R21">
        <v>142</v>
      </c>
    </row>
    <row r="22" spans="1:18" x14ac:dyDescent="0.2">
      <c r="A22" s="1" t="s">
        <v>124</v>
      </c>
      <c r="B22" s="1" t="s">
        <v>23</v>
      </c>
      <c r="C22" s="1" t="s">
        <v>15</v>
      </c>
      <c r="D22" s="2" t="s">
        <v>16</v>
      </c>
      <c r="E22" s="2" t="s">
        <v>108</v>
      </c>
      <c r="F22" s="2" t="s">
        <v>125</v>
      </c>
      <c r="G22" s="2" t="s">
        <v>126</v>
      </c>
      <c r="H22" s="2" t="s">
        <v>127</v>
      </c>
      <c r="I22" s="2" t="s">
        <v>128</v>
      </c>
      <c r="J22" s="2" t="s">
        <v>85</v>
      </c>
      <c r="K22" s="2">
        <v>1</v>
      </c>
      <c r="L22" s="2">
        <v>79</v>
      </c>
      <c r="M22" s="3">
        <v>74</v>
      </c>
      <c r="Q22" s="11" t="s">
        <v>915</v>
      </c>
      <c r="R22">
        <v>668</v>
      </c>
    </row>
    <row r="23" spans="1:18" x14ac:dyDescent="0.2">
      <c r="A23" s="1" t="s">
        <v>129</v>
      </c>
      <c r="B23" s="1" t="s">
        <v>23</v>
      </c>
      <c r="C23" s="1" t="s">
        <v>15</v>
      </c>
      <c r="D23" s="2" t="s">
        <v>16</v>
      </c>
      <c r="E23" s="2" t="s">
        <v>108</v>
      </c>
      <c r="F23" s="2" t="s">
        <v>130</v>
      </c>
      <c r="G23" s="2" t="s">
        <v>131</v>
      </c>
      <c r="H23" s="2" t="s">
        <v>132</v>
      </c>
      <c r="I23" s="2" t="s">
        <v>133</v>
      </c>
      <c r="J23" s="2" t="s">
        <v>85</v>
      </c>
      <c r="K23" s="2">
        <v>1</v>
      </c>
      <c r="L23" s="2">
        <v>25</v>
      </c>
      <c r="M23" s="3">
        <v>0</v>
      </c>
      <c r="Q23" s="11" t="s">
        <v>400</v>
      </c>
      <c r="R23">
        <v>352</v>
      </c>
    </row>
    <row r="24" spans="1:18" x14ac:dyDescent="0.2">
      <c r="A24" s="1" t="s">
        <v>134</v>
      </c>
      <c r="B24" s="1" t="s">
        <v>23</v>
      </c>
      <c r="C24" s="1" t="s">
        <v>15</v>
      </c>
      <c r="D24" s="2" t="s">
        <v>24</v>
      </c>
      <c r="E24" s="2" t="s">
        <v>135</v>
      </c>
      <c r="F24" s="2" t="s">
        <v>136</v>
      </c>
      <c r="G24" s="2" t="s">
        <v>137</v>
      </c>
      <c r="H24" s="2">
        <v>9331028163</v>
      </c>
      <c r="I24" s="2" t="s">
        <v>138</v>
      </c>
      <c r="J24" s="2" t="s">
        <v>85</v>
      </c>
      <c r="K24" s="2">
        <v>2</v>
      </c>
      <c r="L24" s="2">
        <v>401</v>
      </c>
      <c r="M24" s="3">
        <v>385</v>
      </c>
      <c r="Q24" s="11" t="s">
        <v>1234</v>
      </c>
      <c r="R24">
        <v>222</v>
      </c>
    </row>
    <row r="25" spans="1:18" x14ac:dyDescent="0.2">
      <c r="A25" s="1" t="s">
        <v>139</v>
      </c>
      <c r="B25" s="1" t="s">
        <v>23</v>
      </c>
      <c r="C25" s="1" t="s">
        <v>15</v>
      </c>
      <c r="D25" s="2" t="s">
        <v>44</v>
      </c>
      <c r="E25" s="2" t="s">
        <v>44</v>
      </c>
      <c r="F25" s="2" t="s">
        <v>140</v>
      </c>
      <c r="G25" s="2" t="s">
        <v>141</v>
      </c>
      <c r="H25" s="2" t="s">
        <v>142</v>
      </c>
      <c r="I25" s="2" t="s">
        <v>143</v>
      </c>
      <c r="J25" s="2" t="s">
        <v>85</v>
      </c>
      <c r="K25" s="2">
        <v>5</v>
      </c>
      <c r="L25" s="2">
        <v>770</v>
      </c>
      <c r="M25" s="3">
        <v>860</v>
      </c>
      <c r="Q25" s="11" t="s">
        <v>734</v>
      </c>
      <c r="R25">
        <v>556</v>
      </c>
    </row>
    <row r="26" spans="1:18" x14ac:dyDescent="0.2">
      <c r="A26" s="1" t="s">
        <v>144</v>
      </c>
      <c r="B26" s="1" t="s">
        <v>66</v>
      </c>
      <c r="C26" s="1" t="s">
        <v>15</v>
      </c>
      <c r="D26" s="2" t="s">
        <v>36</v>
      </c>
      <c r="E26" s="2" t="s">
        <v>145</v>
      </c>
      <c r="F26" s="2" t="s">
        <v>146</v>
      </c>
      <c r="G26" s="2" t="s">
        <v>147</v>
      </c>
      <c r="H26" s="2" t="s">
        <v>148</v>
      </c>
      <c r="I26" s="2" t="s">
        <v>149</v>
      </c>
      <c r="J26" s="2" t="s">
        <v>85</v>
      </c>
      <c r="K26" s="2">
        <v>1</v>
      </c>
      <c r="L26" s="2">
        <v>107</v>
      </c>
      <c r="M26" s="3">
        <v>98</v>
      </c>
      <c r="Q26" s="11" t="s">
        <v>628</v>
      </c>
      <c r="R26">
        <v>255</v>
      </c>
    </row>
    <row r="27" spans="1:18" x14ac:dyDescent="0.2">
      <c r="A27" s="1" t="s">
        <v>150</v>
      </c>
      <c r="B27" s="1" t="s">
        <v>23</v>
      </c>
      <c r="C27" s="1" t="s">
        <v>15</v>
      </c>
      <c r="D27" s="2" t="s">
        <v>24</v>
      </c>
      <c r="E27" s="2" t="s">
        <v>135</v>
      </c>
      <c r="F27" s="2" t="s">
        <v>151</v>
      </c>
      <c r="G27" s="2" t="s">
        <v>152</v>
      </c>
      <c r="H27" s="2" t="s">
        <v>153</v>
      </c>
      <c r="I27" s="2" t="s">
        <v>154</v>
      </c>
      <c r="J27" s="2" t="s">
        <v>85</v>
      </c>
      <c r="K27" s="2">
        <v>5</v>
      </c>
      <c r="L27" s="2">
        <v>482</v>
      </c>
      <c r="M27" s="3">
        <v>397</v>
      </c>
      <c r="Q27" s="11" t="s">
        <v>480</v>
      </c>
      <c r="R27">
        <v>329</v>
      </c>
    </row>
    <row r="28" spans="1:18" x14ac:dyDescent="0.2">
      <c r="A28" s="1" t="s">
        <v>155</v>
      </c>
      <c r="B28" s="1" t="s">
        <v>23</v>
      </c>
      <c r="C28" s="1" t="s">
        <v>15</v>
      </c>
      <c r="D28" s="2" t="s">
        <v>44</v>
      </c>
      <c r="E28" s="2" t="s">
        <v>44</v>
      </c>
      <c r="F28" s="2" t="s">
        <v>156</v>
      </c>
      <c r="G28" s="2" t="s">
        <v>157</v>
      </c>
      <c r="H28" s="2" t="s">
        <v>158</v>
      </c>
      <c r="I28" s="2" t="s">
        <v>159</v>
      </c>
      <c r="J28" s="2" t="s">
        <v>85</v>
      </c>
      <c r="K28" s="2">
        <v>2</v>
      </c>
      <c r="L28" s="2">
        <v>60</v>
      </c>
      <c r="M28" s="3">
        <v>56</v>
      </c>
      <c r="Q28" s="11" t="s">
        <v>714</v>
      </c>
      <c r="R28">
        <v>165</v>
      </c>
    </row>
    <row r="29" spans="1:18" x14ac:dyDescent="0.2">
      <c r="A29" s="1" t="s">
        <v>160</v>
      </c>
      <c r="B29" s="1" t="s">
        <v>23</v>
      </c>
      <c r="C29" s="1" t="s">
        <v>15</v>
      </c>
      <c r="D29" s="2" t="s">
        <v>55</v>
      </c>
      <c r="E29" s="2" t="s">
        <v>56</v>
      </c>
      <c r="F29" s="2" t="s">
        <v>161</v>
      </c>
      <c r="G29" s="2" t="s">
        <v>162</v>
      </c>
      <c r="H29" s="2" t="s">
        <v>163</v>
      </c>
      <c r="I29" s="2" t="s">
        <v>164</v>
      </c>
      <c r="J29" s="2" t="s">
        <v>85</v>
      </c>
      <c r="K29" s="2">
        <v>4</v>
      </c>
      <c r="L29" s="2">
        <v>123</v>
      </c>
      <c r="M29" s="3">
        <v>0</v>
      </c>
      <c r="Q29" s="11" t="s">
        <v>920</v>
      </c>
      <c r="R29">
        <v>156</v>
      </c>
    </row>
    <row r="30" spans="1:18" x14ac:dyDescent="0.2">
      <c r="A30" s="1" t="s">
        <v>165</v>
      </c>
      <c r="B30" s="1" t="s">
        <v>23</v>
      </c>
      <c r="C30" s="1" t="s">
        <v>15</v>
      </c>
      <c r="D30" s="2" t="s">
        <v>24</v>
      </c>
      <c r="E30" s="2" t="s">
        <v>166</v>
      </c>
      <c r="F30" s="2" t="s">
        <v>167</v>
      </c>
      <c r="G30" s="2" t="s">
        <v>168</v>
      </c>
      <c r="H30" s="2" t="s">
        <v>169</v>
      </c>
      <c r="I30" s="2" t="s">
        <v>170</v>
      </c>
      <c r="J30" s="2" t="s">
        <v>85</v>
      </c>
      <c r="K30" s="2">
        <v>2</v>
      </c>
      <c r="L30" s="2">
        <v>66</v>
      </c>
      <c r="M30" s="3">
        <v>59</v>
      </c>
      <c r="Q30" s="11" t="s">
        <v>252</v>
      </c>
      <c r="R30">
        <v>491</v>
      </c>
    </row>
    <row r="31" spans="1:18" x14ac:dyDescent="0.2">
      <c r="A31" s="1" t="s">
        <v>171</v>
      </c>
      <c r="B31" s="1" t="s">
        <v>23</v>
      </c>
      <c r="C31" s="1" t="s">
        <v>15</v>
      </c>
      <c r="D31" s="2" t="s">
        <v>55</v>
      </c>
      <c r="E31" s="2" t="s">
        <v>56</v>
      </c>
      <c r="F31" s="2" t="s">
        <v>172</v>
      </c>
      <c r="G31" s="2" t="s">
        <v>173</v>
      </c>
      <c r="H31" s="2">
        <v>2474130</v>
      </c>
      <c r="I31" s="2" t="s">
        <v>174</v>
      </c>
      <c r="J31" s="2" t="s">
        <v>85</v>
      </c>
      <c r="K31" s="2">
        <v>3</v>
      </c>
      <c r="L31" s="2">
        <v>158</v>
      </c>
      <c r="M31" s="3">
        <v>158</v>
      </c>
      <c r="Q31" s="11" t="s">
        <v>86</v>
      </c>
      <c r="R31">
        <v>1006</v>
      </c>
    </row>
    <row r="32" spans="1:18" x14ac:dyDescent="0.2">
      <c r="A32" s="1" t="s">
        <v>175</v>
      </c>
      <c r="B32" s="1" t="s">
        <v>23</v>
      </c>
      <c r="C32" s="1" t="s">
        <v>15</v>
      </c>
      <c r="D32" s="2" t="s">
        <v>36</v>
      </c>
      <c r="E32" s="2" t="s">
        <v>176</v>
      </c>
      <c r="F32" s="2" t="s">
        <v>177</v>
      </c>
      <c r="G32" s="2" t="s">
        <v>178</v>
      </c>
      <c r="H32" s="2" t="s">
        <v>179</v>
      </c>
      <c r="I32" s="2" t="s">
        <v>180</v>
      </c>
      <c r="J32" s="2" t="s">
        <v>85</v>
      </c>
      <c r="K32" s="2">
        <v>0</v>
      </c>
      <c r="L32" s="2">
        <v>0</v>
      </c>
      <c r="M32" s="3">
        <v>55</v>
      </c>
      <c r="Q32" s="11" t="s">
        <v>30</v>
      </c>
      <c r="R32">
        <v>58</v>
      </c>
    </row>
    <row r="33" spans="1:18" x14ac:dyDescent="0.2">
      <c r="A33" s="1" t="s">
        <v>181</v>
      </c>
      <c r="B33" s="1" t="s">
        <v>23</v>
      </c>
      <c r="C33" s="1" t="s">
        <v>15</v>
      </c>
      <c r="D33" s="2" t="s">
        <v>24</v>
      </c>
      <c r="E33" s="2" t="s">
        <v>182</v>
      </c>
      <c r="F33" s="2" t="s">
        <v>183</v>
      </c>
      <c r="G33" s="2" t="s">
        <v>184</v>
      </c>
      <c r="H33" s="2" t="s">
        <v>185</v>
      </c>
      <c r="I33" s="2" t="s">
        <v>186</v>
      </c>
      <c r="J33" s="2" t="s">
        <v>85</v>
      </c>
      <c r="K33" s="2">
        <v>2</v>
      </c>
      <c r="L33" s="2">
        <v>54</v>
      </c>
      <c r="M33" s="3">
        <v>54</v>
      </c>
      <c r="Q33" s="11" t="s">
        <v>1598</v>
      </c>
      <c r="R33">
        <v>45</v>
      </c>
    </row>
    <row r="34" spans="1:18" x14ac:dyDescent="0.2">
      <c r="A34" s="1" t="s">
        <v>187</v>
      </c>
      <c r="B34" s="1" t="s">
        <v>66</v>
      </c>
      <c r="C34" s="1" t="s">
        <v>15</v>
      </c>
      <c r="D34" s="2" t="s">
        <v>16</v>
      </c>
      <c r="E34" s="2" t="s">
        <v>17</v>
      </c>
      <c r="F34" s="2" t="s">
        <v>188</v>
      </c>
      <c r="G34" s="2" t="s">
        <v>189</v>
      </c>
      <c r="H34" s="2">
        <v>9297015428</v>
      </c>
      <c r="I34" s="2" t="s">
        <v>190</v>
      </c>
      <c r="J34" s="2" t="s">
        <v>85</v>
      </c>
      <c r="K34" s="2">
        <v>2</v>
      </c>
      <c r="L34" s="2">
        <v>201</v>
      </c>
      <c r="M34" s="3">
        <v>183</v>
      </c>
      <c r="Q34" s="11" t="s">
        <v>1371</v>
      </c>
      <c r="R34">
        <v>1</v>
      </c>
    </row>
    <row r="35" spans="1:18" x14ac:dyDescent="0.2">
      <c r="A35" s="1" t="s">
        <v>61</v>
      </c>
      <c r="B35" s="1" t="s">
        <v>14</v>
      </c>
      <c r="C35" s="1" t="s">
        <v>15</v>
      </c>
      <c r="D35" s="2" t="s">
        <v>16</v>
      </c>
      <c r="E35" s="2" t="s">
        <v>17</v>
      </c>
      <c r="F35" s="2" t="s">
        <v>62</v>
      </c>
      <c r="G35" s="2" t="s">
        <v>63</v>
      </c>
      <c r="H35" s="2">
        <v>8172650</v>
      </c>
      <c r="I35" s="2" t="s">
        <v>64</v>
      </c>
      <c r="J35" s="2" t="s">
        <v>85</v>
      </c>
      <c r="K35" s="2">
        <v>2</v>
      </c>
      <c r="L35" s="2">
        <v>289</v>
      </c>
      <c r="M35" s="3">
        <v>252</v>
      </c>
      <c r="Q35" s="11" t="s">
        <v>364</v>
      </c>
      <c r="R35">
        <v>1446</v>
      </c>
    </row>
    <row r="36" spans="1:18" x14ac:dyDescent="0.2">
      <c r="A36" s="1" t="s">
        <v>191</v>
      </c>
      <c r="B36" s="1" t="s">
        <v>23</v>
      </c>
      <c r="C36" s="1" t="s">
        <v>15</v>
      </c>
      <c r="D36" s="2" t="s">
        <v>55</v>
      </c>
      <c r="E36" s="2" t="s">
        <v>92</v>
      </c>
      <c r="F36" s="2" t="s">
        <v>192</v>
      </c>
      <c r="G36" s="2" t="s">
        <v>193</v>
      </c>
      <c r="H36" s="2" t="s">
        <v>194</v>
      </c>
      <c r="I36" s="2" t="s">
        <v>195</v>
      </c>
      <c r="J36" s="2" t="s">
        <v>85</v>
      </c>
      <c r="K36" s="2">
        <v>2</v>
      </c>
      <c r="L36" s="2">
        <v>127</v>
      </c>
      <c r="M36" s="3">
        <v>145</v>
      </c>
      <c r="Q36" s="11" t="s">
        <v>1618</v>
      </c>
      <c r="R36">
        <v>119</v>
      </c>
    </row>
    <row r="37" spans="1:18" x14ac:dyDescent="0.2">
      <c r="A37" s="1" t="s">
        <v>196</v>
      </c>
      <c r="B37" s="1" t="s">
        <v>23</v>
      </c>
      <c r="C37" s="1" t="s">
        <v>15</v>
      </c>
      <c r="D37" s="2" t="s">
        <v>72</v>
      </c>
      <c r="E37" s="2" t="s">
        <v>73</v>
      </c>
      <c r="F37" s="2" t="s">
        <v>197</v>
      </c>
      <c r="G37" s="2" t="s">
        <v>198</v>
      </c>
      <c r="H37" s="2" t="s">
        <v>199</v>
      </c>
      <c r="I37" s="2" t="s">
        <v>200</v>
      </c>
      <c r="J37" s="2" t="s">
        <v>201</v>
      </c>
      <c r="K37" s="2">
        <v>1</v>
      </c>
      <c r="L37" s="2">
        <v>98</v>
      </c>
      <c r="M37" s="3">
        <v>124</v>
      </c>
      <c r="Q37" s="11" t="s">
        <v>925</v>
      </c>
      <c r="R37">
        <v>68</v>
      </c>
    </row>
    <row r="38" spans="1:18" x14ac:dyDescent="0.2">
      <c r="A38" s="1" t="s">
        <v>202</v>
      </c>
      <c r="B38" s="1" t="s">
        <v>23</v>
      </c>
      <c r="C38" s="1" t="s">
        <v>15</v>
      </c>
      <c r="D38" s="2" t="s">
        <v>72</v>
      </c>
      <c r="E38" s="2" t="s">
        <v>119</v>
      </c>
      <c r="F38" s="2" t="s">
        <v>203</v>
      </c>
      <c r="G38" s="2" t="s">
        <v>204</v>
      </c>
      <c r="H38" s="2">
        <v>9088130738</v>
      </c>
      <c r="I38" s="2" t="s">
        <v>205</v>
      </c>
      <c r="J38" s="2" t="s">
        <v>201</v>
      </c>
      <c r="K38" s="2">
        <v>1</v>
      </c>
      <c r="L38" s="2">
        <v>108</v>
      </c>
      <c r="M38" s="3">
        <v>106</v>
      </c>
      <c r="Q38" s="11" t="s">
        <v>583</v>
      </c>
      <c r="R38">
        <v>292</v>
      </c>
    </row>
    <row r="39" spans="1:18" x14ac:dyDescent="0.2">
      <c r="A39" s="1" t="s">
        <v>206</v>
      </c>
      <c r="B39" s="1" t="s">
        <v>23</v>
      </c>
      <c r="C39" s="1" t="s">
        <v>15</v>
      </c>
      <c r="D39" s="2" t="s">
        <v>36</v>
      </c>
      <c r="E39" s="2" t="s">
        <v>207</v>
      </c>
      <c r="F39" s="2" t="s">
        <v>208</v>
      </c>
      <c r="G39" s="2" t="s">
        <v>209</v>
      </c>
      <c r="H39" s="2" t="s">
        <v>210</v>
      </c>
      <c r="I39" s="2" t="s">
        <v>211</v>
      </c>
      <c r="J39" s="2" t="s">
        <v>201</v>
      </c>
      <c r="K39" s="2">
        <v>1</v>
      </c>
      <c r="L39" s="2">
        <v>47</v>
      </c>
      <c r="M39" s="3">
        <v>45</v>
      </c>
      <c r="Q39" s="11" t="s">
        <v>1112</v>
      </c>
      <c r="R39">
        <v>127</v>
      </c>
    </row>
    <row r="40" spans="1:18" x14ac:dyDescent="0.2">
      <c r="A40" s="1" t="s">
        <v>212</v>
      </c>
      <c r="B40" s="1" t="s">
        <v>23</v>
      </c>
      <c r="C40" s="1" t="s">
        <v>15</v>
      </c>
      <c r="D40" s="2" t="s">
        <v>72</v>
      </c>
      <c r="E40" s="2" t="s">
        <v>213</v>
      </c>
      <c r="F40" s="2" t="s">
        <v>214</v>
      </c>
      <c r="G40" s="2" t="s">
        <v>215</v>
      </c>
      <c r="H40" s="2" t="s">
        <v>216</v>
      </c>
      <c r="I40" s="2" t="s">
        <v>217</v>
      </c>
      <c r="J40" s="2" t="s">
        <v>201</v>
      </c>
      <c r="K40" s="2">
        <v>1</v>
      </c>
      <c r="L40" s="2">
        <v>50</v>
      </c>
      <c r="M40" s="3">
        <v>50</v>
      </c>
      <c r="Q40" s="11" t="s">
        <v>929</v>
      </c>
      <c r="R40">
        <v>161</v>
      </c>
    </row>
    <row r="41" spans="1:18" x14ac:dyDescent="0.2">
      <c r="A41" s="1" t="s">
        <v>124</v>
      </c>
      <c r="B41" s="1" t="s">
        <v>23</v>
      </c>
      <c r="C41" s="1" t="s">
        <v>15</v>
      </c>
      <c r="D41" s="2" t="s">
        <v>16</v>
      </c>
      <c r="E41" s="2" t="s">
        <v>108</v>
      </c>
      <c r="F41" s="2" t="s">
        <v>125</v>
      </c>
      <c r="G41" s="2" t="s">
        <v>126</v>
      </c>
      <c r="H41" s="2" t="s">
        <v>127</v>
      </c>
      <c r="I41" s="2" t="s">
        <v>128</v>
      </c>
      <c r="J41" s="2" t="s">
        <v>201</v>
      </c>
      <c r="K41" s="2">
        <v>1</v>
      </c>
      <c r="L41" s="2">
        <v>25</v>
      </c>
      <c r="M41" s="3">
        <v>0</v>
      </c>
      <c r="Q41" s="11" t="s">
        <v>934</v>
      </c>
      <c r="R41">
        <v>731</v>
      </c>
    </row>
    <row r="42" spans="1:18" x14ac:dyDescent="0.2">
      <c r="A42" s="1" t="s">
        <v>218</v>
      </c>
      <c r="B42" s="1" t="s">
        <v>23</v>
      </c>
      <c r="C42" s="1" t="s">
        <v>15</v>
      </c>
      <c r="D42" s="2" t="s">
        <v>72</v>
      </c>
      <c r="E42" s="2" t="s">
        <v>213</v>
      </c>
      <c r="F42" s="2" t="s">
        <v>219</v>
      </c>
      <c r="G42" s="2" t="s">
        <v>220</v>
      </c>
      <c r="H42" s="2" t="s">
        <v>221</v>
      </c>
      <c r="I42" s="2" t="s">
        <v>222</v>
      </c>
      <c r="J42" s="2" t="s">
        <v>201</v>
      </c>
      <c r="K42" s="2">
        <v>2</v>
      </c>
      <c r="L42" s="2">
        <v>100</v>
      </c>
      <c r="M42" s="3">
        <v>87</v>
      </c>
      <c r="Q42" s="11" t="s">
        <v>1738</v>
      </c>
      <c r="R42">
        <v>127</v>
      </c>
    </row>
    <row r="43" spans="1:18" x14ac:dyDescent="0.2">
      <c r="A43" s="1" t="s">
        <v>223</v>
      </c>
      <c r="B43" s="1" t="s">
        <v>23</v>
      </c>
      <c r="C43" s="1" t="s">
        <v>15</v>
      </c>
      <c r="D43" s="2" t="s">
        <v>16</v>
      </c>
      <c r="E43" s="2" t="s">
        <v>224</v>
      </c>
      <c r="F43" s="2" t="s">
        <v>225</v>
      </c>
      <c r="G43" s="2" t="s">
        <v>226</v>
      </c>
      <c r="H43" s="2" t="s">
        <v>227</v>
      </c>
      <c r="I43" s="2" t="s">
        <v>228</v>
      </c>
      <c r="J43" s="2" t="s">
        <v>201</v>
      </c>
      <c r="K43" s="2">
        <v>0</v>
      </c>
      <c r="L43" s="2">
        <v>0</v>
      </c>
      <c r="M43" s="3">
        <v>12</v>
      </c>
      <c r="Q43" s="11" t="s">
        <v>1435</v>
      </c>
      <c r="R43">
        <v>92</v>
      </c>
    </row>
    <row r="44" spans="1:18" x14ac:dyDescent="0.2">
      <c r="A44" s="1" t="s">
        <v>160</v>
      </c>
      <c r="B44" s="1" t="s">
        <v>23</v>
      </c>
      <c r="C44" s="1" t="s">
        <v>15</v>
      </c>
      <c r="D44" s="2" t="s">
        <v>55</v>
      </c>
      <c r="E44" s="2" t="s">
        <v>56</v>
      </c>
      <c r="F44" s="2" t="s">
        <v>161</v>
      </c>
      <c r="G44" s="2" t="s">
        <v>162</v>
      </c>
      <c r="H44" s="2" t="s">
        <v>163</v>
      </c>
      <c r="I44" s="2" t="s">
        <v>164</v>
      </c>
      <c r="J44" s="2" t="s">
        <v>201</v>
      </c>
      <c r="K44" s="2">
        <v>1</v>
      </c>
      <c r="L44" s="2">
        <v>25</v>
      </c>
      <c r="M44" s="3">
        <v>0</v>
      </c>
      <c r="Q44" s="11" t="s">
        <v>440</v>
      </c>
      <c r="R44">
        <v>477</v>
      </c>
    </row>
    <row r="45" spans="1:18" x14ac:dyDescent="0.2">
      <c r="A45" s="1" t="s">
        <v>171</v>
      </c>
      <c r="B45" s="1" t="s">
        <v>23</v>
      </c>
      <c r="C45" s="1" t="s">
        <v>15</v>
      </c>
      <c r="D45" s="2" t="s">
        <v>55</v>
      </c>
      <c r="E45" s="2" t="s">
        <v>56</v>
      </c>
      <c r="F45" s="2" t="s">
        <v>172</v>
      </c>
      <c r="G45" s="2" t="s">
        <v>173</v>
      </c>
      <c r="H45" s="2">
        <v>2474130</v>
      </c>
      <c r="I45" s="2" t="s">
        <v>174</v>
      </c>
      <c r="J45" s="2" t="s">
        <v>201</v>
      </c>
      <c r="K45" s="2">
        <v>1</v>
      </c>
      <c r="L45" s="2">
        <v>48</v>
      </c>
      <c r="M45" s="3">
        <v>48</v>
      </c>
      <c r="Q45" s="11" t="s">
        <v>719</v>
      </c>
      <c r="R45">
        <v>19</v>
      </c>
    </row>
    <row r="46" spans="1:18" x14ac:dyDescent="0.2">
      <c r="A46" s="1" t="s">
        <v>61</v>
      </c>
      <c r="B46" s="1" t="s">
        <v>14</v>
      </c>
      <c r="C46" s="1" t="s">
        <v>15</v>
      </c>
      <c r="D46" s="2" t="s">
        <v>16</v>
      </c>
      <c r="E46" s="2" t="s">
        <v>17</v>
      </c>
      <c r="F46" s="2" t="s">
        <v>62</v>
      </c>
      <c r="G46" s="2" t="s">
        <v>63</v>
      </c>
      <c r="H46" s="2">
        <v>8172650</v>
      </c>
      <c r="I46" s="2" t="s">
        <v>64</v>
      </c>
      <c r="J46" s="2" t="s">
        <v>201</v>
      </c>
      <c r="K46" s="2">
        <v>1</v>
      </c>
      <c r="L46" s="2">
        <v>140</v>
      </c>
      <c r="M46" s="3">
        <v>151</v>
      </c>
      <c r="Q46" s="11" t="s">
        <v>1534</v>
      </c>
      <c r="R46">
        <v>437</v>
      </c>
    </row>
    <row r="47" spans="1:18" x14ac:dyDescent="0.2">
      <c r="A47" s="1" t="s">
        <v>229</v>
      </c>
      <c r="B47" s="1" t="s">
        <v>23</v>
      </c>
      <c r="C47" s="1" t="s">
        <v>15</v>
      </c>
      <c r="D47" s="2" t="s">
        <v>55</v>
      </c>
      <c r="E47" s="2" t="s">
        <v>56</v>
      </c>
      <c r="F47" s="2" t="s">
        <v>230</v>
      </c>
      <c r="G47" s="2" t="s">
        <v>231</v>
      </c>
      <c r="H47" s="2">
        <v>8230918</v>
      </c>
      <c r="I47" s="2" t="s">
        <v>232</v>
      </c>
      <c r="J47" s="2" t="s">
        <v>201</v>
      </c>
      <c r="K47" s="2">
        <v>1</v>
      </c>
      <c r="L47" s="2">
        <v>5</v>
      </c>
      <c r="M47" s="3">
        <v>0</v>
      </c>
      <c r="Q47" s="11" t="s">
        <v>939</v>
      </c>
      <c r="R47">
        <v>426</v>
      </c>
    </row>
    <row r="48" spans="1:18" x14ac:dyDescent="0.2">
      <c r="A48" s="1" t="s">
        <v>191</v>
      </c>
      <c r="B48" s="1" t="s">
        <v>23</v>
      </c>
      <c r="C48" s="1" t="s">
        <v>15</v>
      </c>
      <c r="D48" s="2" t="s">
        <v>55</v>
      </c>
      <c r="E48" s="2" t="s">
        <v>92</v>
      </c>
      <c r="F48" s="2" t="s">
        <v>192</v>
      </c>
      <c r="G48" s="2" t="s">
        <v>193</v>
      </c>
      <c r="H48" s="2" t="s">
        <v>194</v>
      </c>
      <c r="I48" s="2" t="s">
        <v>195</v>
      </c>
      <c r="J48" s="2" t="s">
        <v>201</v>
      </c>
      <c r="K48" s="2">
        <v>1</v>
      </c>
      <c r="L48" s="2">
        <v>116</v>
      </c>
      <c r="M48" s="3">
        <v>62</v>
      </c>
      <c r="Q48" s="11" t="s">
        <v>788</v>
      </c>
      <c r="R48">
        <v>81</v>
      </c>
    </row>
    <row r="49" spans="1:18" x14ac:dyDescent="0.2">
      <c r="A49" s="1" t="s">
        <v>233</v>
      </c>
      <c r="B49" s="1" t="s">
        <v>66</v>
      </c>
      <c r="C49" s="1" t="s">
        <v>15</v>
      </c>
      <c r="D49" s="2" t="s">
        <v>72</v>
      </c>
      <c r="E49" s="2" t="s">
        <v>119</v>
      </c>
      <c r="F49" s="2" t="s">
        <v>234</v>
      </c>
      <c r="G49" s="2" t="s">
        <v>235</v>
      </c>
      <c r="H49" s="2" t="s">
        <v>236</v>
      </c>
      <c r="I49" s="2" t="s">
        <v>237</v>
      </c>
      <c r="J49" s="2" t="s">
        <v>238</v>
      </c>
      <c r="K49" s="2">
        <v>1</v>
      </c>
      <c r="L49" s="2">
        <v>3</v>
      </c>
      <c r="M49" s="3">
        <v>0</v>
      </c>
      <c r="Q49" s="11" t="s">
        <v>944</v>
      </c>
      <c r="R49">
        <v>116</v>
      </c>
    </row>
    <row r="50" spans="1:18" x14ac:dyDescent="0.2">
      <c r="A50" s="1" t="s">
        <v>239</v>
      </c>
      <c r="B50" s="1" t="s">
        <v>240</v>
      </c>
      <c r="C50" s="1" t="s">
        <v>15</v>
      </c>
      <c r="D50" s="2" t="s">
        <v>44</v>
      </c>
      <c r="E50" s="2" t="s">
        <v>44</v>
      </c>
      <c r="F50" s="2" t="s">
        <v>241</v>
      </c>
      <c r="G50" s="2" t="s">
        <v>242</v>
      </c>
      <c r="H50" s="2" t="s">
        <v>243</v>
      </c>
      <c r="I50" s="2" t="s">
        <v>244</v>
      </c>
      <c r="J50" s="2" t="s">
        <v>245</v>
      </c>
      <c r="K50" s="2">
        <v>1</v>
      </c>
      <c r="L50" s="2">
        <v>28</v>
      </c>
      <c r="M50" s="3">
        <v>22</v>
      </c>
      <c r="Q50" s="11" t="s">
        <v>1622</v>
      </c>
      <c r="R50">
        <v>345</v>
      </c>
    </row>
    <row r="51" spans="1:18" x14ac:dyDescent="0.2">
      <c r="A51" s="1" t="s">
        <v>202</v>
      </c>
      <c r="B51" s="1" t="s">
        <v>23</v>
      </c>
      <c r="C51" s="1" t="s">
        <v>15</v>
      </c>
      <c r="D51" s="2" t="s">
        <v>72</v>
      </c>
      <c r="E51" s="2" t="s">
        <v>119</v>
      </c>
      <c r="F51" s="2" t="s">
        <v>203</v>
      </c>
      <c r="G51" s="2" t="s">
        <v>204</v>
      </c>
      <c r="H51" s="2">
        <v>9088130738</v>
      </c>
      <c r="I51" s="2" t="s">
        <v>205</v>
      </c>
      <c r="J51" s="2" t="s">
        <v>246</v>
      </c>
      <c r="K51" s="2">
        <v>1</v>
      </c>
      <c r="L51" s="2">
        <v>206</v>
      </c>
      <c r="M51" s="3">
        <v>186</v>
      </c>
      <c r="Q51" s="11" t="s">
        <v>91</v>
      </c>
      <c r="R51">
        <v>2193</v>
      </c>
    </row>
    <row r="52" spans="1:18" x14ac:dyDescent="0.2">
      <c r="A52" s="1" t="s">
        <v>247</v>
      </c>
      <c r="B52" s="1" t="s">
        <v>23</v>
      </c>
      <c r="C52" s="1" t="s">
        <v>15</v>
      </c>
      <c r="D52" s="2" t="s">
        <v>72</v>
      </c>
      <c r="E52" s="2" t="s">
        <v>73</v>
      </c>
      <c r="F52" s="2" t="s">
        <v>248</v>
      </c>
      <c r="G52" s="2" t="s">
        <v>249</v>
      </c>
      <c r="H52" s="2" t="s">
        <v>250</v>
      </c>
      <c r="I52" s="2" t="s">
        <v>251</v>
      </c>
      <c r="J52" s="2" t="s">
        <v>246</v>
      </c>
      <c r="K52" s="2">
        <v>2</v>
      </c>
      <c r="L52" s="2">
        <v>262</v>
      </c>
      <c r="M52" s="3">
        <v>214</v>
      </c>
      <c r="Q52" s="11" t="s">
        <v>97</v>
      </c>
      <c r="R52">
        <v>173</v>
      </c>
    </row>
    <row r="53" spans="1:18" x14ac:dyDescent="0.2">
      <c r="A53" s="1" t="s">
        <v>252</v>
      </c>
      <c r="B53" s="1" t="s">
        <v>23</v>
      </c>
      <c r="C53" s="1" t="s">
        <v>15</v>
      </c>
      <c r="D53" s="2" t="s">
        <v>72</v>
      </c>
      <c r="E53" s="2" t="s">
        <v>119</v>
      </c>
      <c r="F53" s="2" t="s">
        <v>253</v>
      </c>
      <c r="G53" s="2" t="s">
        <v>254</v>
      </c>
      <c r="H53" s="2" t="s">
        <v>255</v>
      </c>
      <c r="I53" s="2" t="s">
        <v>256</v>
      </c>
      <c r="J53" s="2" t="s">
        <v>246</v>
      </c>
      <c r="K53" s="2">
        <v>1</v>
      </c>
      <c r="L53" s="2">
        <v>113</v>
      </c>
      <c r="M53" s="3">
        <v>106</v>
      </c>
      <c r="Q53" s="11" t="s">
        <v>490</v>
      </c>
      <c r="R53">
        <v>341</v>
      </c>
    </row>
    <row r="54" spans="1:18" x14ac:dyDescent="0.2">
      <c r="A54" s="1" t="s">
        <v>257</v>
      </c>
      <c r="B54" s="1" t="s">
        <v>23</v>
      </c>
      <c r="C54" s="1" t="s">
        <v>15</v>
      </c>
      <c r="D54" s="2" t="s">
        <v>55</v>
      </c>
      <c r="E54" s="2" t="s">
        <v>56</v>
      </c>
      <c r="F54" s="2" t="s">
        <v>258</v>
      </c>
      <c r="G54" s="2" t="s">
        <v>259</v>
      </c>
      <c r="H54" s="2">
        <v>5511342</v>
      </c>
      <c r="I54" s="2" t="s">
        <v>260</v>
      </c>
      <c r="J54" s="2" t="s">
        <v>246</v>
      </c>
      <c r="K54" s="2">
        <v>1</v>
      </c>
      <c r="L54" s="2">
        <v>50</v>
      </c>
      <c r="M54" s="3">
        <v>0</v>
      </c>
      <c r="Q54" s="11" t="s">
        <v>102</v>
      </c>
      <c r="R54">
        <v>521</v>
      </c>
    </row>
    <row r="55" spans="1:18" x14ac:dyDescent="0.2">
      <c r="A55" s="1" t="s">
        <v>206</v>
      </c>
      <c r="B55" s="1" t="s">
        <v>23</v>
      </c>
      <c r="C55" s="1" t="s">
        <v>15</v>
      </c>
      <c r="D55" s="2" t="s">
        <v>36</v>
      </c>
      <c r="E55" s="2" t="s">
        <v>207</v>
      </c>
      <c r="F55" s="2" t="s">
        <v>208</v>
      </c>
      <c r="G55" s="2" t="s">
        <v>209</v>
      </c>
      <c r="H55" s="2" t="s">
        <v>210</v>
      </c>
      <c r="I55" s="2" t="s">
        <v>211</v>
      </c>
      <c r="J55" s="2" t="s">
        <v>246</v>
      </c>
      <c r="K55" s="2">
        <v>0</v>
      </c>
      <c r="L55" s="2">
        <v>0</v>
      </c>
      <c r="M55" s="3">
        <v>24</v>
      </c>
      <c r="Q55" s="11" t="s">
        <v>107</v>
      </c>
      <c r="R55">
        <v>36</v>
      </c>
    </row>
    <row r="56" spans="1:18" x14ac:dyDescent="0.2">
      <c r="A56" s="1" t="s">
        <v>22</v>
      </c>
      <c r="B56" s="1" t="s">
        <v>23</v>
      </c>
      <c r="C56" s="1" t="s">
        <v>15</v>
      </c>
      <c r="D56" s="2" t="s">
        <v>24</v>
      </c>
      <c r="E56" s="2" t="s">
        <v>25</v>
      </c>
      <c r="F56" s="2" t="s">
        <v>26</v>
      </c>
      <c r="G56" s="2" t="s">
        <v>27</v>
      </c>
      <c r="H56" s="2" t="s">
        <v>28</v>
      </c>
      <c r="I56" s="2"/>
      <c r="J56" s="2" t="s">
        <v>246</v>
      </c>
      <c r="K56" s="2">
        <v>1</v>
      </c>
      <c r="L56" s="2">
        <v>172</v>
      </c>
      <c r="M56" s="3">
        <v>151</v>
      </c>
      <c r="Q56" s="11" t="s">
        <v>1117</v>
      </c>
      <c r="R56">
        <v>757</v>
      </c>
    </row>
    <row r="57" spans="1:18" x14ac:dyDescent="0.2">
      <c r="A57" s="1" t="s">
        <v>261</v>
      </c>
      <c r="B57" s="1" t="s">
        <v>23</v>
      </c>
      <c r="C57" s="1" t="s">
        <v>15</v>
      </c>
      <c r="D57" s="2" t="s">
        <v>55</v>
      </c>
      <c r="E57" s="2" t="s">
        <v>92</v>
      </c>
      <c r="F57" s="2" t="s">
        <v>262</v>
      </c>
      <c r="G57" s="2" t="s">
        <v>263</v>
      </c>
      <c r="H57" s="2" t="s">
        <v>264</v>
      </c>
      <c r="I57" s="2" t="s">
        <v>265</v>
      </c>
      <c r="J57" s="2" t="s">
        <v>246</v>
      </c>
      <c r="K57" s="2">
        <v>2</v>
      </c>
      <c r="L57" s="2">
        <v>81</v>
      </c>
      <c r="M57" s="3">
        <v>73</v>
      </c>
      <c r="Q57" s="11" t="s">
        <v>949</v>
      </c>
      <c r="R57">
        <v>427</v>
      </c>
    </row>
    <row r="58" spans="1:18" x14ac:dyDescent="0.2">
      <c r="A58" s="1" t="s">
        <v>266</v>
      </c>
      <c r="B58" s="1" t="s">
        <v>23</v>
      </c>
      <c r="C58" s="1" t="s">
        <v>15</v>
      </c>
      <c r="D58" s="2" t="s">
        <v>16</v>
      </c>
      <c r="E58" s="2" t="s">
        <v>108</v>
      </c>
      <c r="F58" s="2" t="s">
        <v>267</v>
      </c>
      <c r="G58" s="2" t="s">
        <v>268</v>
      </c>
      <c r="H58" s="2" t="s">
        <v>269</v>
      </c>
      <c r="I58" s="2" t="s">
        <v>270</v>
      </c>
      <c r="J58" s="2" t="s">
        <v>246</v>
      </c>
      <c r="K58" s="2">
        <v>1</v>
      </c>
      <c r="L58" s="2">
        <v>33</v>
      </c>
      <c r="M58" s="3">
        <v>33</v>
      </c>
      <c r="Q58" s="11" t="s">
        <v>113</v>
      </c>
      <c r="R58">
        <v>52</v>
      </c>
    </row>
    <row r="59" spans="1:18" x14ac:dyDescent="0.2">
      <c r="A59" s="1" t="s">
        <v>271</v>
      </c>
      <c r="B59" s="1" t="s">
        <v>43</v>
      </c>
      <c r="C59" s="1" t="s">
        <v>15</v>
      </c>
      <c r="D59" s="2" t="s">
        <v>16</v>
      </c>
      <c r="E59" s="2" t="s">
        <v>17</v>
      </c>
      <c r="F59" s="2" t="s">
        <v>272</v>
      </c>
      <c r="G59" s="2" t="s">
        <v>273</v>
      </c>
      <c r="H59" s="2" t="s">
        <v>274</v>
      </c>
      <c r="I59" s="2" t="s">
        <v>275</v>
      </c>
      <c r="J59" s="2" t="s">
        <v>246</v>
      </c>
      <c r="K59" s="2">
        <v>1</v>
      </c>
      <c r="L59" s="2">
        <v>47</v>
      </c>
      <c r="M59" s="3">
        <v>37</v>
      </c>
      <c r="Q59" s="11" t="s">
        <v>1770</v>
      </c>
      <c r="R59">
        <v>9</v>
      </c>
    </row>
    <row r="60" spans="1:18" x14ac:dyDescent="0.2">
      <c r="A60" s="1" t="s">
        <v>276</v>
      </c>
      <c r="B60" s="1" t="s">
        <v>23</v>
      </c>
      <c r="C60" s="1" t="s">
        <v>15</v>
      </c>
      <c r="D60" s="2" t="s">
        <v>16</v>
      </c>
      <c r="E60" s="2" t="s">
        <v>224</v>
      </c>
      <c r="F60" s="2" t="s">
        <v>277</v>
      </c>
      <c r="G60" s="2" t="s">
        <v>278</v>
      </c>
      <c r="H60" s="2" t="s">
        <v>279</v>
      </c>
      <c r="I60" s="2" t="s">
        <v>280</v>
      </c>
      <c r="J60" s="2" t="s">
        <v>246</v>
      </c>
      <c r="K60" s="2">
        <v>1</v>
      </c>
      <c r="L60" s="2">
        <v>24</v>
      </c>
      <c r="M60" s="3">
        <v>24</v>
      </c>
      <c r="Q60" s="11" t="s">
        <v>558</v>
      </c>
      <c r="R60">
        <v>234</v>
      </c>
    </row>
    <row r="61" spans="1:18" x14ac:dyDescent="0.2">
      <c r="A61" s="1" t="s">
        <v>281</v>
      </c>
      <c r="B61" s="1" t="s">
        <v>23</v>
      </c>
      <c r="C61" s="1" t="s">
        <v>15</v>
      </c>
      <c r="D61" s="2" t="s">
        <v>16</v>
      </c>
      <c r="E61" s="2" t="s">
        <v>224</v>
      </c>
      <c r="F61" s="2" t="s">
        <v>282</v>
      </c>
      <c r="G61" s="2" t="s">
        <v>283</v>
      </c>
      <c r="H61" s="2" t="s">
        <v>284</v>
      </c>
      <c r="I61" s="2"/>
      <c r="J61" s="2" t="s">
        <v>246</v>
      </c>
      <c r="K61" s="2">
        <v>0</v>
      </c>
      <c r="L61" s="2">
        <v>0</v>
      </c>
      <c r="M61" s="3">
        <v>19</v>
      </c>
      <c r="Q61" s="11" t="s">
        <v>844</v>
      </c>
      <c r="R61">
        <v>22</v>
      </c>
    </row>
    <row r="62" spans="1:18" x14ac:dyDescent="0.2">
      <c r="A62" s="1" t="s">
        <v>285</v>
      </c>
      <c r="B62" s="1" t="s">
        <v>23</v>
      </c>
      <c r="C62" s="1" t="s">
        <v>15</v>
      </c>
      <c r="D62" s="2" t="s">
        <v>16</v>
      </c>
      <c r="E62" s="2" t="s">
        <v>108</v>
      </c>
      <c r="F62" s="2" t="s">
        <v>286</v>
      </c>
      <c r="G62" s="2" t="s">
        <v>287</v>
      </c>
      <c r="H62" s="2" t="s">
        <v>288</v>
      </c>
      <c r="I62" s="2" t="s">
        <v>289</v>
      </c>
      <c r="J62" s="2" t="s">
        <v>246</v>
      </c>
      <c r="K62" s="2">
        <v>1</v>
      </c>
      <c r="L62" s="2">
        <v>25</v>
      </c>
      <c r="M62" s="3">
        <v>25</v>
      </c>
      <c r="Q62" s="11" t="s">
        <v>1238</v>
      </c>
      <c r="R62">
        <v>206</v>
      </c>
    </row>
    <row r="63" spans="1:18" x14ac:dyDescent="0.2">
      <c r="A63" s="1" t="s">
        <v>290</v>
      </c>
      <c r="B63" s="1" t="s">
        <v>43</v>
      </c>
      <c r="C63" s="1" t="s">
        <v>15</v>
      </c>
      <c r="D63" s="2" t="s">
        <v>72</v>
      </c>
      <c r="E63" s="2" t="s">
        <v>213</v>
      </c>
      <c r="F63" s="2" t="s">
        <v>291</v>
      </c>
      <c r="G63" s="2" t="s">
        <v>292</v>
      </c>
      <c r="H63" s="2" t="s">
        <v>293</v>
      </c>
      <c r="I63" s="2" t="s">
        <v>294</v>
      </c>
      <c r="J63" s="2" t="s">
        <v>246</v>
      </c>
      <c r="K63" s="2">
        <v>2</v>
      </c>
      <c r="L63" s="2">
        <v>71</v>
      </c>
      <c r="M63" s="3">
        <v>13</v>
      </c>
      <c r="Q63" s="11" t="s">
        <v>1306</v>
      </c>
      <c r="R63">
        <v>148</v>
      </c>
    </row>
    <row r="64" spans="1:18" x14ac:dyDescent="0.2">
      <c r="A64" s="1" t="s">
        <v>223</v>
      </c>
      <c r="B64" s="1" t="s">
        <v>23</v>
      </c>
      <c r="C64" s="1" t="s">
        <v>15</v>
      </c>
      <c r="D64" s="2" t="s">
        <v>16</v>
      </c>
      <c r="E64" s="2" t="s">
        <v>224</v>
      </c>
      <c r="F64" s="2" t="s">
        <v>225</v>
      </c>
      <c r="G64" s="2" t="s">
        <v>226</v>
      </c>
      <c r="H64" s="2" t="s">
        <v>227</v>
      </c>
      <c r="I64" s="2" t="s">
        <v>228</v>
      </c>
      <c r="J64" s="2" t="s">
        <v>246</v>
      </c>
      <c r="K64" s="2">
        <v>3</v>
      </c>
      <c r="L64" s="2">
        <v>63</v>
      </c>
      <c r="M64" s="3">
        <v>36</v>
      </c>
      <c r="Q64" s="11" t="s">
        <v>257</v>
      </c>
      <c r="R64">
        <v>81</v>
      </c>
    </row>
    <row r="65" spans="1:18" x14ac:dyDescent="0.2">
      <c r="A65" s="1" t="s">
        <v>295</v>
      </c>
      <c r="B65" s="1" t="s">
        <v>23</v>
      </c>
      <c r="C65" s="1" t="s">
        <v>15</v>
      </c>
      <c r="D65" s="2" t="s">
        <v>44</v>
      </c>
      <c r="E65" s="2" t="s">
        <v>44</v>
      </c>
      <c r="F65" s="2" t="s">
        <v>296</v>
      </c>
      <c r="G65" s="2" t="s">
        <v>297</v>
      </c>
      <c r="H65" s="2" t="s">
        <v>298</v>
      </c>
      <c r="I65" s="2" t="s">
        <v>299</v>
      </c>
      <c r="J65" s="2" t="s">
        <v>246</v>
      </c>
      <c r="K65" s="2">
        <v>2</v>
      </c>
      <c r="L65" s="2">
        <v>54</v>
      </c>
      <c r="M65" s="3">
        <v>51</v>
      </c>
      <c r="Q65" s="11" t="s">
        <v>1183</v>
      </c>
      <c r="R65">
        <v>231</v>
      </c>
    </row>
    <row r="66" spans="1:18" x14ac:dyDescent="0.2">
      <c r="A66" s="1" t="s">
        <v>300</v>
      </c>
      <c r="B66" s="1" t="s">
        <v>23</v>
      </c>
      <c r="C66" s="1" t="s">
        <v>15</v>
      </c>
      <c r="D66" s="2" t="s">
        <v>16</v>
      </c>
      <c r="E66" s="2" t="s">
        <v>224</v>
      </c>
      <c r="F66" s="2" t="s">
        <v>301</v>
      </c>
      <c r="G66" s="2" t="s">
        <v>302</v>
      </c>
      <c r="H66" s="2" t="s">
        <v>303</v>
      </c>
      <c r="I66" s="2" t="s">
        <v>304</v>
      </c>
      <c r="J66" s="2" t="s">
        <v>246</v>
      </c>
      <c r="K66" s="2">
        <v>1</v>
      </c>
      <c r="L66" s="2">
        <v>8</v>
      </c>
      <c r="M66" s="3">
        <v>8</v>
      </c>
      <c r="Q66" s="11" t="s">
        <v>723</v>
      </c>
      <c r="R66">
        <v>170</v>
      </c>
    </row>
    <row r="67" spans="1:18" x14ac:dyDescent="0.2">
      <c r="A67" s="1" t="s">
        <v>305</v>
      </c>
      <c r="B67" s="1" t="s">
        <v>23</v>
      </c>
      <c r="C67" s="1" t="s">
        <v>15</v>
      </c>
      <c r="D67" s="2" t="s">
        <v>24</v>
      </c>
      <c r="E67" s="2" t="s">
        <v>182</v>
      </c>
      <c r="F67" s="2" t="s">
        <v>306</v>
      </c>
      <c r="G67" s="2" t="s">
        <v>307</v>
      </c>
      <c r="H67" s="2" t="s">
        <v>83</v>
      </c>
      <c r="I67" s="2" t="s">
        <v>308</v>
      </c>
      <c r="J67" s="2" t="s">
        <v>246</v>
      </c>
      <c r="K67" s="2">
        <v>1</v>
      </c>
      <c r="L67" s="2">
        <v>27</v>
      </c>
      <c r="M67" s="3">
        <v>25</v>
      </c>
      <c r="Q67" s="11" t="s">
        <v>206</v>
      </c>
      <c r="R67">
        <v>346</v>
      </c>
    </row>
    <row r="68" spans="1:18" x14ac:dyDescent="0.2">
      <c r="A68" s="1" t="s">
        <v>309</v>
      </c>
      <c r="B68" s="1" t="s">
        <v>23</v>
      </c>
      <c r="C68" s="1" t="s">
        <v>15</v>
      </c>
      <c r="D68" s="2" t="s">
        <v>36</v>
      </c>
      <c r="E68" s="2" t="s">
        <v>37</v>
      </c>
      <c r="F68" s="2" t="s">
        <v>310</v>
      </c>
      <c r="G68" s="2" t="s">
        <v>311</v>
      </c>
      <c r="H68" s="2">
        <v>82340614</v>
      </c>
      <c r="I68" s="2" t="s">
        <v>312</v>
      </c>
      <c r="J68" s="2" t="s">
        <v>246</v>
      </c>
      <c r="K68" s="2">
        <v>2</v>
      </c>
      <c r="L68" s="2">
        <v>193</v>
      </c>
      <c r="M68" s="3">
        <v>153</v>
      </c>
      <c r="Q68" s="11" t="s">
        <v>430</v>
      </c>
      <c r="R68">
        <v>637</v>
      </c>
    </row>
    <row r="69" spans="1:18" x14ac:dyDescent="0.2">
      <c r="A69" s="1" t="s">
        <v>313</v>
      </c>
      <c r="B69" s="1" t="s">
        <v>23</v>
      </c>
      <c r="C69" s="1" t="s">
        <v>15</v>
      </c>
      <c r="D69" s="2" t="s">
        <v>16</v>
      </c>
      <c r="E69" s="2" t="s">
        <v>108</v>
      </c>
      <c r="F69" s="2" t="s">
        <v>314</v>
      </c>
      <c r="G69" s="2" t="s">
        <v>315</v>
      </c>
      <c r="H69" s="2" t="s">
        <v>316</v>
      </c>
      <c r="I69" s="2" t="s">
        <v>317</v>
      </c>
      <c r="J69" s="2" t="s">
        <v>246</v>
      </c>
      <c r="K69" s="2">
        <v>1</v>
      </c>
      <c r="L69" s="2">
        <v>145</v>
      </c>
      <c r="M69" s="3">
        <v>110</v>
      </c>
      <c r="Q69" s="11" t="s">
        <v>1440</v>
      </c>
      <c r="R69">
        <v>106</v>
      </c>
    </row>
    <row r="70" spans="1:18" x14ac:dyDescent="0.2">
      <c r="A70" s="1" t="s">
        <v>318</v>
      </c>
      <c r="B70" s="1" t="s">
        <v>23</v>
      </c>
      <c r="C70" s="1" t="s">
        <v>15</v>
      </c>
      <c r="D70" s="2" t="s">
        <v>16</v>
      </c>
      <c r="E70" s="2" t="s">
        <v>17</v>
      </c>
      <c r="F70" s="2" t="s">
        <v>319</v>
      </c>
      <c r="G70" s="2" t="s">
        <v>320</v>
      </c>
      <c r="H70" s="2" t="s">
        <v>321</v>
      </c>
      <c r="I70" s="2" t="s">
        <v>322</v>
      </c>
      <c r="J70" s="2" t="s">
        <v>246</v>
      </c>
      <c r="K70" s="2">
        <v>1</v>
      </c>
      <c r="L70" s="2">
        <v>1</v>
      </c>
      <c r="M70" s="3">
        <v>0</v>
      </c>
      <c r="Q70" s="11" t="s">
        <v>118</v>
      </c>
      <c r="R70">
        <v>159</v>
      </c>
    </row>
    <row r="71" spans="1:18" x14ac:dyDescent="0.2">
      <c r="A71" s="1" t="s">
        <v>323</v>
      </c>
      <c r="B71" s="1" t="s">
        <v>23</v>
      </c>
      <c r="C71" s="1" t="s">
        <v>15</v>
      </c>
      <c r="D71" s="2" t="s">
        <v>16</v>
      </c>
      <c r="E71" s="2" t="s">
        <v>108</v>
      </c>
      <c r="F71" s="2" t="s">
        <v>324</v>
      </c>
      <c r="G71" s="2" t="s">
        <v>325</v>
      </c>
      <c r="H71" s="2" t="s">
        <v>326</v>
      </c>
      <c r="I71" s="2" t="s">
        <v>327</v>
      </c>
      <c r="J71" s="2" t="s">
        <v>246</v>
      </c>
      <c r="K71" s="2">
        <v>0</v>
      </c>
      <c r="L71" s="2">
        <v>0</v>
      </c>
      <c r="M71" s="3">
        <v>6</v>
      </c>
      <c r="Q71" s="11" t="s">
        <v>812</v>
      </c>
      <c r="R71">
        <v>75</v>
      </c>
    </row>
    <row r="72" spans="1:18" x14ac:dyDescent="0.2">
      <c r="A72" s="1" t="s">
        <v>328</v>
      </c>
      <c r="B72" s="1" t="s">
        <v>23</v>
      </c>
      <c r="C72" s="1" t="s">
        <v>15</v>
      </c>
      <c r="D72" s="2" t="s">
        <v>72</v>
      </c>
      <c r="E72" s="2" t="s">
        <v>73</v>
      </c>
      <c r="F72" s="2" t="s">
        <v>329</v>
      </c>
      <c r="G72" s="2" t="s">
        <v>330</v>
      </c>
      <c r="H72" s="2" t="s">
        <v>331</v>
      </c>
      <c r="I72" s="2" t="s">
        <v>332</v>
      </c>
      <c r="J72" s="2" t="s">
        <v>246</v>
      </c>
      <c r="K72" s="2">
        <v>2</v>
      </c>
      <c r="L72" s="2">
        <v>213</v>
      </c>
      <c r="M72" s="3">
        <v>163</v>
      </c>
      <c r="Q72" s="11" t="s">
        <v>828</v>
      </c>
      <c r="R72">
        <v>555</v>
      </c>
    </row>
    <row r="73" spans="1:18" x14ac:dyDescent="0.2">
      <c r="A73" s="1" t="s">
        <v>333</v>
      </c>
      <c r="B73" s="1" t="s">
        <v>23</v>
      </c>
      <c r="C73" s="1" t="s">
        <v>15</v>
      </c>
      <c r="D73" s="2" t="s">
        <v>16</v>
      </c>
      <c r="E73" s="2" t="s">
        <v>108</v>
      </c>
      <c r="F73" s="2" t="s">
        <v>334</v>
      </c>
      <c r="G73" s="2" t="s">
        <v>335</v>
      </c>
      <c r="H73" s="2" t="s">
        <v>336</v>
      </c>
      <c r="I73" s="2" t="s">
        <v>337</v>
      </c>
      <c r="J73" s="2" t="s">
        <v>246</v>
      </c>
      <c r="K73" s="2">
        <v>2</v>
      </c>
      <c r="L73" s="2">
        <v>223</v>
      </c>
      <c r="M73" s="3">
        <v>173</v>
      </c>
      <c r="Q73" s="11" t="s">
        <v>888</v>
      </c>
      <c r="R73">
        <v>108</v>
      </c>
    </row>
    <row r="74" spans="1:18" x14ac:dyDescent="0.2">
      <c r="A74" s="1" t="s">
        <v>338</v>
      </c>
      <c r="B74" s="1" t="s">
        <v>23</v>
      </c>
      <c r="C74" s="1" t="s">
        <v>15</v>
      </c>
      <c r="D74" s="2" t="s">
        <v>55</v>
      </c>
      <c r="E74" s="2" t="s">
        <v>56</v>
      </c>
      <c r="F74" s="2" t="s">
        <v>339</v>
      </c>
      <c r="G74" s="2" t="s">
        <v>340</v>
      </c>
      <c r="H74" s="2" t="s">
        <v>341</v>
      </c>
      <c r="I74" s="2" t="s">
        <v>342</v>
      </c>
      <c r="J74" s="2" t="s">
        <v>246</v>
      </c>
      <c r="K74" s="2">
        <v>2</v>
      </c>
      <c r="L74" s="2">
        <v>96</v>
      </c>
      <c r="M74" s="3">
        <v>96</v>
      </c>
      <c r="Q74" s="11" t="s">
        <v>1445</v>
      </c>
      <c r="R74">
        <v>198</v>
      </c>
    </row>
    <row r="75" spans="1:18" x14ac:dyDescent="0.2">
      <c r="A75" s="1" t="s">
        <v>343</v>
      </c>
      <c r="B75" s="1" t="s">
        <v>23</v>
      </c>
      <c r="C75" s="1" t="s">
        <v>15</v>
      </c>
      <c r="D75" s="2" t="s">
        <v>16</v>
      </c>
      <c r="E75" s="2" t="s">
        <v>224</v>
      </c>
      <c r="F75" s="2" t="s">
        <v>344</v>
      </c>
      <c r="G75" s="2" t="s">
        <v>345</v>
      </c>
      <c r="H75" s="2" t="s">
        <v>346</v>
      </c>
      <c r="I75" s="2" t="s">
        <v>347</v>
      </c>
      <c r="J75" s="2" t="s">
        <v>246</v>
      </c>
      <c r="K75" s="2">
        <v>1</v>
      </c>
      <c r="L75" s="2">
        <v>50</v>
      </c>
      <c r="M75" s="3">
        <v>21</v>
      </c>
      <c r="Q75" s="11" t="s">
        <v>1450</v>
      </c>
      <c r="R75">
        <v>155</v>
      </c>
    </row>
    <row r="76" spans="1:18" x14ac:dyDescent="0.2">
      <c r="A76" s="1" t="s">
        <v>348</v>
      </c>
      <c r="B76" s="1" t="s">
        <v>240</v>
      </c>
      <c r="C76" s="1" t="s">
        <v>15</v>
      </c>
      <c r="D76" s="2" t="s">
        <v>24</v>
      </c>
      <c r="E76" s="2" t="s">
        <v>349</v>
      </c>
      <c r="F76" s="2" t="s">
        <v>350</v>
      </c>
      <c r="G76" s="2" t="s">
        <v>351</v>
      </c>
      <c r="H76" s="2">
        <v>85168347</v>
      </c>
      <c r="I76" s="2" t="s">
        <v>352</v>
      </c>
      <c r="J76" s="2" t="s">
        <v>246</v>
      </c>
      <c r="K76" s="2">
        <v>2</v>
      </c>
      <c r="L76" s="2">
        <v>192</v>
      </c>
      <c r="M76" s="3">
        <v>157</v>
      </c>
      <c r="Q76" s="11" t="s">
        <v>1815</v>
      </c>
      <c r="R76">
        <v>458</v>
      </c>
    </row>
    <row r="77" spans="1:18" x14ac:dyDescent="0.2">
      <c r="A77" s="1" t="s">
        <v>61</v>
      </c>
      <c r="B77" s="1" t="s">
        <v>14</v>
      </c>
      <c r="C77" s="1" t="s">
        <v>15</v>
      </c>
      <c r="D77" s="2" t="s">
        <v>16</v>
      </c>
      <c r="E77" s="2" t="s">
        <v>17</v>
      </c>
      <c r="F77" s="2" t="s">
        <v>62</v>
      </c>
      <c r="G77" s="2" t="s">
        <v>63</v>
      </c>
      <c r="H77" s="2">
        <v>8172650</v>
      </c>
      <c r="I77" s="2" t="s">
        <v>64</v>
      </c>
      <c r="J77" s="2" t="s">
        <v>246</v>
      </c>
      <c r="K77" s="2">
        <v>2</v>
      </c>
      <c r="L77" s="2">
        <v>310</v>
      </c>
      <c r="M77" s="3">
        <v>333</v>
      </c>
      <c r="Q77" s="11" t="s">
        <v>1820</v>
      </c>
      <c r="R77">
        <v>235</v>
      </c>
    </row>
    <row r="78" spans="1:18" x14ac:dyDescent="0.2">
      <c r="A78" s="1" t="s">
        <v>353</v>
      </c>
      <c r="B78" s="1" t="s">
        <v>23</v>
      </c>
      <c r="C78" s="1" t="s">
        <v>15</v>
      </c>
      <c r="D78" s="2" t="s">
        <v>16</v>
      </c>
      <c r="E78" s="2" t="s">
        <v>108</v>
      </c>
      <c r="F78" s="2" t="s">
        <v>354</v>
      </c>
      <c r="G78" s="2" t="s">
        <v>355</v>
      </c>
      <c r="H78" s="2" t="s">
        <v>356</v>
      </c>
      <c r="I78" s="2" t="s">
        <v>357</v>
      </c>
      <c r="J78" s="2" t="s">
        <v>246</v>
      </c>
      <c r="K78" s="2">
        <v>1</v>
      </c>
      <c r="L78" s="2">
        <v>25</v>
      </c>
      <c r="M78" s="3">
        <v>0</v>
      </c>
      <c r="Q78" s="11" t="s">
        <v>746</v>
      </c>
      <c r="R78">
        <v>228</v>
      </c>
    </row>
    <row r="79" spans="1:18" x14ac:dyDescent="0.2">
      <c r="A79" s="1" t="s">
        <v>358</v>
      </c>
      <c r="B79" s="1" t="s">
        <v>23</v>
      </c>
      <c r="C79" s="1" t="s">
        <v>15</v>
      </c>
      <c r="D79" s="2" t="s">
        <v>72</v>
      </c>
      <c r="E79" s="2" t="s">
        <v>119</v>
      </c>
      <c r="F79" s="2" t="s">
        <v>359</v>
      </c>
      <c r="G79" s="2" t="s">
        <v>360</v>
      </c>
      <c r="H79" s="2" t="s">
        <v>361</v>
      </c>
      <c r="I79" s="2" t="s">
        <v>362</v>
      </c>
      <c r="J79" s="2" t="s">
        <v>363</v>
      </c>
      <c r="K79" s="2">
        <v>3</v>
      </c>
      <c r="L79" s="2">
        <v>691</v>
      </c>
      <c r="M79" s="3">
        <v>727</v>
      </c>
      <c r="Q79" s="11" t="s">
        <v>1215</v>
      </c>
      <c r="R79">
        <v>113</v>
      </c>
    </row>
    <row r="80" spans="1:18" x14ac:dyDescent="0.2">
      <c r="A80" s="1" t="s">
        <v>364</v>
      </c>
      <c r="B80" s="1" t="s">
        <v>23</v>
      </c>
      <c r="C80" s="1" t="s">
        <v>15</v>
      </c>
      <c r="D80" s="2" t="s">
        <v>72</v>
      </c>
      <c r="E80" s="2" t="s">
        <v>119</v>
      </c>
      <c r="F80" s="2" t="s">
        <v>365</v>
      </c>
      <c r="G80" s="2" t="s">
        <v>366</v>
      </c>
      <c r="H80" s="2" t="s">
        <v>367</v>
      </c>
      <c r="I80" s="2" t="s">
        <v>368</v>
      </c>
      <c r="J80" s="2" t="s">
        <v>363</v>
      </c>
      <c r="K80" s="2">
        <v>2</v>
      </c>
      <c r="L80" s="2">
        <v>521</v>
      </c>
      <c r="M80" s="3">
        <v>538</v>
      </c>
      <c r="Q80" s="11" t="s">
        <v>728</v>
      </c>
      <c r="R80">
        <v>0</v>
      </c>
    </row>
    <row r="81" spans="1:18" x14ac:dyDescent="0.2">
      <c r="A81" s="1" t="s">
        <v>369</v>
      </c>
      <c r="B81" s="1" t="s">
        <v>23</v>
      </c>
      <c r="C81" s="1" t="s">
        <v>15</v>
      </c>
      <c r="D81" s="2" t="s">
        <v>44</v>
      </c>
      <c r="E81" s="2" t="s">
        <v>44</v>
      </c>
      <c r="F81" s="2" t="s">
        <v>370</v>
      </c>
      <c r="G81" s="2" t="s">
        <v>371</v>
      </c>
      <c r="H81" s="2" t="s">
        <v>372</v>
      </c>
      <c r="I81" s="2" t="s">
        <v>373</v>
      </c>
      <c r="J81" s="2" t="s">
        <v>363</v>
      </c>
      <c r="K81" s="2">
        <v>2</v>
      </c>
      <c r="L81" s="2">
        <v>453</v>
      </c>
      <c r="M81" s="3">
        <v>505</v>
      </c>
      <c r="Q81" s="11" t="s">
        <v>539</v>
      </c>
      <c r="R81">
        <v>314</v>
      </c>
    </row>
    <row r="82" spans="1:18" x14ac:dyDescent="0.2">
      <c r="A82" s="1" t="s">
        <v>86</v>
      </c>
      <c r="B82" s="1" t="s">
        <v>23</v>
      </c>
      <c r="C82" s="1" t="s">
        <v>15</v>
      </c>
      <c r="D82" s="2" t="s">
        <v>72</v>
      </c>
      <c r="E82" s="2" t="s">
        <v>73</v>
      </c>
      <c r="F82" s="2" t="s">
        <v>87</v>
      </c>
      <c r="G82" s="2" t="s">
        <v>88</v>
      </c>
      <c r="H82" s="2" t="s">
        <v>89</v>
      </c>
      <c r="I82" s="2" t="s">
        <v>90</v>
      </c>
      <c r="J82" s="2" t="s">
        <v>363</v>
      </c>
      <c r="K82" s="2">
        <v>3</v>
      </c>
      <c r="L82" s="2">
        <v>590</v>
      </c>
      <c r="M82" s="3">
        <v>478</v>
      </c>
      <c r="Q82" s="11" t="s">
        <v>1677</v>
      </c>
      <c r="R82">
        <v>121</v>
      </c>
    </row>
    <row r="83" spans="1:18" x14ac:dyDescent="0.2">
      <c r="A83" s="1" t="s">
        <v>374</v>
      </c>
      <c r="B83" s="1" t="s">
        <v>23</v>
      </c>
      <c r="C83" s="1" t="s">
        <v>15</v>
      </c>
      <c r="D83" s="2" t="s">
        <v>36</v>
      </c>
      <c r="E83" s="2" t="s">
        <v>207</v>
      </c>
      <c r="F83" s="2" t="s">
        <v>375</v>
      </c>
      <c r="G83" s="2" t="s">
        <v>376</v>
      </c>
      <c r="H83" s="2" t="s">
        <v>377</v>
      </c>
      <c r="I83" s="2" t="s">
        <v>378</v>
      </c>
      <c r="J83" s="2" t="s">
        <v>363</v>
      </c>
      <c r="K83" s="2">
        <v>2</v>
      </c>
      <c r="L83" s="2">
        <v>406</v>
      </c>
      <c r="M83" s="3">
        <v>462</v>
      </c>
      <c r="Q83" s="11" t="s">
        <v>1743</v>
      </c>
      <c r="R83">
        <v>108</v>
      </c>
    </row>
    <row r="84" spans="1:18" x14ac:dyDescent="0.2">
      <c r="A84" s="1" t="s">
        <v>379</v>
      </c>
      <c r="B84" s="1" t="s">
        <v>23</v>
      </c>
      <c r="C84" s="1" t="s">
        <v>15</v>
      </c>
      <c r="D84" s="2" t="s">
        <v>44</v>
      </c>
      <c r="E84" s="2" t="s">
        <v>44</v>
      </c>
      <c r="F84" s="2" t="s">
        <v>380</v>
      </c>
      <c r="G84" s="2" t="s">
        <v>381</v>
      </c>
      <c r="H84" s="2" t="s">
        <v>382</v>
      </c>
      <c r="I84" s="2" t="s">
        <v>383</v>
      </c>
      <c r="J84" s="2" t="s">
        <v>363</v>
      </c>
      <c r="K84" s="2">
        <v>2</v>
      </c>
      <c r="L84" s="2">
        <v>365</v>
      </c>
      <c r="M84" s="3">
        <v>442</v>
      </c>
      <c r="Q84" s="11" t="s">
        <v>650</v>
      </c>
      <c r="R84">
        <v>57</v>
      </c>
    </row>
    <row r="85" spans="1:18" x14ac:dyDescent="0.2">
      <c r="A85" s="1" t="s">
        <v>384</v>
      </c>
      <c r="B85" s="1" t="s">
        <v>23</v>
      </c>
      <c r="C85" s="1" t="s">
        <v>15</v>
      </c>
      <c r="D85" s="2" t="s">
        <v>72</v>
      </c>
      <c r="E85" s="2" t="s">
        <v>119</v>
      </c>
      <c r="F85" s="2" t="s">
        <v>385</v>
      </c>
      <c r="G85" s="2" t="s">
        <v>386</v>
      </c>
      <c r="H85" s="2" t="s">
        <v>387</v>
      </c>
      <c r="I85" s="2" t="s">
        <v>388</v>
      </c>
      <c r="J85" s="2" t="s">
        <v>363</v>
      </c>
      <c r="K85" s="2">
        <v>3</v>
      </c>
      <c r="L85" s="2">
        <v>327</v>
      </c>
      <c r="M85" s="3">
        <v>409</v>
      </c>
      <c r="Q85" s="11" t="s">
        <v>1376</v>
      </c>
      <c r="R85">
        <v>119</v>
      </c>
    </row>
    <row r="86" spans="1:18" x14ac:dyDescent="0.2">
      <c r="A86" s="1" t="s">
        <v>134</v>
      </c>
      <c r="B86" s="1" t="s">
        <v>23</v>
      </c>
      <c r="C86" s="1" t="s">
        <v>15</v>
      </c>
      <c r="D86" s="2" t="s">
        <v>24</v>
      </c>
      <c r="E86" s="2" t="s">
        <v>135</v>
      </c>
      <c r="F86" s="2" t="s">
        <v>136</v>
      </c>
      <c r="G86" s="2" t="s">
        <v>137</v>
      </c>
      <c r="H86" s="2">
        <v>9331028163</v>
      </c>
      <c r="I86" s="2" t="s">
        <v>138</v>
      </c>
      <c r="J86" s="2" t="s">
        <v>363</v>
      </c>
      <c r="K86" s="2">
        <v>5</v>
      </c>
      <c r="L86" s="2">
        <v>457</v>
      </c>
      <c r="M86" s="3">
        <v>397</v>
      </c>
      <c r="Q86" s="11" t="s">
        <v>1698</v>
      </c>
      <c r="R86">
        <v>0</v>
      </c>
    </row>
    <row r="87" spans="1:18" x14ac:dyDescent="0.2">
      <c r="A87" s="1" t="s">
        <v>389</v>
      </c>
      <c r="B87" s="1" t="s">
        <v>23</v>
      </c>
      <c r="C87" s="1" t="s">
        <v>15</v>
      </c>
      <c r="D87" s="2" t="s">
        <v>36</v>
      </c>
      <c r="E87" s="2" t="s">
        <v>37</v>
      </c>
      <c r="F87" s="2" t="s">
        <v>390</v>
      </c>
      <c r="G87" s="2" t="s">
        <v>391</v>
      </c>
      <c r="H87" s="2" t="s">
        <v>392</v>
      </c>
      <c r="I87" s="2" t="s">
        <v>393</v>
      </c>
      <c r="J87" s="2" t="s">
        <v>363</v>
      </c>
      <c r="K87" s="2">
        <v>2</v>
      </c>
      <c r="L87" s="2">
        <v>397</v>
      </c>
      <c r="M87" s="3">
        <v>394</v>
      </c>
      <c r="Q87" s="11" t="s">
        <v>22</v>
      </c>
      <c r="R87">
        <v>1117</v>
      </c>
    </row>
    <row r="88" spans="1:18" x14ac:dyDescent="0.2">
      <c r="A88" s="1" t="s">
        <v>394</v>
      </c>
      <c r="B88" s="1" t="s">
        <v>23</v>
      </c>
      <c r="C88" s="1" t="s">
        <v>15</v>
      </c>
      <c r="D88" s="2" t="s">
        <v>24</v>
      </c>
      <c r="E88" s="2" t="s">
        <v>395</v>
      </c>
      <c r="F88" s="2" t="s">
        <v>396</v>
      </c>
      <c r="G88" s="2" t="s">
        <v>397</v>
      </c>
      <c r="H88" s="2" t="s">
        <v>398</v>
      </c>
      <c r="I88" s="2" t="s">
        <v>399</v>
      </c>
      <c r="J88" s="2" t="s">
        <v>363</v>
      </c>
      <c r="K88" s="2">
        <v>4</v>
      </c>
      <c r="L88" s="2">
        <v>452</v>
      </c>
      <c r="M88" s="3">
        <v>384</v>
      </c>
      <c r="Q88" s="11" t="s">
        <v>864</v>
      </c>
      <c r="R88">
        <v>7</v>
      </c>
    </row>
    <row r="89" spans="1:18" x14ac:dyDescent="0.2">
      <c r="A89" s="1" t="s">
        <v>400</v>
      </c>
      <c r="B89" s="1" t="s">
        <v>43</v>
      </c>
      <c r="C89" s="1" t="s">
        <v>15</v>
      </c>
      <c r="D89" s="2" t="s">
        <v>24</v>
      </c>
      <c r="E89" s="2" t="s">
        <v>80</v>
      </c>
      <c r="F89" s="2" t="s">
        <v>401</v>
      </c>
      <c r="G89" s="2" t="s">
        <v>402</v>
      </c>
      <c r="H89" s="2" t="s">
        <v>403</v>
      </c>
      <c r="I89" s="2" t="s">
        <v>404</v>
      </c>
      <c r="J89" s="2" t="s">
        <v>363</v>
      </c>
      <c r="K89" s="2">
        <v>2</v>
      </c>
      <c r="L89" s="2">
        <v>352</v>
      </c>
      <c r="M89" s="3">
        <v>352</v>
      </c>
      <c r="Q89" s="11" t="s">
        <v>1602</v>
      </c>
      <c r="R89">
        <v>50</v>
      </c>
    </row>
    <row r="90" spans="1:18" x14ac:dyDescent="0.2">
      <c r="A90" s="1" t="s">
        <v>405</v>
      </c>
      <c r="B90" s="1" t="s">
        <v>23</v>
      </c>
      <c r="C90" s="1" t="s">
        <v>15</v>
      </c>
      <c r="D90" s="2" t="s">
        <v>24</v>
      </c>
      <c r="E90" s="2" t="s">
        <v>349</v>
      </c>
      <c r="F90" s="2" t="s">
        <v>406</v>
      </c>
      <c r="G90" s="2" t="s">
        <v>407</v>
      </c>
      <c r="H90" s="2" t="s">
        <v>408</v>
      </c>
      <c r="I90" s="2" t="s">
        <v>409</v>
      </c>
      <c r="J90" s="2" t="s">
        <v>363</v>
      </c>
      <c r="K90" s="2">
        <v>3</v>
      </c>
      <c r="L90" s="2">
        <v>380</v>
      </c>
      <c r="M90" s="3">
        <v>351</v>
      </c>
      <c r="Q90" s="11" t="s">
        <v>1381</v>
      </c>
      <c r="R90">
        <v>111</v>
      </c>
    </row>
    <row r="91" spans="1:18" x14ac:dyDescent="0.2">
      <c r="A91" s="1" t="s">
        <v>218</v>
      </c>
      <c r="B91" s="1" t="s">
        <v>23</v>
      </c>
      <c r="C91" s="1" t="s">
        <v>15</v>
      </c>
      <c r="D91" s="2" t="s">
        <v>72</v>
      </c>
      <c r="E91" s="2" t="s">
        <v>213</v>
      </c>
      <c r="F91" s="2" t="s">
        <v>219</v>
      </c>
      <c r="G91" s="2" t="s">
        <v>220</v>
      </c>
      <c r="H91" s="2" t="s">
        <v>221</v>
      </c>
      <c r="I91" s="2" t="s">
        <v>222</v>
      </c>
      <c r="J91" s="2" t="s">
        <v>363</v>
      </c>
      <c r="K91" s="2">
        <v>3</v>
      </c>
      <c r="L91" s="2">
        <v>263</v>
      </c>
      <c r="M91" s="3">
        <v>344</v>
      </c>
      <c r="Q91" s="11" t="s">
        <v>954</v>
      </c>
      <c r="R91">
        <v>58</v>
      </c>
    </row>
    <row r="92" spans="1:18" x14ac:dyDescent="0.2">
      <c r="A92" s="1" t="s">
        <v>150</v>
      </c>
      <c r="B92" s="1" t="s">
        <v>23</v>
      </c>
      <c r="C92" s="1" t="s">
        <v>15</v>
      </c>
      <c r="D92" s="2" t="s">
        <v>24</v>
      </c>
      <c r="E92" s="2" t="s">
        <v>135</v>
      </c>
      <c r="F92" s="2" t="s">
        <v>151</v>
      </c>
      <c r="G92" s="2" t="s">
        <v>152</v>
      </c>
      <c r="H92" s="2" t="s">
        <v>153</v>
      </c>
      <c r="I92" s="2" t="s">
        <v>154</v>
      </c>
      <c r="J92" s="2" t="s">
        <v>363</v>
      </c>
      <c r="K92" s="2">
        <v>5</v>
      </c>
      <c r="L92" s="2">
        <v>401</v>
      </c>
      <c r="M92" s="3">
        <v>342</v>
      </c>
      <c r="Q92" s="11" t="s">
        <v>1607</v>
      </c>
      <c r="R92">
        <v>52</v>
      </c>
    </row>
    <row r="93" spans="1:18" x14ac:dyDescent="0.2">
      <c r="A93" s="1" t="s">
        <v>187</v>
      </c>
      <c r="B93" s="1" t="s">
        <v>66</v>
      </c>
      <c r="C93" s="1" t="s">
        <v>15</v>
      </c>
      <c r="D93" s="2" t="s">
        <v>16</v>
      </c>
      <c r="E93" s="2" t="s">
        <v>17</v>
      </c>
      <c r="F93" s="2" t="s">
        <v>188</v>
      </c>
      <c r="G93" s="2" t="s">
        <v>189</v>
      </c>
      <c r="H93" s="2">
        <v>9297015428</v>
      </c>
      <c r="I93" s="2" t="s">
        <v>190</v>
      </c>
      <c r="J93" s="2" t="s">
        <v>363</v>
      </c>
      <c r="K93" s="2">
        <v>4</v>
      </c>
      <c r="L93" s="2">
        <v>199</v>
      </c>
      <c r="M93" s="3">
        <v>342</v>
      </c>
      <c r="Q93" s="11" t="s">
        <v>1122</v>
      </c>
      <c r="R93">
        <v>60</v>
      </c>
    </row>
    <row r="94" spans="1:18" x14ac:dyDescent="0.2">
      <c r="A94" s="1" t="s">
        <v>410</v>
      </c>
      <c r="B94" s="1" t="s">
        <v>23</v>
      </c>
      <c r="C94" s="1" t="s">
        <v>15</v>
      </c>
      <c r="D94" s="2" t="s">
        <v>36</v>
      </c>
      <c r="E94" s="2" t="s">
        <v>176</v>
      </c>
      <c r="F94" s="2" t="s">
        <v>411</v>
      </c>
      <c r="G94" s="2" t="s">
        <v>412</v>
      </c>
      <c r="H94" s="2" t="s">
        <v>413</v>
      </c>
      <c r="I94" s="2" t="s">
        <v>414</v>
      </c>
      <c r="J94" s="2" t="s">
        <v>363</v>
      </c>
      <c r="K94" s="2">
        <v>2</v>
      </c>
      <c r="L94" s="2">
        <v>233</v>
      </c>
      <c r="M94" s="3">
        <v>341</v>
      </c>
      <c r="Q94" s="11" t="s">
        <v>751</v>
      </c>
      <c r="R94">
        <v>188</v>
      </c>
    </row>
    <row r="95" spans="1:18" x14ac:dyDescent="0.2">
      <c r="A95" s="1" t="s">
        <v>415</v>
      </c>
      <c r="B95" s="1" t="s">
        <v>23</v>
      </c>
      <c r="C95" s="1" t="s">
        <v>15</v>
      </c>
      <c r="D95" s="2" t="s">
        <v>36</v>
      </c>
      <c r="E95" s="2" t="s">
        <v>37</v>
      </c>
      <c r="F95" s="2" t="s">
        <v>416</v>
      </c>
      <c r="G95" s="2" t="s">
        <v>417</v>
      </c>
      <c r="H95" s="2" t="s">
        <v>418</v>
      </c>
      <c r="I95" s="2" t="s">
        <v>419</v>
      </c>
      <c r="J95" s="2" t="s">
        <v>363</v>
      </c>
      <c r="K95" s="2">
        <v>2</v>
      </c>
      <c r="L95" s="2">
        <v>188</v>
      </c>
      <c r="M95" s="3">
        <v>339</v>
      </c>
      <c r="Q95" s="11" t="s">
        <v>1386</v>
      </c>
      <c r="R95">
        <v>38</v>
      </c>
    </row>
    <row r="96" spans="1:18" x14ac:dyDescent="0.2">
      <c r="A96" s="1" t="s">
        <v>420</v>
      </c>
      <c r="B96" s="1" t="s">
        <v>23</v>
      </c>
      <c r="C96" s="1" t="s">
        <v>15</v>
      </c>
      <c r="D96" s="2" t="s">
        <v>55</v>
      </c>
      <c r="E96" s="2" t="s">
        <v>92</v>
      </c>
      <c r="F96" s="2" t="s">
        <v>421</v>
      </c>
      <c r="G96" s="2" t="s">
        <v>422</v>
      </c>
      <c r="H96" s="2" t="s">
        <v>423</v>
      </c>
      <c r="I96" s="2" t="s">
        <v>424</v>
      </c>
      <c r="J96" s="2" t="s">
        <v>363</v>
      </c>
      <c r="K96" s="2">
        <v>4</v>
      </c>
      <c r="L96" s="2">
        <v>348</v>
      </c>
      <c r="M96" s="3">
        <v>326</v>
      </c>
      <c r="Q96" s="11" t="s">
        <v>683</v>
      </c>
      <c r="R96">
        <v>40</v>
      </c>
    </row>
    <row r="97" spans="1:18" x14ac:dyDescent="0.2">
      <c r="A97" s="1" t="s">
        <v>425</v>
      </c>
      <c r="B97" s="1" t="s">
        <v>23</v>
      </c>
      <c r="C97" s="1" t="s">
        <v>15</v>
      </c>
      <c r="D97" s="2" t="s">
        <v>44</v>
      </c>
      <c r="E97" s="2" t="s">
        <v>44</v>
      </c>
      <c r="F97" s="2" t="s">
        <v>426</v>
      </c>
      <c r="G97" s="2" t="s">
        <v>427</v>
      </c>
      <c r="H97" s="2" t="s">
        <v>428</v>
      </c>
      <c r="I97" s="2" t="s">
        <v>429</v>
      </c>
      <c r="J97" s="2" t="s">
        <v>363</v>
      </c>
      <c r="K97" s="2">
        <v>3</v>
      </c>
      <c r="L97" s="2">
        <v>144</v>
      </c>
      <c r="M97" s="3">
        <v>316</v>
      </c>
      <c r="Q97" s="11" t="s">
        <v>802</v>
      </c>
      <c r="R97">
        <v>80</v>
      </c>
    </row>
    <row r="98" spans="1:18" x14ac:dyDescent="0.2">
      <c r="A98" s="1" t="s">
        <v>212</v>
      </c>
      <c r="B98" s="1" t="s">
        <v>23</v>
      </c>
      <c r="C98" s="1" t="s">
        <v>15</v>
      </c>
      <c r="D98" s="2" t="s">
        <v>72</v>
      </c>
      <c r="E98" s="2" t="s">
        <v>213</v>
      </c>
      <c r="F98" s="2" t="s">
        <v>214</v>
      </c>
      <c r="G98" s="2" t="s">
        <v>215</v>
      </c>
      <c r="H98" s="2" t="s">
        <v>216</v>
      </c>
      <c r="I98" s="2" t="s">
        <v>217</v>
      </c>
      <c r="J98" s="2" t="s">
        <v>363</v>
      </c>
      <c r="K98" s="2">
        <v>2</v>
      </c>
      <c r="L98" s="2">
        <v>315</v>
      </c>
      <c r="M98" s="3">
        <v>307</v>
      </c>
      <c r="Q98" s="11" t="s">
        <v>823</v>
      </c>
      <c r="R98">
        <v>42</v>
      </c>
    </row>
    <row r="99" spans="1:18" x14ac:dyDescent="0.2">
      <c r="A99" s="1" t="s">
        <v>175</v>
      </c>
      <c r="B99" s="1" t="s">
        <v>23</v>
      </c>
      <c r="C99" s="1" t="s">
        <v>15</v>
      </c>
      <c r="D99" s="2" t="s">
        <v>36</v>
      </c>
      <c r="E99" s="2" t="s">
        <v>176</v>
      </c>
      <c r="F99" s="2" t="s">
        <v>177</v>
      </c>
      <c r="G99" s="2" t="s">
        <v>178</v>
      </c>
      <c r="H99" s="2" t="s">
        <v>179</v>
      </c>
      <c r="I99" s="2" t="s">
        <v>180</v>
      </c>
      <c r="J99" s="2" t="s">
        <v>363</v>
      </c>
      <c r="K99" s="2">
        <v>1</v>
      </c>
      <c r="L99" s="2">
        <v>179</v>
      </c>
      <c r="M99" s="3">
        <v>306</v>
      </c>
      <c r="Q99" s="11" t="s">
        <v>553</v>
      </c>
      <c r="R99">
        <v>218</v>
      </c>
    </row>
    <row r="100" spans="1:18" x14ac:dyDescent="0.2">
      <c r="A100" s="1" t="s">
        <v>430</v>
      </c>
      <c r="B100" s="1" t="s">
        <v>23</v>
      </c>
      <c r="C100" s="1" t="s">
        <v>15</v>
      </c>
      <c r="D100" s="2" t="s">
        <v>36</v>
      </c>
      <c r="E100" s="2" t="s">
        <v>176</v>
      </c>
      <c r="F100" s="2" t="s">
        <v>431</v>
      </c>
      <c r="G100" s="2" t="s">
        <v>432</v>
      </c>
      <c r="H100" s="2" t="s">
        <v>433</v>
      </c>
      <c r="I100" s="2" t="s">
        <v>434</v>
      </c>
      <c r="J100" s="2" t="s">
        <v>363</v>
      </c>
      <c r="K100" s="2">
        <v>2</v>
      </c>
      <c r="L100" s="2">
        <v>256</v>
      </c>
      <c r="M100" s="3">
        <v>299</v>
      </c>
      <c r="Q100" s="11" t="s">
        <v>660</v>
      </c>
      <c r="R100">
        <v>103</v>
      </c>
    </row>
    <row r="101" spans="1:18" x14ac:dyDescent="0.2">
      <c r="A101" s="1" t="s">
        <v>435</v>
      </c>
      <c r="B101" s="1" t="s">
        <v>23</v>
      </c>
      <c r="C101" s="1" t="s">
        <v>15</v>
      </c>
      <c r="D101" s="2" t="s">
        <v>36</v>
      </c>
      <c r="E101" s="2" t="s">
        <v>207</v>
      </c>
      <c r="F101" s="2" t="s">
        <v>436</v>
      </c>
      <c r="G101" s="2" t="s">
        <v>437</v>
      </c>
      <c r="H101" s="2" t="s">
        <v>438</v>
      </c>
      <c r="I101" s="2" t="s">
        <v>439</v>
      </c>
      <c r="J101" s="2" t="s">
        <v>363</v>
      </c>
      <c r="K101" s="2">
        <v>4</v>
      </c>
      <c r="L101" s="2">
        <v>383</v>
      </c>
      <c r="M101" s="3">
        <v>298</v>
      </c>
      <c r="Q101" s="11" t="s">
        <v>1455</v>
      </c>
      <c r="R101">
        <v>297</v>
      </c>
    </row>
    <row r="102" spans="1:18" x14ac:dyDescent="0.2">
      <c r="A102" s="1" t="s">
        <v>440</v>
      </c>
      <c r="B102" s="1" t="s">
        <v>23</v>
      </c>
      <c r="C102" s="1" t="s">
        <v>15</v>
      </c>
      <c r="D102" s="2" t="s">
        <v>44</v>
      </c>
      <c r="E102" s="2" t="s">
        <v>44</v>
      </c>
      <c r="F102" s="2" t="s">
        <v>441</v>
      </c>
      <c r="G102" s="2" t="s">
        <v>442</v>
      </c>
      <c r="H102" s="2" t="s">
        <v>443</v>
      </c>
      <c r="I102" s="2" t="s">
        <v>444</v>
      </c>
      <c r="J102" s="2" t="s">
        <v>363</v>
      </c>
      <c r="K102" s="2">
        <v>3</v>
      </c>
      <c r="L102" s="2">
        <v>302</v>
      </c>
      <c r="M102" s="3">
        <v>285</v>
      </c>
      <c r="Q102" s="11" t="s">
        <v>1334</v>
      </c>
      <c r="R102">
        <v>210</v>
      </c>
    </row>
    <row r="103" spans="1:18" x14ac:dyDescent="0.2">
      <c r="A103" s="1" t="s">
        <v>445</v>
      </c>
      <c r="B103" s="1" t="s">
        <v>23</v>
      </c>
      <c r="C103" s="1" t="s">
        <v>15</v>
      </c>
      <c r="D103" s="2" t="s">
        <v>16</v>
      </c>
      <c r="E103" s="2" t="s">
        <v>108</v>
      </c>
      <c r="F103" s="2" t="s">
        <v>446</v>
      </c>
      <c r="G103" s="2" t="s">
        <v>447</v>
      </c>
      <c r="H103" s="2" t="s">
        <v>448</v>
      </c>
      <c r="I103" s="2" t="s">
        <v>449</v>
      </c>
      <c r="J103" s="2" t="s">
        <v>363</v>
      </c>
      <c r="K103" s="2">
        <v>2</v>
      </c>
      <c r="L103" s="2">
        <v>89</v>
      </c>
      <c r="M103" s="3">
        <v>259</v>
      </c>
      <c r="Q103" s="11" t="s">
        <v>1682</v>
      </c>
      <c r="R103">
        <v>125</v>
      </c>
    </row>
    <row r="104" spans="1:18" x14ac:dyDescent="0.2">
      <c r="A104" s="1" t="s">
        <v>171</v>
      </c>
      <c r="B104" s="1" t="s">
        <v>23</v>
      </c>
      <c r="C104" s="1" t="s">
        <v>15</v>
      </c>
      <c r="D104" s="2" t="s">
        <v>55</v>
      </c>
      <c r="E104" s="2" t="s">
        <v>56</v>
      </c>
      <c r="F104" s="2" t="s">
        <v>172</v>
      </c>
      <c r="G104" s="2" t="s">
        <v>173</v>
      </c>
      <c r="H104" s="2">
        <v>2474130</v>
      </c>
      <c r="I104" s="2" t="s">
        <v>174</v>
      </c>
      <c r="J104" s="2" t="s">
        <v>363</v>
      </c>
      <c r="K104" s="2">
        <v>4</v>
      </c>
      <c r="L104" s="2">
        <v>208</v>
      </c>
      <c r="M104" s="3">
        <v>259</v>
      </c>
      <c r="Q104" s="11" t="s">
        <v>1243</v>
      </c>
      <c r="R104">
        <v>48</v>
      </c>
    </row>
    <row r="105" spans="1:18" x14ac:dyDescent="0.2">
      <c r="A105" s="1" t="s">
        <v>450</v>
      </c>
      <c r="B105" s="1" t="s">
        <v>23</v>
      </c>
      <c r="C105" s="1" t="s">
        <v>15</v>
      </c>
      <c r="D105" s="2" t="s">
        <v>55</v>
      </c>
      <c r="E105" s="2" t="s">
        <v>56</v>
      </c>
      <c r="F105" s="2" t="s">
        <v>451</v>
      </c>
      <c r="G105" s="2" t="s">
        <v>452</v>
      </c>
      <c r="H105" s="2" t="s">
        <v>453</v>
      </c>
      <c r="I105" s="2" t="s">
        <v>454</v>
      </c>
      <c r="J105" s="2" t="s">
        <v>363</v>
      </c>
      <c r="K105" s="2">
        <v>1</v>
      </c>
      <c r="L105" s="2">
        <v>208</v>
      </c>
      <c r="M105" s="3">
        <v>231</v>
      </c>
      <c r="Q105" s="11" t="s">
        <v>1790</v>
      </c>
      <c r="R105">
        <v>614</v>
      </c>
    </row>
    <row r="106" spans="1:18" x14ac:dyDescent="0.2">
      <c r="A106" s="1" t="s">
        <v>61</v>
      </c>
      <c r="B106" s="1" t="s">
        <v>14</v>
      </c>
      <c r="C106" s="1" t="s">
        <v>15</v>
      </c>
      <c r="D106" s="2" t="s">
        <v>16</v>
      </c>
      <c r="E106" s="2" t="s">
        <v>17</v>
      </c>
      <c r="F106" s="2" t="s">
        <v>62</v>
      </c>
      <c r="G106" s="2" t="s">
        <v>63</v>
      </c>
      <c r="H106" s="2">
        <v>8172650</v>
      </c>
      <c r="I106" s="2" t="s">
        <v>64</v>
      </c>
      <c r="J106" s="2" t="s">
        <v>363</v>
      </c>
      <c r="K106" s="2">
        <v>2</v>
      </c>
      <c r="L106" s="2">
        <v>221</v>
      </c>
      <c r="M106" s="3">
        <v>221</v>
      </c>
      <c r="Q106" s="11" t="s">
        <v>1248</v>
      </c>
      <c r="R106">
        <v>232</v>
      </c>
    </row>
    <row r="107" spans="1:18" x14ac:dyDescent="0.2">
      <c r="A107" s="1" t="s">
        <v>455</v>
      </c>
      <c r="B107" s="1" t="s">
        <v>23</v>
      </c>
      <c r="C107" s="1" t="s">
        <v>15</v>
      </c>
      <c r="D107" s="2" t="s">
        <v>16</v>
      </c>
      <c r="E107" s="2" t="s">
        <v>456</v>
      </c>
      <c r="F107" s="2" t="s">
        <v>457</v>
      </c>
      <c r="G107" s="2" t="s">
        <v>458</v>
      </c>
      <c r="H107" s="2" t="s">
        <v>459</v>
      </c>
      <c r="I107" s="2" t="s">
        <v>460</v>
      </c>
      <c r="J107" s="2" t="s">
        <v>363</v>
      </c>
      <c r="K107" s="2">
        <v>2</v>
      </c>
      <c r="L107" s="2">
        <v>156</v>
      </c>
      <c r="M107" s="3">
        <v>213</v>
      </c>
      <c r="Q107" s="11" t="s">
        <v>261</v>
      </c>
      <c r="R107">
        <v>620</v>
      </c>
    </row>
    <row r="108" spans="1:18" x14ac:dyDescent="0.2">
      <c r="A108" s="1" t="s">
        <v>196</v>
      </c>
      <c r="B108" s="1" t="s">
        <v>23</v>
      </c>
      <c r="C108" s="1" t="s">
        <v>15</v>
      </c>
      <c r="D108" s="2" t="s">
        <v>72</v>
      </c>
      <c r="E108" s="2" t="s">
        <v>73</v>
      </c>
      <c r="F108" s="2" t="s">
        <v>197</v>
      </c>
      <c r="G108" s="2" t="s">
        <v>198</v>
      </c>
      <c r="H108" s="2" t="s">
        <v>199</v>
      </c>
      <c r="I108" s="2" t="s">
        <v>200</v>
      </c>
      <c r="J108" s="2" t="s">
        <v>363</v>
      </c>
      <c r="K108" s="2">
        <v>2</v>
      </c>
      <c r="L108" s="2">
        <v>258</v>
      </c>
      <c r="M108" s="3">
        <v>208</v>
      </c>
      <c r="Q108" s="11" t="s">
        <v>1341</v>
      </c>
      <c r="R108">
        <v>247</v>
      </c>
    </row>
    <row r="109" spans="1:18" x14ac:dyDescent="0.2">
      <c r="A109" s="1" t="s">
        <v>461</v>
      </c>
      <c r="B109" s="1" t="s">
        <v>23</v>
      </c>
      <c r="C109" s="1" t="s">
        <v>15</v>
      </c>
      <c r="D109" s="2" t="s">
        <v>36</v>
      </c>
      <c r="E109" s="2" t="s">
        <v>37</v>
      </c>
      <c r="F109" s="2" t="s">
        <v>462</v>
      </c>
      <c r="G109" s="2" t="s">
        <v>463</v>
      </c>
      <c r="H109" s="2" t="s">
        <v>464</v>
      </c>
      <c r="I109" s="2" t="s">
        <v>465</v>
      </c>
      <c r="J109" s="2" t="s">
        <v>363</v>
      </c>
      <c r="K109" s="2">
        <v>6</v>
      </c>
      <c r="L109" s="2">
        <v>225</v>
      </c>
      <c r="M109" s="3">
        <v>200</v>
      </c>
      <c r="Q109" s="11" t="s">
        <v>1709</v>
      </c>
      <c r="R109">
        <v>34</v>
      </c>
    </row>
    <row r="110" spans="1:18" x14ac:dyDescent="0.2">
      <c r="A110" s="1" t="s">
        <v>466</v>
      </c>
      <c r="B110" s="1" t="s">
        <v>23</v>
      </c>
      <c r="C110" s="1" t="s">
        <v>15</v>
      </c>
      <c r="D110" s="2" t="s">
        <v>16</v>
      </c>
      <c r="E110" s="2" t="s">
        <v>224</v>
      </c>
      <c r="F110" s="2" t="s">
        <v>467</v>
      </c>
      <c r="G110" s="2" t="s">
        <v>468</v>
      </c>
      <c r="H110" s="2">
        <v>9153152821</v>
      </c>
      <c r="I110" s="2" t="s">
        <v>469</v>
      </c>
      <c r="J110" s="2" t="s">
        <v>363</v>
      </c>
      <c r="K110" s="2">
        <v>2</v>
      </c>
      <c r="L110" s="2">
        <v>193</v>
      </c>
      <c r="M110" s="3">
        <v>197</v>
      </c>
      <c r="Q110" s="11" t="s">
        <v>500</v>
      </c>
      <c r="R110">
        <v>571</v>
      </c>
    </row>
    <row r="111" spans="1:18" x14ac:dyDescent="0.2">
      <c r="A111" s="1" t="s">
        <v>470</v>
      </c>
      <c r="B111" s="1" t="s">
        <v>23</v>
      </c>
      <c r="C111" s="1" t="s">
        <v>15</v>
      </c>
      <c r="D111" s="2" t="s">
        <v>36</v>
      </c>
      <c r="E111" s="2" t="s">
        <v>207</v>
      </c>
      <c r="F111" s="2" t="s">
        <v>471</v>
      </c>
      <c r="G111" s="2" t="s">
        <v>472</v>
      </c>
      <c r="H111" s="2" t="s">
        <v>473</v>
      </c>
      <c r="I111" s="2" t="s">
        <v>474</v>
      </c>
      <c r="J111" s="2" t="s">
        <v>363</v>
      </c>
      <c r="K111" s="2">
        <v>2</v>
      </c>
      <c r="L111" s="2">
        <v>159</v>
      </c>
      <c r="M111" s="3">
        <v>197</v>
      </c>
      <c r="Q111" s="11" t="s">
        <v>878</v>
      </c>
      <c r="R111">
        <v>0</v>
      </c>
    </row>
    <row r="112" spans="1:18" x14ac:dyDescent="0.2">
      <c r="A112" s="1" t="s">
        <v>475</v>
      </c>
      <c r="B112" s="1" t="s">
        <v>23</v>
      </c>
      <c r="C112" s="1" t="s">
        <v>15</v>
      </c>
      <c r="D112" s="2" t="s">
        <v>72</v>
      </c>
      <c r="E112" s="2" t="s">
        <v>73</v>
      </c>
      <c r="F112" s="2" t="s">
        <v>476</v>
      </c>
      <c r="G112" s="2" t="s">
        <v>477</v>
      </c>
      <c r="H112" s="2" t="s">
        <v>478</v>
      </c>
      <c r="I112" s="2" t="s">
        <v>479</v>
      </c>
      <c r="J112" s="2" t="s">
        <v>363</v>
      </c>
      <c r="K112" s="2">
        <v>7</v>
      </c>
      <c r="L112" s="2">
        <v>392</v>
      </c>
      <c r="M112" s="3">
        <v>194</v>
      </c>
      <c r="Q112" s="11" t="s">
        <v>1127</v>
      </c>
      <c r="R112">
        <v>163</v>
      </c>
    </row>
    <row r="113" spans="1:18" x14ac:dyDescent="0.2">
      <c r="A113" s="1" t="s">
        <v>480</v>
      </c>
      <c r="B113" s="1" t="s">
        <v>23</v>
      </c>
      <c r="C113" s="1" t="s">
        <v>15</v>
      </c>
      <c r="D113" s="2" t="s">
        <v>72</v>
      </c>
      <c r="E113" s="2" t="s">
        <v>119</v>
      </c>
      <c r="F113" s="2" t="s">
        <v>481</v>
      </c>
      <c r="G113" s="2" t="s">
        <v>482</v>
      </c>
      <c r="H113" s="2" t="s">
        <v>483</v>
      </c>
      <c r="I113" s="2" t="s">
        <v>484</v>
      </c>
      <c r="J113" s="2" t="s">
        <v>363</v>
      </c>
      <c r="K113" s="2">
        <v>4</v>
      </c>
      <c r="L113" s="2">
        <v>234</v>
      </c>
      <c r="M113" s="3">
        <v>180</v>
      </c>
      <c r="Q113" s="11" t="s">
        <v>212</v>
      </c>
      <c r="R113">
        <v>719</v>
      </c>
    </row>
    <row r="114" spans="1:18" x14ac:dyDescent="0.2">
      <c r="A114" s="1" t="s">
        <v>485</v>
      </c>
      <c r="B114" s="1" t="s">
        <v>23</v>
      </c>
      <c r="C114" s="1" t="s">
        <v>15</v>
      </c>
      <c r="D114" s="2" t="s">
        <v>44</v>
      </c>
      <c r="E114" s="2" t="s">
        <v>44</v>
      </c>
      <c r="F114" s="2" t="s">
        <v>486</v>
      </c>
      <c r="G114" s="2" t="s">
        <v>487</v>
      </c>
      <c r="H114" s="2" t="s">
        <v>488</v>
      </c>
      <c r="I114" s="2" t="s">
        <v>489</v>
      </c>
      <c r="J114" s="2" t="s">
        <v>363</v>
      </c>
      <c r="K114" s="2">
        <v>1</v>
      </c>
      <c r="L114" s="2">
        <v>188</v>
      </c>
      <c r="M114" s="3">
        <v>173</v>
      </c>
      <c r="Q114" s="11" t="s">
        <v>485</v>
      </c>
      <c r="R114">
        <v>173</v>
      </c>
    </row>
    <row r="115" spans="1:18" x14ac:dyDescent="0.2">
      <c r="A115" s="1" t="s">
        <v>233</v>
      </c>
      <c r="B115" s="1" t="s">
        <v>66</v>
      </c>
      <c r="C115" s="1" t="s">
        <v>15</v>
      </c>
      <c r="D115" s="2" t="s">
        <v>72</v>
      </c>
      <c r="E115" s="2" t="s">
        <v>119</v>
      </c>
      <c r="F115" s="2" t="s">
        <v>234</v>
      </c>
      <c r="G115" s="2" t="s">
        <v>235</v>
      </c>
      <c r="H115" s="2" t="s">
        <v>236</v>
      </c>
      <c r="I115" s="2" t="s">
        <v>237</v>
      </c>
      <c r="J115" s="2" t="s">
        <v>363</v>
      </c>
      <c r="K115" s="2">
        <v>2</v>
      </c>
      <c r="L115" s="2">
        <v>177</v>
      </c>
      <c r="M115" s="3">
        <v>170</v>
      </c>
      <c r="Q115" s="11" t="s">
        <v>608</v>
      </c>
      <c r="R115">
        <v>180</v>
      </c>
    </row>
    <row r="116" spans="1:18" x14ac:dyDescent="0.2">
      <c r="A116" s="1" t="s">
        <v>490</v>
      </c>
      <c r="B116" s="1" t="s">
        <v>23</v>
      </c>
      <c r="C116" s="1" t="s">
        <v>15</v>
      </c>
      <c r="D116" s="2" t="s">
        <v>72</v>
      </c>
      <c r="E116" s="2" t="s">
        <v>491</v>
      </c>
      <c r="F116" s="2" t="s">
        <v>492</v>
      </c>
      <c r="G116" s="2" t="s">
        <v>493</v>
      </c>
      <c r="H116" s="2" t="s">
        <v>494</v>
      </c>
      <c r="I116" s="2" t="s">
        <v>495</v>
      </c>
      <c r="J116" s="2" t="s">
        <v>363</v>
      </c>
      <c r="K116" s="2">
        <v>5</v>
      </c>
      <c r="L116" s="2">
        <v>148</v>
      </c>
      <c r="M116" s="3">
        <v>165</v>
      </c>
      <c r="Q116" s="11" t="s">
        <v>632</v>
      </c>
      <c r="R116">
        <v>215</v>
      </c>
    </row>
    <row r="117" spans="1:18" x14ac:dyDescent="0.2">
      <c r="A117" s="1" t="s">
        <v>144</v>
      </c>
      <c r="B117" s="1" t="s">
        <v>66</v>
      </c>
      <c r="C117" s="1" t="s">
        <v>15</v>
      </c>
      <c r="D117" s="2" t="s">
        <v>36</v>
      </c>
      <c r="E117" s="2" t="s">
        <v>145</v>
      </c>
      <c r="F117" s="2" t="s">
        <v>146</v>
      </c>
      <c r="G117" s="2" t="s">
        <v>147</v>
      </c>
      <c r="H117" s="2" t="s">
        <v>148</v>
      </c>
      <c r="I117" s="2" t="s">
        <v>149</v>
      </c>
      <c r="J117" s="2" t="s">
        <v>363</v>
      </c>
      <c r="K117" s="2">
        <v>1</v>
      </c>
      <c r="L117" s="2">
        <v>209</v>
      </c>
      <c r="M117" s="3">
        <v>165</v>
      </c>
      <c r="Q117" s="11" t="s">
        <v>1132</v>
      </c>
      <c r="R117">
        <v>127</v>
      </c>
    </row>
    <row r="118" spans="1:18" x14ac:dyDescent="0.2">
      <c r="A118" s="1" t="s">
        <v>71</v>
      </c>
      <c r="B118" s="1" t="s">
        <v>496</v>
      </c>
      <c r="C118" s="1" t="s">
        <v>15</v>
      </c>
      <c r="D118" s="2" t="s">
        <v>72</v>
      </c>
      <c r="E118" s="2" t="s">
        <v>73</v>
      </c>
      <c r="F118" s="2" t="s">
        <v>497</v>
      </c>
      <c r="G118" s="2" t="s">
        <v>498</v>
      </c>
      <c r="H118" s="2" t="s">
        <v>499</v>
      </c>
      <c r="I118" s="2" t="s">
        <v>77</v>
      </c>
      <c r="J118" s="2" t="s">
        <v>363</v>
      </c>
      <c r="K118" s="2">
        <v>3</v>
      </c>
      <c r="L118" s="2">
        <v>124</v>
      </c>
      <c r="M118" s="3">
        <v>165</v>
      </c>
      <c r="Q118" s="11" t="s">
        <v>1581</v>
      </c>
      <c r="R118">
        <v>271</v>
      </c>
    </row>
    <row r="119" spans="1:18" x14ac:dyDescent="0.2">
      <c r="A119" s="1" t="s">
        <v>500</v>
      </c>
      <c r="B119" s="1" t="s">
        <v>23</v>
      </c>
      <c r="C119" s="1" t="s">
        <v>15</v>
      </c>
      <c r="D119" s="2" t="s">
        <v>72</v>
      </c>
      <c r="E119" s="2" t="s">
        <v>491</v>
      </c>
      <c r="F119" s="2" t="s">
        <v>501</v>
      </c>
      <c r="G119" s="2" t="s">
        <v>502</v>
      </c>
      <c r="H119" s="2" t="s">
        <v>503</v>
      </c>
      <c r="I119" s="2" t="s">
        <v>504</v>
      </c>
      <c r="J119" s="2" t="s">
        <v>363</v>
      </c>
      <c r="K119" s="2">
        <v>1</v>
      </c>
      <c r="L119" s="2">
        <v>199</v>
      </c>
      <c r="M119" s="3">
        <v>160</v>
      </c>
      <c r="Q119" s="11" t="s">
        <v>35</v>
      </c>
      <c r="R119">
        <v>130</v>
      </c>
    </row>
    <row r="120" spans="1:18" x14ac:dyDescent="0.2">
      <c r="A120" s="1" t="s">
        <v>505</v>
      </c>
      <c r="B120" s="1" t="s">
        <v>43</v>
      </c>
      <c r="C120" s="1" t="s">
        <v>15</v>
      </c>
      <c r="D120" s="2" t="s">
        <v>44</v>
      </c>
      <c r="E120" s="2" t="s">
        <v>44</v>
      </c>
      <c r="F120" s="2" t="s">
        <v>506</v>
      </c>
      <c r="G120" s="2" t="s">
        <v>507</v>
      </c>
      <c r="H120" s="2" t="s">
        <v>508</v>
      </c>
      <c r="I120" s="2" t="s">
        <v>509</v>
      </c>
      <c r="J120" s="2" t="s">
        <v>363</v>
      </c>
      <c r="K120" s="2">
        <v>1</v>
      </c>
      <c r="L120" s="2">
        <v>139</v>
      </c>
      <c r="M120" s="3">
        <v>155</v>
      </c>
      <c r="Q120" s="11" t="s">
        <v>420</v>
      </c>
      <c r="R120">
        <v>474</v>
      </c>
    </row>
    <row r="121" spans="1:18" x14ac:dyDescent="0.2">
      <c r="A121" s="1" t="s">
        <v>510</v>
      </c>
      <c r="B121" s="1" t="s">
        <v>23</v>
      </c>
      <c r="C121" s="1" t="s">
        <v>15</v>
      </c>
      <c r="D121" s="2" t="s">
        <v>72</v>
      </c>
      <c r="E121" s="2" t="s">
        <v>213</v>
      </c>
      <c r="F121" s="2" t="s">
        <v>511</v>
      </c>
      <c r="G121" s="2" t="s">
        <v>512</v>
      </c>
      <c r="H121" s="2" t="s">
        <v>513</v>
      </c>
      <c r="I121" s="2" t="s">
        <v>514</v>
      </c>
      <c r="J121" s="2" t="s">
        <v>363</v>
      </c>
      <c r="K121" s="2">
        <v>1</v>
      </c>
      <c r="L121" s="2">
        <v>172</v>
      </c>
      <c r="M121" s="3">
        <v>152</v>
      </c>
      <c r="Q121" s="11" t="s">
        <v>266</v>
      </c>
      <c r="R121">
        <v>78</v>
      </c>
    </row>
    <row r="122" spans="1:18" x14ac:dyDescent="0.2">
      <c r="A122" s="1" t="s">
        <v>515</v>
      </c>
      <c r="B122" s="1" t="s">
        <v>23</v>
      </c>
      <c r="C122" s="1" t="s">
        <v>15</v>
      </c>
      <c r="D122" s="2" t="s">
        <v>16</v>
      </c>
      <c r="E122" s="2" t="s">
        <v>17</v>
      </c>
      <c r="F122" s="2" t="s">
        <v>516</v>
      </c>
      <c r="G122" s="2" t="s">
        <v>517</v>
      </c>
      <c r="H122" s="2" t="s">
        <v>518</v>
      </c>
      <c r="I122" s="2" t="s">
        <v>519</v>
      </c>
      <c r="J122" s="2" t="s">
        <v>363</v>
      </c>
      <c r="K122" s="2">
        <v>2</v>
      </c>
      <c r="L122" s="2">
        <v>51</v>
      </c>
      <c r="M122" s="3">
        <v>152</v>
      </c>
      <c r="Q122" s="11" t="s">
        <v>124</v>
      </c>
      <c r="R122">
        <v>153</v>
      </c>
    </row>
    <row r="123" spans="1:18" x14ac:dyDescent="0.2">
      <c r="A123" s="1" t="s">
        <v>520</v>
      </c>
      <c r="B123" s="1" t="s">
        <v>23</v>
      </c>
      <c r="C123" s="1" t="s">
        <v>15</v>
      </c>
      <c r="D123" s="2" t="s">
        <v>55</v>
      </c>
      <c r="E123" s="2" t="s">
        <v>56</v>
      </c>
      <c r="F123" s="2" t="s">
        <v>521</v>
      </c>
      <c r="G123" s="2" t="s">
        <v>522</v>
      </c>
      <c r="H123" s="2" t="s">
        <v>523</v>
      </c>
      <c r="I123" s="2" t="s">
        <v>524</v>
      </c>
      <c r="J123" s="2" t="s">
        <v>363</v>
      </c>
      <c r="K123" s="2">
        <v>1</v>
      </c>
      <c r="L123" s="2">
        <v>147</v>
      </c>
      <c r="M123" s="3">
        <v>147</v>
      </c>
      <c r="Q123" s="11" t="s">
        <v>778</v>
      </c>
      <c r="R123">
        <v>177</v>
      </c>
    </row>
    <row r="124" spans="1:18" x14ac:dyDescent="0.2">
      <c r="A124" s="1" t="s">
        <v>525</v>
      </c>
      <c r="B124" s="1" t="s">
        <v>23</v>
      </c>
      <c r="C124" s="1" t="s">
        <v>15</v>
      </c>
      <c r="D124" s="2" t="s">
        <v>44</v>
      </c>
      <c r="E124" s="2" t="s">
        <v>44</v>
      </c>
      <c r="F124" s="2" t="s">
        <v>526</v>
      </c>
      <c r="G124" s="2" t="s">
        <v>527</v>
      </c>
      <c r="H124" s="2" t="s">
        <v>528</v>
      </c>
      <c r="I124" s="2" t="s">
        <v>529</v>
      </c>
      <c r="J124" s="2" t="s">
        <v>363</v>
      </c>
      <c r="K124" s="2">
        <v>2</v>
      </c>
      <c r="L124" s="2">
        <v>136</v>
      </c>
      <c r="M124" s="3">
        <v>134</v>
      </c>
      <c r="Q124" s="11" t="s">
        <v>1252</v>
      </c>
      <c r="R124">
        <v>1</v>
      </c>
    </row>
    <row r="125" spans="1:18" x14ac:dyDescent="0.2">
      <c r="A125" s="1" t="s">
        <v>530</v>
      </c>
      <c r="B125" s="1" t="s">
        <v>66</v>
      </c>
      <c r="C125" s="1" t="s">
        <v>15</v>
      </c>
      <c r="D125" s="2" t="s">
        <v>36</v>
      </c>
      <c r="E125" s="2" t="s">
        <v>145</v>
      </c>
      <c r="F125" s="2" t="s">
        <v>531</v>
      </c>
      <c r="G125" s="2" t="s">
        <v>147</v>
      </c>
      <c r="H125" s="2" t="s">
        <v>532</v>
      </c>
      <c r="I125" s="2" t="s">
        <v>533</v>
      </c>
      <c r="J125" s="2" t="s">
        <v>363</v>
      </c>
      <c r="K125" s="2">
        <v>1</v>
      </c>
      <c r="L125" s="2">
        <v>148</v>
      </c>
      <c r="M125" s="3">
        <v>134</v>
      </c>
      <c r="Q125" s="11" t="s">
        <v>959</v>
      </c>
      <c r="R125">
        <v>95</v>
      </c>
    </row>
    <row r="126" spans="1:18" x14ac:dyDescent="0.2">
      <c r="A126" s="1" t="s">
        <v>534</v>
      </c>
      <c r="B126" s="1" t="s">
        <v>23</v>
      </c>
      <c r="C126" s="1" t="s">
        <v>15</v>
      </c>
      <c r="D126" s="2" t="s">
        <v>24</v>
      </c>
      <c r="E126" s="2" t="s">
        <v>80</v>
      </c>
      <c r="F126" s="2" t="s">
        <v>535</v>
      </c>
      <c r="G126" s="2" t="s">
        <v>536</v>
      </c>
      <c r="H126" s="2" t="s">
        <v>537</v>
      </c>
      <c r="I126" s="2" t="s">
        <v>538</v>
      </c>
      <c r="J126" s="2" t="s">
        <v>363</v>
      </c>
      <c r="K126" s="2">
        <v>1</v>
      </c>
      <c r="L126" s="2">
        <v>181</v>
      </c>
      <c r="M126" s="3">
        <v>131</v>
      </c>
      <c r="Q126" s="11" t="s">
        <v>1718</v>
      </c>
      <c r="R126">
        <v>162</v>
      </c>
    </row>
    <row r="127" spans="1:18" x14ac:dyDescent="0.2">
      <c r="A127" s="1" t="s">
        <v>539</v>
      </c>
      <c r="B127" s="1" t="s">
        <v>23</v>
      </c>
      <c r="C127" s="1" t="s">
        <v>15</v>
      </c>
      <c r="D127" s="2" t="s">
        <v>36</v>
      </c>
      <c r="E127" s="2" t="s">
        <v>176</v>
      </c>
      <c r="F127" s="2" t="s">
        <v>540</v>
      </c>
      <c r="G127" s="2" t="s">
        <v>541</v>
      </c>
      <c r="H127" s="2" t="s">
        <v>542</v>
      </c>
      <c r="I127" s="2" t="s">
        <v>543</v>
      </c>
      <c r="J127" s="2" t="s">
        <v>363</v>
      </c>
      <c r="K127" s="2">
        <v>1</v>
      </c>
      <c r="L127" s="2">
        <v>133</v>
      </c>
      <c r="M127" s="3">
        <v>129</v>
      </c>
      <c r="Q127" s="11" t="s">
        <v>964</v>
      </c>
      <c r="R127">
        <v>251</v>
      </c>
    </row>
    <row r="128" spans="1:18" x14ac:dyDescent="0.2">
      <c r="A128" s="1" t="s">
        <v>544</v>
      </c>
      <c r="B128" s="1" t="s">
        <v>23</v>
      </c>
      <c r="C128" s="1" t="s">
        <v>15</v>
      </c>
      <c r="D128" s="2" t="s">
        <v>72</v>
      </c>
      <c r="E128" s="2" t="s">
        <v>491</v>
      </c>
      <c r="F128" s="2" t="s">
        <v>545</v>
      </c>
      <c r="G128" s="2" t="s">
        <v>546</v>
      </c>
      <c r="H128" s="2" t="s">
        <v>547</v>
      </c>
      <c r="I128" s="2" t="s">
        <v>548</v>
      </c>
      <c r="J128" s="2" t="s">
        <v>363</v>
      </c>
      <c r="K128" s="2">
        <v>3</v>
      </c>
      <c r="L128" s="2">
        <v>158</v>
      </c>
      <c r="M128" s="3">
        <v>127</v>
      </c>
      <c r="Q128" s="11" t="s">
        <v>405</v>
      </c>
      <c r="R128">
        <v>705</v>
      </c>
    </row>
    <row r="129" spans="1:18" x14ac:dyDescent="0.2">
      <c r="A129" s="1" t="s">
        <v>510</v>
      </c>
      <c r="B129" s="1" t="s">
        <v>23</v>
      </c>
      <c r="C129" s="1" t="s">
        <v>15</v>
      </c>
      <c r="D129" s="2" t="s">
        <v>24</v>
      </c>
      <c r="E129" s="2" t="s">
        <v>166</v>
      </c>
      <c r="F129" s="2" t="s">
        <v>549</v>
      </c>
      <c r="G129" s="2" t="s">
        <v>550</v>
      </c>
      <c r="H129" s="2" t="s">
        <v>551</v>
      </c>
      <c r="I129" s="2" t="s">
        <v>552</v>
      </c>
      <c r="J129" s="2" t="s">
        <v>363</v>
      </c>
      <c r="K129" s="2">
        <v>2</v>
      </c>
      <c r="L129" s="2">
        <v>153</v>
      </c>
      <c r="M129" s="3">
        <v>125</v>
      </c>
      <c r="Q129" s="11" t="s">
        <v>1257</v>
      </c>
      <c r="R129">
        <v>480</v>
      </c>
    </row>
    <row r="130" spans="1:18" x14ac:dyDescent="0.2">
      <c r="A130" s="1" t="s">
        <v>553</v>
      </c>
      <c r="B130" s="1" t="s">
        <v>23</v>
      </c>
      <c r="C130" s="1" t="s">
        <v>15</v>
      </c>
      <c r="D130" s="2" t="s">
        <v>36</v>
      </c>
      <c r="E130" s="2" t="s">
        <v>207</v>
      </c>
      <c r="F130" s="2" t="s">
        <v>554</v>
      </c>
      <c r="G130" s="2" t="s">
        <v>555</v>
      </c>
      <c r="H130" s="2" t="s">
        <v>556</v>
      </c>
      <c r="I130" s="2" t="s">
        <v>557</v>
      </c>
      <c r="J130" s="2" t="s">
        <v>363</v>
      </c>
      <c r="K130" s="2">
        <v>1</v>
      </c>
      <c r="L130" s="2">
        <v>36</v>
      </c>
      <c r="M130" s="3">
        <v>124</v>
      </c>
      <c r="Q130" s="11" t="s">
        <v>129</v>
      </c>
      <c r="R130">
        <v>186</v>
      </c>
    </row>
    <row r="131" spans="1:18" x14ac:dyDescent="0.2">
      <c r="A131" s="1" t="s">
        <v>558</v>
      </c>
      <c r="B131" s="1" t="s">
        <v>23</v>
      </c>
      <c r="C131" s="1" t="s">
        <v>15</v>
      </c>
      <c r="D131" s="2" t="s">
        <v>16</v>
      </c>
      <c r="E131" s="2" t="s">
        <v>17</v>
      </c>
      <c r="F131" s="2" t="s">
        <v>559</v>
      </c>
      <c r="G131" s="2" t="s">
        <v>560</v>
      </c>
      <c r="H131" s="2" t="s">
        <v>561</v>
      </c>
      <c r="I131" s="2" t="s">
        <v>562</v>
      </c>
      <c r="J131" s="2" t="s">
        <v>363</v>
      </c>
      <c r="K131" s="2">
        <v>2</v>
      </c>
      <c r="L131" s="2">
        <v>123</v>
      </c>
      <c r="M131" s="3">
        <v>123</v>
      </c>
      <c r="Q131" s="11" t="s">
        <v>968</v>
      </c>
      <c r="R131">
        <v>235</v>
      </c>
    </row>
    <row r="132" spans="1:18" x14ac:dyDescent="0.2">
      <c r="A132" s="1" t="s">
        <v>343</v>
      </c>
      <c r="B132" s="1" t="s">
        <v>23</v>
      </c>
      <c r="C132" s="1" t="s">
        <v>15</v>
      </c>
      <c r="D132" s="2" t="s">
        <v>16</v>
      </c>
      <c r="E132" s="2" t="s">
        <v>224</v>
      </c>
      <c r="F132" s="2" t="s">
        <v>344</v>
      </c>
      <c r="G132" s="2" t="s">
        <v>345</v>
      </c>
      <c r="H132" s="2" t="s">
        <v>346</v>
      </c>
      <c r="I132" s="2" t="s">
        <v>347</v>
      </c>
      <c r="J132" s="2" t="s">
        <v>363</v>
      </c>
      <c r="K132" s="2">
        <v>1</v>
      </c>
      <c r="L132" s="2">
        <v>172</v>
      </c>
      <c r="M132" s="3">
        <v>122</v>
      </c>
      <c r="Q132" s="11" t="s">
        <v>374</v>
      </c>
      <c r="R132">
        <v>895</v>
      </c>
    </row>
    <row r="133" spans="1:18" x14ac:dyDescent="0.2">
      <c r="A133" s="1" t="s">
        <v>563</v>
      </c>
      <c r="B133" s="1" t="s">
        <v>23</v>
      </c>
      <c r="C133" s="1" t="s">
        <v>15</v>
      </c>
      <c r="D133" s="2" t="s">
        <v>44</v>
      </c>
      <c r="E133" s="2" t="s">
        <v>44</v>
      </c>
      <c r="F133" s="2" t="s">
        <v>564</v>
      </c>
      <c r="G133" s="2" t="s">
        <v>565</v>
      </c>
      <c r="H133" s="2" t="s">
        <v>566</v>
      </c>
      <c r="I133" s="2" t="s">
        <v>567</v>
      </c>
      <c r="J133" s="2" t="s">
        <v>363</v>
      </c>
      <c r="K133" s="2">
        <v>2</v>
      </c>
      <c r="L133" s="2">
        <v>89</v>
      </c>
      <c r="M133" s="3">
        <v>119</v>
      </c>
      <c r="Q133" s="11" t="s">
        <v>534</v>
      </c>
      <c r="R133">
        <v>131</v>
      </c>
    </row>
    <row r="134" spans="1:18" x14ac:dyDescent="0.2">
      <c r="A134" s="1" t="s">
        <v>206</v>
      </c>
      <c r="B134" s="1" t="s">
        <v>23</v>
      </c>
      <c r="C134" s="1" t="s">
        <v>15</v>
      </c>
      <c r="D134" s="2" t="s">
        <v>36</v>
      </c>
      <c r="E134" s="2" t="s">
        <v>207</v>
      </c>
      <c r="F134" s="2" t="s">
        <v>208</v>
      </c>
      <c r="G134" s="2" t="s">
        <v>209</v>
      </c>
      <c r="H134" s="2" t="s">
        <v>210</v>
      </c>
      <c r="I134" s="2" t="s">
        <v>211</v>
      </c>
      <c r="J134" s="2" t="s">
        <v>363</v>
      </c>
      <c r="K134" s="2">
        <v>2</v>
      </c>
      <c r="L134" s="2">
        <v>140</v>
      </c>
      <c r="M134" s="3">
        <v>118</v>
      </c>
      <c r="Q134" s="11" t="s">
        <v>271</v>
      </c>
      <c r="R134">
        <v>37</v>
      </c>
    </row>
    <row r="135" spans="1:18" x14ac:dyDescent="0.2">
      <c r="A135" s="1" t="s">
        <v>568</v>
      </c>
      <c r="B135" s="1" t="s">
        <v>23</v>
      </c>
      <c r="C135" s="1" t="s">
        <v>15</v>
      </c>
      <c r="D135" s="2" t="s">
        <v>36</v>
      </c>
      <c r="E135" s="2" t="s">
        <v>176</v>
      </c>
      <c r="F135" s="2" t="s">
        <v>569</v>
      </c>
      <c r="G135" s="2" t="s">
        <v>570</v>
      </c>
      <c r="H135" s="2" t="s">
        <v>571</v>
      </c>
      <c r="I135" s="2" t="s">
        <v>572</v>
      </c>
      <c r="J135" s="2" t="s">
        <v>363</v>
      </c>
      <c r="K135" s="2">
        <v>2</v>
      </c>
      <c r="L135" s="2">
        <v>165</v>
      </c>
      <c r="M135" s="3">
        <v>115</v>
      </c>
      <c r="Q135" s="11" t="s">
        <v>13</v>
      </c>
      <c r="R135">
        <v>588</v>
      </c>
    </row>
    <row r="136" spans="1:18" x14ac:dyDescent="0.2">
      <c r="A136" s="1" t="s">
        <v>573</v>
      </c>
      <c r="B136" s="1" t="s">
        <v>23</v>
      </c>
      <c r="C136" s="1" t="s">
        <v>15</v>
      </c>
      <c r="D136" s="2" t="s">
        <v>44</v>
      </c>
      <c r="E136" s="2" t="s">
        <v>44</v>
      </c>
      <c r="F136" s="2" t="s">
        <v>574</v>
      </c>
      <c r="G136" s="2" t="s">
        <v>575</v>
      </c>
      <c r="H136" s="2" t="s">
        <v>576</v>
      </c>
      <c r="I136" s="2" t="s">
        <v>577</v>
      </c>
      <c r="J136" s="2" t="s">
        <v>363</v>
      </c>
      <c r="K136" s="2">
        <v>1</v>
      </c>
      <c r="L136" s="2">
        <v>116</v>
      </c>
      <c r="M136" s="3">
        <v>111</v>
      </c>
      <c r="Q136" s="11" t="s">
        <v>973</v>
      </c>
      <c r="R136">
        <v>1238</v>
      </c>
    </row>
    <row r="137" spans="1:18" x14ac:dyDescent="0.2">
      <c r="A137" s="1" t="s">
        <v>578</v>
      </c>
      <c r="B137" s="1" t="s">
        <v>23</v>
      </c>
      <c r="C137" s="1" t="s">
        <v>15</v>
      </c>
      <c r="D137" s="2" t="s">
        <v>24</v>
      </c>
      <c r="E137" s="2" t="s">
        <v>182</v>
      </c>
      <c r="F137" s="2" t="s">
        <v>579</v>
      </c>
      <c r="G137" s="2" t="s">
        <v>580</v>
      </c>
      <c r="H137" s="2" t="s">
        <v>581</v>
      </c>
      <c r="I137" s="2" t="s">
        <v>582</v>
      </c>
      <c r="J137" s="2" t="s">
        <v>363</v>
      </c>
      <c r="K137" s="2">
        <v>2</v>
      </c>
      <c r="L137" s="2">
        <v>112</v>
      </c>
      <c r="M137" s="3">
        <v>107</v>
      </c>
      <c r="Q137" s="11" t="s">
        <v>573</v>
      </c>
      <c r="R137">
        <v>111</v>
      </c>
    </row>
    <row r="138" spans="1:18" x14ac:dyDescent="0.2">
      <c r="A138" s="1" t="s">
        <v>583</v>
      </c>
      <c r="B138" s="1" t="s">
        <v>23</v>
      </c>
      <c r="C138" s="1" t="s">
        <v>15</v>
      </c>
      <c r="D138" s="2" t="s">
        <v>16</v>
      </c>
      <c r="E138" s="2" t="s">
        <v>456</v>
      </c>
      <c r="F138" s="2" t="s">
        <v>584</v>
      </c>
      <c r="G138" s="2" t="s">
        <v>585</v>
      </c>
      <c r="H138" s="2" t="s">
        <v>586</v>
      </c>
      <c r="I138" s="2" t="s">
        <v>587</v>
      </c>
      <c r="J138" s="2" t="s">
        <v>363</v>
      </c>
      <c r="K138" s="2">
        <v>1</v>
      </c>
      <c r="L138" s="2">
        <v>101</v>
      </c>
      <c r="M138" s="3">
        <v>101</v>
      </c>
      <c r="Q138" s="11" t="s">
        <v>379</v>
      </c>
      <c r="R138">
        <v>442</v>
      </c>
    </row>
    <row r="139" spans="1:18" x14ac:dyDescent="0.2">
      <c r="A139" s="1" t="s">
        <v>588</v>
      </c>
      <c r="B139" s="1" t="s">
        <v>23</v>
      </c>
      <c r="C139" s="1" t="s">
        <v>15</v>
      </c>
      <c r="D139" s="2" t="s">
        <v>72</v>
      </c>
      <c r="E139" s="2" t="s">
        <v>119</v>
      </c>
      <c r="F139" s="2" t="s">
        <v>589</v>
      </c>
      <c r="G139" s="2" t="s">
        <v>590</v>
      </c>
      <c r="H139" s="2" t="s">
        <v>591</v>
      </c>
      <c r="I139" s="2" t="s">
        <v>592</v>
      </c>
      <c r="J139" s="2" t="s">
        <v>363</v>
      </c>
      <c r="K139" s="2">
        <v>2</v>
      </c>
      <c r="L139" s="2">
        <v>102</v>
      </c>
      <c r="M139" s="3">
        <v>101</v>
      </c>
      <c r="Q139" s="11" t="s">
        <v>1188</v>
      </c>
      <c r="R139">
        <v>99</v>
      </c>
    </row>
    <row r="140" spans="1:18" x14ac:dyDescent="0.2">
      <c r="A140" s="1" t="s">
        <v>191</v>
      </c>
      <c r="B140" s="1" t="s">
        <v>23</v>
      </c>
      <c r="C140" s="1" t="s">
        <v>15</v>
      </c>
      <c r="D140" s="2" t="s">
        <v>55</v>
      </c>
      <c r="E140" s="2" t="s">
        <v>92</v>
      </c>
      <c r="F140" s="2" t="s">
        <v>192</v>
      </c>
      <c r="G140" s="2" t="s">
        <v>193</v>
      </c>
      <c r="H140" s="2" t="s">
        <v>194</v>
      </c>
      <c r="I140" s="2" t="s">
        <v>195</v>
      </c>
      <c r="J140" s="2" t="s">
        <v>363</v>
      </c>
      <c r="K140" s="2">
        <v>2</v>
      </c>
      <c r="L140" s="2">
        <v>101</v>
      </c>
      <c r="M140" s="3">
        <v>101</v>
      </c>
      <c r="Q140" s="11" t="s">
        <v>276</v>
      </c>
      <c r="R140">
        <v>191</v>
      </c>
    </row>
    <row r="141" spans="1:18" x14ac:dyDescent="0.2">
      <c r="A141" s="1" t="s">
        <v>593</v>
      </c>
      <c r="B141" s="1" t="s">
        <v>23</v>
      </c>
      <c r="C141" s="1" t="s">
        <v>15</v>
      </c>
      <c r="D141" s="2" t="s">
        <v>16</v>
      </c>
      <c r="E141" s="2" t="s">
        <v>456</v>
      </c>
      <c r="F141" s="2" t="s">
        <v>594</v>
      </c>
      <c r="G141" s="2" t="s">
        <v>595</v>
      </c>
      <c r="H141" s="2" t="s">
        <v>596</v>
      </c>
      <c r="I141" s="2" t="s">
        <v>597</v>
      </c>
      <c r="J141" s="2" t="s">
        <v>363</v>
      </c>
      <c r="K141" s="2">
        <v>2</v>
      </c>
      <c r="L141" s="2">
        <v>99</v>
      </c>
      <c r="M141" s="3">
        <v>99</v>
      </c>
      <c r="Q141" s="11" t="s">
        <v>817</v>
      </c>
      <c r="R141">
        <v>45</v>
      </c>
    </row>
    <row r="142" spans="1:18" x14ac:dyDescent="0.2">
      <c r="A142" s="1" t="s">
        <v>598</v>
      </c>
      <c r="B142" s="1" t="s">
        <v>23</v>
      </c>
      <c r="C142" s="1" t="s">
        <v>15</v>
      </c>
      <c r="D142" s="2" t="s">
        <v>16</v>
      </c>
      <c r="E142" s="2" t="s">
        <v>108</v>
      </c>
      <c r="F142" s="2" t="s">
        <v>599</v>
      </c>
      <c r="G142" s="2" t="s">
        <v>600</v>
      </c>
      <c r="H142" s="2" t="s">
        <v>601</v>
      </c>
      <c r="I142" s="2" t="s">
        <v>602</v>
      </c>
      <c r="J142" s="2" t="s">
        <v>363</v>
      </c>
      <c r="K142" s="2">
        <v>1</v>
      </c>
      <c r="L142" s="2">
        <v>97</v>
      </c>
      <c r="M142" s="3">
        <v>97</v>
      </c>
      <c r="Q142" s="11" t="s">
        <v>1260</v>
      </c>
      <c r="R142">
        <v>28</v>
      </c>
    </row>
    <row r="143" spans="1:18" x14ac:dyDescent="0.2">
      <c r="A143" s="1" t="s">
        <v>603</v>
      </c>
      <c r="B143" s="1" t="s">
        <v>23</v>
      </c>
      <c r="C143" s="1" t="s">
        <v>15</v>
      </c>
      <c r="D143" s="2" t="s">
        <v>44</v>
      </c>
      <c r="E143" s="2" t="s">
        <v>44</v>
      </c>
      <c r="F143" s="2" t="s">
        <v>604</v>
      </c>
      <c r="G143" s="2" t="s">
        <v>605</v>
      </c>
      <c r="H143" s="2" t="s">
        <v>606</v>
      </c>
      <c r="I143" s="2" t="s">
        <v>607</v>
      </c>
      <c r="J143" s="2" t="s">
        <v>363</v>
      </c>
      <c r="K143" s="2">
        <v>2</v>
      </c>
      <c r="L143" s="2">
        <v>99</v>
      </c>
      <c r="M143" s="3">
        <v>95</v>
      </c>
      <c r="Q143" s="11" t="s">
        <v>982</v>
      </c>
      <c r="R143">
        <v>52</v>
      </c>
    </row>
    <row r="144" spans="1:18" x14ac:dyDescent="0.2">
      <c r="A144" s="1" t="s">
        <v>129</v>
      </c>
      <c r="B144" s="1" t="s">
        <v>23</v>
      </c>
      <c r="C144" s="1" t="s">
        <v>15</v>
      </c>
      <c r="D144" s="2" t="s">
        <v>16</v>
      </c>
      <c r="E144" s="2" t="s">
        <v>108</v>
      </c>
      <c r="F144" s="2" t="s">
        <v>130</v>
      </c>
      <c r="G144" s="2" t="s">
        <v>131</v>
      </c>
      <c r="H144" s="2" t="s">
        <v>132</v>
      </c>
      <c r="I144" s="2" t="s">
        <v>133</v>
      </c>
      <c r="J144" s="2" t="s">
        <v>363</v>
      </c>
      <c r="K144" s="2">
        <v>1</v>
      </c>
      <c r="L144" s="2">
        <v>124</v>
      </c>
      <c r="M144" s="3">
        <v>94</v>
      </c>
      <c r="Q144" s="11" t="s">
        <v>281</v>
      </c>
      <c r="R144">
        <v>19</v>
      </c>
    </row>
    <row r="145" spans="1:18" x14ac:dyDescent="0.2">
      <c r="A145" s="1" t="s">
        <v>608</v>
      </c>
      <c r="B145" s="1" t="s">
        <v>23</v>
      </c>
      <c r="C145" s="1" t="s">
        <v>15</v>
      </c>
      <c r="D145" s="2" t="s">
        <v>36</v>
      </c>
      <c r="E145" s="2" t="s">
        <v>207</v>
      </c>
      <c r="F145" s="2" t="s">
        <v>609</v>
      </c>
      <c r="G145" s="2" t="s">
        <v>610</v>
      </c>
      <c r="H145" s="2" t="s">
        <v>611</v>
      </c>
      <c r="I145" s="2" t="s">
        <v>612</v>
      </c>
      <c r="J145" s="2" t="s">
        <v>363</v>
      </c>
      <c r="K145" s="2">
        <v>2</v>
      </c>
      <c r="L145" s="2">
        <v>117</v>
      </c>
      <c r="M145" s="3">
        <v>92</v>
      </c>
      <c r="Q145" s="11" t="s">
        <v>1137</v>
      </c>
      <c r="R145">
        <v>99</v>
      </c>
    </row>
    <row r="146" spans="1:18" x14ac:dyDescent="0.2">
      <c r="A146" s="1" t="s">
        <v>290</v>
      </c>
      <c r="B146" s="1" t="s">
        <v>43</v>
      </c>
      <c r="C146" s="1" t="s">
        <v>15</v>
      </c>
      <c r="D146" s="2" t="s">
        <v>72</v>
      </c>
      <c r="E146" s="2" t="s">
        <v>213</v>
      </c>
      <c r="F146" s="2" t="s">
        <v>291</v>
      </c>
      <c r="G146" s="2" t="s">
        <v>292</v>
      </c>
      <c r="H146" s="2" t="s">
        <v>293</v>
      </c>
      <c r="I146" s="2" t="s">
        <v>294</v>
      </c>
      <c r="J146" s="2" t="s">
        <v>363</v>
      </c>
      <c r="K146" s="2">
        <v>2</v>
      </c>
      <c r="L146" s="2">
        <v>96</v>
      </c>
      <c r="M146" s="3">
        <v>92</v>
      </c>
      <c r="Q146" s="11" t="s">
        <v>1142</v>
      </c>
      <c r="R146">
        <v>124</v>
      </c>
    </row>
    <row r="147" spans="1:18" x14ac:dyDescent="0.2">
      <c r="A147" s="1" t="s">
        <v>229</v>
      </c>
      <c r="B147" s="1" t="s">
        <v>23</v>
      </c>
      <c r="C147" s="1" t="s">
        <v>15</v>
      </c>
      <c r="D147" s="2" t="s">
        <v>55</v>
      </c>
      <c r="E147" s="2" t="s">
        <v>56</v>
      </c>
      <c r="F147" s="2" t="s">
        <v>230</v>
      </c>
      <c r="G147" s="2" t="s">
        <v>231</v>
      </c>
      <c r="H147" s="2">
        <v>8230918</v>
      </c>
      <c r="I147" s="2" t="s">
        <v>232</v>
      </c>
      <c r="J147" s="2" t="s">
        <v>363</v>
      </c>
      <c r="K147" s="2">
        <v>1</v>
      </c>
      <c r="L147" s="2">
        <v>87</v>
      </c>
      <c r="M147" s="3">
        <v>82</v>
      </c>
      <c r="Q147" s="11" t="s">
        <v>1460</v>
      </c>
      <c r="R147">
        <v>154</v>
      </c>
    </row>
    <row r="148" spans="1:18" x14ac:dyDescent="0.2">
      <c r="A148" s="1" t="s">
        <v>223</v>
      </c>
      <c r="B148" s="1" t="s">
        <v>23</v>
      </c>
      <c r="C148" s="1" t="s">
        <v>15</v>
      </c>
      <c r="D148" s="2" t="s">
        <v>16</v>
      </c>
      <c r="E148" s="2" t="s">
        <v>224</v>
      </c>
      <c r="F148" s="2" t="s">
        <v>225</v>
      </c>
      <c r="G148" s="2" t="s">
        <v>226</v>
      </c>
      <c r="H148" s="2" t="s">
        <v>227</v>
      </c>
      <c r="I148" s="2" t="s">
        <v>228</v>
      </c>
      <c r="J148" s="2" t="s">
        <v>363</v>
      </c>
      <c r="K148" s="2">
        <v>1</v>
      </c>
      <c r="L148" s="2">
        <v>34</v>
      </c>
      <c r="M148" s="3">
        <v>78</v>
      </c>
      <c r="Q148" s="11" t="s">
        <v>613</v>
      </c>
      <c r="R148">
        <v>74</v>
      </c>
    </row>
    <row r="149" spans="1:18" x14ac:dyDescent="0.2">
      <c r="A149" s="1" t="s">
        <v>613</v>
      </c>
      <c r="B149" s="1" t="s">
        <v>23</v>
      </c>
      <c r="C149" s="1" t="s">
        <v>15</v>
      </c>
      <c r="D149" s="2" t="s">
        <v>72</v>
      </c>
      <c r="E149" s="2" t="s">
        <v>73</v>
      </c>
      <c r="F149" s="2" t="s">
        <v>614</v>
      </c>
      <c r="G149" s="2" t="s">
        <v>615</v>
      </c>
      <c r="H149" s="2" t="s">
        <v>616</v>
      </c>
      <c r="I149" s="2" t="s">
        <v>617</v>
      </c>
      <c r="J149" s="2" t="s">
        <v>363</v>
      </c>
      <c r="K149" s="2">
        <v>1</v>
      </c>
      <c r="L149" s="2">
        <v>77</v>
      </c>
      <c r="M149" s="3">
        <v>74</v>
      </c>
      <c r="Q149" s="11" t="s">
        <v>285</v>
      </c>
      <c r="R149">
        <v>182</v>
      </c>
    </row>
    <row r="150" spans="1:18" x14ac:dyDescent="0.2">
      <c r="A150" s="1" t="s">
        <v>618</v>
      </c>
      <c r="B150" s="1" t="s">
        <v>23</v>
      </c>
      <c r="C150" s="1" t="s">
        <v>15</v>
      </c>
      <c r="D150" s="2" t="s">
        <v>44</v>
      </c>
      <c r="E150" s="2" t="s">
        <v>44</v>
      </c>
      <c r="F150" s="2" t="s">
        <v>619</v>
      </c>
      <c r="G150" s="2" t="s">
        <v>620</v>
      </c>
      <c r="H150" s="2" t="s">
        <v>621</v>
      </c>
      <c r="I150" s="2" t="s">
        <v>622</v>
      </c>
      <c r="J150" s="2" t="s">
        <v>363</v>
      </c>
      <c r="K150" s="2">
        <v>2</v>
      </c>
      <c r="L150" s="2">
        <v>76</v>
      </c>
      <c r="M150" s="3">
        <v>74</v>
      </c>
      <c r="Q150" s="11" t="s">
        <v>1148</v>
      </c>
      <c r="R150">
        <v>51</v>
      </c>
    </row>
    <row r="151" spans="1:18" x14ac:dyDescent="0.2">
      <c r="A151" s="1" t="s">
        <v>623</v>
      </c>
      <c r="B151" s="1" t="s">
        <v>23</v>
      </c>
      <c r="C151" s="1" t="s">
        <v>15</v>
      </c>
      <c r="D151" s="2" t="s">
        <v>24</v>
      </c>
      <c r="E151" s="2" t="s">
        <v>166</v>
      </c>
      <c r="F151" s="2" t="s">
        <v>624</v>
      </c>
      <c r="G151" s="2" t="s">
        <v>625</v>
      </c>
      <c r="H151" s="2" t="s">
        <v>626</v>
      </c>
      <c r="I151" s="2" t="s">
        <v>627</v>
      </c>
      <c r="J151" s="2" t="s">
        <v>363</v>
      </c>
      <c r="K151" s="2">
        <v>2</v>
      </c>
      <c r="L151" s="2">
        <v>73</v>
      </c>
      <c r="M151" s="3">
        <v>73</v>
      </c>
      <c r="Q151" s="11" t="s">
        <v>618</v>
      </c>
      <c r="R151">
        <v>880</v>
      </c>
    </row>
    <row r="152" spans="1:18" x14ac:dyDescent="0.2">
      <c r="A152" s="1" t="s">
        <v>628</v>
      </c>
      <c r="B152" s="1" t="s">
        <v>23</v>
      </c>
      <c r="C152" s="1" t="s">
        <v>15</v>
      </c>
      <c r="D152" s="2" t="s">
        <v>16</v>
      </c>
      <c r="E152" s="2" t="s">
        <v>17</v>
      </c>
      <c r="F152" s="2" t="s">
        <v>629</v>
      </c>
      <c r="G152" s="2" t="s">
        <v>630</v>
      </c>
      <c r="H152" s="2" t="s">
        <v>631</v>
      </c>
      <c r="I152" s="2" t="s">
        <v>484</v>
      </c>
      <c r="J152" s="2" t="s">
        <v>363</v>
      </c>
      <c r="K152" s="2">
        <v>2</v>
      </c>
      <c r="L152" s="2">
        <v>75</v>
      </c>
      <c r="M152" s="3">
        <v>69</v>
      </c>
      <c r="Q152" s="11" t="s">
        <v>455</v>
      </c>
      <c r="R152">
        <v>355</v>
      </c>
    </row>
    <row r="153" spans="1:18" x14ac:dyDescent="0.2">
      <c r="A153" s="1" t="s">
        <v>632</v>
      </c>
      <c r="B153" s="1" t="s">
        <v>23</v>
      </c>
      <c r="C153" s="1" t="s">
        <v>15</v>
      </c>
      <c r="D153" s="2" t="s">
        <v>72</v>
      </c>
      <c r="E153" s="2" t="s">
        <v>119</v>
      </c>
      <c r="F153" s="2" t="s">
        <v>633</v>
      </c>
      <c r="G153" s="2" t="s">
        <v>634</v>
      </c>
      <c r="H153" s="2" t="s">
        <v>635</v>
      </c>
      <c r="I153" s="2" t="s">
        <v>636</v>
      </c>
      <c r="J153" s="2" t="s">
        <v>363</v>
      </c>
      <c r="K153" s="2">
        <v>3</v>
      </c>
      <c r="L153" s="2">
        <v>77</v>
      </c>
      <c r="M153" s="3">
        <v>68</v>
      </c>
      <c r="Q153" s="11" t="s">
        <v>987</v>
      </c>
      <c r="R153">
        <v>96</v>
      </c>
    </row>
    <row r="154" spans="1:18" x14ac:dyDescent="0.2">
      <c r="A154" s="1" t="s">
        <v>618</v>
      </c>
      <c r="B154" s="1" t="s">
        <v>23</v>
      </c>
      <c r="C154" s="1" t="s">
        <v>15</v>
      </c>
      <c r="D154" s="2" t="s">
        <v>44</v>
      </c>
      <c r="E154" s="2" t="s">
        <v>44</v>
      </c>
      <c r="F154" s="2" t="s">
        <v>637</v>
      </c>
      <c r="G154" s="2" t="s">
        <v>638</v>
      </c>
      <c r="H154" s="2" t="s">
        <v>621</v>
      </c>
      <c r="I154" s="2" t="s">
        <v>639</v>
      </c>
      <c r="J154" s="2" t="s">
        <v>363</v>
      </c>
      <c r="K154" s="2">
        <v>1</v>
      </c>
      <c r="L154" s="2">
        <v>25</v>
      </c>
      <c r="M154" s="3">
        <v>67</v>
      </c>
      <c r="Q154" s="11" t="s">
        <v>992</v>
      </c>
      <c r="R154">
        <v>55</v>
      </c>
    </row>
    <row r="155" spans="1:18" x14ac:dyDescent="0.2">
      <c r="A155" s="1" t="s">
        <v>640</v>
      </c>
      <c r="B155" s="1" t="s">
        <v>43</v>
      </c>
      <c r="C155" s="1" t="s">
        <v>15</v>
      </c>
      <c r="D155" s="2" t="s">
        <v>36</v>
      </c>
      <c r="E155" s="2" t="s">
        <v>37</v>
      </c>
      <c r="F155" s="2" t="s">
        <v>641</v>
      </c>
      <c r="G155" s="2" t="s">
        <v>642</v>
      </c>
      <c r="H155" s="2" t="s">
        <v>643</v>
      </c>
      <c r="I155" s="2" t="s">
        <v>644</v>
      </c>
      <c r="J155" s="2" t="s">
        <v>363</v>
      </c>
      <c r="K155" s="2">
        <v>1</v>
      </c>
      <c r="L155" s="2">
        <v>64</v>
      </c>
      <c r="M155" s="3">
        <v>64</v>
      </c>
      <c r="Q155" s="11" t="s">
        <v>1391</v>
      </c>
      <c r="R155">
        <v>80</v>
      </c>
    </row>
    <row r="156" spans="1:18" x14ac:dyDescent="0.2">
      <c r="A156" s="1" t="s">
        <v>65</v>
      </c>
      <c r="B156" s="1" t="s">
        <v>66</v>
      </c>
      <c r="C156" s="1" t="s">
        <v>15</v>
      </c>
      <c r="D156" s="2" t="s">
        <v>36</v>
      </c>
      <c r="E156" s="2" t="s">
        <v>37</v>
      </c>
      <c r="F156" s="2" t="s">
        <v>67</v>
      </c>
      <c r="G156" s="2" t="s">
        <v>68</v>
      </c>
      <c r="H156" s="2" t="s">
        <v>69</v>
      </c>
      <c r="I156" s="2" t="s">
        <v>70</v>
      </c>
      <c r="J156" s="2" t="s">
        <v>363</v>
      </c>
      <c r="K156" s="2">
        <v>1</v>
      </c>
      <c r="L156" s="2">
        <v>69</v>
      </c>
      <c r="M156" s="3">
        <v>62</v>
      </c>
      <c r="Q156" s="11" t="s">
        <v>995</v>
      </c>
      <c r="R156">
        <v>101</v>
      </c>
    </row>
    <row r="157" spans="1:18" x14ac:dyDescent="0.2">
      <c r="A157" s="1" t="s">
        <v>645</v>
      </c>
      <c r="B157" s="1" t="s">
        <v>23</v>
      </c>
      <c r="C157" s="1" t="s">
        <v>15</v>
      </c>
      <c r="D157" s="2" t="s">
        <v>36</v>
      </c>
      <c r="E157" s="2" t="s">
        <v>207</v>
      </c>
      <c r="F157" s="2" t="s">
        <v>646</v>
      </c>
      <c r="G157" s="2" t="s">
        <v>647</v>
      </c>
      <c r="H157" s="2" t="s">
        <v>648</v>
      </c>
      <c r="I157" s="2" t="s">
        <v>649</v>
      </c>
      <c r="J157" s="2" t="s">
        <v>363</v>
      </c>
      <c r="K157" s="2">
        <v>2</v>
      </c>
      <c r="L157" s="2">
        <v>57</v>
      </c>
      <c r="M157" s="3">
        <v>57</v>
      </c>
      <c r="Q157" s="11" t="s">
        <v>1000</v>
      </c>
      <c r="R157">
        <v>77</v>
      </c>
    </row>
    <row r="158" spans="1:18" x14ac:dyDescent="0.2">
      <c r="A158" s="1" t="s">
        <v>650</v>
      </c>
      <c r="B158" s="1" t="s">
        <v>23</v>
      </c>
      <c r="C158" s="1" t="s">
        <v>15</v>
      </c>
      <c r="D158" s="2" t="s">
        <v>36</v>
      </c>
      <c r="E158" s="2" t="s">
        <v>207</v>
      </c>
      <c r="F158" s="2" t="s">
        <v>651</v>
      </c>
      <c r="G158" s="2" t="s">
        <v>652</v>
      </c>
      <c r="H158" s="2" t="s">
        <v>653</v>
      </c>
      <c r="I158" s="2" t="s">
        <v>654</v>
      </c>
      <c r="J158" s="2" t="s">
        <v>363</v>
      </c>
      <c r="K158" s="2">
        <v>1</v>
      </c>
      <c r="L158" s="2">
        <v>56</v>
      </c>
      <c r="M158" s="3">
        <v>56</v>
      </c>
      <c r="Q158" s="11" t="s">
        <v>1794</v>
      </c>
      <c r="R158">
        <v>154</v>
      </c>
    </row>
    <row r="159" spans="1:18" x14ac:dyDescent="0.2">
      <c r="A159" s="1" t="s">
        <v>655</v>
      </c>
      <c r="B159" s="1" t="s">
        <v>23</v>
      </c>
      <c r="C159" s="1" t="s">
        <v>15</v>
      </c>
      <c r="D159" s="2" t="s">
        <v>24</v>
      </c>
      <c r="E159" s="2" t="s">
        <v>182</v>
      </c>
      <c r="F159" s="2" t="s">
        <v>656</v>
      </c>
      <c r="G159" s="2" t="s">
        <v>657</v>
      </c>
      <c r="H159" s="2" t="s">
        <v>658</v>
      </c>
      <c r="I159" s="2" t="s">
        <v>659</v>
      </c>
      <c r="J159" s="2" t="s">
        <v>363</v>
      </c>
      <c r="K159" s="2">
        <v>1</v>
      </c>
      <c r="L159" s="2">
        <v>52</v>
      </c>
      <c r="M159" s="3">
        <v>52</v>
      </c>
      <c r="Q159" s="11" t="s">
        <v>688</v>
      </c>
      <c r="R159">
        <v>169</v>
      </c>
    </row>
    <row r="160" spans="1:18" x14ac:dyDescent="0.2">
      <c r="A160" s="1" t="s">
        <v>660</v>
      </c>
      <c r="B160" s="1" t="s">
        <v>23</v>
      </c>
      <c r="C160" s="1" t="s">
        <v>15</v>
      </c>
      <c r="D160" s="2" t="s">
        <v>36</v>
      </c>
      <c r="E160" s="2" t="s">
        <v>37</v>
      </c>
      <c r="F160" s="2" t="s">
        <v>661</v>
      </c>
      <c r="G160" s="2" t="s">
        <v>662</v>
      </c>
      <c r="H160" s="2" t="s">
        <v>663</v>
      </c>
      <c r="I160" s="2" t="s">
        <v>664</v>
      </c>
      <c r="J160" s="2" t="s">
        <v>363</v>
      </c>
      <c r="K160" s="2">
        <v>2</v>
      </c>
      <c r="L160" s="2">
        <v>50</v>
      </c>
      <c r="M160" s="3">
        <v>50</v>
      </c>
      <c r="Q160" s="11" t="s">
        <v>218</v>
      </c>
      <c r="R160">
        <v>663</v>
      </c>
    </row>
    <row r="161" spans="1:18" x14ac:dyDescent="0.2">
      <c r="A161" s="1" t="s">
        <v>665</v>
      </c>
      <c r="B161" s="1" t="s">
        <v>23</v>
      </c>
      <c r="C161" s="1" t="s">
        <v>15</v>
      </c>
      <c r="D161" s="2" t="s">
        <v>55</v>
      </c>
      <c r="E161" s="2" t="s">
        <v>92</v>
      </c>
      <c r="F161" s="2" t="s">
        <v>666</v>
      </c>
      <c r="G161" s="2" t="s">
        <v>667</v>
      </c>
      <c r="H161" s="2" t="s">
        <v>668</v>
      </c>
      <c r="I161" s="2" t="s">
        <v>669</v>
      </c>
      <c r="J161" s="2" t="s">
        <v>363</v>
      </c>
      <c r="K161" s="2">
        <v>1</v>
      </c>
      <c r="L161" s="2">
        <v>51</v>
      </c>
      <c r="M161" s="3">
        <v>50</v>
      </c>
      <c r="Q161" s="11" t="s">
        <v>1563</v>
      </c>
      <c r="R161">
        <v>510</v>
      </c>
    </row>
    <row r="162" spans="1:18" x14ac:dyDescent="0.2">
      <c r="A162" s="1" t="s">
        <v>670</v>
      </c>
      <c r="B162" s="1" t="s">
        <v>23</v>
      </c>
      <c r="C162" s="1" t="s">
        <v>15</v>
      </c>
      <c r="D162" s="2" t="s">
        <v>24</v>
      </c>
      <c r="E162" s="2" t="s">
        <v>25</v>
      </c>
      <c r="F162" s="2" t="s">
        <v>671</v>
      </c>
      <c r="G162" s="2" t="s">
        <v>672</v>
      </c>
      <c r="H162" s="2" t="s">
        <v>673</v>
      </c>
      <c r="I162" s="2" t="s">
        <v>674</v>
      </c>
      <c r="J162" s="2" t="s">
        <v>363</v>
      </c>
      <c r="K162" s="2">
        <v>2</v>
      </c>
      <c r="L162" s="2">
        <v>75</v>
      </c>
      <c r="M162" s="3">
        <v>49</v>
      </c>
      <c r="Q162" s="11" t="s">
        <v>1394</v>
      </c>
      <c r="R162">
        <v>1</v>
      </c>
    </row>
    <row r="163" spans="1:18" x14ac:dyDescent="0.2">
      <c r="A163" s="1" t="s">
        <v>675</v>
      </c>
      <c r="B163" s="1" t="s">
        <v>23</v>
      </c>
      <c r="C163" s="1" t="s">
        <v>15</v>
      </c>
      <c r="D163" s="2" t="s">
        <v>36</v>
      </c>
      <c r="E163" s="2" t="s">
        <v>207</v>
      </c>
      <c r="F163" s="2" t="s">
        <v>676</v>
      </c>
      <c r="G163" s="2" t="s">
        <v>620</v>
      </c>
      <c r="H163" s="2">
        <v>79566594</v>
      </c>
      <c r="I163" s="2" t="s">
        <v>677</v>
      </c>
      <c r="J163" s="2" t="s">
        <v>363</v>
      </c>
      <c r="K163" s="2">
        <v>2</v>
      </c>
      <c r="L163" s="2">
        <v>50</v>
      </c>
      <c r="M163" s="3">
        <v>47</v>
      </c>
      <c r="Q163" s="11" t="s">
        <v>1399</v>
      </c>
      <c r="R163">
        <v>163</v>
      </c>
    </row>
    <row r="164" spans="1:18" x14ac:dyDescent="0.2">
      <c r="A164" s="1" t="s">
        <v>678</v>
      </c>
      <c r="B164" s="1" t="s">
        <v>23</v>
      </c>
      <c r="C164" s="1" t="s">
        <v>15</v>
      </c>
      <c r="D164" s="2" t="s">
        <v>16</v>
      </c>
      <c r="E164" s="2" t="s">
        <v>108</v>
      </c>
      <c r="F164" s="2" t="s">
        <v>679</v>
      </c>
      <c r="G164" s="2" t="s">
        <v>680</v>
      </c>
      <c r="H164" s="2" t="s">
        <v>681</v>
      </c>
      <c r="I164" s="2" t="s">
        <v>682</v>
      </c>
      <c r="J164" s="2" t="s">
        <v>363</v>
      </c>
      <c r="K164" s="2">
        <v>1</v>
      </c>
      <c r="L164" s="2">
        <v>49</v>
      </c>
      <c r="M164" s="3">
        <v>47</v>
      </c>
      <c r="Q164" s="11" t="s">
        <v>1687</v>
      </c>
      <c r="R164">
        <v>304</v>
      </c>
    </row>
    <row r="165" spans="1:18" x14ac:dyDescent="0.2">
      <c r="A165" s="1" t="s">
        <v>102</v>
      </c>
      <c r="B165" s="1" t="s">
        <v>23</v>
      </c>
      <c r="C165" s="1" t="s">
        <v>15</v>
      </c>
      <c r="D165" s="2" t="s">
        <v>44</v>
      </c>
      <c r="E165" s="2" t="s">
        <v>44</v>
      </c>
      <c r="F165" s="2" t="s">
        <v>103</v>
      </c>
      <c r="G165" s="2" t="s">
        <v>104</v>
      </c>
      <c r="H165" s="2" t="s">
        <v>105</v>
      </c>
      <c r="I165" s="2" t="s">
        <v>106</v>
      </c>
      <c r="J165" s="2" t="s">
        <v>363</v>
      </c>
      <c r="K165" s="2">
        <v>1</v>
      </c>
      <c r="L165" s="2">
        <v>45</v>
      </c>
      <c r="M165" s="3">
        <v>45</v>
      </c>
      <c r="Q165" s="11" t="s">
        <v>1732</v>
      </c>
      <c r="R165">
        <v>243</v>
      </c>
    </row>
    <row r="166" spans="1:18" x14ac:dyDescent="0.2">
      <c r="A166" s="1" t="s">
        <v>683</v>
      </c>
      <c r="B166" s="1" t="s">
        <v>23</v>
      </c>
      <c r="C166" s="1" t="s">
        <v>15</v>
      </c>
      <c r="D166" s="2" t="s">
        <v>44</v>
      </c>
      <c r="E166" s="2" t="s">
        <v>44</v>
      </c>
      <c r="F166" s="2" t="s">
        <v>684</v>
      </c>
      <c r="G166" s="2" t="s">
        <v>685</v>
      </c>
      <c r="H166" s="2" t="s">
        <v>686</v>
      </c>
      <c r="I166" s="2" t="s">
        <v>687</v>
      </c>
      <c r="J166" s="2" t="s">
        <v>363</v>
      </c>
      <c r="K166" s="2">
        <v>1</v>
      </c>
      <c r="L166" s="2">
        <v>40</v>
      </c>
      <c r="M166" s="3">
        <v>40</v>
      </c>
      <c r="Q166" s="11" t="s">
        <v>1005</v>
      </c>
      <c r="R166">
        <v>150</v>
      </c>
    </row>
    <row r="167" spans="1:18" x14ac:dyDescent="0.2">
      <c r="A167" s="1" t="s">
        <v>688</v>
      </c>
      <c r="B167" s="1" t="s">
        <v>23</v>
      </c>
      <c r="C167" s="1" t="s">
        <v>15</v>
      </c>
      <c r="D167" s="2" t="s">
        <v>44</v>
      </c>
      <c r="E167" s="2" t="s">
        <v>44</v>
      </c>
      <c r="F167" s="2" t="s">
        <v>689</v>
      </c>
      <c r="G167" s="2" t="s">
        <v>690</v>
      </c>
      <c r="H167" s="2" t="s">
        <v>691</v>
      </c>
      <c r="I167" s="2" t="s">
        <v>692</v>
      </c>
      <c r="J167" s="2" t="s">
        <v>363</v>
      </c>
      <c r="K167" s="2">
        <v>1</v>
      </c>
      <c r="L167" s="2">
        <v>51</v>
      </c>
      <c r="M167" s="3">
        <v>38</v>
      </c>
      <c r="Q167" s="11" t="s">
        <v>1264</v>
      </c>
      <c r="R167">
        <v>127</v>
      </c>
    </row>
    <row r="168" spans="1:18" x14ac:dyDescent="0.2">
      <c r="A168" s="1" t="s">
        <v>693</v>
      </c>
      <c r="B168" s="1" t="s">
        <v>23</v>
      </c>
      <c r="C168" s="1" t="s">
        <v>15</v>
      </c>
      <c r="D168" s="2" t="s">
        <v>16</v>
      </c>
      <c r="E168" s="2" t="s">
        <v>456</v>
      </c>
      <c r="F168" s="2" t="s">
        <v>694</v>
      </c>
      <c r="G168" s="2" t="s">
        <v>468</v>
      </c>
      <c r="H168" s="2" t="s">
        <v>695</v>
      </c>
      <c r="I168" s="2" t="s">
        <v>696</v>
      </c>
      <c r="J168" s="2" t="s">
        <v>363</v>
      </c>
      <c r="K168" s="2">
        <v>2</v>
      </c>
      <c r="L168" s="2">
        <v>35</v>
      </c>
      <c r="M168" s="3">
        <v>35</v>
      </c>
      <c r="Q168" s="11" t="s">
        <v>1269</v>
      </c>
      <c r="R168">
        <v>178</v>
      </c>
    </row>
    <row r="169" spans="1:18" x14ac:dyDescent="0.2">
      <c r="A169" s="1" t="s">
        <v>697</v>
      </c>
      <c r="B169" s="1" t="s">
        <v>23</v>
      </c>
      <c r="C169" s="1" t="s">
        <v>15</v>
      </c>
      <c r="D169" s="2" t="s">
        <v>16</v>
      </c>
      <c r="E169" s="2" t="s">
        <v>224</v>
      </c>
      <c r="F169" s="2" t="s">
        <v>698</v>
      </c>
      <c r="G169" s="2" t="s">
        <v>699</v>
      </c>
      <c r="H169" s="2" t="s">
        <v>700</v>
      </c>
      <c r="I169" s="2" t="s">
        <v>701</v>
      </c>
      <c r="J169" s="2" t="s">
        <v>363</v>
      </c>
      <c r="K169" s="2">
        <v>2</v>
      </c>
      <c r="L169" s="2">
        <v>49</v>
      </c>
      <c r="M169" s="3">
        <v>33</v>
      </c>
      <c r="Q169" s="11" t="s">
        <v>290</v>
      </c>
      <c r="R169">
        <v>337</v>
      </c>
    </row>
    <row r="170" spans="1:18" x14ac:dyDescent="0.2">
      <c r="A170" s="1" t="s">
        <v>475</v>
      </c>
      <c r="B170" s="1" t="s">
        <v>23</v>
      </c>
      <c r="C170" s="1" t="s">
        <v>15</v>
      </c>
      <c r="D170" s="2" t="s">
        <v>55</v>
      </c>
      <c r="E170" s="2" t="s">
        <v>56</v>
      </c>
      <c r="F170" s="2" t="s">
        <v>702</v>
      </c>
      <c r="G170" s="2" t="s">
        <v>703</v>
      </c>
      <c r="H170" s="2" t="s">
        <v>704</v>
      </c>
      <c r="I170" s="2" t="s">
        <v>705</v>
      </c>
      <c r="J170" s="2" t="s">
        <v>363</v>
      </c>
      <c r="K170" s="2">
        <v>4</v>
      </c>
      <c r="L170" s="2">
        <v>224</v>
      </c>
      <c r="M170" s="3">
        <v>22</v>
      </c>
      <c r="Q170" s="11" t="s">
        <v>1518</v>
      </c>
      <c r="R170">
        <v>449</v>
      </c>
    </row>
    <row r="171" spans="1:18" x14ac:dyDescent="0.2">
      <c r="A171" s="1" t="s">
        <v>706</v>
      </c>
      <c r="B171" s="1" t="s">
        <v>23</v>
      </c>
      <c r="C171" s="1" t="s">
        <v>15</v>
      </c>
      <c r="D171" s="2" t="s">
        <v>44</v>
      </c>
      <c r="E171" s="2" t="s">
        <v>44</v>
      </c>
      <c r="F171" s="2" t="s">
        <v>707</v>
      </c>
      <c r="G171" s="2"/>
      <c r="H171" s="2" t="s">
        <v>708</v>
      </c>
      <c r="I171" s="2" t="s">
        <v>709</v>
      </c>
      <c r="J171" s="2" t="s">
        <v>363</v>
      </c>
      <c r="K171" s="2">
        <v>1</v>
      </c>
      <c r="L171" s="2">
        <v>33</v>
      </c>
      <c r="M171" s="3">
        <v>12</v>
      </c>
      <c r="Q171" s="11" t="s">
        <v>223</v>
      </c>
      <c r="R171">
        <v>240</v>
      </c>
    </row>
    <row r="172" spans="1:18" x14ac:dyDescent="0.2">
      <c r="A172" s="1" t="s">
        <v>706</v>
      </c>
      <c r="B172" s="1" t="s">
        <v>23</v>
      </c>
      <c r="C172" s="1" t="s">
        <v>15</v>
      </c>
      <c r="D172" s="2" t="s">
        <v>72</v>
      </c>
      <c r="E172" s="2" t="s">
        <v>213</v>
      </c>
      <c r="F172" s="2" t="s">
        <v>710</v>
      </c>
      <c r="G172" s="2" t="s">
        <v>711</v>
      </c>
      <c r="H172" s="2" t="s">
        <v>712</v>
      </c>
      <c r="I172" s="2" t="s">
        <v>713</v>
      </c>
      <c r="J172" s="2" t="s">
        <v>363</v>
      </c>
      <c r="K172" s="2">
        <v>1</v>
      </c>
      <c r="L172" s="2">
        <v>37</v>
      </c>
      <c r="M172" s="3">
        <v>8</v>
      </c>
      <c r="Q172" s="11" t="s">
        <v>295</v>
      </c>
      <c r="R172">
        <v>51</v>
      </c>
    </row>
    <row r="173" spans="1:18" x14ac:dyDescent="0.2">
      <c r="A173" s="1" t="s">
        <v>714</v>
      </c>
      <c r="B173" s="1" t="s">
        <v>23</v>
      </c>
      <c r="C173" s="1" t="s">
        <v>15</v>
      </c>
      <c r="D173" s="2" t="s">
        <v>36</v>
      </c>
      <c r="E173" s="2" t="s">
        <v>207</v>
      </c>
      <c r="F173" s="2" t="s">
        <v>715</v>
      </c>
      <c r="G173" s="2" t="s">
        <v>716</v>
      </c>
      <c r="H173" s="2" t="s">
        <v>717</v>
      </c>
      <c r="I173" s="2" t="s">
        <v>718</v>
      </c>
      <c r="J173" s="2" t="s">
        <v>363</v>
      </c>
      <c r="K173" s="2">
        <v>1</v>
      </c>
      <c r="L173" s="2">
        <v>5</v>
      </c>
      <c r="M173" s="3">
        <v>0</v>
      </c>
      <c r="Q173" s="11" t="s">
        <v>450</v>
      </c>
      <c r="R173">
        <v>404</v>
      </c>
    </row>
    <row r="174" spans="1:18" x14ac:dyDescent="0.2">
      <c r="A174" s="1" t="s">
        <v>719</v>
      </c>
      <c r="B174" s="1" t="s">
        <v>23</v>
      </c>
      <c r="C174" s="1" t="s">
        <v>15</v>
      </c>
      <c r="D174" s="2" t="s">
        <v>16</v>
      </c>
      <c r="E174" s="2" t="s">
        <v>108</v>
      </c>
      <c r="F174" s="2" t="s">
        <v>720</v>
      </c>
      <c r="G174" s="2" t="s">
        <v>721</v>
      </c>
      <c r="H174" s="2">
        <v>9497373755</v>
      </c>
      <c r="I174" s="2" t="s">
        <v>722</v>
      </c>
      <c r="J174" s="2" t="s">
        <v>363</v>
      </c>
      <c r="K174" s="2">
        <v>1</v>
      </c>
      <c r="L174" s="2">
        <v>15</v>
      </c>
      <c r="M174" s="3">
        <v>0</v>
      </c>
      <c r="Q174" s="11" t="s">
        <v>1272</v>
      </c>
      <c r="R174">
        <v>70</v>
      </c>
    </row>
    <row r="175" spans="1:18" x14ac:dyDescent="0.2">
      <c r="A175" s="1" t="s">
        <v>723</v>
      </c>
      <c r="B175" s="1" t="s">
        <v>23</v>
      </c>
      <c r="C175" s="1" t="s">
        <v>15</v>
      </c>
      <c r="D175" s="2" t="s">
        <v>44</v>
      </c>
      <c r="E175" s="2" t="s">
        <v>44</v>
      </c>
      <c r="F175" s="2" t="s">
        <v>724</v>
      </c>
      <c r="G175" s="2" t="s">
        <v>725</v>
      </c>
      <c r="H175" s="2" t="s">
        <v>726</v>
      </c>
      <c r="I175" s="2" t="s">
        <v>727</v>
      </c>
      <c r="J175" s="2" t="s">
        <v>363</v>
      </c>
      <c r="K175" s="2">
        <v>1</v>
      </c>
      <c r="L175" s="2">
        <v>3</v>
      </c>
      <c r="M175" s="3">
        <v>0</v>
      </c>
      <c r="Q175" s="11" t="s">
        <v>1465</v>
      </c>
      <c r="R175">
        <v>286</v>
      </c>
    </row>
    <row r="176" spans="1:18" x14ac:dyDescent="0.2">
      <c r="A176" s="1" t="s">
        <v>728</v>
      </c>
      <c r="B176" s="1" t="s">
        <v>729</v>
      </c>
      <c r="C176" s="1" t="s">
        <v>15</v>
      </c>
      <c r="D176" s="2" t="s">
        <v>16</v>
      </c>
      <c r="E176" s="2" t="s">
        <v>17</v>
      </c>
      <c r="F176" s="2" t="s">
        <v>730</v>
      </c>
      <c r="G176" s="2" t="s">
        <v>731</v>
      </c>
      <c r="H176" s="2" t="s">
        <v>732</v>
      </c>
      <c r="I176" s="2" t="s">
        <v>733</v>
      </c>
      <c r="J176" s="2" t="s">
        <v>363</v>
      </c>
      <c r="K176" s="2">
        <v>1</v>
      </c>
      <c r="L176" s="2">
        <v>26</v>
      </c>
      <c r="M176" s="3">
        <v>0</v>
      </c>
      <c r="Q176" s="11" t="s">
        <v>1277</v>
      </c>
      <c r="R176">
        <v>422</v>
      </c>
    </row>
    <row r="177" spans="1:18" x14ac:dyDescent="0.2">
      <c r="A177" s="1" t="s">
        <v>165</v>
      </c>
      <c r="B177" s="1" t="s">
        <v>23</v>
      </c>
      <c r="C177" s="1" t="s">
        <v>15</v>
      </c>
      <c r="D177" s="2" t="s">
        <v>24</v>
      </c>
      <c r="E177" s="2" t="s">
        <v>166</v>
      </c>
      <c r="F177" s="2" t="s">
        <v>167</v>
      </c>
      <c r="G177" s="2" t="s">
        <v>168</v>
      </c>
      <c r="H177" s="2" t="s">
        <v>169</v>
      </c>
      <c r="I177" s="2" t="s">
        <v>170</v>
      </c>
      <c r="J177" s="2" t="s">
        <v>363</v>
      </c>
      <c r="K177" s="2">
        <v>1</v>
      </c>
      <c r="L177" s="2">
        <v>25</v>
      </c>
      <c r="M177" s="3">
        <v>0</v>
      </c>
      <c r="Q177" s="11" t="s">
        <v>868</v>
      </c>
      <c r="R177">
        <v>1</v>
      </c>
    </row>
    <row r="178" spans="1:18" x14ac:dyDescent="0.2">
      <c r="A178" s="1" t="s">
        <v>734</v>
      </c>
      <c r="B178" s="1" t="s">
        <v>23</v>
      </c>
      <c r="C178" s="1" t="s">
        <v>15</v>
      </c>
      <c r="D178" s="2" t="s">
        <v>44</v>
      </c>
      <c r="E178" s="2" t="s">
        <v>44</v>
      </c>
      <c r="F178" s="2" t="s">
        <v>735</v>
      </c>
      <c r="G178" s="2" t="s">
        <v>736</v>
      </c>
      <c r="H178" s="2" t="s">
        <v>737</v>
      </c>
      <c r="I178" s="2" t="s">
        <v>738</v>
      </c>
      <c r="J178" s="2" t="s">
        <v>739</v>
      </c>
      <c r="K178" s="2">
        <v>3</v>
      </c>
      <c r="L178" s="2">
        <v>738</v>
      </c>
      <c r="M178" s="3">
        <v>556</v>
      </c>
      <c r="Q178" s="11" t="s">
        <v>300</v>
      </c>
      <c r="R178">
        <v>101</v>
      </c>
    </row>
    <row r="179" spans="1:18" x14ac:dyDescent="0.2">
      <c r="A179" s="1" t="s">
        <v>740</v>
      </c>
      <c r="B179" s="1" t="s">
        <v>23</v>
      </c>
      <c r="C179" s="1" t="s">
        <v>15</v>
      </c>
      <c r="D179" s="2" t="s">
        <v>72</v>
      </c>
      <c r="E179" s="2" t="s">
        <v>213</v>
      </c>
      <c r="F179" s="2" t="s">
        <v>741</v>
      </c>
      <c r="G179" s="2" t="s">
        <v>742</v>
      </c>
      <c r="H179" s="2" t="s">
        <v>743</v>
      </c>
      <c r="I179" s="2" t="s">
        <v>744</v>
      </c>
      <c r="J179" s="2" t="s">
        <v>745</v>
      </c>
      <c r="K179" s="2">
        <v>3</v>
      </c>
      <c r="L179" s="2">
        <v>315</v>
      </c>
      <c r="M179" s="3">
        <v>283</v>
      </c>
      <c r="Q179" s="11" t="s">
        <v>510</v>
      </c>
      <c r="R179">
        <v>1675</v>
      </c>
    </row>
    <row r="180" spans="1:18" x14ac:dyDescent="0.2">
      <c r="A180" s="1" t="s">
        <v>91</v>
      </c>
      <c r="B180" s="1" t="s">
        <v>23</v>
      </c>
      <c r="C180" s="1" t="s">
        <v>15</v>
      </c>
      <c r="D180" s="2" t="s">
        <v>55</v>
      </c>
      <c r="E180" s="2" t="s">
        <v>92</v>
      </c>
      <c r="F180" s="2" t="s">
        <v>93</v>
      </c>
      <c r="G180" s="2" t="s">
        <v>94</v>
      </c>
      <c r="H180" s="2" t="s">
        <v>95</v>
      </c>
      <c r="I180" s="2" t="s">
        <v>96</v>
      </c>
      <c r="J180" s="2" t="s">
        <v>739</v>
      </c>
      <c r="K180" s="2">
        <v>4</v>
      </c>
      <c r="L180" s="2">
        <v>257</v>
      </c>
      <c r="M180" s="3">
        <v>248</v>
      </c>
      <c r="Q180" s="11" t="s">
        <v>1312</v>
      </c>
      <c r="R180">
        <v>160</v>
      </c>
    </row>
    <row r="181" spans="1:18" x14ac:dyDescent="0.2">
      <c r="A181" s="1" t="s">
        <v>746</v>
      </c>
      <c r="B181" s="1" t="s">
        <v>23</v>
      </c>
      <c r="C181" s="1" t="s">
        <v>15</v>
      </c>
      <c r="D181" s="2" t="s">
        <v>72</v>
      </c>
      <c r="E181" s="2" t="s">
        <v>73</v>
      </c>
      <c r="F181" s="2" t="s">
        <v>747</v>
      </c>
      <c r="G181" s="2" t="s">
        <v>748</v>
      </c>
      <c r="H181" s="2" t="s">
        <v>749</v>
      </c>
      <c r="I181" s="2" t="s">
        <v>750</v>
      </c>
      <c r="J181" s="2" t="s">
        <v>739</v>
      </c>
      <c r="K181" s="2">
        <v>3</v>
      </c>
      <c r="L181" s="2">
        <v>231</v>
      </c>
      <c r="M181" s="3">
        <v>228</v>
      </c>
      <c r="Q181" s="11" t="s">
        <v>623</v>
      </c>
      <c r="R181">
        <v>145</v>
      </c>
    </row>
    <row r="182" spans="1:18" x14ac:dyDescent="0.2">
      <c r="A182" s="1" t="s">
        <v>261</v>
      </c>
      <c r="B182" s="1" t="s">
        <v>23</v>
      </c>
      <c r="C182" s="1" t="s">
        <v>15</v>
      </c>
      <c r="D182" s="2" t="s">
        <v>55</v>
      </c>
      <c r="E182" s="2" t="s">
        <v>92</v>
      </c>
      <c r="F182" s="2" t="s">
        <v>262</v>
      </c>
      <c r="G182" s="2" t="s">
        <v>263</v>
      </c>
      <c r="H182" s="2" t="s">
        <v>264</v>
      </c>
      <c r="I182" s="2" t="s">
        <v>265</v>
      </c>
      <c r="J182" s="2" t="s">
        <v>745</v>
      </c>
      <c r="K182" s="2">
        <v>4</v>
      </c>
      <c r="L182" s="2">
        <v>214</v>
      </c>
      <c r="M182" s="3">
        <v>220</v>
      </c>
      <c r="Q182" s="11" t="s">
        <v>305</v>
      </c>
      <c r="R182">
        <v>47</v>
      </c>
    </row>
    <row r="183" spans="1:18" x14ac:dyDescent="0.2">
      <c r="A183" s="1" t="s">
        <v>751</v>
      </c>
      <c r="B183" s="1" t="s">
        <v>23</v>
      </c>
      <c r="C183" s="1" t="s">
        <v>15</v>
      </c>
      <c r="D183" s="2" t="s">
        <v>36</v>
      </c>
      <c r="E183" s="2" t="s">
        <v>207</v>
      </c>
      <c r="F183" s="2" t="s">
        <v>752</v>
      </c>
      <c r="G183" s="2" t="s">
        <v>753</v>
      </c>
      <c r="H183" s="2">
        <v>87277855</v>
      </c>
      <c r="I183" s="2" t="s">
        <v>754</v>
      </c>
      <c r="J183" s="2" t="s">
        <v>745</v>
      </c>
      <c r="K183" s="2">
        <v>3</v>
      </c>
      <c r="L183" s="2">
        <v>224</v>
      </c>
      <c r="M183" s="3">
        <v>188</v>
      </c>
      <c r="Q183" s="11" t="s">
        <v>544</v>
      </c>
      <c r="R183">
        <v>416</v>
      </c>
    </row>
    <row r="184" spans="1:18" x14ac:dyDescent="0.2">
      <c r="A184" s="1" t="s">
        <v>755</v>
      </c>
      <c r="B184" s="1" t="s">
        <v>23</v>
      </c>
      <c r="C184" s="1" t="s">
        <v>15</v>
      </c>
      <c r="D184" s="2" t="s">
        <v>72</v>
      </c>
      <c r="E184" s="2" t="s">
        <v>73</v>
      </c>
      <c r="F184" s="2" t="s">
        <v>756</v>
      </c>
      <c r="G184" s="2" t="s">
        <v>757</v>
      </c>
      <c r="H184" s="2" t="s">
        <v>758</v>
      </c>
      <c r="I184" s="2" t="s">
        <v>759</v>
      </c>
      <c r="J184" s="2" t="s">
        <v>739</v>
      </c>
      <c r="K184" s="2">
        <v>5</v>
      </c>
      <c r="L184" s="2">
        <v>241</v>
      </c>
      <c r="M184" s="3">
        <v>179</v>
      </c>
      <c r="Q184" s="11" t="s">
        <v>309</v>
      </c>
      <c r="R184">
        <v>460</v>
      </c>
    </row>
    <row r="185" spans="1:18" x14ac:dyDescent="0.2">
      <c r="A185" s="1" t="s">
        <v>191</v>
      </c>
      <c r="B185" s="1" t="s">
        <v>23</v>
      </c>
      <c r="C185" s="1" t="s">
        <v>15</v>
      </c>
      <c r="D185" s="2" t="s">
        <v>55</v>
      </c>
      <c r="E185" s="2" t="s">
        <v>92</v>
      </c>
      <c r="F185" s="2" t="s">
        <v>192</v>
      </c>
      <c r="G185" s="2" t="s">
        <v>193</v>
      </c>
      <c r="H185" s="2" t="s">
        <v>194</v>
      </c>
      <c r="I185" s="2" t="s">
        <v>195</v>
      </c>
      <c r="J185" s="2" t="s">
        <v>745</v>
      </c>
      <c r="K185" s="2">
        <v>4</v>
      </c>
      <c r="L185" s="2">
        <v>235</v>
      </c>
      <c r="M185" s="3">
        <v>162</v>
      </c>
      <c r="Q185" s="11" t="s">
        <v>1612</v>
      </c>
      <c r="R185">
        <v>204</v>
      </c>
    </row>
    <row r="186" spans="1:18" x14ac:dyDescent="0.2">
      <c r="A186" s="1" t="s">
        <v>714</v>
      </c>
      <c r="B186" s="1" t="s">
        <v>23</v>
      </c>
      <c r="C186" s="1" t="s">
        <v>15</v>
      </c>
      <c r="D186" s="2" t="s">
        <v>36</v>
      </c>
      <c r="E186" s="2" t="s">
        <v>207</v>
      </c>
      <c r="F186" s="2" t="s">
        <v>760</v>
      </c>
      <c r="G186" s="2" t="s">
        <v>761</v>
      </c>
      <c r="H186" s="2" t="s">
        <v>762</v>
      </c>
      <c r="I186" s="2" t="s">
        <v>718</v>
      </c>
      <c r="J186" s="2" t="s">
        <v>739</v>
      </c>
      <c r="K186" s="2">
        <v>1</v>
      </c>
      <c r="L186" s="2">
        <v>88</v>
      </c>
      <c r="M186" s="3">
        <v>161</v>
      </c>
      <c r="Q186" s="11" t="s">
        <v>881</v>
      </c>
      <c r="R186">
        <v>0</v>
      </c>
    </row>
    <row r="187" spans="1:18" x14ac:dyDescent="0.2">
      <c r="A187" s="1" t="s">
        <v>763</v>
      </c>
      <c r="B187" s="1" t="s">
        <v>23</v>
      </c>
      <c r="C187" s="1" t="s">
        <v>15</v>
      </c>
      <c r="D187" s="2" t="s">
        <v>55</v>
      </c>
      <c r="E187" s="2" t="s">
        <v>92</v>
      </c>
      <c r="F187" s="2" t="s">
        <v>764</v>
      </c>
      <c r="G187" s="2" t="s">
        <v>765</v>
      </c>
      <c r="H187" s="2" t="s">
        <v>766</v>
      </c>
      <c r="I187" s="2" t="s">
        <v>767</v>
      </c>
      <c r="J187" s="2" t="s">
        <v>745</v>
      </c>
      <c r="K187" s="2">
        <v>1</v>
      </c>
      <c r="L187" s="2">
        <v>148</v>
      </c>
      <c r="M187" s="3">
        <v>144</v>
      </c>
      <c r="Q187" s="11" t="s">
        <v>768</v>
      </c>
      <c r="R187">
        <v>182</v>
      </c>
    </row>
    <row r="188" spans="1:18" x14ac:dyDescent="0.2">
      <c r="A188" s="1" t="s">
        <v>768</v>
      </c>
      <c r="B188" s="1" t="s">
        <v>43</v>
      </c>
      <c r="C188" s="1" t="s">
        <v>15</v>
      </c>
      <c r="D188" s="2" t="s">
        <v>24</v>
      </c>
      <c r="E188" s="2" t="s">
        <v>80</v>
      </c>
      <c r="F188" s="2" t="s">
        <v>769</v>
      </c>
      <c r="G188" s="2" t="s">
        <v>770</v>
      </c>
      <c r="H188" s="2" t="s">
        <v>771</v>
      </c>
      <c r="I188" s="2" t="s">
        <v>772</v>
      </c>
      <c r="J188" s="2" t="s">
        <v>739</v>
      </c>
      <c r="K188" s="2">
        <v>3</v>
      </c>
      <c r="L188" s="2">
        <v>114</v>
      </c>
      <c r="M188" s="3">
        <v>128</v>
      </c>
      <c r="Q188" s="11" t="s">
        <v>1010</v>
      </c>
      <c r="R188">
        <v>278</v>
      </c>
    </row>
    <row r="189" spans="1:18" x14ac:dyDescent="0.2">
      <c r="A189" s="1" t="s">
        <v>773</v>
      </c>
      <c r="B189" s="1" t="s">
        <v>23</v>
      </c>
      <c r="C189" s="1" t="s">
        <v>15</v>
      </c>
      <c r="D189" s="2" t="s">
        <v>55</v>
      </c>
      <c r="E189" s="2" t="s">
        <v>56</v>
      </c>
      <c r="F189" s="2" t="s">
        <v>774</v>
      </c>
      <c r="G189" s="2" t="s">
        <v>775</v>
      </c>
      <c r="H189" s="2" t="s">
        <v>776</v>
      </c>
      <c r="I189" s="2" t="s">
        <v>777</v>
      </c>
      <c r="J189" s="2" t="s">
        <v>739</v>
      </c>
      <c r="K189" s="2">
        <v>2</v>
      </c>
      <c r="L189" s="2">
        <v>67</v>
      </c>
      <c r="M189" s="3">
        <v>119</v>
      </c>
      <c r="Q189" s="11" t="s">
        <v>1539</v>
      </c>
      <c r="R189">
        <v>50</v>
      </c>
    </row>
    <row r="190" spans="1:18" x14ac:dyDescent="0.2">
      <c r="A190" s="1" t="s">
        <v>71</v>
      </c>
      <c r="B190" s="1" t="s">
        <v>496</v>
      </c>
      <c r="C190" s="1" t="s">
        <v>15</v>
      </c>
      <c r="D190" s="2" t="s">
        <v>72</v>
      </c>
      <c r="E190" s="2" t="s">
        <v>73</v>
      </c>
      <c r="F190" s="2" t="s">
        <v>497</v>
      </c>
      <c r="G190" s="2" t="s">
        <v>498</v>
      </c>
      <c r="H190" s="2" t="s">
        <v>499</v>
      </c>
      <c r="I190" s="2" t="s">
        <v>77</v>
      </c>
      <c r="J190" s="2" t="s">
        <v>739</v>
      </c>
      <c r="K190" s="2">
        <v>2</v>
      </c>
      <c r="L190" s="2">
        <v>50</v>
      </c>
      <c r="M190" s="3">
        <v>112</v>
      </c>
      <c r="Q190" s="11" t="s">
        <v>1282</v>
      </c>
      <c r="R190">
        <v>168</v>
      </c>
    </row>
    <row r="191" spans="1:18" x14ac:dyDescent="0.2">
      <c r="A191" s="1" t="s">
        <v>778</v>
      </c>
      <c r="B191" s="1" t="s">
        <v>23</v>
      </c>
      <c r="C191" s="1" t="s">
        <v>15</v>
      </c>
      <c r="D191" s="2" t="s">
        <v>55</v>
      </c>
      <c r="E191" s="2" t="s">
        <v>56</v>
      </c>
      <c r="F191" s="2" t="s">
        <v>779</v>
      </c>
      <c r="G191" s="2" t="s">
        <v>780</v>
      </c>
      <c r="H191" s="2" t="s">
        <v>781</v>
      </c>
      <c r="I191" s="2" t="s">
        <v>782</v>
      </c>
      <c r="J191" s="2" t="s">
        <v>745</v>
      </c>
      <c r="K191" s="2">
        <v>1</v>
      </c>
      <c r="L191" s="2">
        <v>109</v>
      </c>
      <c r="M191" s="3">
        <v>109</v>
      </c>
      <c r="Q191" s="11" t="s">
        <v>313</v>
      </c>
      <c r="R191">
        <v>548</v>
      </c>
    </row>
    <row r="192" spans="1:18" x14ac:dyDescent="0.2">
      <c r="A192" s="1" t="s">
        <v>343</v>
      </c>
      <c r="B192" s="1" t="s">
        <v>23</v>
      </c>
      <c r="C192" s="1" t="s">
        <v>15</v>
      </c>
      <c r="D192" s="2" t="s">
        <v>16</v>
      </c>
      <c r="E192" s="2" t="s">
        <v>224</v>
      </c>
      <c r="F192" s="2" t="s">
        <v>344</v>
      </c>
      <c r="G192" s="2" t="s">
        <v>345</v>
      </c>
      <c r="H192" s="2" t="s">
        <v>346</v>
      </c>
      <c r="I192" s="2" t="s">
        <v>347</v>
      </c>
      <c r="J192" s="2" t="s">
        <v>739</v>
      </c>
      <c r="K192" s="2">
        <v>2</v>
      </c>
      <c r="L192" s="2">
        <v>125</v>
      </c>
      <c r="M192" s="3">
        <v>97</v>
      </c>
      <c r="Q192" s="11" t="s">
        <v>670</v>
      </c>
      <c r="R192">
        <v>49</v>
      </c>
    </row>
    <row r="193" spans="1:18" x14ac:dyDescent="0.2">
      <c r="A193" s="1" t="s">
        <v>783</v>
      </c>
      <c r="B193" s="1" t="s">
        <v>23</v>
      </c>
      <c r="C193" s="1" t="s">
        <v>15</v>
      </c>
      <c r="D193" s="2" t="s">
        <v>55</v>
      </c>
      <c r="E193" s="2" t="s">
        <v>92</v>
      </c>
      <c r="F193" s="2" t="s">
        <v>784</v>
      </c>
      <c r="G193" s="2" t="s">
        <v>785</v>
      </c>
      <c r="H193" s="2" t="s">
        <v>786</v>
      </c>
      <c r="I193" s="2" t="s">
        <v>787</v>
      </c>
      <c r="J193" s="2" t="s">
        <v>745</v>
      </c>
      <c r="K193" s="2">
        <v>2</v>
      </c>
      <c r="L193" s="2">
        <v>112</v>
      </c>
      <c r="M193" s="3">
        <v>95</v>
      </c>
      <c r="Q193" s="11" t="s">
        <v>1404</v>
      </c>
      <c r="R193">
        <v>957</v>
      </c>
    </row>
    <row r="194" spans="1:18" x14ac:dyDescent="0.2">
      <c r="A194" s="1" t="s">
        <v>788</v>
      </c>
      <c r="B194" s="1" t="s">
        <v>23</v>
      </c>
      <c r="C194" s="1" t="s">
        <v>15</v>
      </c>
      <c r="D194" s="2" t="s">
        <v>16</v>
      </c>
      <c r="E194" s="2" t="s">
        <v>108</v>
      </c>
      <c r="F194" s="2" t="s">
        <v>789</v>
      </c>
      <c r="G194" s="2" t="s">
        <v>790</v>
      </c>
      <c r="H194" s="2" t="s">
        <v>791</v>
      </c>
      <c r="I194" s="2" t="s">
        <v>792</v>
      </c>
      <c r="J194" s="2" t="s">
        <v>739</v>
      </c>
      <c r="K194" s="2">
        <v>4</v>
      </c>
      <c r="L194" s="2">
        <v>98</v>
      </c>
      <c r="M194" s="3">
        <v>81</v>
      </c>
      <c r="Q194" s="11" t="s">
        <v>1668</v>
      </c>
      <c r="R194">
        <v>217</v>
      </c>
    </row>
    <row r="195" spans="1:18" x14ac:dyDescent="0.2">
      <c r="A195" s="1" t="s">
        <v>793</v>
      </c>
      <c r="B195" s="1" t="s">
        <v>23</v>
      </c>
      <c r="C195" s="1" t="s">
        <v>15</v>
      </c>
      <c r="D195" s="2" t="s">
        <v>72</v>
      </c>
      <c r="E195" s="2" t="s">
        <v>213</v>
      </c>
      <c r="F195" s="2" t="s">
        <v>794</v>
      </c>
      <c r="G195" s="2" t="s">
        <v>795</v>
      </c>
      <c r="H195" s="2" t="s">
        <v>796</v>
      </c>
      <c r="I195" s="2" t="s">
        <v>797</v>
      </c>
      <c r="J195" s="2" t="s">
        <v>739</v>
      </c>
      <c r="K195" s="2">
        <v>1</v>
      </c>
      <c r="L195" s="2">
        <v>48</v>
      </c>
      <c r="M195" s="3">
        <v>77</v>
      </c>
      <c r="Q195" s="11" t="s">
        <v>1428</v>
      </c>
      <c r="R195">
        <v>130</v>
      </c>
    </row>
    <row r="196" spans="1:18" x14ac:dyDescent="0.2">
      <c r="A196" s="1" t="s">
        <v>798</v>
      </c>
      <c r="B196" s="1" t="s">
        <v>43</v>
      </c>
      <c r="C196" s="1" t="s">
        <v>15</v>
      </c>
      <c r="D196" s="2" t="s">
        <v>16</v>
      </c>
      <c r="E196" s="2" t="s">
        <v>456</v>
      </c>
      <c r="F196" s="2" t="s">
        <v>799</v>
      </c>
      <c r="G196" s="2" t="s">
        <v>800</v>
      </c>
      <c r="H196" s="2">
        <v>70013243</v>
      </c>
      <c r="I196" s="2" t="s">
        <v>801</v>
      </c>
      <c r="J196" s="2" t="s">
        <v>739</v>
      </c>
      <c r="K196" s="2">
        <v>2</v>
      </c>
      <c r="L196" s="2">
        <v>125</v>
      </c>
      <c r="M196" s="3">
        <v>75</v>
      </c>
      <c r="Q196" s="11" t="s">
        <v>1640</v>
      </c>
      <c r="R196">
        <v>93</v>
      </c>
    </row>
    <row r="197" spans="1:18" x14ac:dyDescent="0.2">
      <c r="A197" s="1" t="s">
        <v>802</v>
      </c>
      <c r="B197" s="1" t="s">
        <v>43</v>
      </c>
      <c r="C197" s="1" t="s">
        <v>15</v>
      </c>
      <c r="D197" s="2" t="s">
        <v>24</v>
      </c>
      <c r="E197" s="2" t="s">
        <v>166</v>
      </c>
      <c r="F197" s="2" t="s">
        <v>803</v>
      </c>
      <c r="G197" s="2" t="s">
        <v>804</v>
      </c>
      <c r="H197" s="2" t="s">
        <v>805</v>
      </c>
      <c r="I197" s="2" t="s">
        <v>806</v>
      </c>
      <c r="J197" s="2" t="s">
        <v>739</v>
      </c>
      <c r="K197" s="2">
        <v>2</v>
      </c>
      <c r="L197" s="2">
        <v>99</v>
      </c>
      <c r="M197" s="3">
        <v>69</v>
      </c>
      <c r="Q197" s="11" t="s">
        <v>1193</v>
      </c>
      <c r="R197">
        <v>0</v>
      </c>
    </row>
    <row r="198" spans="1:18" x14ac:dyDescent="0.2">
      <c r="A198" s="1" t="s">
        <v>778</v>
      </c>
      <c r="B198" s="1" t="s">
        <v>23</v>
      </c>
      <c r="C198" s="1" t="s">
        <v>15</v>
      </c>
      <c r="D198" s="2" t="s">
        <v>55</v>
      </c>
      <c r="E198" s="2" t="s">
        <v>56</v>
      </c>
      <c r="F198" s="2" t="s">
        <v>779</v>
      </c>
      <c r="G198" s="2" t="s">
        <v>780</v>
      </c>
      <c r="H198" s="2" t="s">
        <v>781</v>
      </c>
      <c r="I198" s="2" t="s">
        <v>782</v>
      </c>
      <c r="J198" s="2" t="s">
        <v>739</v>
      </c>
      <c r="K198" s="2">
        <v>2</v>
      </c>
      <c r="L198" s="2">
        <v>69</v>
      </c>
      <c r="M198" s="3">
        <v>68</v>
      </c>
      <c r="Q198" s="11" t="s">
        <v>1015</v>
      </c>
      <c r="R198">
        <v>142</v>
      </c>
    </row>
    <row r="199" spans="1:18" x14ac:dyDescent="0.2">
      <c r="A199" s="1" t="s">
        <v>807</v>
      </c>
      <c r="B199" s="1" t="s">
        <v>23</v>
      </c>
      <c r="C199" s="1" t="s">
        <v>15</v>
      </c>
      <c r="D199" s="2" t="s">
        <v>55</v>
      </c>
      <c r="E199" s="2" t="s">
        <v>92</v>
      </c>
      <c r="F199" s="2" t="s">
        <v>808</v>
      </c>
      <c r="G199" s="2" t="s">
        <v>809</v>
      </c>
      <c r="H199" s="2" t="s">
        <v>810</v>
      </c>
      <c r="I199" s="2" t="s">
        <v>811</v>
      </c>
      <c r="J199" s="2" t="s">
        <v>745</v>
      </c>
      <c r="K199" s="2">
        <v>1</v>
      </c>
      <c r="L199" s="2">
        <v>73</v>
      </c>
      <c r="M199" s="3">
        <v>58</v>
      </c>
      <c r="Q199" s="11" t="s">
        <v>1648</v>
      </c>
      <c r="R199">
        <v>81</v>
      </c>
    </row>
    <row r="200" spans="1:18" x14ac:dyDescent="0.2">
      <c r="A200" s="1" t="s">
        <v>261</v>
      </c>
      <c r="B200" s="1" t="s">
        <v>23</v>
      </c>
      <c r="C200" s="1" t="s">
        <v>15</v>
      </c>
      <c r="D200" s="2" t="s">
        <v>55</v>
      </c>
      <c r="E200" s="2" t="s">
        <v>92</v>
      </c>
      <c r="F200" s="2" t="s">
        <v>262</v>
      </c>
      <c r="G200" s="2" t="s">
        <v>263</v>
      </c>
      <c r="H200" s="2" t="s">
        <v>264</v>
      </c>
      <c r="I200" s="2" t="s">
        <v>265</v>
      </c>
      <c r="J200" s="2" t="s">
        <v>739</v>
      </c>
      <c r="K200" s="2">
        <v>3</v>
      </c>
      <c r="L200" s="2">
        <v>83</v>
      </c>
      <c r="M200" s="3">
        <v>53</v>
      </c>
      <c r="Q200" s="11" t="s">
        <v>1824</v>
      </c>
      <c r="R200">
        <v>126</v>
      </c>
    </row>
    <row r="201" spans="1:18" x14ac:dyDescent="0.2">
      <c r="A201" s="1" t="s">
        <v>191</v>
      </c>
      <c r="B201" s="1" t="s">
        <v>23</v>
      </c>
      <c r="C201" s="1" t="s">
        <v>15</v>
      </c>
      <c r="D201" s="2" t="s">
        <v>55</v>
      </c>
      <c r="E201" s="2" t="s">
        <v>92</v>
      </c>
      <c r="F201" s="2" t="s">
        <v>192</v>
      </c>
      <c r="G201" s="2" t="s">
        <v>193</v>
      </c>
      <c r="H201" s="2" t="s">
        <v>194</v>
      </c>
      <c r="I201" s="2" t="s">
        <v>195</v>
      </c>
      <c r="J201" s="2" t="s">
        <v>739</v>
      </c>
      <c r="K201" s="2">
        <v>2</v>
      </c>
      <c r="L201" s="2">
        <v>52</v>
      </c>
      <c r="M201" s="3">
        <v>52</v>
      </c>
      <c r="Q201" s="11" t="s">
        <v>525</v>
      </c>
      <c r="R201">
        <v>581</v>
      </c>
    </row>
    <row r="202" spans="1:18" x14ac:dyDescent="0.2">
      <c r="A202" s="1" t="s">
        <v>812</v>
      </c>
      <c r="B202" s="1" t="s">
        <v>23</v>
      </c>
      <c r="C202" s="1" t="s">
        <v>15</v>
      </c>
      <c r="D202" s="2" t="s">
        <v>16</v>
      </c>
      <c r="E202" s="2" t="s">
        <v>108</v>
      </c>
      <c r="F202" s="2" t="s">
        <v>813</v>
      </c>
      <c r="G202" s="2" t="s">
        <v>814</v>
      </c>
      <c r="H202" s="2" t="s">
        <v>815</v>
      </c>
      <c r="I202" s="2" t="s">
        <v>816</v>
      </c>
      <c r="J202" s="2" t="s">
        <v>739</v>
      </c>
      <c r="K202" s="2">
        <v>1</v>
      </c>
      <c r="L202" s="2">
        <v>55</v>
      </c>
      <c r="M202" s="3">
        <v>50</v>
      </c>
      <c r="Q202" s="11" t="s">
        <v>461</v>
      </c>
      <c r="R202">
        <v>970</v>
      </c>
    </row>
    <row r="203" spans="1:18" x14ac:dyDescent="0.2">
      <c r="A203" s="1" t="s">
        <v>187</v>
      </c>
      <c r="B203" s="1" t="s">
        <v>66</v>
      </c>
      <c r="C203" s="1" t="s">
        <v>15</v>
      </c>
      <c r="D203" s="2" t="s">
        <v>16</v>
      </c>
      <c r="E203" s="2" t="s">
        <v>17</v>
      </c>
      <c r="F203" s="2" t="s">
        <v>188</v>
      </c>
      <c r="G203" s="2" t="s">
        <v>189</v>
      </c>
      <c r="H203" s="2">
        <v>9297015428</v>
      </c>
      <c r="I203" s="2" t="s">
        <v>190</v>
      </c>
      <c r="J203" s="2" t="s">
        <v>739</v>
      </c>
      <c r="K203" s="2">
        <v>2</v>
      </c>
      <c r="L203" s="2">
        <v>50</v>
      </c>
      <c r="M203" s="3">
        <v>49</v>
      </c>
      <c r="Q203" s="11" t="s">
        <v>588</v>
      </c>
      <c r="R203">
        <v>310</v>
      </c>
    </row>
    <row r="204" spans="1:18" x14ac:dyDescent="0.2">
      <c r="A204" s="1" t="s">
        <v>65</v>
      </c>
      <c r="B204" s="1" t="s">
        <v>66</v>
      </c>
      <c r="C204" s="1" t="s">
        <v>15</v>
      </c>
      <c r="D204" s="2" t="s">
        <v>36</v>
      </c>
      <c r="E204" s="2" t="s">
        <v>37</v>
      </c>
      <c r="F204" s="2" t="s">
        <v>67</v>
      </c>
      <c r="G204" s="2" t="s">
        <v>68</v>
      </c>
      <c r="H204" s="2" t="s">
        <v>69</v>
      </c>
      <c r="I204" s="2" t="s">
        <v>70</v>
      </c>
      <c r="J204" s="2" t="s">
        <v>739</v>
      </c>
      <c r="K204" s="2">
        <v>1</v>
      </c>
      <c r="L204" s="2">
        <v>81</v>
      </c>
      <c r="M204" s="3">
        <v>49</v>
      </c>
      <c r="Q204" s="11" t="s">
        <v>1020</v>
      </c>
      <c r="R204">
        <v>685</v>
      </c>
    </row>
    <row r="205" spans="1:18" x14ac:dyDescent="0.2">
      <c r="A205" s="1" t="s">
        <v>563</v>
      </c>
      <c r="B205" s="1" t="s">
        <v>23</v>
      </c>
      <c r="C205" s="1" t="s">
        <v>15</v>
      </c>
      <c r="D205" s="2" t="s">
        <v>44</v>
      </c>
      <c r="E205" s="2" t="s">
        <v>44</v>
      </c>
      <c r="F205" s="2" t="s">
        <v>564</v>
      </c>
      <c r="G205" s="2" t="s">
        <v>565</v>
      </c>
      <c r="H205" s="2" t="s">
        <v>566</v>
      </c>
      <c r="I205" s="2" t="s">
        <v>567</v>
      </c>
      <c r="J205" s="2" t="s">
        <v>739</v>
      </c>
      <c r="K205" s="2">
        <v>1</v>
      </c>
      <c r="L205" s="2">
        <v>24</v>
      </c>
      <c r="M205" s="3">
        <v>49</v>
      </c>
      <c r="Q205" s="11" t="s">
        <v>1754</v>
      </c>
      <c r="R205">
        <v>43</v>
      </c>
    </row>
    <row r="206" spans="1:18" x14ac:dyDescent="0.2">
      <c r="A206" s="1" t="s">
        <v>817</v>
      </c>
      <c r="B206" s="1" t="s">
        <v>23</v>
      </c>
      <c r="C206" s="1" t="s">
        <v>15</v>
      </c>
      <c r="D206" s="2" t="s">
        <v>24</v>
      </c>
      <c r="E206" s="2" t="s">
        <v>818</v>
      </c>
      <c r="F206" s="2" t="s">
        <v>819</v>
      </c>
      <c r="G206" s="2" t="s">
        <v>820</v>
      </c>
      <c r="H206" s="2" t="s">
        <v>821</v>
      </c>
      <c r="I206" s="2" t="s">
        <v>822</v>
      </c>
      <c r="J206" s="2" t="s">
        <v>739</v>
      </c>
      <c r="K206" s="2">
        <v>2</v>
      </c>
      <c r="L206" s="2">
        <v>131</v>
      </c>
      <c r="M206" s="3">
        <v>45</v>
      </c>
      <c r="Q206" s="11" t="s">
        <v>1025</v>
      </c>
      <c r="R206">
        <v>1572</v>
      </c>
    </row>
    <row r="207" spans="1:18" x14ac:dyDescent="0.2">
      <c r="A207" s="1" t="s">
        <v>823</v>
      </c>
      <c r="B207" s="1" t="s">
        <v>23</v>
      </c>
      <c r="C207" s="1" t="s">
        <v>15</v>
      </c>
      <c r="D207" s="2" t="s">
        <v>24</v>
      </c>
      <c r="E207" s="2" t="s">
        <v>80</v>
      </c>
      <c r="F207" s="2" t="s">
        <v>824</v>
      </c>
      <c r="G207" s="2" t="s">
        <v>825</v>
      </c>
      <c r="H207" s="2" t="s">
        <v>826</v>
      </c>
      <c r="I207" s="2" t="s">
        <v>827</v>
      </c>
      <c r="J207" s="2" t="s">
        <v>739</v>
      </c>
      <c r="K207" s="2">
        <v>1</v>
      </c>
      <c r="L207" s="2">
        <v>50</v>
      </c>
      <c r="M207" s="3">
        <v>42</v>
      </c>
      <c r="Q207" s="11" t="s">
        <v>318</v>
      </c>
      <c r="R207">
        <v>0</v>
      </c>
    </row>
    <row r="208" spans="1:18" x14ac:dyDescent="0.2">
      <c r="A208" s="1" t="s">
        <v>828</v>
      </c>
      <c r="B208" s="1" t="s">
        <v>23</v>
      </c>
      <c r="C208" s="1" t="s">
        <v>15</v>
      </c>
      <c r="D208" s="2" t="s">
        <v>16</v>
      </c>
      <c r="E208" s="2" t="s">
        <v>17</v>
      </c>
      <c r="F208" s="2" t="s">
        <v>829</v>
      </c>
      <c r="G208" s="2" t="s">
        <v>830</v>
      </c>
      <c r="H208" s="2">
        <v>82521804</v>
      </c>
      <c r="I208" s="2" t="s">
        <v>831</v>
      </c>
      <c r="J208" s="2" t="s">
        <v>745</v>
      </c>
      <c r="K208" s="2">
        <v>1</v>
      </c>
      <c r="L208" s="2">
        <v>57</v>
      </c>
      <c r="M208" s="3">
        <v>41</v>
      </c>
      <c r="Q208" s="11" t="s">
        <v>1544</v>
      </c>
      <c r="R208">
        <v>47</v>
      </c>
    </row>
    <row r="209" spans="1:18" x14ac:dyDescent="0.2">
      <c r="A209" s="1" t="s">
        <v>832</v>
      </c>
      <c r="B209" s="1" t="s">
        <v>23</v>
      </c>
      <c r="C209" s="1" t="s">
        <v>15</v>
      </c>
      <c r="D209" s="2" t="s">
        <v>16</v>
      </c>
      <c r="E209" s="2" t="s">
        <v>224</v>
      </c>
      <c r="F209" s="2" t="s">
        <v>833</v>
      </c>
      <c r="G209" s="2" t="s">
        <v>834</v>
      </c>
      <c r="H209" s="2" t="s">
        <v>835</v>
      </c>
      <c r="I209" s="2" t="s">
        <v>836</v>
      </c>
      <c r="J209" s="2" t="s">
        <v>739</v>
      </c>
      <c r="K209" s="2">
        <v>2</v>
      </c>
      <c r="L209" s="2">
        <v>81</v>
      </c>
      <c r="M209" s="3">
        <v>34</v>
      </c>
      <c r="Q209" s="11" t="s">
        <v>755</v>
      </c>
      <c r="R209">
        <v>179</v>
      </c>
    </row>
    <row r="210" spans="1:18" x14ac:dyDescent="0.2">
      <c r="A210" s="1" t="s">
        <v>678</v>
      </c>
      <c r="B210" s="1" t="s">
        <v>23</v>
      </c>
      <c r="C210" s="1" t="s">
        <v>15</v>
      </c>
      <c r="D210" s="2" t="s">
        <v>16</v>
      </c>
      <c r="E210" s="2" t="s">
        <v>108</v>
      </c>
      <c r="F210" s="2" t="s">
        <v>679</v>
      </c>
      <c r="G210" s="2" t="s">
        <v>680</v>
      </c>
      <c r="H210" s="2" t="s">
        <v>681</v>
      </c>
      <c r="I210" s="2" t="s">
        <v>682</v>
      </c>
      <c r="J210" s="2" t="s">
        <v>739</v>
      </c>
      <c r="K210" s="2">
        <v>1</v>
      </c>
      <c r="L210" s="2">
        <v>39</v>
      </c>
      <c r="M210" s="3">
        <v>32</v>
      </c>
      <c r="Q210" s="11" t="s">
        <v>593</v>
      </c>
      <c r="R210">
        <v>181</v>
      </c>
    </row>
    <row r="211" spans="1:18" x14ac:dyDescent="0.2">
      <c r="A211" s="1" t="s">
        <v>578</v>
      </c>
      <c r="B211" s="1" t="s">
        <v>23</v>
      </c>
      <c r="C211" s="1" t="s">
        <v>15</v>
      </c>
      <c r="D211" s="2" t="s">
        <v>24</v>
      </c>
      <c r="E211" s="2" t="s">
        <v>182</v>
      </c>
      <c r="F211" s="2" t="s">
        <v>579</v>
      </c>
      <c r="G211" s="2" t="s">
        <v>580</v>
      </c>
      <c r="H211" s="2" t="s">
        <v>581</v>
      </c>
      <c r="I211" s="2" t="s">
        <v>582</v>
      </c>
      <c r="J211" s="2" t="s">
        <v>739</v>
      </c>
      <c r="K211" s="2">
        <v>2</v>
      </c>
      <c r="L211" s="2">
        <v>32</v>
      </c>
      <c r="M211" s="3">
        <v>30</v>
      </c>
      <c r="Q211" s="11" t="s">
        <v>1409</v>
      </c>
      <c r="R211">
        <v>61</v>
      </c>
    </row>
    <row r="212" spans="1:18" x14ac:dyDescent="0.2">
      <c r="A212" s="1" t="s">
        <v>837</v>
      </c>
      <c r="B212" s="1" t="s">
        <v>23</v>
      </c>
      <c r="C212" s="1" t="s">
        <v>15</v>
      </c>
      <c r="D212" s="2" t="s">
        <v>16</v>
      </c>
      <c r="E212" s="2" t="s">
        <v>456</v>
      </c>
      <c r="F212" s="2" t="s">
        <v>799</v>
      </c>
      <c r="G212" s="2" t="s">
        <v>800</v>
      </c>
      <c r="H212" s="2" t="s">
        <v>838</v>
      </c>
      <c r="I212" s="2" t="s">
        <v>801</v>
      </c>
      <c r="J212" s="2" t="s">
        <v>739</v>
      </c>
      <c r="K212" s="2">
        <v>0</v>
      </c>
      <c r="L212" s="2">
        <v>0</v>
      </c>
      <c r="M212" s="3">
        <v>25</v>
      </c>
      <c r="Q212" s="11" t="s">
        <v>1090</v>
      </c>
      <c r="R212">
        <v>1035</v>
      </c>
    </row>
    <row r="213" spans="1:18" x14ac:dyDescent="0.2">
      <c r="A213" s="1" t="s">
        <v>839</v>
      </c>
      <c r="B213" s="1" t="s">
        <v>23</v>
      </c>
      <c r="C213" s="1" t="s">
        <v>15</v>
      </c>
      <c r="D213" s="2" t="s">
        <v>16</v>
      </c>
      <c r="E213" s="2" t="s">
        <v>456</v>
      </c>
      <c r="F213" s="2" t="s">
        <v>840</v>
      </c>
      <c r="G213" s="2" t="s">
        <v>841</v>
      </c>
      <c r="H213" s="2" t="s">
        <v>842</v>
      </c>
      <c r="I213" s="2" t="s">
        <v>843</v>
      </c>
      <c r="J213" s="2" t="s">
        <v>739</v>
      </c>
      <c r="K213" s="2">
        <v>1</v>
      </c>
      <c r="L213" s="2">
        <v>24</v>
      </c>
      <c r="M213" s="3">
        <v>25</v>
      </c>
      <c r="Q213" s="11" t="s">
        <v>134</v>
      </c>
      <c r="R213">
        <v>782</v>
      </c>
    </row>
    <row r="214" spans="1:18" x14ac:dyDescent="0.2">
      <c r="A214" s="1" t="s">
        <v>844</v>
      </c>
      <c r="B214" s="1" t="s">
        <v>23</v>
      </c>
      <c r="C214" s="1" t="s">
        <v>15</v>
      </c>
      <c r="D214" s="2" t="s">
        <v>24</v>
      </c>
      <c r="E214" s="2" t="s">
        <v>182</v>
      </c>
      <c r="F214" s="2" t="s">
        <v>845</v>
      </c>
      <c r="G214" s="2" t="s">
        <v>846</v>
      </c>
      <c r="H214" s="2" t="s">
        <v>847</v>
      </c>
      <c r="I214" s="2" t="s">
        <v>848</v>
      </c>
      <c r="J214" s="2" t="s">
        <v>739</v>
      </c>
      <c r="K214" s="2">
        <v>1</v>
      </c>
      <c r="L214" s="2">
        <v>22</v>
      </c>
      <c r="M214" s="3">
        <v>22</v>
      </c>
      <c r="Q214" s="11" t="s">
        <v>832</v>
      </c>
      <c r="R214">
        <v>34</v>
      </c>
    </row>
    <row r="215" spans="1:18" x14ac:dyDescent="0.2">
      <c r="A215" s="1" t="s">
        <v>849</v>
      </c>
      <c r="B215" s="1" t="s">
        <v>23</v>
      </c>
      <c r="C215" s="1" t="s">
        <v>15</v>
      </c>
      <c r="D215" s="2" t="s">
        <v>16</v>
      </c>
      <c r="E215" s="2" t="s">
        <v>456</v>
      </c>
      <c r="F215" s="2" t="s">
        <v>850</v>
      </c>
      <c r="G215" s="2" t="s">
        <v>851</v>
      </c>
      <c r="H215" s="2" t="s">
        <v>852</v>
      </c>
      <c r="I215" s="2" t="s">
        <v>853</v>
      </c>
      <c r="J215" s="2" t="s">
        <v>739</v>
      </c>
      <c r="K215" s="2">
        <v>1</v>
      </c>
      <c r="L215" s="2">
        <v>41</v>
      </c>
      <c r="M215" s="3">
        <v>15</v>
      </c>
      <c r="Q215" s="11" t="s">
        <v>139</v>
      </c>
      <c r="R215">
        <v>1374</v>
      </c>
    </row>
    <row r="216" spans="1:18" x14ac:dyDescent="0.2">
      <c r="A216" s="1" t="s">
        <v>394</v>
      </c>
      <c r="B216" s="1" t="s">
        <v>23</v>
      </c>
      <c r="C216" s="1" t="s">
        <v>15</v>
      </c>
      <c r="D216" s="2" t="s">
        <v>24</v>
      </c>
      <c r="E216" s="2" t="s">
        <v>395</v>
      </c>
      <c r="F216" s="2" t="s">
        <v>396</v>
      </c>
      <c r="G216" s="2" t="s">
        <v>397</v>
      </c>
      <c r="H216" s="2" t="s">
        <v>398</v>
      </c>
      <c r="I216" s="2" t="s">
        <v>399</v>
      </c>
      <c r="J216" s="2" t="s">
        <v>739</v>
      </c>
      <c r="K216" s="2">
        <v>1</v>
      </c>
      <c r="L216" s="2">
        <v>17</v>
      </c>
      <c r="M216" s="3">
        <v>14</v>
      </c>
      <c r="Q216" s="11" t="s">
        <v>1849</v>
      </c>
      <c r="R216">
        <v>15</v>
      </c>
    </row>
    <row r="217" spans="1:18" x14ac:dyDescent="0.2">
      <c r="A217" s="1" t="s">
        <v>854</v>
      </c>
      <c r="B217" s="1" t="s">
        <v>43</v>
      </c>
      <c r="C217" s="1" t="s">
        <v>15</v>
      </c>
      <c r="D217" s="2" t="s">
        <v>44</v>
      </c>
      <c r="E217" s="2" t="s">
        <v>44</v>
      </c>
      <c r="F217" s="2" t="s">
        <v>855</v>
      </c>
      <c r="G217" s="2" t="s">
        <v>856</v>
      </c>
      <c r="H217" s="2" t="s">
        <v>857</v>
      </c>
      <c r="I217" s="2" t="s">
        <v>858</v>
      </c>
      <c r="J217" s="2" t="s">
        <v>739</v>
      </c>
      <c r="K217" s="2">
        <v>1</v>
      </c>
      <c r="L217" s="2">
        <v>15</v>
      </c>
      <c r="M217" s="3">
        <v>14</v>
      </c>
      <c r="Q217" s="11" t="s">
        <v>1229</v>
      </c>
      <c r="R217">
        <v>1</v>
      </c>
    </row>
    <row r="218" spans="1:18" x14ac:dyDescent="0.2">
      <c r="A218" s="1" t="s">
        <v>859</v>
      </c>
      <c r="B218" s="1" t="s">
        <v>23</v>
      </c>
      <c r="C218" s="1" t="s">
        <v>15</v>
      </c>
      <c r="D218" s="2" t="s">
        <v>72</v>
      </c>
      <c r="E218" s="2" t="s">
        <v>491</v>
      </c>
      <c r="F218" s="2" t="s">
        <v>860</v>
      </c>
      <c r="G218" s="2" t="s">
        <v>861</v>
      </c>
      <c r="H218" s="2" t="s">
        <v>862</v>
      </c>
      <c r="I218" s="2" t="s">
        <v>863</v>
      </c>
      <c r="J218" s="2" t="s">
        <v>745</v>
      </c>
      <c r="K218" s="2">
        <v>1</v>
      </c>
      <c r="L218" s="2">
        <v>17</v>
      </c>
      <c r="M218" s="3">
        <v>10</v>
      </c>
      <c r="Q218" s="11" t="s">
        <v>530</v>
      </c>
      <c r="R218">
        <v>165</v>
      </c>
    </row>
    <row r="219" spans="1:18" x14ac:dyDescent="0.2">
      <c r="A219" s="1" t="s">
        <v>864</v>
      </c>
      <c r="B219" s="1" t="s">
        <v>43</v>
      </c>
      <c r="C219" s="1" t="s">
        <v>15</v>
      </c>
      <c r="D219" s="2" t="s">
        <v>44</v>
      </c>
      <c r="E219" s="2" t="s">
        <v>44</v>
      </c>
      <c r="F219" s="2" t="s">
        <v>865</v>
      </c>
      <c r="G219" s="2"/>
      <c r="H219" s="2" t="s">
        <v>866</v>
      </c>
      <c r="I219" s="2" t="s">
        <v>867</v>
      </c>
      <c r="J219" s="2" t="s">
        <v>739</v>
      </c>
      <c r="K219" s="2">
        <v>1</v>
      </c>
      <c r="L219" s="2">
        <v>25</v>
      </c>
      <c r="M219" s="3">
        <v>7</v>
      </c>
      <c r="Q219" s="11" t="s">
        <v>144</v>
      </c>
      <c r="R219">
        <v>329</v>
      </c>
    </row>
    <row r="220" spans="1:18" x14ac:dyDescent="0.2">
      <c r="A220" s="1" t="s">
        <v>714</v>
      </c>
      <c r="B220" s="1" t="s">
        <v>23</v>
      </c>
      <c r="C220" s="1" t="s">
        <v>15</v>
      </c>
      <c r="D220" s="2" t="s">
        <v>36</v>
      </c>
      <c r="E220" s="2" t="s">
        <v>207</v>
      </c>
      <c r="F220" s="2" t="s">
        <v>715</v>
      </c>
      <c r="G220" s="2" t="s">
        <v>716</v>
      </c>
      <c r="H220" s="2" t="s">
        <v>717</v>
      </c>
      <c r="I220" s="2" t="s">
        <v>718</v>
      </c>
      <c r="J220" s="2" t="s">
        <v>739</v>
      </c>
      <c r="K220" s="2">
        <v>1</v>
      </c>
      <c r="L220" s="2">
        <v>118</v>
      </c>
      <c r="M220" s="3">
        <v>4</v>
      </c>
      <c r="Q220" s="11" t="s">
        <v>1799</v>
      </c>
      <c r="R220">
        <v>151</v>
      </c>
    </row>
    <row r="221" spans="1:18" x14ac:dyDescent="0.2">
      <c r="A221" s="1" t="s">
        <v>394</v>
      </c>
      <c r="B221" s="1" t="s">
        <v>23</v>
      </c>
      <c r="C221" s="1" t="s">
        <v>15</v>
      </c>
      <c r="D221" s="2" t="s">
        <v>24</v>
      </c>
      <c r="E221" s="2" t="s">
        <v>395</v>
      </c>
      <c r="F221" s="2" t="s">
        <v>396</v>
      </c>
      <c r="G221" s="2" t="s">
        <v>397</v>
      </c>
      <c r="H221" s="2" t="s">
        <v>398</v>
      </c>
      <c r="I221" s="2" t="s">
        <v>399</v>
      </c>
      <c r="J221" s="2" t="s">
        <v>745</v>
      </c>
      <c r="K221" s="2">
        <v>1</v>
      </c>
      <c r="L221" s="2">
        <v>2</v>
      </c>
      <c r="M221" s="3">
        <v>2</v>
      </c>
      <c r="Q221" s="11" t="s">
        <v>1586</v>
      </c>
      <c r="R221">
        <v>102</v>
      </c>
    </row>
    <row r="222" spans="1:18" x14ac:dyDescent="0.2">
      <c r="A222" s="1" t="s">
        <v>650</v>
      </c>
      <c r="B222" s="1" t="s">
        <v>23</v>
      </c>
      <c r="C222" s="1" t="s">
        <v>15</v>
      </c>
      <c r="D222" s="2" t="s">
        <v>36</v>
      </c>
      <c r="E222" s="2" t="s">
        <v>207</v>
      </c>
      <c r="F222" s="2" t="s">
        <v>651</v>
      </c>
      <c r="G222" s="2" t="s">
        <v>652</v>
      </c>
      <c r="H222" s="2" t="s">
        <v>653</v>
      </c>
      <c r="I222" s="2" t="s">
        <v>654</v>
      </c>
      <c r="J222" s="2" t="s">
        <v>739</v>
      </c>
      <c r="K222" s="2">
        <v>1</v>
      </c>
      <c r="L222" s="2">
        <v>31</v>
      </c>
      <c r="M222" s="3">
        <v>1</v>
      </c>
      <c r="Q222" s="11" t="s">
        <v>1153</v>
      </c>
      <c r="R222">
        <v>99</v>
      </c>
    </row>
    <row r="223" spans="1:18" x14ac:dyDescent="0.2">
      <c r="A223" s="1" t="s">
        <v>868</v>
      </c>
      <c r="B223" s="1" t="s">
        <v>23</v>
      </c>
      <c r="C223" s="1" t="s">
        <v>15</v>
      </c>
      <c r="D223" s="2" t="s">
        <v>16</v>
      </c>
      <c r="E223" s="2" t="s">
        <v>108</v>
      </c>
      <c r="F223" s="2" t="s">
        <v>869</v>
      </c>
      <c r="G223" s="2" t="s">
        <v>870</v>
      </c>
      <c r="H223" s="2" t="s">
        <v>871</v>
      </c>
      <c r="I223" s="2" t="s">
        <v>872</v>
      </c>
      <c r="J223" s="2" t="s">
        <v>739</v>
      </c>
      <c r="K223" s="2">
        <v>1</v>
      </c>
      <c r="L223" s="2">
        <v>1</v>
      </c>
      <c r="M223" s="3">
        <v>1</v>
      </c>
      <c r="Q223" s="11" t="s">
        <v>678</v>
      </c>
      <c r="R223">
        <v>282</v>
      </c>
    </row>
    <row r="224" spans="1:18" x14ac:dyDescent="0.2">
      <c r="A224" s="1" t="s">
        <v>873</v>
      </c>
      <c r="B224" s="1" t="s">
        <v>43</v>
      </c>
      <c r="C224" s="1" t="s">
        <v>15</v>
      </c>
      <c r="D224" s="2" t="s">
        <v>16</v>
      </c>
      <c r="E224" s="2" t="s">
        <v>108</v>
      </c>
      <c r="F224" s="2" t="s">
        <v>874</v>
      </c>
      <c r="G224" s="2" t="s">
        <v>875</v>
      </c>
      <c r="H224" s="2" t="s">
        <v>876</v>
      </c>
      <c r="I224" s="2" t="s">
        <v>877</v>
      </c>
      <c r="J224" s="2" t="s">
        <v>739</v>
      </c>
      <c r="K224" s="2">
        <v>1</v>
      </c>
      <c r="L224" s="2">
        <v>1</v>
      </c>
      <c r="M224" s="3">
        <v>1</v>
      </c>
      <c r="Q224" s="11" t="s">
        <v>1856</v>
      </c>
      <c r="R224">
        <v>0</v>
      </c>
    </row>
    <row r="225" spans="1:18" x14ac:dyDescent="0.2">
      <c r="A225" s="1" t="s">
        <v>878</v>
      </c>
      <c r="B225" s="1" t="s">
        <v>23</v>
      </c>
      <c r="C225" s="1" t="s">
        <v>15</v>
      </c>
      <c r="D225" s="2" t="s">
        <v>16</v>
      </c>
      <c r="E225" s="2" t="s">
        <v>108</v>
      </c>
      <c r="F225" s="2" t="s">
        <v>879</v>
      </c>
      <c r="G225" s="2" t="s">
        <v>880</v>
      </c>
      <c r="H225" s="2">
        <v>9271389268</v>
      </c>
      <c r="I225" s="2"/>
      <c r="J225" s="2" t="s">
        <v>745</v>
      </c>
      <c r="K225" s="2">
        <v>1</v>
      </c>
      <c r="L225" s="2">
        <v>1</v>
      </c>
      <c r="M225" s="3">
        <v>0</v>
      </c>
      <c r="Q225" s="11" t="s">
        <v>1029</v>
      </c>
      <c r="R225">
        <v>607</v>
      </c>
    </row>
    <row r="226" spans="1:18" x14ac:dyDescent="0.2">
      <c r="A226" s="1" t="s">
        <v>881</v>
      </c>
      <c r="B226" s="1" t="s">
        <v>23</v>
      </c>
      <c r="C226" s="1" t="s">
        <v>15</v>
      </c>
      <c r="D226" s="2" t="s">
        <v>36</v>
      </c>
      <c r="E226" s="2" t="s">
        <v>207</v>
      </c>
      <c r="F226" s="2" t="s">
        <v>882</v>
      </c>
      <c r="G226" s="2"/>
      <c r="H226" s="2" t="s">
        <v>883</v>
      </c>
      <c r="I226" s="2"/>
      <c r="J226" s="2" t="s">
        <v>739</v>
      </c>
      <c r="K226" s="2">
        <v>0</v>
      </c>
      <c r="L226" s="2">
        <v>0</v>
      </c>
      <c r="M226" s="3">
        <v>0</v>
      </c>
      <c r="Q226" s="11" t="s">
        <v>793</v>
      </c>
      <c r="R226">
        <v>77</v>
      </c>
    </row>
    <row r="227" spans="1:18" x14ac:dyDescent="0.2">
      <c r="A227" s="1" t="s">
        <v>884</v>
      </c>
      <c r="B227" s="1" t="s">
        <v>23</v>
      </c>
      <c r="C227" s="1" t="s">
        <v>15</v>
      </c>
      <c r="D227" s="2" t="s">
        <v>16</v>
      </c>
      <c r="E227" s="2" t="s">
        <v>456</v>
      </c>
      <c r="F227" s="2" t="s">
        <v>885</v>
      </c>
      <c r="G227" s="2" t="s">
        <v>886</v>
      </c>
      <c r="H227" s="2">
        <v>9176201563</v>
      </c>
      <c r="I227" s="2" t="s">
        <v>887</v>
      </c>
      <c r="J227" s="2" t="s">
        <v>739</v>
      </c>
      <c r="K227" s="2">
        <v>1</v>
      </c>
      <c r="L227" s="2">
        <v>11</v>
      </c>
      <c r="M227" s="3">
        <v>0</v>
      </c>
      <c r="Q227" s="11" t="s">
        <v>1470</v>
      </c>
      <c r="R227">
        <v>199</v>
      </c>
    </row>
    <row r="228" spans="1:18" x14ac:dyDescent="0.2">
      <c r="A228" s="1" t="s">
        <v>888</v>
      </c>
      <c r="B228" s="1" t="s">
        <v>23</v>
      </c>
      <c r="C228" s="1" t="s">
        <v>15</v>
      </c>
      <c r="D228" s="2" t="s">
        <v>16</v>
      </c>
      <c r="E228" s="2" t="s">
        <v>17</v>
      </c>
      <c r="F228" s="2" t="s">
        <v>889</v>
      </c>
      <c r="G228" s="2" t="s">
        <v>890</v>
      </c>
      <c r="H228" s="2" t="s">
        <v>891</v>
      </c>
      <c r="I228" s="2" t="s">
        <v>892</v>
      </c>
      <c r="J228" s="2" t="s">
        <v>893</v>
      </c>
      <c r="K228" s="2">
        <v>0</v>
      </c>
      <c r="L228" s="2">
        <v>0</v>
      </c>
      <c r="M228" s="3">
        <v>40</v>
      </c>
      <c r="Q228" s="11" t="s">
        <v>640</v>
      </c>
      <c r="R228">
        <v>64</v>
      </c>
    </row>
    <row r="229" spans="1:18" x14ac:dyDescent="0.2">
      <c r="A229" s="1" t="s">
        <v>894</v>
      </c>
      <c r="B229" s="1" t="s">
        <v>240</v>
      </c>
      <c r="C229" s="1" t="s">
        <v>15</v>
      </c>
      <c r="D229" s="2" t="s">
        <v>55</v>
      </c>
      <c r="E229" s="2" t="s">
        <v>92</v>
      </c>
      <c r="F229" s="2" t="s">
        <v>895</v>
      </c>
      <c r="G229" s="2" t="s">
        <v>896</v>
      </c>
      <c r="H229" s="2">
        <v>9688524038</v>
      </c>
      <c r="I229" s="2" t="s">
        <v>897</v>
      </c>
      <c r="J229" s="2" t="s">
        <v>893</v>
      </c>
      <c r="K229" s="2">
        <v>1</v>
      </c>
      <c r="L229" s="2">
        <v>102</v>
      </c>
      <c r="M229" s="3">
        <v>98</v>
      </c>
      <c r="Q229" s="11" t="s">
        <v>1550</v>
      </c>
      <c r="R229">
        <v>116</v>
      </c>
    </row>
    <row r="230" spans="1:18" x14ac:dyDescent="0.2">
      <c r="A230" s="1" t="s">
        <v>898</v>
      </c>
      <c r="B230" s="1" t="s">
        <v>23</v>
      </c>
      <c r="C230" s="1" t="s">
        <v>15</v>
      </c>
      <c r="D230" s="2" t="s">
        <v>72</v>
      </c>
      <c r="E230" s="2" t="s">
        <v>213</v>
      </c>
      <c r="F230" s="2" t="s">
        <v>899</v>
      </c>
      <c r="G230" s="2" t="s">
        <v>900</v>
      </c>
      <c r="H230" s="2" t="s">
        <v>901</v>
      </c>
      <c r="I230" s="2" t="s">
        <v>902</v>
      </c>
      <c r="J230" s="2" t="s">
        <v>893</v>
      </c>
      <c r="K230" s="2">
        <v>3</v>
      </c>
      <c r="L230" s="2">
        <v>373</v>
      </c>
      <c r="M230" s="3">
        <v>312</v>
      </c>
      <c r="Q230" s="11" t="s">
        <v>1555</v>
      </c>
      <c r="R230">
        <v>86</v>
      </c>
    </row>
    <row r="231" spans="1:18" x14ac:dyDescent="0.2">
      <c r="A231" s="1" t="s">
        <v>65</v>
      </c>
      <c r="B231" s="1" t="s">
        <v>66</v>
      </c>
      <c r="C231" s="1" t="s">
        <v>15</v>
      </c>
      <c r="D231" s="2" t="s">
        <v>36</v>
      </c>
      <c r="E231" s="2" t="s">
        <v>37</v>
      </c>
      <c r="F231" s="2" t="s">
        <v>67</v>
      </c>
      <c r="G231" s="2" t="s">
        <v>68</v>
      </c>
      <c r="H231" s="2" t="s">
        <v>69</v>
      </c>
      <c r="I231" s="2" t="s">
        <v>70</v>
      </c>
      <c r="J231" s="2" t="s">
        <v>893</v>
      </c>
      <c r="K231" s="2">
        <v>1</v>
      </c>
      <c r="L231" s="2">
        <v>25</v>
      </c>
      <c r="M231" s="3">
        <v>0</v>
      </c>
      <c r="Q231" s="11" t="s">
        <v>71</v>
      </c>
      <c r="R231">
        <v>452</v>
      </c>
    </row>
    <row r="232" spans="1:18" x14ac:dyDescent="0.2">
      <c r="A232" s="1" t="s">
        <v>384</v>
      </c>
      <c r="B232" s="1" t="s">
        <v>23</v>
      </c>
      <c r="C232" s="1" t="s">
        <v>15</v>
      </c>
      <c r="D232" s="2" t="s">
        <v>72</v>
      </c>
      <c r="E232" s="2" t="s">
        <v>119</v>
      </c>
      <c r="F232" s="2" t="s">
        <v>385</v>
      </c>
      <c r="G232" s="2" t="s">
        <v>386</v>
      </c>
      <c r="H232" s="2" t="s">
        <v>387</v>
      </c>
      <c r="I232" s="2" t="s">
        <v>388</v>
      </c>
      <c r="J232" s="2" t="s">
        <v>903</v>
      </c>
      <c r="K232" s="2">
        <v>1</v>
      </c>
      <c r="L232" s="2">
        <v>15</v>
      </c>
      <c r="M232" s="3">
        <v>0</v>
      </c>
      <c r="Q232" s="11" t="s">
        <v>323</v>
      </c>
      <c r="R232">
        <v>230</v>
      </c>
    </row>
    <row r="233" spans="1:18" x14ac:dyDescent="0.2">
      <c r="A233" s="1" t="s">
        <v>490</v>
      </c>
      <c r="B233" s="1" t="s">
        <v>23</v>
      </c>
      <c r="C233" s="1" t="s">
        <v>15</v>
      </c>
      <c r="D233" s="2" t="s">
        <v>72</v>
      </c>
      <c r="E233" s="2" t="s">
        <v>491</v>
      </c>
      <c r="F233" s="2" t="s">
        <v>492</v>
      </c>
      <c r="G233" s="2" t="s">
        <v>493</v>
      </c>
      <c r="H233" s="2" t="s">
        <v>494</v>
      </c>
      <c r="I233" s="2" t="s">
        <v>495</v>
      </c>
      <c r="J233" s="2" t="s">
        <v>903</v>
      </c>
      <c r="K233" s="2">
        <v>1</v>
      </c>
      <c r="L233" s="2">
        <v>18</v>
      </c>
      <c r="M233" s="3">
        <v>10</v>
      </c>
      <c r="Q233" s="11" t="s">
        <v>894</v>
      </c>
      <c r="R233">
        <v>584</v>
      </c>
    </row>
    <row r="234" spans="1:18" x14ac:dyDescent="0.2">
      <c r="A234" s="1" t="s">
        <v>632</v>
      </c>
      <c r="B234" s="1" t="s">
        <v>23</v>
      </c>
      <c r="C234" s="1" t="s">
        <v>15</v>
      </c>
      <c r="D234" s="2" t="s">
        <v>72</v>
      </c>
      <c r="E234" s="2" t="s">
        <v>119</v>
      </c>
      <c r="F234" s="2" t="s">
        <v>633</v>
      </c>
      <c r="G234" s="2" t="s">
        <v>634</v>
      </c>
      <c r="H234" s="2" t="s">
        <v>635</v>
      </c>
      <c r="I234" s="2" t="s">
        <v>636</v>
      </c>
      <c r="J234" s="2" t="s">
        <v>903</v>
      </c>
      <c r="K234" s="2">
        <v>1</v>
      </c>
      <c r="L234" s="2">
        <v>76</v>
      </c>
      <c r="M234" s="3">
        <v>68</v>
      </c>
      <c r="Q234" s="11" t="s">
        <v>233</v>
      </c>
      <c r="R234">
        <v>367</v>
      </c>
    </row>
    <row r="235" spans="1:18" x14ac:dyDescent="0.2">
      <c r="A235" s="1" t="s">
        <v>490</v>
      </c>
      <c r="B235" s="1" t="s">
        <v>23</v>
      </c>
      <c r="C235" s="1" t="s">
        <v>15</v>
      </c>
      <c r="D235" s="2" t="s">
        <v>72</v>
      </c>
      <c r="E235" s="2" t="s">
        <v>491</v>
      </c>
      <c r="F235" s="2" t="s">
        <v>492</v>
      </c>
      <c r="G235" s="2" t="s">
        <v>493</v>
      </c>
      <c r="H235" s="2" t="s">
        <v>494</v>
      </c>
      <c r="I235" s="2" t="s">
        <v>495</v>
      </c>
      <c r="J235" s="2" t="s">
        <v>904</v>
      </c>
      <c r="K235" s="2">
        <v>2</v>
      </c>
      <c r="L235" s="2">
        <v>17</v>
      </c>
      <c r="M235" s="3">
        <v>16</v>
      </c>
      <c r="Q235" s="11" t="s">
        <v>1722</v>
      </c>
      <c r="R235">
        <v>162</v>
      </c>
    </row>
    <row r="236" spans="1:18" x14ac:dyDescent="0.2">
      <c r="A236" s="1" t="s">
        <v>905</v>
      </c>
      <c r="B236" s="1" t="s">
        <v>23</v>
      </c>
      <c r="C236" s="1" t="s">
        <v>15</v>
      </c>
      <c r="D236" s="2" t="s">
        <v>44</v>
      </c>
      <c r="E236" s="2" t="s">
        <v>44</v>
      </c>
      <c r="F236" s="2" t="s">
        <v>906</v>
      </c>
      <c r="G236" s="2" t="s">
        <v>907</v>
      </c>
      <c r="H236" s="2">
        <v>9558691867</v>
      </c>
      <c r="I236" s="2" t="s">
        <v>908</v>
      </c>
      <c r="J236" s="2" t="s">
        <v>909</v>
      </c>
      <c r="K236" s="2">
        <v>4</v>
      </c>
      <c r="L236" s="2">
        <v>471</v>
      </c>
      <c r="M236" s="3">
        <v>461</v>
      </c>
      <c r="Q236" s="11" t="s">
        <v>568</v>
      </c>
      <c r="R236">
        <v>115</v>
      </c>
    </row>
    <row r="237" spans="1:18" x14ac:dyDescent="0.2">
      <c r="A237" s="1" t="s">
        <v>196</v>
      </c>
      <c r="B237" s="1" t="s">
        <v>23</v>
      </c>
      <c r="C237" s="1" t="s">
        <v>15</v>
      </c>
      <c r="D237" s="2" t="s">
        <v>72</v>
      </c>
      <c r="E237" s="2" t="s">
        <v>73</v>
      </c>
      <c r="F237" s="2" t="s">
        <v>197</v>
      </c>
      <c r="G237" s="2" t="s">
        <v>198</v>
      </c>
      <c r="H237" s="2" t="s">
        <v>199</v>
      </c>
      <c r="I237" s="2" t="s">
        <v>200</v>
      </c>
      <c r="J237" s="2" t="s">
        <v>909</v>
      </c>
      <c r="K237" s="2">
        <v>1</v>
      </c>
      <c r="L237" s="2">
        <v>94</v>
      </c>
      <c r="M237" s="3">
        <v>41</v>
      </c>
      <c r="Q237" s="11" t="s">
        <v>1839</v>
      </c>
      <c r="R237">
        <v>97</v>
      </c>
    </row>
    <row r="238" spans="1:18" x14ac:dyDescent="0.2">
      <c r="A238" s="1" t="s">
        <v>202</v>
      </c>
      <c r="B238" s="1" t="s">
        <v>23</v>
      </c>
      <c r="C238" s="1" t="s">
        <v>15</v>
      </c>
      <c r="D238" s="2" t="s">
        <v>72</v>
      </c>
      <c r="E238" s="2" t="s">
        <v>119</v>
      </c>
      <c r="F238" s="2" t="s">
        <v>203</v>
      </c>
      <c r="G238" s="2" t="s">
        <v>204</v>
      </c>
      <c r="H238" s="2">
        <v>9088130738</v>
      </c>
      <c r="I238" s="2" t="s">
        <v>205</v>
      </c>
      <c r="J238" s="2" t="s">
        <v>909</v>
      </c>
      <c r="K238" s="2">
        <v>1</v>
      </c>
      <c r="L238" s="2">
        <v>54</v>
      </c>
      <c r="M238" s="3">
        <v>54</v>
      </c>
      <c r="Q238" s="11" t="s">
        <v>328</v>
      </c>
      <c r="R238">
        <v>1026</v>
      </c>
    </row>
    <row r="239" spans="1:18" x14ac:dyDescent="0.2">
      <c r="A239" s="1" t="s">
        <v>910</v>
      </c>
      <c r="B239" s="1" t="s">
        <v>23</v>
      </c>
      <c r="C239" s="1" t="s">
        <v>15</v>
      </c>
      <c r="D239" s="2" t="s">
        <v>24</v>
      </c>
      <c r="E239" s="2" t="s">
        <v>80</v>
      </c>
      <c r="F239" s="2" t="s">
        <v>911</v>
      </c>
      <c r="G239" s="2" t="s">
        <v>912</v>
      </c>
      <c r="H239" s="2" t="s">
        <v>913</v>
      </c>
      <c r="I239" s="2" t="s">
        <v>914</v>
      </c>
      <c r="J239" s="2" t="s">
        <v>909</v>
      </c>
      <c r="K239" s="2">
        <v>1</v>
      </c>
      <c r="L239" s="2">
        <v>52</v>
      </c>
      <c r="M239" s="3">
        <v>52</v>
      </c>
      <c r="Q239" s="11" t="s">
        <v>1033</v>
      </c>
      <c r="R239">
        <v>3191</v>
      </c>
    </row>
    <row r="240" spans="1:18" x14ac:dyDescent="0.2">
      <c r="A240" s="1" t="s">
        <v>598</v>
      </c>
      <c r="B240" s="1" t="s">
        <v>23</v>
      </c>
      <c r="C240" s="1" t="s">
        <v>15</v>
      </c>
      <c r="D240" s="2" t="s">
        <v>16</v>
      </c>
      <c r="E240" s="2" t="s">
        <v>108</v>
      </c>
      <c r="F240" s="2" t="s">
        <v>599</v>
      </c>
      <c r="G240" s="2" t="s">
        <v>600</v>
      </c>
      <c r="H240" s="2" t="s">
        <v>601</v>
      </c>
      <c r="I240" s="2" t="s">
        <v>602</v>
      </c>
      <c r="J240" s="2" t="s">
        <v>909</v>
      </c>
      <c r="K240" s="2">
        <v>1</v>
      </c>
      <c r="L240" s="2">
        <v>25</v>
      </c>
      <c r="M240" s="3">
        <v>45</v>
      </c>
      <c r="Q240" s="11" t="s">
        <v>1663</v>
      </c>
      <c r="R240">
        <v>215</v>
      </c>
    </row>
    <row r="241" spans="1:18" x14ac:dyDescent="0.2">
      <c r="A241" s="1" t="s">
        <v>915</v>
      </c>
      <c r="B241" s="1" t="s">
        <v>23</v>
      </c>
      <c r="C241" s="1" t="s">
        <v>15</v>
      </c>
      <c r="D241" s="2" t="s">
        <v>72</v>
      </c>
      <c r="E241" s="2" t="s">
        <v>491</v>
      </c>
      <c r="F241" s="2" t="s">
        <v>916</v>
      </c>
      <c r="G241" s="2" t="s">
        <v>917</v>
      </c>
      <c r="H241" s="2" t="s">
        <v>918</v>
      </c>
      <c r="I241" s="2" t="s">
        <v>919</v>
      </c>
      <c r="J241" s="2" t="s">
        <v>909</v>
      </c>
      <c r="K241" s="2">
        <v>2</v>
      </c>
      <c r="L241" s="2">
        <v>184</v>
      </c>
      <c r="M241" s="3">
        <v>132</v>
      </c>
      <c r="Q241" s="11" t="s">
        <v>740</v>
      </c>
      <c r="R241">
        <v>283</v>
      </c>
    </row>
    <row r="242" spans="1:18" x14ac:dyDescent="0.2">
      <c r="A242" s="1" t="s">
        <v>628</v>
      </c>
      <c r="B242" s="1" t="s">
        <v>23</v>
      </c>
      <c r="C242" s="1" t="s">
        <v>15</v>
      </c>
      <c r="D242" s="2" t="s">
        <v>16</v>
      </c>
      <c r="E242" s="2" t="s">
        <v>17</v>
      </c>
      <c r="F242" s="2" t="s">
        <v>629</v>
      </c>
      <c r="G242" s="2" t="s">
        <v>630</v>
      </c>
      <c r="H242" s="2" t="s">
        <v>631</v>
      </c>
      <c r="I242" s="2" t="s">
        <v>484</v>
      </c>
      <c r="J242" s="2" t="s">
        <v>909</v>
      </c>
      <c r="K242" s="2">
        <v>2</v>
      </c>
      <c r="L242" s="2">
        <v>50</v>
      </c>
      <c r="M242" s="3">
        <v>71</v>
      </c>
      <c r="Q242" s="11" t="s">
        <v>1346</v>
      </c>
      <c r="R242">
        <v>25</v>
      </c>
    </row>
    <row r="243" spans="1:18" x14ac:dyDescent="0.2">
      <c r="A243" s="1" t="s">
        <v>480</v>
      </c>
      <c r="B243" s="1" t="s">
        <v>23</v>
      </c>
      <c r="C243" s="1" t="s">
        <v>15</v>
      </c>
      <c r="D243" s="2" t="s">
        <v>72</v>
      </c>
      <c r="E243" s="2" t="s">
        <v>119</v>
      </c>
      <c r="F243" s="2" t="s">
        <v>481</v>
      </c>
      <c r="G243" s="2" t="s">
        <v>482</v>
      </c>
      <c r="H243" s="2" t="s">
        <v>483</v>
      </c>
      <c r="I243" s="2" t="s">
        <v>484</v>
      </c>
      <c r="J243" s="2" t="s">
        <v>909</v>
      </c>
      <c r="K243" s="2">
        <v>2</v>
      </c>
      <c r="L243" s="2">
        <v>156</v>
      </c>
      <c r="M243" s="3">
        <v>124</v>
      </c>
      <c r="Q243" s="11" t="s">
        <v>415</v>
      </c>
      <c r="R243">
        <v>1972</v>
      </c>
    </row>
    <row r="244" spans="1:18" x14ac:dyDescent="0.2">
      <c r="A244" s="1" t="s">
        <v>920</v>
      </c>
      <c r="B244" s="1" t="s">
        <v>23</v>
      </c>
      <c r="C244" s="1" t="s">
        <v>15</v>
      </c>
      <c r="D244" s="2" t="s">
        <v>16</v>
      </c>
      <c r="E244" s="2" t="s">
        <v>17</v>
      </c>
      <c r="F244" s="2" t="s">
        <v>921</v>
      </c>
      <c r="G244" s="2" t="s">
        <v>922</v>
      </c>
      <c r="H244" s="2" t="s">
        <v>923</v>
      </c>
      <c r="I244" s="2" t="s">
        <v>924</v>
      </c>
      <c r="J244" s="2" t="s">
        <v>909</v>
      </c>
      <c r="K244" s="2">
        <v>1</v>
      </c>
      <c r="L244" s="2">
        <v>25</v>
      </c>
      <c r="M244" s="3">
        <v>0</v>
      </c>
      <c r="Q244" s="11" t="s">
        <v>1197</v>
      </c>
      <c r="R244">
        <v>269</v>
      </c>
    </row>
    <row r="245" spans="1:18" x14ac:dyDescent="0.2">
      <c r="A245" s="1" t="s">
        <v>252</v>
      </c>
      <c r="B245" s="1" t="s">
        <v>23</v>
      </c>
      <c r="C245" s="1" t="s">
        <v>15</v>
      </c>
      <c r="D245" s="2" t="s">
        <v>72</v>
      </c>
      <c r="E245" s="2" t="s">
        <v>119</v>
      </c>
      <c r="F245" s="2" t="s">
        <v>253</v>
      </c>
      <c r="G245" s="2" t="s">
        <v>254</v>
      </c>
      <c r="H245" s="2" t="s">
        <v>255</v>
      </c>
      <c r="I245" s="2" t="s">
        <v>256</v>
      </c>
      <c r="J245" s="2" t="s">
        <v>909</v>
      </c>
      <c r="K245" s="2">
        <v>2</v>
      </c>
      <c r="L245" s="2">
        <v>197</v>
      </c>
      <c r="M245" s="3">
        <v>296</v>
      </c>
      <c r="Q245" s="11" t="s">
        <v>1714</v>
      </c>
      <c r="R245">
        <v>213</v>
      </c>
    </row>
    <row r="246" spans="1:18" x14ac:dyDescent="0.2">
      <c r="A246" s="1" t="s">
        <v>925</v>
      </c>
      <c r="B246" s="1" t="s">
        <v>23</v>
      </c>
      <c r="C246" s="1" t="s">
        <v>15</v>
      </c>
      <c r="D246" s="2" t="s">
        <v>72</v>
      </c>
      <c r="E246" s="2" t="s">
        <v>119</v>
      </c>
      <c r="F246" s="2" t="s">
        <v>926</v>
      </c>
      <c r="G246" s="2" t="s">
        <v>927</v>
      </c>
      <c r="H246" s="2">
        <v>9395994949</v>
      </c>
      <c r="I246" s="2" t="s">
        <v>928</v>
      </c>
      <c r="J246" s="2" t="s">
        <v>909</v>
      </c>
      <c r="K246" s="2">
        <v>1</v>
      </c>
      <c r="L246" s="2">
        <v>147</v>
      </c>
      <c r="M246" s="3">
        <v>68</v>
      </c>
      <c r="Q246" s="11" t="s">
        <v>1475</v>
      </c>
      <c r="R246">
        <v>80</v>
      </c>
    </row>
    <row r="247" spans="1:18" x14ac:dyDescent="0.2">
      <c r="A247" s="1" t="s">
        <v>583</v>
      </c>
      <c r="B247" s="1" t="s">
        <v>23</v>
      </c>
      <c r="C247" s="1" t="s">
        <v>15</v>
      </c>
      <c r="D247" s="2" t="s">
        <v>16</v>
      </c>
      <c r="E247" s="2" t="s">
        <v>456</v>
      </c>
      <c r="F247" s="2" t="s">
        <v>584</v>
      </c>
      <c r="G247" s="2" t="s">
        <v>585</v>
      </c>
      <c r="H247" s="2" t="s">
        <v>586</v>
      </c>
      <c r="I247" s="2" t="s">
        <v>587</v>
      </c>
      <c r="J247" s="2" t="s">
        <v>909</v>
      </c>
      <c r="K247" s="2">
        <v>1</v>
      </c>
      <c r="L247" s="2">
        <v>51</v>
      </c>
      <c r="M247" s="3">
        <v>51</v>
      </c>
      <c r="Q247" s="11" t="s">
        <v>150</v>
      </c>
      <c r="R247">
        <v>1214</v>
      </c>
    </row>
    <row r="248" spans="1:18" x14ac:dyDescent="0.2">
      <c r="A248" s="1" t="s">
        <v>929</v>
      </c>
      <c r="B248" s="1" t="s">
        <v>23</v>
      </c>
      <c r="C248" s="1" t="s">
        <v>15</v>
      </c>
      <c r="D248" s="2" t="s">
        <v>24</v>
      </c>
      <c r="E248" s="2" t="s">
        <v>930</v>
      </c>
      <c r="F248" s="2" t="s">
        <v>931</v>
      </c>
      <c r="G248" s="2" t="s">
        <v>932</v>
      </c>
      <c r="H248" s="2">
        <v>87351055</v>
      </c>
      <c r="I248" s="2" t="s">
        <v>933</v>
      </c>
      <c r="J248" s="2" t="s">
        <v>909</v>
      </c>
      <c r="K248" s="2">
        <v>2</v>
      </c>
      <c r="L248" s="2">
        <v>120</v>
      </c>
      <c r="M248" s="3">
        <v>42</v>
      </c>
      <c r="Q248" s="11" t="s">
        <v>1287</v>
      </c>
      <c r="R248">
        <v>2</v>
      </c>
    </row>
    <row r="249" spans="1:18" x14ac:dyDescent="0.2">
      <c r="A249" s="1" t="s">
        <v>934</v>
      </c>
      <c r="B249" s="1" t="s">
        <v>23</v>
      </c>
      <c r="C249" s="1" t="s">
        <v>15</v>
      </c>
      <c r="D249" s="2" t="s">
        <v>72</v>
      </c>
      <c r="E249" s="2" t="s">
        <v>73</v>
      </c>
      <c r="F249" s="2" t="s">
        <v>935</v>
      </c>
      <c r="G249" s="2" t="s">
        <v>936</v>
      </c>
      <c r="H249" s="2" t="s">
        <v>937</v>
      </c>
      <c r="I249" s="2" t="s">
        <v>938</v>
      </c>
      <c r="J249" s="2" t="s">
        <v>909</v>
      </c>
      <c r="K249" s="2">
        <v>2</v>
      </c>
      <c r="L249" s="2">
        <v>361</v>
      </c>
      <c r="M249" s="3">
        <v>268</v>
      </c>
      <c r="Q249" s="11" t="s">
        <v>1292</v>
      </c>
      <c r="R249">
        <v>168</v>
      </c>
    </row>
    <row r="250" spans="1:18" x14ac:dyDescent="0.2">
      <c r="A250" s="1" t="s">
        <v>939</v>
      </c>
      <c r="B250" s="1" t="s">
        <v>23</v>
      </c>
      <c r="C250" s="1" t="s">
        <v>15</v>
      </c>
      <c r="D250" s="2" t="s">
        <v>44</v>
      </c>
      <c r="E250" s="2" t="s">
        <v>44</v>
      </c>
      <c r="F250" s="2" t="s">
        <v>940</v>
      </c>
      <c r="G250" s="2" t="s">
        <v>941</v>
      </c>
      <c r="H250" s="2" t="s">
        <v>942</v>
      </c>
      <c r="I250" s="2" t="s">
        <v>943</v>
      </c>
      <c r="J250" s="2" t="s">
        <v>909</v>
      </c>
      <c r="K250" s="2">
        <v>1</v>
      </c>
      <c r="L250" s="2">
        <v>249</v>
      </c>
      <c r="M250" s="3">
        <v>184</v>
      </c>
      <c r="Q250" s="11" t="s">
        <v>807</v>
      </c>
      <c r="R250">
        <v>106</v>
      </c>
    </row>
    <row r="251" spans="1:18" x14ac:dyDescent="0.2">
      <c r="A251" s="1" t="s">
        <v>944</v>
      </c>
      <c r="B251" s="1" t="s">
        <v>23</v>
      </c>
      <c r="C251" s="1" t="s">
        <v>15</v>
      </c>
      <c r="D251" s="2" t="s">
        <v>72</v>
      </c>
      <c r="E251" s="2" t="s">
        <v>119</v>
      </c>
      <c r="F251" s="2" t="s">
        <v>945</v>
      </c>
      <c r="G251" s="2" t="s">
        <v>946</v>
      </c>
      <c r="H251" s="2" t="s">
        <v>947</v>
      </c>
      <c r="I251" s="2" t="s">
        <v>948</v>
      </c>
      <c r="J251" s="2" t="s">
        <v>909</v>
      </c>
      <c r="K251" s="2">
        <v>2</v>
      </c>
      <c r="L251" s="2">
        <v>140</v>
      </c>
      <c r="M251" s="3">
        <v>116</v>
      </c>
      <c r="Q251" s="11" t="s">
        <v>1704</v>
      </c>
      <c r="R251">
        <v>23</v>
      </c>
    </row>
    <row r="252" spans="1:18" x14ac:dyDescent="0.2">
      <c r="A252" s="1" t="s">
        <v>949</v>
      </c>
      <c r="B252" s="1" t="s">
        <v>23</v>
      </c>
      <c r="C252" s="1" t="s">
        <v>15</v>
      </c>
      <c r="D252" s="2" t="s">
        <v>44</v>
      </c>
      <c r="E252" s="2" t="s">
        <v>44</v>
      </c>
      <c r="F252" s="2" t="s">
        <v>950</v>
      </c>
      <c r="G252" s="2" t="s">
        <v>951</v>
      </c>
      <c r="H252" s="2" t="s">
        <v>952</v>
      </c>
      <c r="I252" s="2" t="s">
        <v>953</v>
      </c>
      <c r="J252" s="2" t="s">
        <v>909</v>
      </c>
      <c r="K252" s="2">
        <v>1</v>
      </c>
      <c r="L252" s="2">
        <v>140</v>
      </c>
      <c r="M252" s="3">
        <v>129</v>
      </c>
      <c r="Q252" s="11" t="s">
        <v>394</v>
      </c>
      <c r="R252">
        <v>1169</v>
      </c>
    </row>
    <row r="253" spans="1:18" x14ac:dyDescent="0.2">
      <c r="A253" s="1" t="s">
        <v>430</v>
      </c>
      <c r="B253" s="1" t="s">
        <v>23</v>
      </c>
      <c r="C253" s="1" t="s">
        <v>15</v>
      </c>
      <c r="D253" s="2" t="s">
        <v>36</v>
      </c>
      <c r="E253" s="2" t="s">
        <v>176</v>
      </c>
      <c r="F253" s="2" t="s">
        <v>431</v>
      </c>
      <c r="G253" s="2" t="s">
        <v>432</v>
      </c>
      <c r="H253" s="2" t="s">
        <v>433</v>
      </c>
      <c r="I253" s="2" t="s">
        <v>434</v>
      </c>
      <c r="J253" s="2" t="s">
        <v>909</v>
      </c>
      <c r="K253" s="2">
        <v>1</v>
      </c>
      <c r="L253" s="2">
        <v>21</v>
      </c>
      <c r="M253" s="3">
        <v>105</v>
      </c>
      <c r="Q253" s="11" t="s">
        <v>1423</v>
      </c>
      <c r="R253">
        <v>22</v>
      </c>
    </row>
    <row r="254" spans="1:18" x14ac:dyDescent="0.2">
      <c r="A254" s="1" t="s">
        <v>954</v>
      </c>
      <c r="B254" s="1" t="s">
        <v>23</v>
      </c>
      <c r="C254" s="1" t="s">
        <v>15</v>
      </c>
      <c r="D254" s="2" t="s">
        <v>72</v>
      </c>
      <c r="E254" s="2" t="s">
        <v>119</v>
      </c>
      <c r="F254" s="2" t="s">
        <v>955</v>
      </c>
      <c r="G254" s="2" t="s">
        <v>956</v>
      </c>
      <c r="H254" s="2" t="s">
        <v>957</v>
      </c>
      <c r="I254" s="2" t="s">
        <v>958</v>
      </c>
      <c r="J254" s="2" t="s">
        <v>909</v>
      </c>
      <c r="K254" s="2">
        <v>1</v>
      </c>
      <c r="L254" s="2">
        <v>50</v>
      </c>
      <c r="M254" s="3">
        <v>58</v>
      </c>
      <c r="Q254" s="11" t="s">
        <v>898</v>
      </c>
      <c r="R254">
        <v>906</v>
      </c>
    </row>
    <row r="255" spans="1:18" x14ac:dyDescent="0.2">
      <c r="A255" s="1" t="s">
        <v>553</v>
      </c>
      <c r="B255" s="1" t="s">
        <v>23</v>
      </c>
      <c r="C255" s="1" t="s">
        <v>15</v>
      </c>
      <c r="D255" s="2" t="s">
        <v>36</v>
      </c>
      <c r="E255" s="2" t="s">
        <v>207</v>
      </c>
      <c r="F255" s="2" t="s">
        <v>554</v>
      </c>
      <c r="G255" s="2" t="s">
        <v>555</v>
      </c>
      <c r="H255" s="2" t="s">
        <v>556</v>
      </c>
      <c r="I255" s="2" t="s">
        <v>557</v>
      </c>
      <c r="J255" s="2" t="s">
        <v>909</v>
      </c>
      <c r="K255" s="2">
        <v>1</v>
      </c>
      <c r="L255" s="2">
        <v>47</v>
      </c>
      <c r="M255" s="3">
        <v>46</v>
      </c>
      <c r="Q255" s="11" t="s">
        <v>239</v>
      </c>
      <c r="R255">
        <v>868</v>
      </c>
    </row>
    <row r="256" spans="1:18" x14ac:dyDescent="0.2">
      <c r="A256" s="1" t="s">
        <v>959</v>
      </c>
      <c r="B256" s="1" t="s">
        <v>23</v>
      </c>
      <c r="C256" s="1" t="s">
        <v>15</v>
      </c>
      <c r="D256" s="2" t="s">
        <v>24</v>
      </c>
      <c r="E256" s="2" t="s">
        <v>135</v>
      </c>
      <c r="F256" s="2" t="s">
        <v>960</v>
      </c>
      <c r="G256" s="2" t="s">
        <v>961</v>
      </c>
      <c r="H256" s="2" t="s">
        <v>962</v>
      </c>
      <c r="I256" s="2" t="s">
        <v>963</v>
      </c>
      <c r="J256" s="2" t="s">
        <v>909</v>
      </c>
      <c r="K256" s="2">
        <v>1</v>
      </c>
      <c r="L256" s="2">
        <v>121</v>
      </c>
      <c r="M256" s="3">
        <v>95</v>
      </c>
      <c r="Q256" s="11" t="s">
        <v>155</v>
      </c>
      <c r="R256">
        <v>100</v>
      </c>
    </row>
    <row r="257" spans="1:18" x14ac:dyDescent="0.2">
      <c r="A257" s="1" t="s">
        <v>964</v>
      </c>
      <c r="B257" s="1" t="s">
        <v>23</v>
      </c>
      <c r="C257" s="1" t="s">
        <v>15</v>
      </c>
      <c r="D257" s="2" t="s">
        <v>36</v>
      </c>
      <c r="E257" s="2" t="s">
        <v>176</v>
      </c>
      <c r="F257" s="2" t="s">
        <v>965</v>
      </c>
      <c r="G257" s="2" t="s">
        <v>966</v>
      </c>
      <c r="H257" s="2">
        <v>9684471790</v>
      </c>
      <c r="I257" s="2" t="s">
        <v>967</v>
      </c>
      <c r="J257" s="2" t="s">
        <v>909</v>
      </c>
      <c r="K257" s="2">
        <v>4</v>
      </c>
      <c r="L257" s="2">
        <v>362</v>
      </c>
      <c r="M257" s="3">
        <v>159</v>
      </c>
      <c r="Q257" s="11" t="s">
        <v>1351</v>
      </c>
      <c r="R257">
        <v>128</v>
      </c>
    </row>
    <row r="258" spans="1:18" x14ac:dyDescent="0.2">
      <c r="A258" s="1" t="s">
        <v>968</v>
      </c>
      <c r="B258" s="1" t="s">
        <v>23</v>
      </c>
      <c r="C258" s="1" t="s">
        <v>15</v>
      </c>
      <c r="D258" s="2" t="s">
        <v>24</v>
      </c>
      <c r="E258" s="2" t="s">
        <v>25</v>
      </c>
      <c r="F258" s="2" t="s">
        <v>969</v>
      </c>
      <c r="G258" s="2" t="s">
        <v>970</v>
      </c>
      <c r="H258" s="2" t="s">
        <v>971</v>
      </c>
      <c r="I258" s="2" t="s">
        <v>972</v>
      </c>
      <c r="J258" s="2" t="s">
        <v>909</v>
      </c>
      <c r="K258" s="2">
        <v>4</v>
      </c>
      <c r="L258" s="2">
        <v>349</v>
      </c>
      <c r="M258" s="3">
        <v>235</v>
      </c>
      <c r="Q258" s="11" t="s">
        <v>160</v>
      </c>
      <c r="R258">
        <v>0</v>
      </c>
    </row>
    <row r="259" spans="1:18" x14ac:dyDescent="0.2">
      <c r="A259" s="1" t="s">
        <v>374</v>
      </c>
      <c r="B259" s="1" t="s">
        <v>23</v>
      </c>
      <c r="C259" s="1" t="s">
        <v>15</v>
      </c>
      <c r="D259" s="2" t="s">
        <v>36</v>
      </c>
      <c r="E259" s="2" t="s">
        <v>207</v>
      </c>
      <c r="F259" s="2" t="s">
        <v>375</v>
      </c>
      <c r="G259" s="2" t="s">
        <v>376</v>
      </c>
      <c r="H259" s="2" t="s">
        <v>377</v>
      </c>
      <c r="I259" s="2" t="s">
        <v>378</v>
      </c>
      <c r="J259" s="2" t="s">
        <v>909</v>
      </c>
      <c r="K259" s="2">
        <v>2</v>
      </c>
      <c r="L259" s="2">
        <v>75</v>
      </c>
      <c r="M259" s="3">
        <v>88</v>
      </c>
      <c r="Q259" s="11" t="s">
        <v>165</v>
      </c>
      <c r="R259">
        <v>633</v>
      </c>
    </row>
    <row r="260" spans="1:18" x14ac:dyDescent="0.2">
      <c r="A260" s="1" t="s">
        <v>973</v>
      </c>
      <c r="B260" s="1" t="s">
        <v>23</v>
      </c>
      <c r="C260" s="1" t="s">
        <v>15</v>
      </c>
      <c r="D260" s="2" t="s">
        <v>72</v>
      </c>
      <c r="E260" s="2" t="s">
        <v>119</v>
      </c>
      <c r="F260" s="2" t="s">
        <v>974</v>
      </c>
      <c r="G260" s="2" t="s">
        <v>975</v>
      </c>
      <c r="H260" s="2" t="s">
        <v>976</v>
      </c>
      <c r="I260" s="2" t="s">
        <v>977</v>
      </c>
      <c r="J260" s="2" t="s">
        <v>909</v>
      </c>
      <c r="K260" s="2">
        <v>6</v>
      </c>
      <c r="L260" s="2">
        <v>1234</v>
      </c>
      <c r="M260" s="3">
        <v>1238</v>
      </c>
      <c r="Q260" s="11" t="s">
        <v>1653</v>
      </c>
      <c r="R260">
        <v>1438</v>
      </c>
    </row>
    <row r="261" spans="1:18" x14ac:dyDescent="0.2">
      <c r="A261" s="1" t="s">
        <v>973</v>
      </c>
      <c r="B261" s="1" t="s">
        <v>23</v>
      </c>
      <c r="C261" s="1" t="s">
        <v>15</v>
      </c>
      <c r="D261" s="2" t="s">
        <v>72</v>
      </c>
      <c r="E261" s="2" t="s">
        <v>119</v>
      </c>
      <c r="F261" s="2" t="s">
        <v>978</v>
      </c>
      <c r="G261" s="2" t="s">
        <v>979</v>
      </c>
      <c r="H261" s="2" t="s">
        <v>980</v>
      </c>
      <c r="I261" s="2" t="s">
        <v>981</v>
      </c>
      <c r="J261" s="2" t="s">
        <v>909</v>
      </c>
      <c r="K261" s="2">
        <v>2</v>
      </c>
      <c r="L261" s="2">
        <v>22</v>
      </c>
      <c r="M261" s="3">
        <v>0</v>
      </c>
      <c r="Q261" s="11" t="s">
        <v>1037</v>
      </c>
      <c r="R261">
        <v>365</v>
      </c>
    </row>
    <row r="262" spans="1:18" x14ac:dyDescent="0.2">
      <c r="A262" s="1" t="s">
        <v>276</v>
      </c>
      <c r="B262" s="1" t="s">
        <v>23</v>
      </c>
      <c r="C262" s="1" t="s">
        <v>15</v>
      </c>
      <c r="D262" s="2" t="s">
        <v>16</v>
      </c>
      <c r="E262" s="2" t="s">
        <v>224</v>
      </c>
      <c r="F262" s="2" t="s">
        <v>277</v>
      </c>
      <c r="G262" s="2" t="s">
        <v>278</v>
      </c>
      <c r="H262" s="2" t="s">
        <v>279</v>
      </c>
      <c r="I262" s="2" t="s">
        <v>280</v>
      </c>
      <c r="J262" s="2" t="s">
        <v>909</v>
      </c>
      <c r="K262" s="2">
        <v>1</v>
      </c>
      <c r="L262" s="2">
        <v>20</v>
      </c>
      <c r="M262" s="3">
        <v>67</v>
      </c>
      <c r="Q262" s="11" t="s">
        <v>1355</v>
      </c>
      <c r="R262">
        <v>68</v>
      </c>
    </row>
    <row r="263" spans="1:18" x14ac:dyDescent="0.2">
      <c r="A263" s="1" t="s">
        <v>982</v>
      </c>
      <c r="B263" s="1" t="s">
        <v>43</v>
      </c>
      <c r="C263" s="1" t="s">
        <v>15</v>
      </c>
      <c r="D263" s="2" t="s">
        <v>36</v>
      </c>
      <c r="E263" s="2" t="s">
        <v>207</v>
      </c>
      <c r="F263" s="2" t="s">
        <v>983</v>
      </c>
      <c r="G263" s="2" t="s">
        <v>984</v>
      </c>
      <c r="H263" s="2" t="s">
        <v>985</v>
      </c>
      <c r="I263" s="2" t="s">
        <v>986</v>
      </c>
      <c r="J263" s="2" t="s">
        <v>909</v>
      </c>
      <c r="K263" s="2">
        <v>1</v>
      </c>
      <c r="L263" s="2">
        <v>138</v>
      </c>
      <c r="M263" s="3">
        <v>52</v>
      </c>
      <c r="Q263" s="11" t="s">
        <v>1627</v>
      </c>
      <c r="R263">
        <v>44</v>
      </c>
    </row>
    <row r="264" spans="1:18" x14ac:dyDescent="0.2">
      <c r="A264" s="1" t="s">
        <v>987</v>
      </c>
      <c r="B264" s="1" t="s">
        <v>43</v>
      </c>
      <c r="C264" s="1" t="s">
        <v>15</v>
      </c>
      <c r="D264" s="2" t="s">
        <v>24</v>
      </c>
      <c r="E264" s="2" t="s">
        <v>80</v>
      </c>
      <c r="F264" s="2" t="s">
        <v>988</v>
      </c>
      <c r="G264" s="2" t="s">
        <v>989</v>
      </c>
      <c r="H264" s="2" t="s">
        <v>990</v>
      </c>
      <c r="I264" s="2" t="s">
        <v>991</v>
      </c>
      <c r="J264" s="2" t="s">
        <v>909</v>
      </c>
      <c r="K264" s="2">
        <v>2</v>
      </c>
      <c r="L264" s="2">
        <v>96</v>
      </c>
      <c r="M264" s="3">
        <v>96</v>
      </c>
      <c r="Q264" s="11" t="s">
        <v>578</v>
      </c>
      <c r="R264">
        <v>764</v>
      </c>
    </row>
    <row r="265" spans="1:18" x14ac:dyDescent="0.2">
      <c r="A265" s="1" t="s">
        <v>992</v>
      </c>
      <c r="B265" s="1" t="s">
        <v>43</v>
      </c>
      <c r="C265" s="1" t="s">
        <v>15</v>
      </c>
      <c r="D265" s="2" t="s">
        <v>36</v>
      </c>
      <c r="E265" s="2" t="s">
        <v>207</v>
      </c>
      <c r="F265" s="2" t="s">
        <v>993</v>
      </c>
      <c r="G265" s="2" t="s">
        <v>989</v>
      </c>
      <c r="H265" s="2" t="s">
        <v>994</v>
      </c>
      <c r="I265" s="2" t="s">
        <v>991</v>
      </c>
      <c r="J265" s="2" t="s">
        <v>909</v>
      </c>
      <c r="K265" s="2">
        <v>2</v>
      </c>
      <c r="L265" s="2">
        <v>42</v>
      </c>
      <c r="M265" s="3">
        <v>55</v>
      </c>
      <c r="Q265" s="11" t="s">
        <v>1360</v>
      </c>
      <c r="R265">
        <v>1318</v>
      </c>
    </row>
    <row r="266" spans="1:18" x14ac:dyDescent="0.2">
      <c r="A266" s="1" t="s">
        <v>995</v>
      </c>
      <c r="B266" s="1" t="s">
        <v>23</v>
      </c>
      <c r="C266" s="1" t="s">
        <v>15</v>
      </c>
      <c r="D266" s="2" t="s">
        <v>16</v>
      </c>
      <c r="E266" s="2" t="s">
        <v>456</v>
      </c>
      <c r="F266" s="2" t="s">
        <v>996</v>
      </c>
      <c r="G266" s="2" t="s">
        <v>997</v>
      </c>
      <c r="H266" s="2" t="s">
        <v>998</v>
      </c>
      <c r="I266" s="2" t="s">
        <v>999</v>
      </c>
      <c r="J266" s="2" t="s">
        <v>909</v>
      </c>
      <c r="K266" s="2">
        <v>1</v>
      </c>
      <c r="L266" s="2">
        <v>29</v>
      </c>
      <c r="M266" s="3">
        <v>57</v>
      </c>
      <c r="Q266" s="11" t="s">
        <v>1727</v>
      </c>
      <c r="R266">
        <v>155</v>
      </c>
    </row>
    <row r="267" spans="1:18" x14ac:dyDescent="0.2">
      <c r="A267" s="1" t="s">
        <v>1000</v>
      </c>
      <c r="B267" s="1" t="s">
        <v>23</v>
      </c>
      <c r="C267" s="1" t="s">
        <v>15</v>
      </c>
      <c r="D267" s="2" t="s">
        <v>55</v>
      </c>
      <c r="E267" s="2" t="s">
        <v>92</v>
      </c>
      <c r="F267" s="2" t="s">
        <v>1001</v>
      </c>
      <c r="G267" s="2" t="s">
        <v>1002</v>
      </c>
      <c r="H267" s="2" t="s">
        <v>1003</v>
      </c>
      <c r="I267" s="2" t="s">
        <v>1004</v>
      </c>
      <c r="J267" s="2" t="s">
        <v>909</v>
      </c>
      <c r="K267" s="2">
        <v>2</v>
      </c>
      <c r="L267" s="2">
        <v>54</v>
      </c>
      <c r="M267" s="3">
        <v>77</v>
      </c>
      <c r="Q267" s="11" t="s">
        <v>1041</v>
      </c>
      <c r="R267">
        <v>101</v>
      </c>
    </row>
    <row r="268" spans="1:18" x14ac:dyDescent="0.2">
      <c r="A268" s="1" t="s">
        <v>1005</v>
      </c>
      <c r="B268" s="1" t="s">
        <v>23</v>
      </c>
      <c r="C268" s="1" t="s">
        <v>15</v>
      </c>
      <c r="D268" s="2" t="s">
        <v>24</v>
      </c>
      <c r="E268" s="2" t="s">
        <v>395</v>
      </c>
      <c r="F268" s="2" t="s">
        <v>1006</v>
      </c>
      <c r="G268" s="2" t="s">
        <v>1007</v>
      </c>
      <c r="H268" s="2" t="s">
        <v>1008</v>
      </c>
      <c r="I268" s="2" t="s">
        <v>1009</v>
      </c>
      <c r="J268" s="2" t="s">
        <v>909</v>
      </c>
      <c r="K268" s="2">
        <v>2</v>
      </c>
      <c r="L268" s="2">
        <v>157</v>
      </c>
      <c r="M268" s="3">
        <v>150</v>
      </c>
      <c r="Q268" s="11" t="s">
        <v>1480</v>
      </c>
      <c r="R268">
        <v>60</v>
      </c>
    </row>
    <row r="269" spans="1:18" x14ac:dyDescent="0.2">
      <c r="A269" s="1" t="s">
        <v>223</v>
      </c>
      <c r="B269" s="1" t="s">
        <v>23</v>
      </c>
      <c r="C269" s="1" t="s">
        <v>15</v>
      </c>
      <c r="D269" s="2" t="s">
        <v>16</v>
      </c>
      <c r="E269" s="2" t="s">
        <v>224</v>
      </c>
      <c r="F269" s="2" t="s">
        <v>225</v>
      </c>
      <c r="G269" s="2" t="s">
        <v>226</v>
      </c>
      <c r="H269" s="2" t="s">
        <v>227</v>
      </c>
      <c r="I269" s="2" t="s">
        <v>228</v>
      </c>
      <c r="J269" s="2" t="s">
        <v>909</v>
      </c>
      <c r="K269" s="2">
        <v>1</v>
      </c>
      <c r="L269" s="2">
        <v>31</v>
      </c>
      <c r="M269" s="3">
        <v>44</v>
      </c>
      <c r="Q269" s="11" t="s">
        <v>425</v>
      </c>
      <c r="R269">
        <v>417</v>
      </c>
    </row>
    <row r="270" spans="1:18" x14ac:dyDescent="0.2">
      <c r="A270" s="1" t="s">
        <v>768</v>
      </c>
      <c r="B270" s="1" t="s">
        <v>43</v>
      </c>
      <c r="C270" s="1" t="s">
        <v>15</v>
      </c>
      <c r="D270" s="2" t="s">
        <v>24</v>
      </c>
      <c r="E270" s="2" t="s">
        <v>80</v>
      </c>
      <c r="F270" s="2" t="s">
        <v>769</v>
      </c>
      <c r="G270" s="2" t="s">
        <v>770</v>
      </c>
      <c r="H270" s="2" t="s">
        <v>771</v>
      </c>
      <c r="I270" s="2" t="s">
        <v>772</v>
      </c>
      <c r="J270" s="2" t="s">
        <v>909</v>
      </c>
      <c r="K270" s="2">
        <v>1</v>
      </c>
      <c r="L270" s="2">
        <v>54</v>
      </c>
      <c r="M270" s="3">
        <v>54</v>
      </c>
      <c r="Q270" s="11" t="s">
        <v>466</v>
      </c>
      <c r="R270">
        <v>197</v>
      </c>
    </row>
    <row r="271" spans="1:18" x14ac:dyDescent="0.2">
      <c r="A271" s="1" t="s">
        <v>1010</v>
      </c>
      <c r="B271" s="1" t="s">
        <v>23</v>
      </c>
      <c r="C271" s="1" t="s">
        <v>15</v>
      </c>
      <c r="D271" s="2" t="s">
        <v>55</v>
      </c>
      <c r="E271" s="2" t="s">
        <v>56</v>
      </c>
      <c r="F271" s="2" t="s">
        <v>1011</v>
      </c>
      <c r="G271" s="2" t="s">
        <v>1012</v>
      </c>
      <c r="H271" s="2" t="s">
        <v>1013</v>
      </c>
      <c r="I271" s="2" t="s">
        <v>1014</v>
      </c>
      <c r="J271" s="2" t="s">
        <v>909</v>
      </c>
      <c r="K271" s="2">
        <v>3</v>
      </c>
      <c r="L271" s="2">
        <v>190</v>
      </c>
      <c r="M271" s="3">
        <v>181</v>
      </c>
      <c r="Q271" s="11" t="s">
        <v>1046</v>
      </c>
      <c r="R271">
        <v>56</v>
      </c>
    </row>
    <row r="272" spans="1:18" x14ac:dyDescent="0.2">
      <c r="A272" s="1" t="s">
        <v>1015</v>
      </c>
      <c r="B272" s="1" t="s">
        <v>23</v>
      </c>
      <c r="C272" s="1" t="s">
        <v>15</v>
      </c>
      <c r="D272" s="2" t="s">
        <v>72</v>
      </c>
      <c r="E272" s="2" t="s">
        <v>119</v>
      </c>
      <c r="F272" s="2" t="s">
        <v>1016</v>
      </c>
      <c r="G272" s="2" t="s">
        <v>1017</v>
      </c>
      <c r="H272" s="2" t="s">
        <v>1018</v>
      </c>
      <c r="I272" s="2" t="s">
        <v>1019</v>
      </c>
      <c r="J272" s="2" t="s">
        <v>909</v>
      </c>
      <c r="K272" s="2">
        <v>0</v>
      </c>
      <c r="L272" s="2">
        <v>0</v>
      </c>
      <c r="M272" s="3">
        <v>44</v>
      </c>
      <c r="Q272" s="11" t="s">
        <v>884</v>
      </c>
      <c r="R272">
        <v>0</v>
      </c>
    </row>
    <row r="273" spans="1:18" x14ac:dyDescent="0.2">
      <c r="A273" s="1" t="s">
        <v>1020</v>
      </c>
      <c r="B273" s="1" t="s">
        <v>23</v>
      </c>
      <c r="C273" s="1" t="s">
        <v>15</v>
      </c>
      <c r="D273" s="2" t="s">
        <v>44</v>
      </c>
      <c r="E273" s="2" t="s">
        <v>44</v>
      </c>
      <c r="F273" s="2" t="s">
        <v>1021</v>
      </c>
      <c r="G273" s="2" t="s">
        <v>1022</v>
      </c>
      <c r="H273" s="2" t="s">
        <v>1023</v>
      </c>
      <c r="I273" s="2" t="s">
        <v>1024</v>
      </c>
      <c r="J273" s="2" t="s">
        <v>909</v>
      </c>
      <c r="K273" s="2">
        <v>5</v>
      </c>
      <c r="L273" s="2">
        <v>541</v>
      </c>
      <c r="M273" s="3">
        <v>414</v>
      </c>
      <c r="Q273" s="11" t="s">
        <v>42</v>
      </c>
      <c r="R273">
        <v>91</v>
      </c>
    </row>
    <row r="274" spans="1:18" x14ac:dyDescent="0.2">
      <c r="A274" s="1" t="s">
        <v>1025</v>
      </c>
      <c r="B274" s="1" t="s">
        <v>23</v>
      </c>
      <c r="C274" s="1" t="s">
        <v>15</v>
      </c>
      <c r="D274" s="2" t="s">
        <v>72</v>
      </c>
      <c r="E274" s="2" t="s">
        <v>119</v>
      </c>
      <c r="F274" s="2" t="s">
        <v>1026</v>
      </c>
      <c r="G274" s="2" t="s">
        <v>1027</v>
      </c>
      <c r="H274" s="2" t="s">
        <v>1023</v>
      </c>
      <c r="I274" s="2" t="s">
        <v>1028</v>
      </c>
      <c r="J274" s="2" t="s">
        <v>909</v>
      </c>
      <c r="K274" s="2">
        <v>2</v>
      </c>
      <c r="L274" s="2">
        <v>764</v>
      </c>
      <c r="M274" s="3">
        <v>930</v>
      </c>
      <c r="Q274" s="11" t="s">
        <v>655</v>
      </c>
      <c r="R274">
        <v>159</v>
      </c>
    </row>
    <row r="275" spans="1:18" x14ac:dyDescent="0.2">
      <c r="A275" s="1" t="s">
        <v>1029</v>
      </c>
      <c r="B275" s="1" t="s">
        <v>23</v>
      </c>
      <c r="C275" s="1" t="s">
        <v>15</v>
      </c>
      <c r="D275" s="2" t="s">
        <v>72</v>
      </c>
      <c r="E275" s="2" t="s">
        <v>491</v>
      </c>
      <c r="F275" s="2" t="s">
        <v>1030</v>
      </c>
      <c r="G275" s="2" t="s">
        <v>1031</v>
      </c>
      <c r="H275" s="2">
        <v>9395537454</v>
      </c>
      <c r="I275" s="2" t="s">
        <v>1032</v>
      </c>
      <c r="J275" s="2" t="s">
        <v>909</v>
      </c>
      <c r="K275" s="2">
        <v>1</v>
      </c>
      <c r="L275" s="2">
        <v>236</v>
      </c>
      <c r="M275" s="3">
        <v>245</v>
      </c>
      <c r="Q275" s="11" t="s">
        <v>333</v>
      </c>
      <c r="R275">
        <v>173</v>
      </c>
    </row>
    <row r="276" spans="1:18" x14ac:dyDescent="0.2">
      <c r="A276" s="1" t="s">
        <v>328</v>
      </c>
      <c r="B276" s="1" t="s">
        <v>23</v>
      </c>
      <c r="C276" s="1" t="s">
        <v>15</v>
      </c>
      <c r="D276" s="2" t="s">
        <v>72</v>
      </c>
      <c r="E276" s="2" t="s">
        <v>73</v>
      </c>
      <c r="F276" s="2" t="s">
        <v>329</v>
      </c>
      <c r="G276" s="2" t="s">
        <v>330</v>
      </c>
      <c r="H276" s="2" t="s">
        <v>331</v>
      </c>
      <c r="I276" s="2" t="s">
        <v>332</v>
      </c>
      <c r="J276" s="2" t="s">
        <v>909</v>
      </c>
      <c r="K276" s="2">
        <v>4</v>
      </c>
      <c r="L276" s="2">
        <v>387</v>
      </c>
      <c r="M276" s="3">
        <v>334</v>
      </c>
      <c r="Q276" s="11" t="s">
        <v>1051</v>
      </c>
      <c r="R276">
        <v>492</v>
      </c>
    </row>
    <row r="277" spans="1:18" x14ac:dyDescent="0.2">
      <c r="A277" s="1" t="s">
        <v>1033</v>
      </c>
      <c r="B277" s="1" t="s">
        <v>23</v>
      </c>
      <c r="C277" s="1" t="s">
        <v>15</v>
      </c>
      <c r="D277" s="2" t="s">
        <v>55</v>
      </c>
      <c r="E277" s="2" t="s">
        <v>92</v>
      </c>
      <c r="F277" s="2" t="s">
        <v>1034</v>
      </c>
      <c r="G277" s="2" t="s">
        <v>1035</v>
      </c>
      <c r="H277" s="2">
        <v>9606688727</v>
      </c>
      <c r="I277" s="2" t="s">
        <v>1036</v>
      </c>
      <c r="J277" s="2" t="s">
        <v>909</v>
      </c>
      <c r="K277" s="2">
        <v>17</v>
      </c>
      <c r="L277" s="2">
        <v>2569</v>
      </c>
      <c r="M277" s="3">
        <v>2773</v>
      </c>
      <c r="Q277" s="11" t="s">
        <v>1414</v>
      </c>
      <c r="R277">
        <v>476</v>
      </c>
    </row>
    <row r="278" spans="1:18" x14ac:dyDescent="0.2">
      <c r="A278" s="1" t="s">
        <v>415</v>
      </c>
      <c r="B278" s="1" t="s">
        <v>23</v>
      </c>
      <c r="C278" s="1" t="s">
        <v>15</v>
      </c>
      <c r="D278" s="2" t="s">
        <v>36</v>
      </c>
      <c r="E278" s="2" t="s">
        <v>37</v>
      </c>
      <c r="F278" s="2" t="s">
        <v>416</v>
      </c>
      <c r="G278" s="2" t="s">
        <v>417</v>
      </c>
      <c r="H278" s="2" t="s">
        <v>418</v>
      </c>
      <c r="I278" s="2" t="s">
        <v>419</v>
      </c>
      <c r="J278" s="2" t="s">
        <v>909</v>
      </c>
      <c r="K278" s="2">
        <v>2</v>
      </c>
      <c r="L278" s="2">
        <v>464</v>
      </c>
      <c r="M278" s="3">
        <v>435</v>
      </c>
      <c r="Q278" s="11" t="s">
        <v>1775</v>
      </c>
      <c r="R278">
        <v>14</v>
      </c>
    </row>
    <row r="279" spans="1:18" x14ac:dyDescent="0.2">
      <c r="A279" s="1" t="s">
        <v>239</v>
      </c>
      <c r="B279" s="1" t="s">
        <v>240</v>
      </c>
      <c r="C279" s="1" t="s">
        <v>15</v>
      </c>
      <c r="D279" s="2" t="s">
        <v>44</v>
      </c>
      <c r="E279" s="2" t="s">
        <v>44</v>
      </c>
      <c r="F279" s="2" t="s">
        <v>241</v>
      </c>
      <c r="G279" s="2" t="s">
        <v>242</v>
      </c>
      <c r="H279" s="2" t="s">
        <v>243</v>
      </c>
      <c r="I279" s="2" t="s">
        <v>244</v>
      </c>
      <c r="J279" s="2" t="s">
        <v>909</v>
      </c>
      <c r="K279" s="2">
        <v>2</v>
      </c>
      <c r="L279" s="2">
        <v>88</v>
      </c>
      <c r="M279" s="3">
        <v>84</v>
      </c>
      <c r="Q279" s="11" t="s">
        <v>1485</v>
      </c>
      <c r="R279">
        <v>43</v>
      </c>
    </row>
    <row r="280" spans="1:18" x14ac:dyDescent="0.2">
      <c r="A280" s="1" t="s">
        <v>160</v>
      </c>
      <c r="B280" s="1" t="s">
        <v>23</v>
      </c>
      <c r="C280" s="1" t="s">
        <v>15</v>
      </c>
      <c r="D280" s="2" t="s">
        <v>55</v>
      </c>
      <c r="E280" s="2" t="s">
        <v>56</v>
      </c>
      <c r="F280" s="2" t="s">
        <v>161</v>
      </c>
      <c r="G280" s="2" t="s">
        <v>162</v>
      </c>
      <c r="H280" s="2" t="s">
        <v>163</v>
      </c>
      <c r="I280" s="2" t="s">
        <v>164</v>
      </c>
      <c r="J280" s="2" t="s">
        <v>909</v>
      </c>
      <c r="K280" s="2">
        <v>2</v>
      </c>
      <c r="L280" s="2">
        <v>50</v>
      </c>
      <c r="M280" s="3">
        <v>0</v>
      </c>
      <c r="Q280" s="11" t="s">
        <v>1202</v>
      </c>
      <c r="R280">
        <v>53</v>
      </c>
    </row>
    <row r="281" spans="1:18" x14ac:dyDescent="0.2">
      <c r="A281" s="1" t="s">
        <v>1037</v>
      </c>
      <c r="B281" s="1" t="s">
        <v>23</v>
      </c>
      <c r="C281" s="1" t="s">
        <v>15</v>
      </c>
      <c r="D281" s="2" t="s">
        <v>72</v>
      </c>
      <c r="E281" s="2" t="s">
        <v>213</v>
      </c>
      <c r="F281" s="2" t="s">
        <v>1038</v>
      </c>
      <c r="G281" s="2" t="s">
        <v>1039</v>
      </c>
      <c r="H281" s="2">
        <v>9178820923</v>
      </c>
      <c r="I281" s="2" t="s">
        <v>1040</v>
      </c>
      <c r="J281" s="2" t="s">
        <v>909</v>
      </c>
      <c r="K281" s="2">
        <v>2</v>
      </c>
      <c r="L281" s="2">
        <v>182</v>
      </c>
      <c r="M281" s="3">
        <v>125</v>
      </c>
      <c r="Q281" s="11" t="s">
        <v>665</v>
      </c>
      <c r="R281">
        <v>50</v>
      </c>
    </row>
    <row r="282" spans="1:18" x14ac:dyDescent="0.2">
      <c r="A282" s="1" t="s">
        <v>1041</v>
      </c>
      <c r="B282" s="1" t="s">
        <v>23</v>
      </c>
      <c r="C282" s="1" t="s">
        <v>15</v>
      </c>
      <c r="D282" s="2" t="s">
        <v>36</v>
      </c>
      <c r="E282" s="2" t="s">
        <v>176</v>
      </c>
      <c r="F282" s="2" t="s">
        <v>1042</v>
      </c>
      <c r="G282" s="2" t="s">
        <v>1043</v>
      </c>
      <c r="H282" s="2" t="s">
        <v>1044</v>
      </c>
      <c r="I282" s="2" t="s">
        <v>1045</v>
      </c>
      <c r="J282" s="2" t="s">
        <v>909</v>
      </c>
      <c r="K282" s="2">
        <v>0</v>
      </c>
      <c r="L282" s="2">
        <v>0</v>
      </c>
      <c r="M282" s="3">
        <v>53</v>
      </c>
      <c r="Q282" s="11" t="s">
        <v>338</v>
      </c>
      <c r="R282">
        <v>447</v>
      </c>
    </row>
    <row r="283" spans="1:18" x14ac:dyDescent="0.2">
      <c r="A283" s="1" t="s">
        <v>1046</v>
      </c>
      <c r="B283" s="1" t="s">
        <v>23</v>
      </c>
      <c r="C283" s="1" t="s">
        <v>15</v>
      </c>
      <c r="D283" s="2" t="s">
        <v>24</v>
      </c>
      <c r="E283" s="2" t="s">
        <v>182</v>
      </c>
      <c r="F283" s="2" t="s">
        <v>1047</v>
      </c>
      <c r="G283" s="2" t="s">
        <v>1048</v>
      </c>
      <c r="H283" s="2" t="s">
        <v>1049</v>
      </c>
      <c r="I283" s="2" t="s">
        <v>1050</v>
      </c>
      <c r="J283" s="2" t="s">
        <v>909</v>
      </c>
      <c r="K283" s="2">
        <v>1</v>
      </c>
      <c r="L283" s="2">
        <v>56</v>
      </c>
      <c r="M283" s="3">
        <v>56</v>
      </c>
      <c r="Q283" s="11" t="s">
        <v>1490</v>
      </c>
      <c r="R283">
        <v>14</v>
      </c>
    </row>
    <row r="284" spans="1:18" x14ac:dyDescent="0.2">
      <c r="A284" s="1" t="s">
        <v>1051</v>
      </c>
      <c r="B284" s="1" t="s">
        <v>23</v>
      </c>
      <c r="C284" s="1" t="s">
        <v>15</v>
      </c>
      <c r="D284" s="2" t="s">
        <v>24</v>
      </c>
      <c r="E284" s="2" t="s">
        <v>135</v>
      </c>
      <c r="F284" s="2" t="s">
        <v>1052</v>
      </c>
      <c r="G284" s="2" t="s">
        <v>1053</v>
      </c>
      <c r="H284" s="2" t="s">
        <v>1054</v>
      </c>
      <c r="I284" s="2" t="s">
        <v>1055</v>
      </c>
      <c r="J284" s="2" t="s">
        <v>909</v>
      </c>
      <c r="K284" s="2">
        <v>2</v>
      </c>
      <c r="L284" s="2">
        <v>140</v>
      </c>
      <c r="M284" s="3">
        <v>127</v>
      </c>
      <c r="Q284" s="11" t="s">
        <v>1632</v>
      </c>
      <c r="R284">
        <v>100</v>
      </c>
    </row>
    <row r="285" spans="1:18" x14ac:dyDescent="0.2">
      <c r="A285" s="1" t="s">
        <v>369</v>
      </c>
      <c r="B285" s="1" t="s">
        <v>23</v>
      </c>
      <c r="C285" s="1" t="s">
        <v>15</v>
      </c>
      <c r="D285" s="2" t="s">
        <v>44</v>
      </c>
      <c r="E285" s="2" t="s">
        <v>44</v>
      </c>
      <c r="F285" s="2" t="s">
        <v>370</v>
      </c>
      <c r="G285" s="2" t="s">
        <v>371</v>
      </c>
      <c r="H285" s="2" t="s">
        <v>372</v>
      </c>
      <c r="I285" s="2" t="s">
        <v>373</v>
      </c>
      <c r="J285" s="2" t="s">
        <v>909</v>
      </c>
      <c r="K285" s="2">
        <v>1</v>
      </c>
      <c r="L285" s="2">
        <v>112</v>
      </c>
      <c r="M285" s="3">
        <v>87</v>
      </c>
      <c r="Q285" s="11" t="s">
        <v>369</v>
      </c>
      <c r="R285">
        <v>844</v>
      </c>
    </row>
    <row r="286" spans="1:18" x14ac:dyDescent="0.2">
      <c r="A286" s="1" t="s">
        <v>175</v>
      </c>
      <c r="B286" s="1" t="s">
        <v>23</v>
      </c>
      <c r="C286" s="1" t="s">
        <v>15</v>
      </c>
      <c r="D286" s="2" t="s">
        <v>36</v>
      </c>
      <c r="E286" s="2" t="s">
        <v>176</v>
      </c>
      <c r="F286" s="2" t="s">
        <v>177</v>
      </c>
      <c r="G286" s="2" t="s">
        <v>178</v>
      </c>
      <c r="H286" s="2" t="s">
        <v>179</v>
      </c>
      <c r="I286" s="2" t="s">
        <v>180</v>
      </c>
      <c r="J286" s="2" t="s">
        <v>909</v>
      </c>
      <c r="K286" s="2">
        <v>2</v>
      </c>
      <c r="L286" s="2">
        <v>44</v>
      </c>
      <c r="M286" s="3">
        <v>44</v>
      </c>
      <c r="Q286" s="11" t="s">
        <v>1317</v>
      </c>
      <c r="R286">
        <v>10</v>
      </c>
    </row>
    <row r="287" spans="1:18" x14ac:dyDescent="0.2">
      <c r="A287" s="1" t="s">
        <v>1056</v>
      </c>
      <c r="B287" s="1" t="s">
        <v>23</v>
      </c>
      <c r="C287" s="1" t="s">
        <v>15</v>
      </c>
      <c r="D287" s="2" t="s">
        <v>36</v>
      </c>
      <c r="E287" s="2" t="s">
        <v>37</v>
      </c>
      <c r="F287" s="2" t="s">
        <v>1057</v>
      </c>
      <c r="G287" s="2" t="s">
        <v>178</v>
      </c>
      <c r="H287" s="2" t="s">
        <v>1058</v>
      </c>
      <c r="I287" s="2" t="s">
        <v>1059</v>
      </c>
      <c r="J287" s="2" t="s">
        <v>909</v>
      </c>
      <c r="K287" s="2">
        <v>1</v>
      </c>
      <c r="L287" s="2">
        <v>16</v>
      </c>
      <c r="M287" s="3">
        <v>67</v>
      </c>
      <c r="Q287" s="11" t="s">
        <v>171</v>
      </c>
      <c r="R287">
        <v>749</v>
      </c>
    </row>
    <row r="288" spans="1:18" x14ac:dyDescent="0.2">
      <c r="A288" s="1" t="s">
        <v>181</v>
      </c>
      <c r="B288" s="1" t="s">
        <v>23</v>
      </c>
      <c r="C288" s="1" t="s">
        <v>15</v>
      </c>
      <c r="D288" s="2" t="s">
        <v>24</v>
      </c>
      <c r="E288" s="2" t="s">
        <v>182</v>
      </c>
      <c r="F288" s="2" t="s">
        <v>183</v>
      </c>
      <c r="G288" s="2" t="s">
        <v>184</v>
      </c>
      <c r="H288" s="2" t="s">
        <v>185</v>
      </c>
      <c r="I288" s="2" t="s">
        <v>186</v>
      </c>
      <c r="J288" s="2" t="s">
        <v>909</v>
      </c>
      <c r="K288" s="2">
        <v>2</v>
      </c>
      <c r="L288" s="2">
        <v>181</v>
      </c>
      <c r="M288" s="3">
        <v>149</v>
      </c>
      <c r="Q288" s="11" t="s">
        <v>763</v>
      </c>
      <c r="R288">
        <v>841</v>
      </c>
    </row>
    <row r="289" spans="1:18" x14ac:dyDescent="0.2">
      <c r="A289" s="1" t="s">
        <v>1060</v>
      </c>
      <c r="B289" s="1" t="s">
        <v>23</v>
      </c>
      <c r="C289" s="1" t="s">
        <v>15</v>
      </c>
      <c r="D289" s="2" t="s">
        <v>36</v>
      </c>
      <c r="E289" s="2" t="s">
        <v>37</v>
      </c>
      <c r="F289" s="2" t="s">
        <v>1061</v>
      </c>
      <c r="G289" s="2" t="s">
        <v>1062</v>
      </c>
      <c r="H289" s="2" t="s">
        <v>1063</v>
      </c>
      <c r="I289" s="2" t="s">
        <v>1064</v>
      </c>
      <c r="J289" s="2" t="s">
        <v>909</v>
      </c>
      <c r="K289" s="2">
        <v>1</v>
      </c>
      <c r="L289" s="2">
        <v>19</v>
      </c>
      <c r="M289" s="3">
        <v>19</v>
      </c>
      <c r="Q289" s="11" t="s">
        <v>1495</v>
      </c>
      <c r="R289">
        <v>47</v>
      </c>
    </row>
    <row r="290" spans="1:18" x14ac:dyDescent="0.2">
      <c r="A290" s="1" t="s">
        <v>1065</v>
      </c>
      <c r="B290" s="1" t="s">
        <v>23</v>
      </c>
      <c r="C290" s="1" t="s">
        <v>15</v>
      </c>
      <c r="D290" s="2" t="s">
        <v>72</v>
      </c>
      <c r="E290" s="2" t="s">
        <v>119</v>
      </c>
      <c r="F290" s="2" t="s">
        <v>1066</v>
      </c>
      <c r="G290" s="2" t="s">
        <v>1067</v>
      </c>
      <c r="H290" s="2" t="s">
        <v>1068</v>
      </c>
      <c r="I290" s="2" t="s">
        <v>1069</v>
      </c>
      <c r="J290" s="2" t="s">
        <v>909</v>
      </c>
      <c r="K290" s="2">
        <v>5</v>
      </c>
      <c r="L290" s="2">
        <v>427</v>
      </c>
      <c r="M290" s="3">
        <v>367</v>
      </c>
      <c r="Q290" s="11" t="s">
        <v>1780</v>
      </c>
      <c r="R290">
        <v>1169</v>
      </c>
    </row>
    <row r="291" spans="1:18" x14ac:dyDescent="0.2">
      <c r="A291" s="1" t="s">
        <v>1070</v>
      </c>
      <c r="B291" s="1" t="s">
        <v>240</v>
      </c>
      <c r="C291" s="1" t="s">
        <v>15</v>
      </c>
      <c r="D291" s="2" t="s">
        <v>36</v>
      </c>
      <c r="E291" s="2" t="s">
        <v>145</v>
      </c>
      <c r="F291" s="2" t="s">
        <v>1071</v>
      </c>
      <c r="G291" s="2" t="s">
        <v>1072</v>
      </c>
      <c r="H291" s="2" t="s">
        <v>1073</v>
      </c>
      <c r="I291" s="2" t="s">
        <v>1074</v>
      </c>
      <c r="J291" s="2" t="s">
        <v>909</v>
      </c>
      <c r="K291" s="2">
        <v>2</v>
      </c>
      <c r="L291" s="2">
        <v>186</v>
      </c>
      <c r="M291" s="3">
        <v>165</v>
      </c>
      <c r="Q291" s="11" t="s">
        <v>1158</v>
      </c>
      <c r="R291">
        <v>838</v>
      </c>
    </row>
    <row r="292" spans="1:18" x14ac:dyDescent="0.2">
      <c r="A292" s="1" t="s">
        <v>1075</v>
      </c>
      <c r="B292" s="1" t="s">
        <v>23</v>
      </c>
      <c r="C292" s="1" t="s">
        <v>15</v>
      </c>
      <c r="D292" s="2" t="s">
        <v>24</v>
      </c>
      <c r="E292" s="2" t="s">
        <v>135</v>
      </c>
      <c r="F292" s="2" t="s">
        <v>1076</v>
      </c>
      <c r="G292" s="2" t="s">
        <v>1077</v>
      </c>
      <c r="H292" s="2" t="s">
        <v>1078</v>
      </c>
      <c r="I292" s="2" t="s">
        <v>1079</v>
      </c>
      <c r="J292" s="2" t="s">
        <v>909</v>
      </c>
      <c r="K292" s="2">
        <v>3</v>
      </c>
      <c r="L292" s="2">
        <v>158</v>
      </c>
      <c r="M292" s="3">
        <v>114</v>
      </c>
      <c r="Q292" s="11" t="s">
        <v>1162</v>
      </c>
      <c r="R292">
        <v>81</v>
      </c>
    </row>
    <row r="293" spans="1:18" x14ac:dyDescent="0.2">
      <c r="A293" s="1" t="s">
        <v>1080</v>
      </c>
      <c r="B293" s="1" t="s">
        <v>23</v>
      </c>
      <c r="C293" s="1" t="s">
        <v>15</v>
      </c>
      <c r="D293" s="2" t="s">
        <v>72</v>
      </c>
      <c r="E293" s="2" t="s">
        <v>73</v>
      </c>
      <c r="F293" s="2" t="s">
        <v>1081</v>
      </c>
      <c r="G293" s="2" t="s">
        <v>1082</v>
      </c>
      <c r="H293" s="2" t="s">
        <v>1083</v>
      </c>
      <c r="I293" s="2" t="s">
        <v>1084</v>
      </c>
      <c r="J293" s="2" t="s">
        <v>909</v>
      </c>
      <c r="K293" s="2">
        <v>2</v>
      </c>
      <c r="L293" s="2">
        <v>51</v>
      </c>
      <c r="M293" s="3">
        <v>51</v>
      </c>
      <c r="Q293" s="11" t="s">
        <v>798</v>
      </c>
      <c r="R293">
        <v>75</v>
      </c>
    </row>
    <row r="294" spans="1:18" x14ac:dyDescent="0.2">
      <c r="A294" s="1" t="s">
        <v>65</v>
      </c>
      <c r="B294" s="1" t="s">
        <v>66</v>
      </c>
      <c r="C294" s="1" t="s">
        <v>15</v>
      </c>
      <c r="D294" s="2" t="s">
        <v>36</v>
      </c>
      <c r="E294" s="2" t="s">
        <v>37</v>
      </c>
      <c r="F294" s="2" t="s">
        <v>67</v>
      </c>
      <c r="G294" s="2" t="s">
        <v>68</v>
      </c>
      <c r="H294" s="2" t="s">
        <v>69</v>
      </c>
      <c r="I294" s="2" t="s">
        <v>70</v>
      </c>
      <c r="J294" s="2" t="s">
        <v>909</v>
      </c>
      <c r="K294" s="2">
        <v>2</v>
      </c>
      <c r="L294" s="2">
        <v>45</v>
      </c>
      <c r="M294" s="3">
        <v>43</v>
      </c>
      <c r="Q294" s="11" t="s">
        <v>837</v>
      </c>
      <c r="R294">
        <v>25</v>
      </c>
    </row>
    <row r="295" spans="1:18" x14ac:dyDescent="0.2">
      <c r="A295" s="1" t="s">
        <v>1085</v>
      </c>
      <c r="B295" s="1" t="s">
        <v>23</v>
      </c>
      <c r="C295" s="1" t="s">
        <v>15</v>
      </c>
      <c r="D295" s="2" t="s">
        <v>72</v>
      </c>
      <c r="E295" s="2" t="s">
        <v>73</v>
      </c>
      <c r="F295" s="2" t="s">
        <v>1086</v>
      </c>
      <c r="G295" s="2" t="s">
        <v>1087</v>
      </c>
      <c r="H295" s="2" t="s">
        <v>1088</v>
      </c>
      <c r="I295" s="2" t="s">
        <v>1089</v>
      </c>
      <c r="J295" s="2" t="s">
        <v>909</v>
      </c>
      <c r="K295" s="2">
        <v>1</v>
      </c>
      <c r="L295" s="2">
        <v>55</v>
      </c>
      <c r="M295" s="3">
        <v>53</v>
      </c>
      <c r="Q295" s="11" t="s">
        <v>343</v>
      </c>
      <c r="R295">
        <v>302</v>
      </c>
    </row>
    <row r="296" spans="1:18" x14ac:dyDescent="0.2">
      <c r="A296" s="1" t="s">
        <v>1090</v>
      </c>
      <c r="B296" s="1" t="s">
        <v>240</v>
      </c>
      <c r="C296" s="1" t="s">
        <v>15</v>
      </c>
      <c r="D296" s="2" t="s">
        <v>16</v>
      </c>
      <c r="E296" s="2" t="s">
        <v>17</v>
      </c>
      <c r="F296" s="2" t="s">
        <v>1091</v>
      </c>
      <c r="G296" s="2" t="s">
        <v>1092</v>
      </c>
      <c r="H296" s="2" t="s">
        <v>1093</v>
      </c>
      <c r="I296" s="2" t="s">
        <v>1094</v>
      </c>
      <c r="J296" s="2" t="s">
        <v>1095</v>
      </c>
      <c r="K296" s="2">
        <v>2</v>
      </c>
      <c r="L296" s="2">
        <v>124</v>
      </c>
      <c r="M296" s="3">
        <v>85</v>
      </c>
      <c r="Q296" s="11" t="s">
        <v>175</v>
      </c>
      <c r="R296">
        <v>730</v>
      </c>
    </row>
    <row r="297" spans="1:18" x14ac:dyDescent="0.2">
      <c r="A297" s="1" t="s">
        <v>898</v>
      </c>
      <c r="B297" s="1" t="s">
        <v>23</v>
      </c>
      <c r="C297" s="1" t="s">
        <v>15</v>
      </c>
      <c r="D297" s="2" t="s">
        <v>72</v>
      </c>
      <c r="E297" s="2" t="s">
        <v>213</v>
      </c>
      <c r="F297" s="2" t="s">
        <v>899</v>
      </c>
      <c r="G297" s="2" t="s">
        <v>900</v>
      </c>
      <c r="H297" s="2" t="s">
        <v>901</v>
      </c>
      <c r="I297" s="2" t="s">
        <v>902</v>
      </c>
      <c r="J297" s="2" t="s">
        <v>1095</v>
      </c>
      <c r="K297" s="2">
        <v>4</v>
      </c>
      <c r="L297" s="2">
        <v>325</v>
      </c>
      <c r="M297" s="3">
        <v>262</v>
      </c>
      <c r="Q297" s="11" t="s">
        <v>693</v>
      </c>
      <c r="R297">
        <v>85</v>
      </c>
    </row>
    <row r="298" spans="1:18" x14ac:dyDescent="0.2">
      <c r="A298" s="1" t="s">
        <v>187</v>
      </c>
      <c r="B298" s="1" t="s">
        <v>66</v>
      </c>
      <c r="C298" s="1" t="s">
        <v>15</v>
      </c>
      <c r="D298" s="2" t="s">
        <v>16</v>
      </c>
      <c r="E298" s="2" t="s">
        <v>17</v>
      </c>
      <c r="F298" s="2" t="s">
        <v>188</v>
      </c>
      <c r="G298" s="2" t="s">
        <v>189</v>
      </c>
      <c r="H298" s="2">
        <v>9297015428</v>
      </c>
      <c r="I298" s="2" t="s">
        <v>190</v>
      </c>
      <c r="J298" s="2" t="s">
        <v>1095</v>
      </c>
      <c r="K298" s="2">
        <v>1</v>
      </c>
      <c r="L298" s="2">
        <v>61</v>
      </c>
      <c r="M298" s="3">
        <v>93</v>
      </c>
      <c r="Q298" s="11" t="s">
        <v>1500</v>
      </c>
      <c r="R298">
        <v>78</v>
      </c>
    </row>
    <row r="299" spans="1:18" x14ac:dyDescent="0.2">
      <c r="A299" s="1" t="s">
        <v>1096</v>
      </c>
      <c r="B299" s="1" t="s">
        <v>23</v>
      </c>
      <c r="C299" s="1" t="s">
        <v>15</v>
      </c>
      <c r="D299" s="2" t="s">
        <v>72</v>
      </c>
      <c r="E299" s="2" t="s">
        <v>213</v>
      </c>
      <c r="F299" s="2" t="s">
        <v>1097</v>
      </c>
      <c r="G299" s="2" t="s">
        <v>1098</v>
      </c>
      <c r="H299" s="2" t="s">
        <v>1099</v>
      </c>
      <c r="I299" s="2" t="s">
        <v>1100</v>
      </c>
      <c r="J299" s="2" t="s">
        <v>1101</v>
      </c>
      <c r="K299" s="2">
        <v>1</v>
      </c>
      <c r="L299" s="2">
        <v>47</v>
      </c>
      <c r="M299" s="3">
        <v>42</v>
      </c>
      <c r="Q299" s="11" t="s">
        <v>1056</v>
      </c>
      <c r="R299">
        <v>183</v>
      </c>
    </row>
    <row r="300" spans="1:18" x14ac:dyDescent="0.2">
      <c r="A300" s="1" t="s">
        <v>1102</v>
      </c>
      <c r="B300" s="1" t="s">
        <v>23</v>
      </c>
      <c r="C300" s="1" t="s">
        <v>15</v>
      </c>
      <c r="D300" s="2" t="s">
        <v>44</v>
      </c>
      <c r="E300" s="2" t="s">
        <v>44</v>
      </c>
      <c r="F300" s="2" t="s">
        <v>1103</v>
      </c>
      <c r="G300" s="2" t="s">
        <v>1104</v>
      </c>
      <c r="H300" s="2" t="s">
        <v>1105</v>
      </c>
      <c r="I300" s="2" t="s">
        <v>1106</v>
      </c>
      <c r="J300" s="2" t="s">
        <v>1101</v>
      </c>
      <c r="K300" s="2">
        <v>2</v>
      </c>
      <c r="L300" s="2">
        <v>229</v>
      </c>
      <c r="M300" s="3">
        <v>224</v>
      </c>
      <c r="Q300" s="11" t="s">
        <v>1505</v>
      </c>
      <c r="R300">
        <v>424</v>
      </c>
    </row>
    <row r="301" spans="1:18" x14ac:dyDescent="0.2">
      <c r="A301" s="1" t="s">
        <v>1107</v>
      </c>
      <c r="B301" s="1" t="s">
        <v>23</v>
      </c>
      <c r="C301" s="1" t="s">
        <v>15</v>
      </c>
      <c r="D301" s="2" t="s">
        <v>72</v>
      </c>
      <c r="E301" s="2" t="s">
        <v>119</v>
      </c>
      <c r="F301" s="2" t="s">
        <v>1108</v>
      </c>
      <c r="G301" s="2" t="s">
        <v>1109</v>
      </c>
      <c r="H301" s="2" t="s">
        <v>1110</v>
      </c>
      <c r="I301" s="2" t="s">
        <v>1111</v>
      </c>
      <c r="J301" s="2" t="s">
        <v>1101</v>
      </c>
      <c r="K301" s="2">
        <v>1</v>
      </c>
      <c r="L301" s="2">
        <v>56</v>
      </c>
      <c r="M301" s="3">
        <v>46</v>
      </c>
      <c r="Q301" s="11" t="s">
        <v>645</v>
      </c>
      <c r="R301">
        <v>213</v>
      </c>
    </row>
    <row r="302" spans="1:18" x14ac:dyDescent="0.2">
      <c r="A302" s="1" t="s">
        <v>389</v>
      </c>
      <c r="B302" s="1" t="s">
        <v>23</v>
      </c>
      <c r="C302" s="1" t="s">
        <v>15</v>
      </c>
      <c r="D302" s="2" t="s">
        <v>36</v>
      </c>
      <c r="E302" s="2" t="s">
        <v>37</v>
      </c>
      <c r="F302" s="2" t="s">
        <v>390</v>
      </c>
      <c r="G302" s="2" t="s">
        <v>391</v>
      </c>
      <c r="H302" s="2" t="s">
        <v>392</v>
      </c>
      <c r="I302" s="2" t="s">
        <v>393</v>
      </c>
      <c r="J302" s="2" t="s">
        <v>1101</v>
      </c>
      <c r="K302" s="2">
        <v>3</v>
      </c>
      <c r="L302" s="2">
        <v>159</v>
      </c>
      <c r="M302" s="3">
        <v>66</v>
      </c>
      <c r="Q302" s="11" t="s">
        <v>181</v>
      </c>
      <c r="R302">
        <v>203</v>
      </c>
    </row>
    <row r="303" spans="1:18" x14ac:dyDescent="0.2">
      <c r="A303" s="1" t="s">
        <v>1112</v>
      </c>
      <c r="B303" s="1" t="s">
        <v>23</v>
      </c>
      <c r="C303" s="1" t="s">
        <v>15</v>
      </c>
      <c r="D303" s="2" t="s">
        <v>72</v>
      </c>
      <c r="E303" s="2" t="s">
        <v>491</v>
      </c>
      <c r="F303" s="2" t="s">
        <v>1113</v>
      </c>
      <c r="G303" s="2" t="s">
        <v>1114</v>
      </c>
      <c r="H303" s="2" t="s">
        <v>1115</v>
      </c>
      <c r="I303" s="2" t="s">
        <v>1116</v>
      </c>
      <c r="J303" s="2" t="s">
        <v>1101</v>
      </c>
      <c r="K303" s="2">
        <v>1</v>
      </c>
      <c r="L303" s="2">
        <v>25</v>
      </c>
      <c r="M303" s="3">
        <v>0</v>
      </c>
      <c r="Q303" s="11" t="s">
        <v>410</v>
      </c>
      <c r="R303">
        <v>403</v>
      </c>
    </row>
    <row r="304" spans="1:18" x14ac:dyDescent="0.2">
      <c r="A304" s="1" t="s">
        <v>939</v>
      </c>
      <c r="B304" s="1" t="s">
        <v>23</v>
      </c>
      <c r="C304" s="1" t="s">
        <v>15</v>
      </c>
      <c r="D304" s="2" t="s">
        <v>44</v>
      </c>
      <c r="E304" s="2" t="s">
        <v>44</v>
      </c>
      <c r="F304" s="2" t="s">
        <v>940</v>
      </c>
      <c r="G304" s="2" t="s">
        <v>941</v>
      </c>
      <c r="H304" s="2" t="s">
        <v>942</v>
      </c>
      <c r="I304" s="2" t="s">
        <v>943</v>
      </c>
      <c r="J304" s="2" t="s">
        <v>1101</v>
      </c>
      <c r="K304" s="2">
        <v>2</v>
      </c>
      <c r="L304" s="2">
        <v>278</v>
      </c>
      <c r="M304" s="3">
        <v>242</v>
      </c>
      <c r="Q304" s="11" t="s">
        <v>475</v>
      </c>
      <c r="R304">
        <v>445</v>
      </c>
    </row>
    <row r="305" spans="1:18" x14ac:dyDescent="0.2">
      <c r="A305" s="1" t="s">
        <v>1117</v>
      </c>
      <c r="B305" s="1" t="s">
        <v>23</v>
      </c>
      <c r="C305" s="1" t="s">
        <v>15</v>
      </c>
      <c r="D305" s="2" t="s">
        <v>44</v>
      </c>
      <c r="E305" s="2" t="s">
        <v>44</v>
      </c>
      <c r="F305" s="2" t="s">
        <v>1118</v>
      </c>
      <c r="G305" s="2" t="s">
        <v>1119</v>
      </c>
      <c r="H305" s="2" t="s">
        <v>1120</v>
      </c>
      <c r="I305" s="2" t="s">
        <v>1121</v>
      </c>
      <c r="J305" s="2" t="s">
        <v>1101</v>
      </c>
      <c r="K305" s="2">
        <v>4</v>
      </c>
      <c r="L305" s="2">
        <v>312</v>
      </c>
      <c r="M305" s="3">
        <v>599</v>
      </c>
      <c r="Q305" s="11" t="s">
        <v>854</v>
      </c>
      <c r="R305">
        <v>14</v>
      </c>
    </row>
    <row r="306" spans="1:18" x14ac:dyDescent="0.2">
      <c r="A306" s="1" t="s">
        <v>949</v>
      </c>
      <c r="B306" s="1" t="s">
        <v>23</v>
      </c>
      <c r="C306" s="1" t="s">
        <v>15</v>
      </c>
      <c r="D306" s="2" t="s">
        <v>44</v>
      </c>
      <c r="E306" s="2" t="s">
        <v>44</v>
      </c>
      <c r="F306" s="2" t="s">
        <v>950</v>
      </c>
      <c r="G306" s="2" t="s">
        <v>951</v>
      </c>
      <c r="H306" s="2" t="s">
        <v>952</v>
      </c>
      <c r="I306" s="2" t="s">
        <v>953</v>
      </c>
      <c r="J306" s="2" t="s">
        <v>1101</v>
      </c>
      <c r="K306" s="2">
        <v>2</v>
      </c>
      <c r="L306" s="2">
        <v>160</v>
      </c>
      <c r="M306" s="3">
        <v>127</v>
      </c>
      <c r="Q306" s="11" t="s">
        <v>1060</v>
      </c>
      <c r="R306">
        <v>223</v>
      </c>
    </row>
    <row r="307" spans="1:18" x14ac:dyDescent="0.2">
      <c r="A307" s="1" t="s">
        <v>206</v>
      </c>
      <c r="B307" s="1" t="s">
        <v>23</v>
      </c>
      <c r="C307" s="1" t="s">
        <v>15</v>
      </c>
      <c r="D307" s="2" t="s">
        <v>36</v>
      </c>
      <c r="E307" s="2" t="s">
        <v>207</v>
      </c>
      <c r="F307" s="2" t="s">
        <v>208</v>
      </c>
      <c r="G307" s="2" t="s">
        <v>209</v>
      </c>
      <c r="H307" s="2" t="s">
        <v>210</v>
      </c>
      <c r="I307" s="2" t="s">
        <v>211</v>
      </c>
      <c r="J307" s="2" t="s">
        <v>1101</v>
      </c>
      <c r="K307" s="2">
        <v>1</v>
      </c>
      <c r="L307" s="2">
        <v>69</v>
      </c>
      <c r="M307" s="3">
        <v>69</v>
      </c>
      <c r="Q307" s="11" t="s">
        <v>520</v>
      </c>
      <c r="R307">
        <v>190</v>
      </c>
    </row>
    <row r="308" spans="1:18" x14ac:dyDescent="0.2">
      <c r="A308" s="1" t="s">
        <v>1122</v>
      </c>
      <c r="B308" s="1" t="s">
        <v>23</v>
      </c>
      <c r="C308" s="1" t="s">
        <v>15</v>
      </c>
      <c r="D308" s="2" t="s">
        <v>44</v>
      </c>
      <c r="E308" s="2" t="s">
        <v>44</v>
      </c>
      <c r="F308" s="2" t="s">
        <v>1123</v>
      </c>
      <c r="G308" s="2" t="s">
        <v>1124</v>
      </c>
      <c r="H308" s="2" t="s">
        <v>1125</v>
      </c>
      <c r="I308" s="2" t="s">
        <v>1126</v>
      </c>
      <c r="J308" s="2" t="s">
        <v>1101</v>
      </c>
      <c r="K308" s="2">
        <v>1</v>
      </c>
      <c r="L308" s="2">
        <v>60</v>
      </c>
      <c r="M308" s="3">
        <v>60</v>
      </c>
      <c r="Q308" s="11" t="s">
        <v>435</v>
      </c>
      <c r="R308">
        <v>592</v>
      </c>
    </row>
    <row r="309" spans="1:18" x14ac:dyDescent="0.2">
      <c r="A309" s="1" t="s">
        <v>1127</v>
      </c>
      <c r="B309" s="1" t="s">
        <v>23</v>
      </c>
      <c r="C309" s="1" t="s">
        <v>15</v>
      </c>
      <c r="D309" s="2" t="s">
        <v>44</v>
      </c>
      <c r="E309" s="2" t="s">
        <v>44</v>
      </c>
      <c r="F309" s="2" t="s">
        <v>1128</v>
      </c>
      <c r="G309" s="2" t="s">
        <v>1129</v>
      </c>
      <c r="H309" s="2" t="s">
        <v>1130</v>
      </c>
      <c r="I309" s="2" t="s">
        <v>1131</v>
      </c>
      <c r="J309" s="2" t="s">
        <v>1101</v>
      </c>
      <c r="K309" s="2">
        <v>1</v>
      </c>
      <c r="L309" s="2">
        <v>180</v>
      </c>
      <c r="M309" s="3">
        <v>163</v>
      </c>
      <c r="Q309" s="11" t="s">
        <v>1569</v>
      </c>
      <c r="R309">
        <v>287</v>
      </c>
    </row>
    <row r="310" spans="1:18" x14ac:dyDescent="0.2">
      <c r="A310" s="1" t="s">
        <v>1132</v>
      </c>
      <c r="B310" s="1" t="s">
        <v>23</v>
      </c>
      <c r="C310" s="1" t="s">
        <v>15</v>
      </c>
      <c r="D310" s="2" t="s">
        <v>44</v>
      </c>
      <c r="E310" s="2" t="s">
        <v>44</v>
      </c>
      <c r="F310" s="2" t="s">
        <v>1133</v>
      </c>
      <c r="G310" s="2" t="s">
        <v>1134</v>
      </c>
      <c r="H310" s="2" t="s">
        <v>1135</v>
      </c>
      <c r="I310" s="2" t="s">
        <v>1136</v>
      </c>
      <c r="J310" s="2" t="s">
        <v>1101</v>
      </c>
      <c r="K310" s="2">
        <v>2</v>
      </c>
      <c r="L310" s="2">
        <v>155</v>
      </c>
      <c r="M310" s="3">
        <v>127</v>
      </c>
      <c r="Q310" s="11" t="s">
        <v>1206</v>
      </c>
      <c r="R310">
        <v>120</v>
      </c>
    </row>
    <row r="311" spans="1:18" x14ac:dyDescent="0.2">
      <c r="A311" s="1" t="s">
        <v>266</v>
      </c>
      <c r="B311" s="1" t="s">
        <v>23</v>
      </c>
      <c r="C311" s="1" t="s">
        <v>15</v>
      </c>
      <c r="D311" s="2" t="s">
        <v>16</v>
      </c>
      <c r="E311" s="2" t="s">
        <v>108</v>
      </c>
      <c r="F311" s="2" t="s">
        <v>267</v>
      </c>
      <c r="G311" s="2" t="s">
        <v>268</v>
      </c>
      <c r="H311" s="2" t="s">
        <v>269</v>
      </c>
      <c r="I311" s="2" t="s">
        <v>270</v>
      </c>
      <c r="J311" s="2" t="s">
        <v>1101</v>
      </c>
      <c r="K311" s="2">
        <v>1</v>
      </c>
      <c r="L311" s="2">
        <v>71</v>
      </c>
      <c r="M311" s="3">
        <v>45</v>
      </c>
      <c r="Q311" s="11" t="s">
        <v>49</v>
      </c>
      <c r="R311">
        <v>286</v>
      </c>
    </row>
    <row r="312" spans="1:18" x14ac:dyDescent="0.2">
      <c r="A312" s="1" t="s">
        <v>964</v>
      </c>
      <c r="B312" s="1" t="s">
        <v>23</v>
      </c>
      <c r="C312" s="1" t="s">
        <v>15</v>
      </c>
      <c r="D312" s="2" t="s">
        <v>36</v>
      </c>
      <c r="E312" s="2" t="s">
        <v>176</v>
      </c>
      <c r="F312" s="2" t="s">
        <v>965</v>
      </c>
      <c r="G312" s="2" t="s">
        <v>966</v>
      </c>
      <c r="H312" s="2">
        <v>9684471790</v>
      </c>
      <c r="I312" s="2" t="s">
        <v>967</v>
      </c>
      <c r="J312" s="2" t="s">
        <v>1101</v>
      </c>
      <c r="K312" s="2">
        <v>2</v>
      </c>
      <c r="L312" s="2">
        <v>127</v>
      </c>
      <c r="M312" s="3">
        <v>0</v>
      </c>
      <c r="Q312" s="11" t="s">
        <v>706</v>
      </c>
      <c r="R312">
        <v>68</v>
      </c>
    </row>
    <row r="313" spans="1:18" x14ac:dyDescent="0.2">
      <c r="A313" s="1" t="s">
        <v>1137</v>
      </c>
      <c r="B313" s="1" t="s">
        <v>23</v>
      </c>
      <c r="C313" s="1" t="s">
        <v>15</v>
      </c>
      <c r="D313" s="2" t="s">
        <v>16</v>
      </c>
      <c r="E313" s="2" t="s">
        <v>224</v>
      </c>
      <c r="F313" s="2" t="s">
        <v>1138</v>
      </c>
      <c r="G313" s="2" t="s">
        <v>1139</v>
      </c>
      <c r="H313" s="2" t="s">
        <v>1140</v>
      </c>
      <c r="I313" s="2" t="s">
        <v>1141</v>
      </c>
      <c r="J313" s="2" t="s">
        <v>1101</v>
      </c>
      <c r="K313" s="2">
        <v>1</v>
      </c>
      <c r="L313" s="2">
        <v>112</v>
      </c>
      <c r="M313" s="3">
        <v>99</v>
      </c>
      <c r="Q313" s="11" t="s">
        <v>187</v>
      </c>
      <c r="R313">
        <v>930</v>
      </c>
    </row>
    <row r="314" spans="1:18" x14ac:dyDescent="0.2">
      <c r="A314" s="1" t="s">
        <v>1142</v>
      </c>
      <c r="B314" s="1" t="s">
        <v>23</v>
      </c>
      <c r="C314" s="1" t="s">
        <v>15</v>
      </c>
      <c r="D314" s="2" t="s">
        <v>24</v>
      </c>
      <c r="E314" s="2" t="s">
        <v>1143</v>
      </c>
      <c r="F314" s="2" t="s">
        <v>1144</v>
      </c>
      <c r="G314" s="2" t="s">
        <v>1145</v>
      </c>
      <c r="H314" s="2" t="s">
        <v>1146</v>
      </c>
      <c r="I314" s="2" t="s">
        <v>1147</v>
      </c>
      <c r="J314" s="2" t="s">
        <v>1101</v>
      </c>
      <c r="K314" s="2">
        <v>1</v>
      </c>
      <c r="L314" s="2">
        <v>159</v>
      </c>
      <c r="M314" s="3">
        <v>124</v>
      </c>
      <c r="Q314" s="11" t="s">
        <v>839</v>
      </c>
      <c r="R314">
        <v>25</v>
      </c>
    </row>
    <row r="315" spans="1:18" x14ac:dyDescent="0.2">
      <c r="A315" s="1" t="s">
        <v>285</v>
      </c>
      <c r="B315" s="1" t="s">
        <v>23</v>
      </c>
      <c r="C315" s="1" t="s">
        <v>15</v>
      </c>
      <c r="D315" s="2" t="s">
        <v>16</v>
      </c>
      <c r="E315" s="2" t="s">
        <v>108</v>
      </c>
      <c r="F315" s="2" t="s">
        <v>286</v>
      </c>
      <c r="G315" s="2" t="s">
        <v>287</v>
      </c>
      <c r="H315" s="2" t="s">
        <v>288</v>
      </c>
      <c r="I315" s="2" t="s">
        <v>289</v>
      </c>
      <c r="J315" s="2" t="s">
        <v>1101</v>
      </c>
      <c r="K315" s="2">
        <v>2</v>
      </c>
      <c r="L315" s="2">
        <v>75</v>
      </c>
      <c r="M315" s="3">
        <v>66</v>
      </c>
      <c r="Q315" s="11" t="s">
        <v>1211</v>
      </c>
      <c r="R315">
        <v>5</v>
      </c>
    </row>
    <row r="316" spans="1:18" x14ac:dyDescent="0.2">
      <c r="A316" s="1" t="s">
        <v>1148</v>
      </c>
      <c r="B316" s="1" t="s">
        <v>23</v>
      </c>
      <c r="C316" s="1" t="s">
        <v>15</v>
      </c>
      <c r="D316" s="2" t="s">
        <v>36</v>
      </c>
      <c r="E316" s="2" t="s">
        <v>37</v>
      </c>
      <c r="F316" s="2" t="s">
        <v>1149</v>
      </c>
      <c r="G316" s="2" t="s">
        <v>1150</v>
      </c>
      <c r="H316" s="2" t="s">
        <v>1151</v>
      </c>
      <c r="I316" s="2" t="s">
        <v>1152</v>
      </c>
      <c r="J316" s="2" t="s">
        <v>1101</v>
      </c>
      <c r="K316" s="2">
        <v>1</v>
      </c>
      <c r="L316" s="2">
        <v>56</v>
      </c>
      <c r="M316" s="3">
        <v>51</v>
      </c>
      <c r="Q316" s="11" t="s">
        <v>54</v>
      </c>
      <c r="R316">
        <v>399</v>
      </c>
    </row>
    <row r="317" spans="1:18" x14ac:dyDescent="0.2">
      <c r="A317" s="1" t="s">
        <v>313</v>
      </c>
      <c r="B317" s="1" t="s">
        <v>23</v>
      </c>
      <c r="C317" s="1" t="s">
        <v>15</v>
      </c>
      <c r="D317" s="2" t="s">
        <v>16</v>
      </c>
      <c r="E317" s="2" t="s">
        <v>108</v>
      </c>
      <c r="F317" s="2" t="s">
        <v>314</v>
      </c>
      <c r="G317" s="2" t="s">
        <v>315</v>
      </c>
      <c r="H317" s="2" t="s">
        <v>316</v>
      </c>
      <c r="I317" s="2" t="s">
        <v>317</v>
      </c>
      <c r="J317" s="2" t="s">
        <v>1101</v>
      </c>
      <c r="K317" s="2">
        <v>1</v>
      </c>
      <c r="L317" s="2">
        <v>147</v>
      </c>
      <c r="M317" s="3">
        <v>192</v>
      </c>
      <c r="Q317" s="11" t="s">
        <v>1591</v>
      </c>
      <c r="R317">
        <v>210</v>
      </c>
    </row>
    <row r="318" spans="1:18" x14ac:dyDescent="0.2">
      <c r="A318" s="1" t="s">
        <v>1020</v>
      </c>
      <c r="B318" s="1" t="s">
        <v>23</v>
      </c>
      <c r="C318" s="1" t="s">
        <v>15</v>
      </c>
      <c r="D318" s="2" t="s">
        <v>44</v>
      </c>
      <c r="E318" s="2" t="s">
        <v>44</v>
      </c>
      <c r="F318" s="2" t="s">
        <v>1021</v>
      </c>
      <c r="G318" s="2" t="s">
        <v>1022</v>
      </c>
      <c r="H318" s="2" t="s">
        <v>1023</v>
      </c>
      <c r="I318" s="2" t="s">
        <v>1024</v>
      </c>
      <c r="J318" s="2" t="s">
        <v>1101</v>
      </c>
      <c r="K318" s="2">
        <v>1</v>
      </c>
      <c r="L318" s="2">
        <v>186</v>
      </c>
      <c r="M318" s="3">
        <v>271</v>
      </c>
      <c r="Q318" s="11" t="s">
        <v>1168</v>
      </c>
      <c r="R318">
        <v>1917</v>
      </c>
    </row>
    <row r="319" spans="1:18" x14ac:dyDescent="0.2">
      <c r="A319" s="1" t="s">
        <v>139</v>
      </c>
      <c r="B319" s="1" t="s">
        <v>23</v>
      </c>
      <c r="C319" s="1" t="s">
        <v>15</v>
      </c>
      <c r="D319" s="2" t="s">
        <v>44</v>
      </c>
      <c r="E319" s="2" t="s">
        <v>44</v>
      </c>
      <c r="F319" s="2" t="s">
        <v>140</v>
      </c>
      <c r="G319" s="2" t="s">
        <v>141</v>
      </c>
      <c r="H319" s="2" t="s">
        <v>142</v>
      </c>
      <c r="I319" s="2" t="s">
        <v>143</v>
      </c>
      <c r="J319" s="2" t="s">
        <v>1101</v>
      </c>
      <c r="K319" s="2">
        <v>4</v>
      </c>
      <c r="L319" s="2">
        <v>387</v>
      </c>
      <c r="M319" s="3">
        <v>360</v>
      </c>
      <c r="Q319" s="11" t="s">
        <v>1065</v>
      </c>
      <c r="R319">
        <v>367</v>
      </c>
    </row>
    <row r="320" spans="1:18" x14ac:dyDescent="0.2">
      <c r="A320" s="1" t="s">
        <v>1153</v>
      </c>
      <c r="B320" s="1" t="s">
        <v>23</v>
      </c>
      <c r="C320" s="1" t="s">
        <v>15</v>
      </c>
      <c r="D320" s="2" t="s">
        <v>72</v>
      </c>
      <c r="E320" s="2" t="s">
        <v>213</v>
      </c>
      <c r="F320" s="2" t="s">
        <v>1154</v>
      </c>
      <c r="G320" s="2" t="s">
        <v>1155</v>
      </c>
      <c r="H320" s="2" t="s">
        <v>1156</v>
      </c>
      <c r="I320" s="2" t="s">
        <v>1157</v>
      </c>
      <c r="J320" s="2" t="s">
        <v>1101</v>
      </c>
      <c r="K320" s="2">
        <v>1</v>
      </c>
      <c r="L320" s="2">
        <v>59</v>
      </c>
      <c r="M320" s="3">
        <v>59</v>
      </c>
      <c r="Q320" s="11" t="s">
        <v>348</v>
      </c>
      <c r="R320">
        <v>454</v>
      </c>
    </row>
    <row r="321" spans="1:18" x14ac:dyDescent="0.2">
      <c r="A321" s="1" t="s">
        <v>678</v>
      </c>
      <c r="B321" s="1" t="s">
        <v>23</v>
      </c>
      <c r="C321" s="1" t="s">
        <v>15</v>
      </c>
      <c r="D321" s="2" t="s">
        <v>16</v>
      </c>
      <c r="E321" s="2" t="s">
        <v>108</v>
      </c>
      <c r="F321" s="2" t="s">
        <v>679</v>
      </c>
      <c r="G321" s="2" t="s">
        <v>680</v>
      </c>
      <c r="H321" s="2" t="s">
        <v>681</v>
      </c>
      <c r="I321" s="2" t="s">
        <v>682</v>
      </c>
      <c r="J321" s="2" t="s">
        <v>1101</v>
      </c>
      <c r="K321" s="2">
        <v>1</v>
      </c>
      <c r="L321" s="2">
        <v>52</v>
      </c>
      <c r="M321" s="3">
        <v>52</v>
      </c>
      <c r="Q321" s="11" t="s">
        <v>1365</v>
      </c>
      <c r="R321">
        <v>500</v>
      </c>
    </row>
    <row r="322" spans="1:18" x14ac:dyDescent="0.2">
      <c r="A322" s="1" t="s">
        <v>1029</v>
      </c>
      <c r="B322" s="1" t="s">
        <v>23</v>
      </c>
      <c r="C322" s="1" t="s">
        <v>15</v>
      </c>
      <c r="D322" s="2" t="s">
        <v>72</v>
      </c>
      <c r="E322" s="2" t="s">
        <v>491</v>
      </c>
      <c r="F322" s="2" t="s">
        <v>1030</v>
      </c>
      <c r="G322" s="2" t="s">
        <v>1031</v>
      </c>
      <c r="H322" s="2">
        <v>9395537454</v>
      </c>
      <c r="I322" s="2" t="s">
        <v>1032</v>
      </c>
      <c r="J322" s="2" t="s">
        <v>1101</v>
      </c>
      <c r="K322" s="2">
        <v>2</v>
      </c>
      <c r="L322" s="2">
        <v>365</v>
      </c>
      <c r="M322" s="3">
        <v>362</v>
      </c>
      <c r="Q322" s="11" t="s">
        <v>61</v>
      </c>
      <c r="R322">
        <v>2491</v>
      </c>
    </row>
    <row r="323" spans="1:18" x14ac:dyDescent="0.2">
      <c r="A323" s="1" t="s">
        <v>1033</v>
      </c>
      <c r="B323" s="1" t="s">
        <v>23</v>
      </c>
      <c r="C323" s="1" t="s">
        <v>15</v>
      </c>
      <c r="D323" s="2" t="s">
        <v>55</v>
      </c>
      <c r="E323" s="2" t="s">
        <v>92</v>
      </c>
      <c r="F323" s="2" t="s">
        <v>1034</v>
      </c>
      <c r="G323" s="2" t="s">
        <v>1035</v>
      </c>
      <c r="H323" s="2">
        <v>9606688727</v>
      </c>
      <c r="I323" s="2" t="s">
        <v>1036</v>
      </c>
      <c r="J323" s="2" t="s">
        <v>1101</v>
      </c>
      <c r="K323" s="2">
        <v>0</v>
      </c>
      <c r="L323" s="2">
        <v>0</v>
      </c>
      <c r="M323" s="3">
        <v>247</v>
      </c>
      <c r="Q323" s="11" t="s">
        <v>1070</v>
      </c>
      <c r="R323">
        <v>983</v>
      </c>
    </row>
    <row r="324" spans="1:18" x14ac:dyDescent="0.2">
      <c r="A324" s="1" t="s">
        <v>415</v>
      </c>
      <c r="B324" s="1" t="s">
        <v>23</v>
      </c>
      <c r="C324" s="1" t="s">
        <v>15</v>
      </c>
      <c r="D324" s="2" t="s">
        <v>36</v>
      </c>
      <c r="E324" s="2" t="s">
        <v>37</v>
      </c>
      <c r="F324" s="2" t="s">
        <v>416</v>
      </c>
      <c r="G324" s="2" t="s">
        <v>417</v>
      </c>
      <c r="H324" s="2" t="s">
        <v>418</v>
      </c>
      <c r="I324" s="2" t="s">
        <v>419</v>
      </c>
      <c r="J324" s="2" t="s">
        <v>1101</v>
      </c>
      <c r="K324" s="2">
        <v>2</v>
      </c>
      <c r="L324" s="2">
        <v>294</v>
      </c>
      <c r="M324" s="3">
        <v>277</v>
      </c>
      <c r="Q324" s="11" t="s">
        <v>1222</v>
      </c>
      <c r="R324">
        <v>5</v>
      </c>
    </row>
    <row r="325" spans="1:18" x14ac:dyDescent="0.2">
      <c r="A325" s="1" t="s">
        <v>1051</v>
      </c>
      <c r="B325" s="1" t="s">
        <v>23</v>
      </c>
      <c r="C325" s="1" t="s">
        <v>15</v>
      </c>
      <c r="D325" s="2" t="s">
        <v>24</v>
      </c>
      <c r="E325" s="2" t="s">
        <v>135</v>
      </c>
      <c r="F325" s="2" t="s">
        <v>1052</v>
      </c>
      <c r="G325" s="2" t="s">
        <v>1053</v>
      </c>
      <c r="H325" s="2" t="s">
        <v>1054</v>
      </c>
      <c r="I325" s="2" t="s">
        <v>1055</v>
      </c>
      <c r="J325" s="2" t="s">
        <v>1101</v>
      </c>
      <c r="K325" s="2">
        <v>3</v>
      </c>
      <c r="L325" s="2">
        <v>219</v>
      </c>
      <c r="M325" s="3">
        <v>148</v>
      </c>
      <c r="Q325" s="11" t="s">
        <v>1329</v>
      </c>
      <c r="R325">
        <v>897</v>
      </c>
    </row>
    <row r="326" spans="1:18" x14ac:dyDescent="0.2">
      <c r="A326" s="1" t="s">
        <v>369</v>
      </c>
      <c r="B326" s="1" t="s">
        <v>23</v>
      </c>
      <c r="C326" s="1" t="s">
        <v>15</v>
      </c>
      <c r="D326" s="2" t="s">
        <v>44</v>
      </c>
      <c r="E326" s="2" t="s">
        <v>44</v>
      </c>
      <c r="F326" s="2" t="s">
        <v>370</v>
      </c>
      <c r="G326" s="2" t="s">
        <v>371</v>
      </c>
      <c r="H326" s="2" t="s">
        <v>372</v>
      </c>
      <c r="I326" s="2" t="s">
        <v>373</v>
      </c>
      <c r="J326" s="2" t="s">
        <v>1101</v>
      </c>
      <c r="K326" s="2">
        <v>2</v>
      </c>
      <c r="L326" s="2">
        <v>106</v>
      </c>
      <c r="M326" s="3">
        <v>140</v>
      </c>
      <c r="Q326" s="11" t="s">
        <v>1324</v>
      </c>
      <c r="R326">
        <v>189</v>
      </c>
    </row>
    <row r="327" spans="1:18" x14ac:dyDescent="0.2">
      <c r="A327" s="1" t="s">
        <v>1158</v>
      </c>
      <c r="B327" s="1" t="s">
        <v>23</v>
      </c>
      <c r="C327" s="1" t="s">
        <v>15</v>
      </c>
      <c r="D327" s="2" t="s">
        <v>72</v>
      </c>
      <c r="E327" s="2" t="s">
        <v>119</v>
      </c>
      <c r="F327" s="2" t="s">
        <v>1159</v>
      </c>
      <c r="G327" s="2" t="s">
        <v>1119</v>
      </c>
      <c r="H327" s="2" t="s">
        <v>1160</v>
      </c>
      <c r="I327" s="2" t="s">
        <v>1161</v>
      </c>
      <c r="J327" s="2" t="s">
        <v>1101</v>
      </c>
      <c r="K327" s="2">
        <v>3</v>
      </c>
      <c r="L327" s="2">
        <v>183</v>
      </c>
      <c r="M327" s="3">
        <v>337</v>
      </c>
      <c r="Q327" s="11" t="s">
        <v>1075</v>
      </c>
      <c r="R327">
        <v>386</v>
      </c>
    </row>
    <row r="328" spans="1:18" x14ac:dyDescent="0.2">
      <c r="A328" s="1" t="s">
        <v>1162</v>
      </c>
      <c r="B328" s="1" t="s">
        <v>23</v>
      </c>
      <c r="C328" s="1" t="s">
        <v>15</v>
      </c>
      <c r="D328" s="2" t="s">
        <v>36</v>
      </c>
      <c r="E328" s="2" t="s">
        <v>37</v>
      </c>
      <c r="F328" s="2" t="s">
        <v>1163</v>
      </c>
      <c r="G328" s="2" t="s">
        <v>1164</v>
      </c>
      <c r="H328" s="2" t="s">
        <v>1165</v>
      </c>
      <c r="I328" s="2" t="s">
        <v>1166</v>
      </c>
      <c r="J328" s="2" t="s">
        <v>1101</v>
      </c>
      <c r="K328" s="2">
        <v>1</v>
      </c>
      <c r="L328" s="2">
        <v>81</v>
      </c>
      <c r="M328" s="3">
        <v>81</v>
      </c>
      <c r="Q328" s="11" t="s">
        <v>515</v>
      </c>
      <c r="R328">
        <v>152</v>
      </c>
    </row>
    <row r="329" spans="1:18" x14ac:dyDescent="0.2">
      <c r="A329" s="1" t="s">
        <v>410</v>
      </c>
      <c r="B329" s="1" t="s">
        <v>23</v>
      </c>
      <c r="C329" s="1" t="s">
        <v>15</v>
      </c>
      <c r="D329" s="2" t="s">
        <v>36</v>
      </c>
      <c r="E329" s="2" t="s">
        <v>176</v>
      </c>
      <c r="F329" s="2" t="s">
        <v>1167</v>
      </c>
      <c r="G329" s="2" t="s">
        <v>412</v>
      </c>
      <c r="H329" s="2">
        <v>9278551680</v>
      </c>
      <c r="I329" s="2" t="s">
        <v>414</v>
      </c>
      <c r="J329" s="2" t="s">
        <v>1101</v>
      </c>
      <c r="K329" s="2">
        <v>0</v>
      </c>
      <c r="L329" s="2">
        <v>0</v>
      </c>
      <c r="M329" s="3">
        <v>24</v>
      </c>
      <c r="Q329" s="11" t="s">
        <v>1510</v>
      </c>
      <c r="R329">
        <v>695</v>
      </c>
    </row>
    <row r="330" spans="1:18" x14ac:dyDescent="0.2">
      <c r="A330" s="1" t="s">
        <v>1168</v>
      </c>
      <c r="B330" s="1" t="s">
        <v>23</v>
      </c>
      <c r="C330" s="1" t="s">
        <v>15</v>
      </c>
      <c r="D330" s="2" t="s">
        <v>24</v>
      </c>
      <c r="E330" s="2" t="s">
        <v>80</v>
      </c>
      <c r="F330" s="2" t="s">
        <v>1169</v>
      </c>
      <c r="G330" s="2" t="s">
        <v>1170</v>
      </c>
      <c r="H330" s="2" t="s">
        <v>1171</v>
      </c>
      <c r="I330" s="2" t="s">
        <v>1172</v>
      </c>
      <c r="J330" s="2" t="s">
        <v>1101</v>
      </c>
      <c r="K330" s="2">
        <v>4</v>
      </c>
      <c r="L330" s="2">
        <v>858</v>
      </c>
      <c r="M330" s="3">
        <v>941</v>
      </c>
      <c r="Q330" s="11" t="s">
        <v>603</v>
      </c>
      <c r="R330">
        <v>95</v>
      </c>
    </row>
    <row r="331" spans="1:18" x14ac:dyDescent="0.2">
      <c r="A331" s="1" t="s">
        <v>1070</v>
      </c>
      <c r="B331" s="1" t="s">
        <v>240</v>
      </c>
      <c r="C331" s="1" t="s">
        <v>15</v>
      </c>
      <c r="D331" s="2" t="s">
        <v>36</v>
      </c>
      <c r="E331" s="2" t="s">
        <v>145</v>
      </c>
      <c r="F331" s="2" t="s">
        <v>1071</v>
      </c>
      <c r="G331" s="2" t="s">
        <v>1072</v>
      </c>
      <c r="H331" s="2" t="s">
        <v>1073</v>
      </c>
      <c r="I331" s="2" t="s">
        <v>1074</v>
      </c>
      <c r="J331" s="2" t="s">
        <v>1101</v>
      </c>
      <c r="K331" s="2">
        <v>1</v>
      </c>
      <c r="L331" s="2">
        <v>158</v>
      </c>
      <c r="M331" s="3">
        <v>136</v>
      </c>
      <c r="Q331" s="11" t="s">
        <v>470</v>
      </c>
      <c r="R331">
        <v>197</v>
      </c>
    </row>
    <row r="332" spans="1:18" x14ac:dyDescent="0.2">
      <c r="A332" s="1" t="s">
        <v>470</v>
      </c>
      <c r="B332" s="1" t="s">
        <v>23</v>
      </c>
      <c r="C332" s="1" t="s">
        <v>15</v>
      </c>
      <c r="D332" s="2" t="s">
        <v>36</v>
      </c>
      <c r="E332" s="2" t="s">
        <v>207</v>
      </c>
      <c r="F332" s="2" t="s">
        <v>471</v>
      </c>
      <c r="G332" s="2" t="s">
        <v>472</v>
      </c>
      <c r="H332" s="2" t="s">
        <v>473</v>
      </c>
      <c r="I332" s="2" t="s">
        <v>474</v>
      </c>
      <c r="J332" s="2" t="s">
        <v>1101</v>
      </c>
      <c r="K332" s="2">
        <v>1</v>
      </c>
      <c r="L332" s="2">
        <v>25</v>
      </c>
      <c r="M332" s="3">
        <v>0</v>
      </c>
      <c r="Q332" s="11" t="s">
        <v>358</v>
      </c>
      <c r="R332">
        <v>1298</v>
      </c>
    </row>
    <row r="333" spans="1:18" x14ac:dyDescent="0.2">
      <c r="A333" s="1" t="s">
        <v>353</v>
      </c>
      <c r="B333" s="1" t="s">
        <v>23</v>
      </c>
      <c r="C333" s="1" t="s">
        <v>15</v>
      </c>
      <c r="D333" s="2" t="s">
        <v>16</v>
      </c>
      <c r="E333" s="2" t="s">
        <v>108</v>
      </c>
      <c r="F333" s="2" t="s">
        <v>354</v>
      </c>
      <c r="G333" s="2" t="s">
        <v>355</v>
      </c>
      <c r="H333" s="2" t="s">
        <v>356</v>
      </c>
      <c r="I333" s="2" t="s">
        <v>357</v>
      </c>
      <c r="J333" s="2" t="s">
        <v>1101</v>
      </c>
      <c r="K333" s="2">
        <v>1</v>
      </c>
      <c r="L333" s="2">
        <v>155</v>
      </c>
      <c r="M333" s="3">
        <v>256</v>
      </c>
      <c r="Q333" s="11" t="s">
        <v>353</v>
      </c>
      <c r="R333">
        <v>256</v>
      </c>
    </row>
    <row r="334" spans="1:18" x14ac:dyDescent="0.2">
      <c r="A334" s="1" t="s">
        <v>1173</v>
      </c>
      <c r="B334" s="1" t="s">
        <v>23</v>
      </c>
      <c r="C334" s="1" t="s">
        <v>15</v>
      </c>
      <c r="D334" s="2" t="s">
        <v>44</v>
      </c>
      <c r="E334" s="2" t="s">
        <v>44</v>
      </c>
      <c r="F334" s="2" t="s">
        <v>1174</v>
      </c>
      <c r="G334" s="2" t="s">
        <v>1175</v>
      </c>
      <c r="H334" s="2" t="s">
        <v>1176</v>
      </c>
      <c r="I334" s="2" t="s">
        <v>1177</v>
      </c>
      <c r="J334" s="2" t="s">
        <v>1101</v>
      </c>
      <c r="K334" s="2">
        <v>2</v>
      </c>
      <c r="L334" s="2">
        <v>382</v>
      </c>
      <c r="M334" s="3">
        <v>417</v>
      </c>
      <c r="Q334" s="11" t="s">
        <v>1080</v>
      </c>
      <c r="R334">
        <v>51</v>
      </c>
    </row>
    <row r="335" spans="1:18" x14ac:dyDescent="0.2">
      <c r="A335" s="1" t="s">
        <v>196</v>
      </c>
      <c r="B335" s="1" t="s">
        <v>23</v>
      </c>
      <c r="C335" s="1" t="s">
        <v>15</v>
      </c>
      <c r="D335" s="2" t="s">
        <v>72</v>
      </c>
      <c r="E335" s="2" t="s">
        <v>73</v>
      </c>
      <c r="F335" s="2" t="s">
        <v>197</v>
      </c>
      <c r="G335" s="2" t="s">
        <v>198</v>
      </c>
      <c r="H335" s="2" t="s">
        <v>199</v>
      </c>
      <c r="I335" s="2" t="s">
        <v>200</v>
      </c>
      <c r="J335" s="2" t="s">
        <v>1178</v>
      </c>
      <c r="K335" s="2">
        <v>2</v>
      </c>
      <c r="L335" s="2">
        <v>195</v>
      </c>
      <c r="M335" s="3">
        <v>158</v>
      </c>
      <c r="Q335" s="11" t="s">
        <v>229</v>
      </c>
      <c r="R335">
        <v>325</v>
      </c>
    </row>
    <row r="336" spans="1:18" x14ac:dyDescent="0.2">
      <c r="A336" s="1" t="s">
        <v>384</v>
      </c>
      <c r="B336" s="1" t="s">
        <v>23</v>
      </c>
      <c r="C336" s="1" t="s">
        <v>15</v>
      </c>
      <c r="D336" s="2" t="s">
        <v>72</v>
      </c>
      <c r="E336" s="2" t="s">
        <v>119</v>
      </c>
      <c r="F336" s="2" t="s">
        <v>385</v>
      </c>
      <c r="G336" s="2" t="s">
        <v>386</v>
      </c>
      <c r="H336" s="2" t="s">
        <v>387</v>
      </c>
      <c r="I336" s="2" t="s">
        <v>388</v>
      </c>
      <c r="J336" s="2" t="s">
        <v>1178</v>
      </c>
      <c r="K336" s="2">
        <v>2</v>
      </c>
      <c r="L336" s="2">
        <v>84</v>
      </c>
      <c r="M336" s="3">
        <v>80</v>
      </c>
      <c r="Q336" s="11" t="s">
        <v>1785</v>
      </c>
      <c r="R336">
        <v>31</v>
      </c>
    </row>
    <row r="337" spans="1:18" x14ac:dyDescent="0.2">
      <c r="A337" s="1" t="s">
        <v>202</v>
      </c>
      <c r="B337" s="1" t="s">
        <v>23</v>
      </c>
      <c r="C337" s="1" t="s">
        <v>15</v>
      </c>
      <c r="D337" s="2" t="s">
        <v>72</v>
      </c>
      <c r="E337" s="2" t="s">
        <v>119</v>
      </c>
      <c r="F337" s="2" t="s">
        <v>203</v>
      </c>
      <c r="G337" s="2" t="s">
        <v>204</v>
      </c>
      <c r="H337" s="2">
        <v>9088130738</v>
      </c>
      <c r="I337" s="2" t="s">
        <v>205</v>
      </c>
      <c r="J337" s="2" t="s">
        <v>1178</v>
      </c>
      <c r="K337" s="2">
        <v>1</v>
      </c>
      <c r="L337" s="2">
        <v>34</v>
      </c>
      <c r="M337" s="3">
        <v>34</v>
      </c>
      <c r="Q337" s="11" t="s">
        <v>1804</v>
      </c>
      <c r="R337">
        <v>215</v>
      </c>
    </row>
    <row r="338" spans="1:18" x14ac:dyDescent="0.2">
      <c r="A338" s="1" t="s">
        <v>1179</v>
      </c>
      <c r="B338" s="1" t="s">
        <v>23</v>
      </c>
      <c r="C338" s="1" t="s">
        <v>15</v>
      </c>
      <c r="D338" s="2" t="s">
        <v>55</v>
      </c>
      <c r="E338" s="2" t="s">
        <v>92</v>
      </c>
      <c r="F338" s="2" t="s">
        <v>1180</v>
      </c>
      <c r="G338" s="2" t="s">
        <v>1181</v>
      </c>
      <c r="H338" s="2">
        <v>9359400586</v>
      </c>
      <c r="I338" s="2" t="s">
        <v>1182</v>
      </c>
      <c r="J338" s="2" t="s">
        <v>1178</v>
      </c>
      <c r="K338" s="2">
        <v>0</v>
      </c>
      <c r="L338" s="2">
        <v>0</v>
      </c>
      <c r="M338" s="3">
        <v>0</v>
      </c>
      <c r="Q338" s="11" t="s">
        <v>873</v>
      </c>
      <c r="R338">
        <v>1</v>
      </c>
    </row>
    <row r="339" spans="1:18" x14ac:dyDescent="0.2">
      <c r="A339" s="1" t="s">
        <v>628</v>
      </c>
      <c r="B339" s="1" t="s">
        <v>23</v>
      </c>
      <c r="C339" s="1" t="s">
        <v>15</v>
      </c>
      <c r="D339" s="2" t="s">
        <v>16</v>
      </c>
      <c r="E339" s="2" t="s">
        <v>17</v>
      </c>
      <c r="F339" s="2" t="s">
        <v>629</v>
      </c>
      <c r="G339" s="2" t="s">
        <v>630</v>
      </c>
      <c r="H339" s="2" t="s">
        <v>631</v>
      </c>
      <c r="I339" s="2" t="s">
        <v>484</v>
      </c>
      <c r="J339" s="2" t="s">
        <v>1178</v>
      </c>
      <c r="K339" s="2">
        <v>0</v>
      </c>
      <c r="L339" s="2">
        <v>0</v>
      </c>
      <c r="M339" s="3">
        <v>70</v>
      </c>
      <c r="Q339" s="11" t="s">
        <v>1297</v>
      </c>
      <c r="R339">
        <v>22</v>
      </c>
    </row>
    <row r="340" spans="1:18" x14ac:dyDescent="0.2">
      <c r="A340" s="1" t="s">
        <v>480</v>
      </c>
      <c r="B340" s="1" t="s">
        <v>23</v>
      </c>
      <c r="C340" s="1" t="s">
        <v>15</v>
      </c>
      <c r="D340" s="2" t="s">
        <v>72</v>
      </c>
      <c r="E340" s="2" t="s">
        <v>119</v>
      </c>
      <c r="F340" s="2" t="s">
        <v>481</v>
      </c>
      <c r="G340" s="2" t="s">
        <v>482</v>
      </c>
      <c r="H340" s="2" t="s">
        <v>483</v>
      </c>
      <c r="I340" s="2" t="s">
        <v>484</v>
      </c>
      <c r="J340" s="2" t="s">
        <v>1178</v>
      </c>
      <c r="K340" s="2">
        <v>1</v>
      </c>
      <c r="L340" s="2">
        <v>25</v>
      </c>
      <c r="M340" s="3">
        <v>25</v>
      </c>
      <c r="Q340" s="11" t="s">
        <v>849</v>
      </c>
      <c r="R340">
        <v>28</v>
      </c>
    </row>
    <row r="341" spans="1:18" x14ac:dyDescent="0.2">
      <c r="A341" s="1" t="s">
        <v>86</v>
      </c>
      <c r="B341" s="1" t="s">
        <v>23</v>
      </c>
      <c r="C341" s="1" t="s">
        <v>15</v>
      </c>
      <c r="D341" s="2" t="s">
        <v>72</v>
      </c>
      <c r="E341" s="2" t="s">
        <v>73</v>
      </c>
      <c r="F341" s="2" t="s">
        <v>87</v>
      </c>
      <c r="G341" s="2" t="s">
        <v>88</v>
      </c>
      <c r="H341" s="2" t="s">
        <v>89</v>
      </c>
      <c r="I341" s="2" t="s">
        <v>90</v>
      </c>
      <c r="J341" s="2" t="s">
        <v>1178</v>
      </c>
      <c r="K341" s="2">
        <v>2</v>
      </c>
      <c r="L341" s="2">
        <v>209</v>
      </c>
      <c r="M341" s="3">
        <v>109</v>
      </c>
      <c r="Q341" s="11" t="s">
        <v>191</v>
      </c>
      <c r="R341">
        <v>1703</v>
      </c>
    </row>
    <row r="342" spans="1:18" x14ac:dyDescent="0.2">
      <c r="A342" s="1" t="s">
        <v>583</v>
      </c>
      <c r="B342" s="1" t="s">
        <v>23</v>
      </c>
      <c r="C342" s="1" t="s">
        <v>15</v>
      </c>
      <c r="D342" s="2" t="s">
        <v>16</v>
      </c>
      <c r="E342" s="2" t="s">
        <v>456</v>
      </c>
      <c r="F342" s="2" t="s">
        <v>584</v>
      </c>
      <c r="G342" s="2" t="s">
        <v>585</v>
      </c>
      <c r="H342" s="2" t="s">
        <v>586</v>
      </c>
      <c r="I342" s="2" t="s">
        <v>587</v>
      </c>
      <c r="J342" s="2" t="s">
        <v>1178</v>
      </c>
      <c r="K342" s="2">
        <v>0</v>
      </c>
      <c r="L342" s="2">
        <v>0</v>
      </c>
      <c r="M342" s="3">
        <v>50</v>
      </c>
      <c r="Q342" s="11" t="s">
        <v>1830</v>
      </c>
      <c r="R342">
        <v>25</v>
      </c>
    </row>
    <row r="343" spans="1:18" x14ac:dyDescent="0.2">
      <c r="A343" s="1" t="s">
        <v>440</v>
      </c>
      <c r="B343" s="1" t="s">
        <v>23</v>
      </c>
      <c r="C343" s="1" t="s">
        <v>15</v>
      </c>
      <c r="D343" s="2" t="s">
        <v>44</v>
      </c>
      <c r="E343" s="2" t="s">
        <v>44</v>
      </c>
      <c r="F343" s="2" t="s">
        <v>441</v>
      </c>
      <c r="G343" s="2" t="s">
        <v>442</v>
      </c>
      <c r="H343" s="2" t="s">
        <v>443</v>
      </c>
      <c r="I343" s="2" t="s">
        <v>444</v>
      </c>
      <c r="J343" s="2" t="s">
        <v>1178</v>
      </c>
      <c r="K343" s="2">
        <v>3</v>
      </c>
      <c r="L343" s="2">
        <v>226</v>
      </c>
      <c r="M343" s="3">
        <v>192</v>
      </c>
      <c r="Q343" s="11" t="s">
        <v>505</v>
      </c>
      <c r="R343">
        <v>246</v>
      </c>
    </row>
    <row r="344" spans="1:18" x14ac:dyDescent="0.2">
      <c r="A344" s="1" t="s">
        <v>490</v>
      </c>
      <c r="B344" s="1" t="s">
        <v>23</v>
      </c>
      <c r="C344" s="1" t="s">
        <v>15</v>
      </c>
      <c r="D344" s="2" t="s">
        <v>72</v>
      </c>
      <c r="E344" s="2" t="s">
        <v>491</v>
      </c>
      <c r="F344" s="2" t="s">
        <v>492</v>
      </c>
      <c r="G344" s="2" t="s">
        <v>493</v>
      </c>
      <c r="H344" s="2" t="s">
        <v>494</v>
      </c>
      <c r="I344" s="2" t="s">
        <v>495</v>
      </c>
      <c r="J344" s="2" t="s">
        <v>1178</v>
      </c>
      <c r="K344" s="2">
        <v>4</v>
      </c>
      <c r="L344" s="2">
        <v>137</v>
      </c>
      <c r="M344" s="3">
        <v>150</v>
      </c>
      <c r="Q344" s="11" t="s">
        <v>1764</v>
      </c>
      <c r="R344">
        <v>0</v>
      </c>
    </row>
    <row r="345" spans="1:18" x14ac:dyDescent="0.2">
      <c r="A345" s="1" t="s">
        <v>558</v>
      </c>
      <c r="B345" s="1" t="s">
        <v>23</v>
      </c>
      <c r="C345" s="1" t="s">
        <v>15</v>
      </c>
      <c r="D345" s="2" t="s">
        <v>16</v>
      </c>
      <c r="E345" s="2" t="s">
        <v>17</v>
      </c>
      <c r="F345" s="2" t="s">
        <v>559</v>
      </c>
      <c r="G345" s="2" t="s">
        <v>560</v>
      </c>
      <c r="H345" s="2" t="s">
        <v>561</v>
      </c>
      <c r="I345" s="2" t="s">
        <v>562</v>
      </c>
      <c r="J345" s="2" t="s">
        <v>1178</v>
      </c>
      <c r="K345" s="2">
        <v>2</v>
      </c>
      <c r="L345" s="2">
        <v>112</v>
      </c>
      <c r="M345" s="3">
        <v>111</v>
      </c>
      <c r="Q345" s="11" t="s">
        <v>65</v>
      </c>
      <c r="R345">
        <v>199</v>
      </c>
    </row>
    <row r="346" spans="1:18" x14ac:dyDescent="0.2">
      <c r="A346" s="1" t="s">
        <v>1183</v>
      </c>
      <c r="B346" s="1" t="s">
        <v>23</v>
      </c>
      <c r="C346" s="1" t="s">
        <v>15</v>
      </c>
      <c r="D346" s="2" t="s">
        <v>44</v>
      </c>
      <c r="E346" s="2" t="s">
        <v>44</v>
      </c>
      <c r="F346" s="2" t="s">
        <v>1184</v>
      </c>
      <c r="G346" s="2" t="s">
        <v>1185</v>
      </c>
      <c r="H346" s="2" t="s">
        <v>1186</v>
      </c>
      <c r="I346" s="2" t="s">
        <v>1187</v>
      </c>
      <c r="J346" s="2" t="s">
        <v>1178</v>
      </c>
      <c r="K346" s="2">
        <v>2</v>
      </c>
      <c r="L346" s="2">
        <v>201</v>
      </c>
      <c r="M346" s="3">
        <v>178</v>
      </c>
      <c r="Q346" s="11" t="s">
        <v>1514</v>
      </c>
      <c r="R346">
        <v>42</v>
      </c>
    </row>
    <row r="347" spans="1:18" x14ac:dyDescent="0.2">
      <c r="A347" s="1" t="s">
        <v>723</v>
      </c>
      <c r="B347" s="1" t="s">
        <v>23</v>
      </c>
      <c r="C347" s="1" t="s">
        <v>15</v>
      </c>
      <c r="D347" s="2" t="s">
        <v>44</v>
      </c>
      <c r="E347" s="2" t="s">
        <v>44</v>
      </c>
      <c r="F347" s="2" t="s">
        <v>724</v>
      </c>
      <c r="G347" s="2" t="s">
        <v>725</v>
      </c>
      <c r="H347" s="2" t="s">
        <v>726</v>
      </c>
      <c r="I347" s="2" t="s">
        <v>727</v>
      </c>
      <c r="J347" s="2" t="s">
        <v>1178</v>
      </c>
      <c r="K347" s="2">
        <v>1</v>
      </c>
      <c r="L347" s="2">
        <v>14</v>
      </c>
      <c r="M347" s="3">
        <v>170</v>
      </c>
      <c r="Q347" s="11" t="s">
        <v>783</v>
      </c>
      <c r="R347">
        <v>95</v>
      </c>
    </row>
    <row r="348" spans="1:18" x14ac:dyDescent="0.2">
      <c r="A348" s="1" t="s">
        <v>206</v>
      </c>
      <c r="B348" s="1" t="s">
        <v>23</v>
      </c>
      <c r="C348" s="1" t="s">
        <v>15</v>
      </c>
      <c r="D348" s="2" t="s">
        <v>36</v>
      </c>
      <c r="E348" s="2" t="s">
        <v>207</v>
      </c>
      <c r="F348" s="2" t="s">
        <v>208</v>
      </c>
      <c r="G348" s="2" t="s">
        <v>209</v>
      </c>
      <c r="H348" s="2" t="s">
        <v>210</v>
      </c>
      <c r="I348" s="2" t="s">
        <v>211</v>
      </c>
      <c r="J348" s="2" t="s">
        <v>1178</v>
      </c>
      <c r="K348" s="2">
        <v>2</v>
      </c>
      <c r="L348" s="2">
        <v>39</v>
      </c>
      <c r="M348" s="3">
        <v>90</v>
      </c>
      <c r="Q348" s="11" t="s">
        <v>1758</v>
      </c>
      <c r="R348">
        <v>37</v>
      </c>
    </row>
    <row r="349" spans="1:18" x14ac:dyDescent="0.2">
      <c r="A349" s="1" t="s">
        <v>500</v>
      </c>
      <c r="B349" s="1" t="s">
        <v>23</v>
      </c>
      <c r="C349" s="1" t="s">
        <v>15</v>
      </c>
      <c r="D349" s="2" t="s">
        <v>72</v>
      </c>
      <c r="E349" s="2" t="s">
        <v>491</v>
      </c>
      <c r="F349" s="2" t="s">
        <v>501</v>
      </c>
      <c r="G349" s="2" t="s">
        <v>502</v>
      </c>
      <c r="H349" s="2" t="s">
        <v>503</v>
      </c>
      <c r="I349" s="2" t="s">
        <v>504</v>
      </c>
      <c r="J349" s="2" t="s">
        <v>1178</v>
      </c>
      <c r="K349" s="2">
        <v>2</v>
      </c>
      <c r="L349" s="2">
        <v>111</v>
      </c>
      <c r="M349" s="3">
        <v>130</v>
      </c>
      <c r="Q349" s="11" t="s">
        <v>1173</v>
      </c>
      <c r="R349">
        <v>417</v>
      </c>
    </row>
    <row r="350" spans="1:18" x14ac:dyDescent="0.2">
      <c r="A350" s="1" t="s">
        <v>212</v>
      </c>
      <c r="B350" s="1" t="s">
        <v>23</v>
      </c>
      <c r="C350" s="1" t="s">
        <v>15</v>
      </c>
      <c r="D350" s="2" t="s">
        <v>72</v>
      </c>
      <c r="E350" s="2" t="s">
        <v>213</v>
      </c>
      <c r="F350" s="2" t="s">
        <v>214</v>
      </c>
      <c r="G350" s="2" t="s">
        <v>215</v>
      </c>
      <c r="H350" s="2" t="s">
        <v>216</v>
      </c>
      <c r="I350" s="2" t="s">
        <v>217</v>
      </c>
      <c r="J350" s="2" t="s">
        <v>1178</v>
      </c>
      <c r="K350" s="2">
        <v>2</v>
      </c>
      <c r="L350" s="2">
        <v>196</v>
      </c>
      <c r="M350" s="3">
        <v>237</v>
      </c>
      <c r="Q350" s="11" t="s">
        <v>697</v>
      </c>
      <c r="R350">
        <v>111</v>
      </c>
    </row>
    <row r="351" spans="1:18" x14ac:dyDescent="0.2">
      <c r="A351" s="1" t="s">
        <v>485</v>
      </c>
      <c r="B351" s="1" t="s">
        <v>23</v>
      </c>
      <c r="C351" s="1" t="s">
        <v>15</v>
      </c>
      <c r="D351" s="2" t="s">
        <v>44</v>
      </c>
      <c r="E351" s="2" t="s">
        <v>44</v>
      </c>
      <c r="F351" s="2" t="s">
        <v>486</v>
      </c>
      <c r="G351" s="2" t="s">
        <v>487</v>
      </c>
      <c r="H351" s="2" t="s">
        <v>488</v>
      </c>
      <c r="I351" s="2" t="s">
        <v>489</v>
      </c>
      <c r="J351" s="2" t="s">
        <v>1178</v>
      </c>
      <c r="K351" s="2">
        <v>1</v>
      </c>
      <c r="L351" s="2">
        <v>39</v>
      </c>
      <c r="M351" s="3">
        <v>0</v>
      </c>
      <c r="Q351" s="11" t="s">
        <v>563</v>
      </c>
      <c r="R351">
        <v>168</v>
      </c>
    </row>
    <row r="352" spans="1:18" x14ac:dyDescent="0.2">
      <c r="A352" s="1" t="s">
        <v>632</v>
      </c>
      <c r="B352" s="1" t="s">
        <v>23</v>
      </c>
      <c r="C352" s="1" t="s">
        <v>15</v>
      </c>
      <c r="D352" s="2" t="s">
        <v>72</v>
      </c>
      <c r="E352" s="2" t="s">
        <v>119</v>
      </c>
      <c r="F352" s="2" t="s">
        <v>633</v>
      </c>
      <c r="G352" s="2" t="s">
        <v>634</v>
      </c>
      <c r="H352" s="2" t="s">
        <v>635</v>
      </c>
      <c r="I352" s="2" t="s">
        <v>636</v>
      </c>
      <c r="J352" s="2" t="s">
        <v>1178</v>
      </c>
      <c r="K352" s="2">
        <v>2</v>
      </c>
      <c r="L352" s="2">
        <v>100</v>
      </c>
      <c r="M352" s="3">
        <v>79</v>
      </c>
      <c r="Q352" s="11" t="s">
        <v>1301</v>
      </c>
      <c r="R352">
        <v>25</v>
      </c>
    </row>
    <row r="353" spans="1:18" x14ac:dyDescent="0.2">
      <c r="A353" s="1" t="s">
        <v>420</v>
      </c>
      <c r="B353" s="1" t="s">
        <v>23</v>
      </c>
      <c r="C353" s="1" t="s">
        <v>15</v>
      </c>
      <c r="D353" s="2" t="s">
        <v>55</v>
      </c>
      <c r="E353" s="2" t="s">
        <v>92</v>
      </c>
      <c r="F353" s="2" t="s">
        <v>421</v>
      </c>
      <c r="G353" s="2" t="s">
        <v>422</v>
      </c>
      <c r="H353" s="2" t="s">
        <v>423</v>
      </c>
      <c r="I353" s="2" t="s">
        <v>424</v>
      </c>
      <c r="J353" s="2" t="s">
        <v>1178</v>
      </c>
      <c r="K353" s="2">
        <v>1</v>
      </c>
      <c r="L353" s="2">
        <v>152</v>
      </c>
      <c r="M353" s="3">
        <v>148</v>
      </c>
      <c r="Q353" s="11" t="s">
        <v>1748</v>
      </c>
      <c r="R353">
        <v>102</v>
      </c>
    </row>
    <row r="354" spans="1:18" x14ac:dyDescent="0.2">
      <c r="A354" s="1" t="s">
        <v>129</v>
      </c>
      <c r="B354" s="1" t="s">
        <v>23</v>
      </c>
      <c r="C354" s="1" t="s">
        <v>15</v>
      </c>
      <c r="D354" s="2" t="s">
        <v>16</v>
      </c>
      <c r="E354" s="2" t="s">
        <v>108</v>
      </c>
      <c r="F354" s="2" t="s">
        <v>130</v>
      </c>
      <c r="G354" s="2" t="s">
        <v>131</v>
      </c>
      <c r="H354" s="2" t="s">
        <v>132</v>
      </c>
      <c r="I354" s="2" t="s">
        <v>133</v>
      </c>
      <c r="J354" s="2" t="s">
        <v>1178</v>
      </c>
      <c r="K354" s="2">
        <v>0</v>
      </c>
      <c r="L354" s="2">
        <v>0</v>
      </c>
      <c r="M354" s="3">
        <v>43</v>
      </c>
      <c r="Q354" s="11" t="s">
        <v>1085</v>
      </c>
      <c r="R354">
        <v>53</v>
      </c>
    </row>
    <row r="355" spans="1:18" x14ac:dyDescent="0.2">
      <c r="A355" s="1" t="s">
        <v>1188</v>
      </c>
      <c r="B355" s="1" t="s">
        <v>23</v>
      </c>
      <c r="C355" s="1" t="s">
        <v>15</v>
      </c>
      <c r="D355" s="2" t="s">
        <v>72</v>
      </c>
      <c r="E355" s="2" t="s">
        <v>73</v>
      </c>
      <c r="F355" s="2" t="s">
        <v>1189</v>
      </c>
      <c r="G355" s="2" t="s">
        <v>1190</v>
      </c>
      <c r="H355" s="2" t="s">
        <v>1191</v>
      </c>
      <c r="I355" s="2" t="s">
        <v>1192</v>
      </c>
      <c r="J355" s="2" t="s">
        <v>1178</v>
      </c>
      <c r="K355" s="2">
        <v>1</v>
      </c>
      <c r="L355" s="2">
        <v>59</v>
      </c>
      <c r="M355" s="3">
        <v>58</v>
      </c>
      <c r="Q355" s="11" t="s">
        <v>859</v>
      </c>
      <c r="R355">
        <v>10</v>
      </c>
    </row>
    <row r="356" spans="1:18" x14ac:dyDescent="0.2">
      <c r="A356" s="1" t="s">
        <v>276</v>
      </c>
      <c r="B356" s="1" t="s">
        <v>23</v>
      </c>
      <c r="C356" s="1" t="s">
        <v>15</v>
      </c>
      <c r="D356" s="2" t="s">
        <v>16</v>
      </c>
      <c r="E356" s="2" t="s">
        <v>224</v>
      </c>
      <c r="F356" s="2" t="s">
        <v>277</v>
      </c>
      <c r="G356" s="2" t="s">
        <v>278</v>
      </c>
      <c r="H356" s="2" t="s">
        <v>279</v>
      </c>
      <c r="I356" s="2" t="s">
        <v>280</v>
      </c>
      <c r="J356" s="2" t="s">
        <v>1178</v>
      </c>
      <c r="K356" s="2">
        <v>0</v>
      </c>
      <c r="L356" s="2">
        <v>0</v>
      </c>
      <c r="M356" s="3">
        <v>45</v>
      </c>
      <c r="Q356" s="11" t="s">
        <v>1862</v>
      </c>
      <c r="R356">
        <v>109612</v>
      </c>
    </row>
    <row r="357" spans="1:18" x14ac:dyDescent="0.2">
      <c r="A357" s="1" t="s">
        <v>285</v>
      </c>
      <c r="B357" s="1" t="s">
        <v>23</v>
      </c>
      <c r="C357" s="1" t="s">
        <v>15</v>
      </c>
      <c r="D357" s="2" t="s">
        <v>16</v>
      </c>
      <c r="E357" s="2" t="s">
        <v>108</v>
      </c>
      <c r="F357" s="2" t="s">
        <v>286</v>
      </c>
      <c r="G357" s="2" t="s">
        <v>287</v>
      </c>
      <c r="H357" s="2" t="s">
        <v>288</v>
      </c>
      <c r="I357" s="2" t="s">
        <v>289</v>
      </c>
      <c r="J357" s="2" t="s">
        <v>1178</v>
      </c>
      <c r="K357" s="2">
        <v>1</v>
      </c>
      <c r="L357" s="2">
        <v>25</v>
      </c>
      <c r="M357" s="3">
        <v>0</v>
      </c>
    </row>
    <row r="358" spans="1:18" x14ac:dyDescent="0.2">
      <c r="A358" s="1" t="s">
        <v>618</v>
      </c>
      <c r="B358" s="1" t="s">
        <v>23</v>
      </c>
      <c r="C358" s="1" t="s">
        <v>15</v>
      </c>
      <c r="D358" s="2" t="s">
        <v>44</v>
      </c>
      <c r="E358" s="2" t="s">
        <v>44</v>
      </c>
      <c r="F358" s="2" t="s">
        <v>619</v>
      </c>
      <c r="G358" s="2" t="s">
        <v>620</v>
      </c>
      <c r="H358" s="2" t="s">
        <v>621</v>
      </c>
      <c r="I358" s="2" t="s">
        <v>622</v>
      </c>
      <c r="J358" s="2" t="s">
        <v>1178</v>
      </c>
      <c r="K358" s="2">
        <v>0</v>
      </c>
      <c r="L358" s="2">
        <v>0</v>
      </c>
      <c r="M358" s="3">
        <v>124</v>
      </c>
    </row>
    <row r="359" spans="1:18" x14ac:dyDescent="0.2">
      <c r="A359" s="1" t="s">
        <v>455</v>
      </c>
      <c r="B359" s="1" t="s">
        <v>23</v>
      </c>
      <c r="C359" s="1" t="s">
        <v>15</v>
      </c>
      <c r="D359" s="2" t="s">
        <v>16</v>
      </c>
      <c r="E359" s="2" t="s">
        <v>456</v>
      </c>
      <c r="F359" s="2" t="s">
        <v>457</v>
      </c>
      <c r="G359" s="2" t="s">
        <v>458</v>
      </c>
      <c r="H359" s="2" t="s">
        <v>459</v>
      </c>
      <c r="I359" s="2" t="s">
        <v>460</v>
      </c>
      <c r="J359" s="2" t="s">
        <v>1178</v>
      </c>
      <c r="K359" s="2">
        <v>1</v>
      </c>
      <c r="L359" s="2">
        <v>53</v>
      </c>
      <c r="M359" s="3">
        <v>53</v>
      </c>
    </row>
    <row r="360" spans="1:18" x14ac:dyDescent="0.2">
      <c r="A360" s="1" t="s">
        <v>688</v>
      </c>
      <c r="B360" s="1" t="s">
        <v>23</v>
      </c>
      <c r="C360" s="1" t="s">
        <v>15</v>
      </c>
      <c r="D360" s="2" t="s">
        <v>44</v>
      </c>
      <c r="E360" s="2" t="s">
        <v>44</v>
      </c>
      <c r="F360" s="2" t="s">
        <v>689</v>
      </c>
      <c r="G360" s="2" t="s">
        <v>690</v>
      </c>
      <c r="H360" s="2" t="s">
        <v>691</v>
      </c>
      <c r="I360" s="2" t="s">
        <v>692</v>
      </c>
      <c r="J360" s="2" t="s">
        <v>1178</v>
      </c>
      <c r="K360" s="2">
        <v>3</v>
      </c>
      <c r="L360" s="2">
        <v>157</v>
      </c>
      <c r="M360" s="3">
        <v>131</v>
      </c>
    </row>
    <row r="361" spans="1:18" x14ac:dyDescent="0.2">
      <c r="A361" s="1" t="s">
        <v>290</v>
      </c>
      <c r="B361" s="1" t="s">
        <v>43</v>
      </c>
      <c r="C361" s="1" t="s">
        <v>15</v>
      </c>
      <c r="D361" s="2" t="s">
        <v>72</v>
      </c>
      <c r="E361" s="2" t="s">
        <v>213</v>
      </c>
      <c r="F361" s="2" t="s">
        <v>291</v>
      </c>
      <c r="G361" s="2" t="s">
        <v>292</v>
      </c>
      <c r="H361" s="2" t="s">
        <v>293</v>
      </c>
      <c r="I361" s="2" t="s">
        <v>294</v>
      </c>
      <c r="J361" s="2" t="s">
        <v>1178</v>
      </c>
      <c r="K361" s="2">
        <v>1</v>
      </c>
      <c r="L361" s="2">
        <v>18</v>
      </c>
      <c r="M361" s="3">
        <v>15</v>
      </c>
    </row>
    <row r="362" spans="1:18" x14ac:dyDescent="0.2">
      <c r="A362" s="1" t="s">
        <v>223</v>
      </c>
      <c r="B362" s="1" t="s">
        <v>23</v>
      </c>
      <c r="C362" s="1" t="s">
        <v>15</v>
      </c>
      <c r="D362" s="2" t="s">
        <v>16</v>
      </c>
      <c r="E362" s="2" t="s">
        <v>224</v>
      </c>
      <c r="F362" s="2" t="s">
        <v>225</v>
      </c>
      <c r="G362" s="2" t="s">
        <v>226</v>
      </c>
      <c r="H362" s="2" t="s">
        <v>227</v>
      </c>
      <c r="I362" s="2" t="s">
        <v>228</v>
      </c>
      <c r="J362" s="2" t="s">
        <v>1178</v>
      </c>
      <c r="K362" s="2">
        <v>2</v>
      </c>
      <c r="L362" s="2">
        <v>42</v>
      </c>
      <c r="M362" s="3">
        <v>64</v>
      </c>
    </row>
    <row r="363" spans="1:18" x14ac:dyDescent="0.2">
      <c r="A363" s="1" t="s">
        <v>450</v>
      </c>
      <c r="B363" s="1" t="s">
        <v>23</v>
      </c>
      <c r="C363" s="1" t="s">
        <v>15</v>
      </c>
      <c r="D363" s="2" t="s">
        <v>55</v>
      </c>
      <c r="E363" s="2" t="s">
        <v>56</v>
      </c>
      <c r="F363" s="2" t="s">
        <v>451</v>
      </c>
      <c r="G363" s="2" t="s">
        <v>452</v>
      </c>
      <c r="H363" s="2" t="s">
        <v>453</v>
      </c>
      <c r="I363" s="2" t="s">
        <v>454</v>
      </c>
      <c r="J363" s="2" t="s">
        <v>1178</v>
      </c>
      <c r="K363" s="2">
        <v>2</v>
      </c>
      <c r="L363" s="2">
        <v>177</v>
      </c>
      <c r="M363" s="3">
        <v>173</v>
      </c>
    </row>
    <row r="364" spans="1:18" x14ac:dyDescent="0.2">
      <c r="A364" s="1" t="s">
        <v>300</v>
      </c>
      <c r="B364" s="1" t="s">
        <v>23</v>
      </c>
      <c r="C364" s="1" t="s">
        <v>15</v>
      </c>
      <c r="D364" s="2" t="s">
        <v>16</v>
      </c>
      <c r="E364" s="2" t="s">
        <v>224</v>
      </c>
      <c r="F364" s="2" t="s">
        <v>301</v>
      </c>
      <c r="G364" s="2" t="s">
        <v>302</v>
      </c>
      <c r="H364" s="2" t="s">
        <v>303</v>
      </c>
      <c r="I364" s="2" t="s">
        <v>304</v>
      </c>
      <c r="J364" s="2" t="s">
        <v>1178</v>
      </c>
      <c r="K364" s="2">
        <v>2</v>
      </c>
      <c r="L364" s="2">
        <v>50</v>
      </c>
      <c r="M364" s="3">
        <v>44</v>
      </c>
    </row>
    <row r="365" spans="1:18" x14ac:dyDescent="0.2">
      <c r="A365" s="1" t="s">
        <v>510</v>
      </c>
      <c r="B365" s="1" t="s">
        <v>23</v>
      </c>
      <c r="C365" s="1" t="s">
        <v>15</v>
      </c>
      <c r="D365" s="2" t="s">
        <v>24</v>
      </c>
      <c r="E365" s="2" t="s">
        <v>166</v>
      </c>
      <c r="F365" s="2" t="s">
        <v>549</v>
      </c>
      <c r="G365" s="2" t="s">
        <v>550</v>
      </c>
      <c r="H365" s="2" t="s">
        <v>551</v>
      </c>
      <c r="I365" s="2" t="s">
        <v>552</v>
      </c>
      <c r="J365" s="2" t="s">
        <v>1178</v>
      </c>
      <c r="K365" s="2">
        <v>3</v>
      </c>
      <c r="L365" s="2">
        <v>163</v>
      </c>
      <c r="M365" s="3">
        <v>151</v>
      </c>
    </row>
    <row r="366" spans="1:18" x14ac:dyDescent="0.2">
      <c r="A366" s="1" t="s">
        <v>510</v>
      </c>
      <c r="B366" s="1" t="s">
        <v>23</v>
      </c>
      <c r="C366" s="1" t="s">
        <v>15</v>
      </c>
      <c r="D366" s="2" t="s">
        <v>72</v>
      </c>
      <c r="E366" s="2" t="s">
        <v>213</v>
      </c>
      <c r="F366" s="2" t="s">
        <v>511</v>
      </c>
      <c r="G366" s="2" t="s">
        <v>512</v>
      </c>
      <c r="H366" s="2" t="s">
        <v>513</v>
      </c>
      <c r="I366" s="2" t="s">
        <v>514</v>
      </c>
      <c r="J366" s="2" t="s">
        <v>1178</v>
      </c>
      <c r="K366" s="2">
        <v>1</v>
      </c>
      <c r="L366" s="2">
        <v>329</v>
      </c>
      <c r="M366" s="3">
        <v>449</v>
      </c>
    </row>
    <row r="367" spans="1:18" x14ac:dyDescent="0.2">
      <c r="A367" s="1" t="s">
        <v>623</v>
      </c>
      <c r="B367" s="1" t="s">
        <v>23</v>
      </c>
      <c r="C367" s="1" t="s">
        <v>15</v>
      </c>
      <c r="D367" s="2" t="s">
        <v>24</v>
      </c>
      <c r="E367" s="2" t="s">
        <v>166</v>
      </c>
      <c r="F367" s="2" t="s">
        <v>624</v>
      </c>
      <c r="G367" s="2" t="s">
        <v>625</v>
      </c>
      <c r="H367" s="2" t="s">
        <v>626</v>
      </c>
      <c r="I367" s="2" t="s">
        <v>627</v>
      </c>
      <c r="J367" s="2" t="s">
        <v>1178</v>
      </c>
      <c r="K367" s="2">
        <v>2</v>
      </c>
      <c r="L367" s="2">
        <v>106</v>
      </c>
      <c r="M367" s="3">
        <v>72</v>
      </c>
    </row>
    <row r="368" spans="1:18" x14ac:dyDescent="0.2">
      <c r="A368" s="1" t="s">
        <v>544</v>
      </c>
      <c r="B368" s="1" t="s">
        <v>23</v>
      </c>
      <c r="C368" s="1" t="s">
        <v>15</v>
      </c>
      <c r="D368" s="2" t="s">
        <v>72</v>
      </c>
      <c r="E368" s="2" t="s">
        <v>491</v>
      </c>
      <c r="F368" s="2" t="s">
        <v>545</v>
      </c>
      <c r="G368" s="2" t="s">
        <v>546</v>
      </c>
      <c r="H368" s="2" t="s">
        <v>547</v>
      </c>
      <c r="I368" s="2" t="s">
        <v>548</v>
      </c>
      <c r="J368" s="2" t="s">
        <v>1178</v>
      </c>
      <c r="K368" s="2">
        <v>3</v>
      </c>
      <c r="L368" s="2">
        <v>252</v>
      </c>
      <c r="M368" s="3">
        <v>289</v>
      </c>
    </row>
    <row r="369" spans="1:13" x14ac:dyDescent="0.2">
      <c r="A369" s="1" t="s">
        <v>1193</v>
      </c>
      <c r="B369" s="1" t="s">
        <v>23</v>
      </c>
      <c r="C369" s="1" t="s">
        <v>15</v>
      </c>
      <c r="D369" s="2" t="s">
        <v>44</v>
      </c>
      <c r="E369" s="2" t="s">
        <v>44</v>
      </c>
      <c r="F369" s="2" t="s">
        <v>1194</v>
      </c>
      <c r="G369" s="2"/>
      <c r="H369" s="2" t="s">
        <v>1195</v>
      </c>
      <c r="I369" s="2" t="s">
        <v>1196</v>
      </c>
      <c r="J369" s="2" t="s">
        <v>1178</v>
      </c>
      <c r="K369" s="2">
        <v>0</v>
      </c>
      <c r="L369" s="2">
        <v>0</v>
      </c>
      <c r="M369" s="3">
        <v>0</v>
      </c>
    </row>
    <row r="370" spans="1:13" x14ac:dyDescent="0.2">
      <c r="A370" s="1" t="s">
        <v>588</v>
      </c>
      <c r="B370" s="1" t="s">
        <v>23</v>
      </c>
      <c r="C370" s="1" t="s">
        <v>15</v>
      </c>
      <c r="D370" s="2" t="s">
        <v>72</v>
      </c>
      <c r="E370" s="2" t="s">
        <v>119</v>
      </c>
      <c r="F370" s="2" t="s">
        <v>589</v>
      </c>
      <c r="G370" s="2" t="s">
        <v>590</v>
      </c>
      <c r="H370" s="2" t="s">
        <v>591</v>
      </c>
      <c r="I370" s="2" t="s">
        <v>592</v>
      </c>
      <c r="J370" s="2" t="s">
        <v>1178</v>
      </c>
      <c r="K370" s="2">
        <v>2</v>
      </c>
      <c r="L370" s="2">
        <v>90</v>
      </c>
      <c r="M370" s="3">
        <v>65</v>
      </c>
    </row>
    <row r="371" spans="1:13" x14ac:dyDescent="0.2">
      <c r="A371" s="1" t="s">
        <v>678</v>
      </c>
      <c r="B371" s="1" t="s">
        <v>23</v>
      </c>
      <c r="C371" s="1" t="s">
        <v>15</v>
      </c>
      <c r="D371" s="2" t="s">
        <v>16</v>
      </c>
      <c r="E371" s="2" t="s">
        <v>108</v>
      </c>
      <c r="F371" s="2" t="s">
        <v>679</v>
      </c>
      <c r="G371" s="2" t="s">
        <v>680</v>
      </c>
      <c r="H371" s="2" t="s">
        <v>681</v>
      </c>
      <c r="I371" s="2" t="s">
        <v>682</v>
      </c>
      <c r="J371" s="2" t="s">
        <v>1178</v>
      </c>
      <c r="K371" s="2">
        <v>1</v>
      </c>
      <c r="L371" s="2">
        <v>138</v>
      </c>
      <c r="M371" s="3">
        <v>151</v>
      </c>
    </row>
    <row r="372" spans="1:13" x14ac:dyDescent="0.2">
      <c r="A372" s="1" t="s">
        <v>71</v>
      </c>
      <c r="B372" s="1" t="s">
        <v>496</v>
      </c>
      <c r="C372" s="1" t="s">
        <v>15</v>
      </c>
      <c r="D372" s="2" t="s">
        <v>72</v>
      </c>
      <c r="E372" s="2" t="s">
        <v>73</v>
      </c>
      <c r="F372" s="2" t="s">
        <v>497</v>
      </c>
      <c r="G372" s="2" t="s">
        <v>498</v>
      </c>
      <c r="H372" s="2" t="s">
        <v>499</v>
      </c>
      <c r="I372" s="2" t="s">
        <v>77</v>
      </c>
      <c r="J372" s="2" t="s">
        <v>1178</v>
      </c>
      <c r="K372" s="2">
        <v>1</v>
      </c>
      <c r="L372" s="2">
        <v>92</v>
      </c>
      <c r="M372" s="3">
        <v>151</v>
      </c>
    </row>
    <row r="373" spans="1:13" x14ac:dyDescent="0.2">
      <c r="A373" s="1" t="s">
        <v>328</v>
      </c>
      <c r="B373" s="1" t="s">
        <v>23</v>
      </c>
      <c r="C373" s="1" t="s">
        <v>15</v>
      </c>
      <c r="D373" s="2" t="s">
        <v>72</v>
      </c>
      <c r="E373" s="2" t="s">
        <v>73</v>
      </c>
      <c r="F373" s="2" t="s">
        <v>329</v>
      </c>
      <c r="G373" s="2" t="s">
        <v>330</v>
      </c>
      <c r="H373" s="2" t="s">
        <v>331</v>
      </c>
      <c r="I373" s="2" t="s">
        <v>332</v>
      </c>
      <c r="J373" s="2" t="s">
        <v>1178</v>
      </c>
      <c r="K373" s="2">
        <v>5</v>
      </c>
      <c r="L373" s="2">
        <v>409</v>
      </c>
      <c r="M373" s="3">
        <v>381</v>
      </c>
    </row>
    <row r="374" spans="1:13" x14ac:dyDescent="0.2">
      <c r="A374" s="1" t="s">
        <v>1197</v>
      </c>
      <c r="B374" s="1" t="s">
        <v>23</v>
      </c>
      <c r="C374" s="1" t="s">
        <v>15</v>
      </c>
      <c r="D374" s="2" t="s">
        <v>24</v>
      </c>
      <c r="E374" s="2" t="s">
        <v>1143</v>
      </c>
      <c r="F374" s="2" t="s">
        <v>1198</v>
      </c>
      <c r="G374" s="2" t="s">
        <v>1199</v>
      </c>
      <c r="H374" s="2" t="s">
        <v>1200</v>
      </c>
      <c r="I374" s="2" t="s">
        <v>1201</v>
      </c>
      <c r="J374" s="2" t="s">
        <v>1178</v>
      </c>
      <c r="K374" s="2">
        <v>1</v>
      </c>
      <c r="L374" s="2">
        <v>25</v>
      </c>
      <c r="M374" s="3">
        <v>23</v>
      </c>
    </row>
    <row r="375" spans="1:13" x14ac:dyDescent="0.2">
      <c r="A375" s="1" t="s">
        <v>150</v>
      </c>
      <c r="B375" s="1" t="s">
        <v>23</v>
      </c>
      <c r="C375" s="1" t="s">
        <v>15</v>
      </c>
      <c r="D375" s="2" t="s">
        <v>24</v>
      </c>
      <c r="E375" s="2" t="s">
        <v>135</v>
      </c>
      <c r="F375" s="2" t="s">
        <v>151</v>
      </c>
      <c r="G375" s="2" t="s">
        <v>152</v>
      </c>
      <c r="H375" s="2" t="s">
        <v>153</v>
      </c>
      <c r="I375" s="2" t="s">
        <v>154</v>
      </c>
      <c r="J375" s="2" t="s">
        <v>1178</v>
      </c>
      <c r="K375" s="2">
        <v>5</v>
      </c>
      <c r="L375" s="2">
        <v>455</v>
      </c>
      <c r="M375" s="3">
        <v>352</v>
      </c>
    </row>
    <row r="376" spans="1:13" x14ac:dyDescent="0.2">
      <c r="A376" s="1" t="s">
        <v>394</v>
      </c>
      <c r="B376" s="1" t="s">
        <v>23</v>
      </c>
      <c r="C376" s="1" t="s">
        <v>15</v>
      </c>
      <c r="D376" s="2" t="s">
        <v>24</v>
      </c>
      <c r="E376" s="2" t="s">
        <v>395</v>
      </c>
      <c r="F376" s="2" t="s">
        <v>396</v>
      </c>
      <c r="G376" s="2" t="s">
        <v>397</v>
      </c>
      <c r="H376" s="2" t="s">
        <v>398</v>
      </c>
      <c r="I376" s="2" t="s">
        <v>399</v>
      </c>
      <c r="J376" s="2" t="s">
        <v>1178</v>
      </c>
      <c r="K376" s="2">
        <v>5</v>
      </c>
      <c r="L376" s="2">
        <v>380</v>
      </c>
      <c r="M376" s="3">
        <v>293</v>
      </c>
    </row>
    <row r="377" spans="1:13" x14ac:dyDescent="0.2">
      <c r="A377" s="1" t="s">
        <v>425</v>
      </c>
      <c r="B377" s="1" t="s">
        <v>23</v>
      </c>
      <c r="C377" s="1" t="s">
        <v>15</v>
      </c>
      <c r="D377" s="2" t="s">
        <v>44</v>
      </c>
      <c r="E377" s="2" t="s">
        <v>44</v>
      </c>
      <c r="F377" s="2" t="s">
        <v>426</v>
      </c>
      <c r="G377" s="2" t="s">
        <v>427</v>
      </c>
      <c r="H377" s="2" t="s">
        <v>428</v>
      </c>
      <c r="I377" s="2" t="s">
        <v>429</v>
      </c>
      <c r="J377" s="2" t="s">
        <v>1178</v>
      </c>
      <c r="K377" s="2">
        <v>3</v>
      </c>
      <c r="L377" s="2">
        <v>124</v>
      </c>
      <c r="M377" s="3">
        <v>101</v>
      </c>
    </row>
    <row r="378" spans="1:13" x14ac:dyDescent="0.2">
      <c r="A378" s="1" t="s">
        <v>1202</v>
      </c>
      <c r="B378" s="1" t="s">
        <v>23</v>
      </c>
      <c r="C378" s="1" t="s">
        <v>15</v>
      </c>
      <c r="D378" s="2" t="s">
        <v>24</v>
      </c>
      <c r="E378" s="2" t="s">
        <v>25</v>
      </c>
      <c r="F378" s="2" t="s">
        <v>1203</v>
      </c>
      <c r="G378" s="2" t="s">
        <v>1204</v>
      </c>
      <c r="H378" s="2">
        <v>9954887275</v>
      </c>
      <c r="I378" s="2" t="s">
        <v>1205</v>
      </c>
      <c r="J378" s="2" t="s">
        <v>1178</v>
      </c>
      <c r="K378" s="2">
        <v>1</v>
      </c>
      <c r="L378" s="2">
        <v>53</v>
      </c>
      <c r="M378" s="3">
        <v>53</v>
      </c>
    </row>
    <row r="379" spans="1:13" x14ac:dyDescent="0.2">
      <c r="A379" s="1" t="s">
        <v>343</v>
      </c>
      <c r="B379" s="1" t="s">
        <v>23</v>
      </c>
      <c r="C379" s="1" t="s">
        <v>15</v>
      </c>
      <c r="D379" s="2" t="s">
        <v>16</v>
      </c>
      <c r="E379" s="2" t="s">
        <v>224</v>
      </c>
      <c r="F379" s="2" t="s">
        <v>344</v>
      </c>
      <c r="G379" s="2" t="s">
        <v>345</v>
      </c>
      <c r="H379" s="2" t="s">
        <v>346</v>
      </c>
      <c r="I379" s="2" t="s">
        <v>347</v>
      </c>
      <c r="J379" s="2" t="s">
        <v>1178</v>
      </c>
      <c r="K379" s="2">
        <v>2</v>
      </c>
      <c r="L379" s="2">
        <v>57</v>
      </c>
      <c r="M379" s="3">
        <v>34</v>
      </c>
    </row>
    <row r="380" spans="1:13" x14ac:dyDescent="0.2">
      <c r="A380" s="1" t="s">
        <v>175</v>
      </c>
      <c r="B380" s="1" t="s">
        <v>23</v>
      </c>
      <c r="C380" s="1" t="s">
        <v>15</v>
      </c>
      <c r="D380" s="2" t="s">
        <v>36</v>
      </c>
      <c r="E380" s="2" t="s">
        <v>176</v>
      </c>
      <c r="F380" s="2" t="s">
        <v>177</v>
      </c>
      <c r="G380" s="2" t="s">
        <v>178</v>
      </c>
      <c r="H380" s="2" t="s">
        <v>179</v>
      </c>
      <c r="I380" s="2" t="s">
        <v>180</v>
      </c>
      <c r="J380" s="2" t="s">
        <v>1178</v>
      </c>
      <c r="K380" s="2">
        <v>2</v>
      </c>
      <c r="L380" s="2">
        <v>51</v>
      </c>
      <c r="M380" s="3">
        <v>51</v>
      </c>
    </row>
    <row r="381" spans="1:13" x14ac:dyDescent="0.2">
      <c r="A381" s="1" t="s">
        <v>693</v>
      </c>
      <c r="B381" s="1" t="s">
        <v>23</v>
      </c>
      <c r="C381" s="1" t="s">
        <v>15</v>
      </c>
      <c r="D381" s="2" t="s">
        <v>16</v>
      </c>
      <c r="E381" s="2" t="s">
        <v>456</v>
      </c>
      <c r="F381" s="2" t="s">
        <v>694</v>
      </c>
      <c r="G381" s="2" t="s">
        <v>468</v>
      </c>
      <c r="H381" s="2" t="s">
        <v>695</v>
      </c>
      <c r="I381" s="2" t="s">
        <v>696</v>
      </c>
      <c r="J381" s="2" t="s">
        <v>1178</v>
      </c>
      <c r="K381" s="2">
        <v>1</v>
      </c>
      <c r="L381" s="2">
        <v>52</v>
      </c>
      <c r="M381" s="3">
        <v>50</v>
      </c>
    </row>
    <row r="382" spans="1:13" x14ac:dyDescent="0.2">
      <c r="A382" s="1" t="s">
        <v>1056</v>
      </c>
      <c r="B382" s="1" t="s">
        <v>23</v>
      </c>
      <c r="C382" s="1" t="s">
        <v>15</v>
      </c>
      <c r="D382" s="2" t="s">
        <v>36</v>
      </c>
      <c r="E382" s="2" t="s">
        <v>37</v>
      </c>
      <c r="F382" s="2" t="s">
        <v>1057</v>
      </c>
      <c r="G382" s="2" t="s">
        <v>178</v>
      </c>
      <c r="H382" s="2" t="s">
        <v>1058</v>
      </c>
      <c r="I382" s="2" t="s">
        <v>1059</v>
      </c>
      <c r="J382" s="2" t="s">
        <v>1178</v>
      </c>
      <c r="K382" s="2">
        <v>1</v>
      </c>
      <c r="L382" s="2">
        <v>130</v>
      </c>
      <c r="M382" s="3">
        <v>116</v>
      </c>
    </row>
    <row r="383" spans="1:13" x14ac:dyDescent="0.2">
      <c r="A383" s="1" t="s">
        <v>645</v>
      </c>
      <c r="B383" s="1" t="s">
        <v>23</v>
      </c>
      <c r="C383" s="1" t="s">
        <v>15</v>
      </c>
      <c r="D383" s="2" t="s">
        <v>36</v>
      </c>
      <c r="E383" s="2" t="s">
        <v>207</v>
      </c>
      <c r="F383" s="2" t="s">
        <v>646</v>
      </c>
      <c r="G383" s="2" t="s">
        <v>647</v>
      </c>
      <c r="H383" s="2" t="s">
        <v>648</v>
      </c>
      <c r="I383" s="2" t="s">
        <v>649</v>
      </c>
      <c r="J383" s="2" t="s">
        <v>1178</v>
      </c>
      <c r="K383" s="2">
        <v>1</v>
      </c>
      <c r="L383" s="2">
        <v>63</v>
      </c>
      <c r="M383" s="3">
        <v>62</v>
      </c>
    </row>
    <row r="384" spans="1:13" x14ac:dyDescent="0.2">
      <c r="A384" s="1" t="s">
        <v>520</v>
      </c>
      <c r="B384" s="1" t="s">
        <v>23</v>
      </c>
      <c r="C384" s="1" t="s">
        <v>15</v>
      </c>
      <c r="D384" s="2" t="s">
        <v>55</v>
      </c>
      <c r="E384" s="2" t="s">
        <v>56</v>
      </c>
      <c r="F384" s="2" t="s">
        <v>521</v>
      </c>
      <c r="G384" s="2" t="s">
        <v>522</v>
      </c>
      <c r="H384" s="2" t="s">
        <v>523</v>
      </c>
      <c r="I384" s="2" t="s">
        <v>524</v>
      </c>
      <c r="J384" s="2" t="s">
        <v>1178</v>
      </c>
      <c r="K384" s="2">
        <v>1</v>
      </c>
      <c r="L384" s="2">
        <v>38</v>
      </c>
      <c r="M384" s="3">
        <v>43</v>
      </c>
    </row>
    <row r="385" spans="1:13" x14ac:dyDescent="0.2">
      <c r="A385" s="1" t="s">
        <v>1206</v>
      </c>
      <c r="B385" s="1" t="s">
        <v>43</v>
      </c>
      <c r="C385" s="1" t="s">
        <v>15</v>
      </c>
      <c r="D385" s="2" t="s">
        <v>72</v>
      </c>
      <c r="E385" s="2" t="s">
        <v>73</v>
      </c>
      <c r="F385" s="2" t="s">
        <v>1207</v>
      </c>
      <c r="G385" s="2" t="s">
        <v>1208</v>
      </c>
      <c r="H385" s="2" t="s">
        <v>1209</v>
      </c>
      <c r="I385" s="2" t="s">
        <v>1210</v>
      </c>
      <c r="J385" s="2" t="s">
        <v>1178</v>
      </c>
      <c r="K385" s="2">
        <v>1</v>
      </c>
      <c r="L385" s="2">
        <v>54</v>
      </c>
      <c r="M385" s="3">
        <v>54</v>
      </c>
    </row>
    <row r="386" spans="1:13" x14ac:dyDescent="0.2">
      <c r="A386" s="1" t="s">
        <v>706</v>
      </c>
      <c r="B386" s="1" t="s">
        <v>23</v>
      </c>
      <c r="C386" s="1" t="s">
        <v>15</v>
      </c>
      <c r="D386" s="2" t="s">
        <v>72</v>
      </c>
      <c r="E386" s="2" t="s">
        <v>213</v>
      </c>
      <c r="F386" s="2" t="s">
        <v>710</v>
      </c>
      <c r="G386" s="2" t="s">
        <v>711</v>
      </c>
      <c r="H386" s="2" t="s">
        <v>712</v>
      </c>
      <c r="I386" s="2" t="s">
        <v>713</v>
      </c>
      <c r="J386" s="2" t="s">
        <v>1178</v>
      </c>
      <c r="K386" s="2">
        <v>1</v>
      </c>
      <c r="L386" s="2">
        <v>67</v>
      </c>
      <c r="M386" s="3">
        <v>26</v>
      </c>
    </row>
    <row r="387" spans="1:13" x14ac:dyDescent="0.2">
      <c r="A387" s="1" t="s">
        <v>706</v>
      </c>
      <c r="B387" s="1" t="s">
        <v>23</v>
      </c>
      <c r="C387" s="1" t="s">
        <v>15</v>
      </c>
      <c r="D387" s="2" t="s">
        <v>44</v>
      </c>
      <c r="E387" s="2" t="s">
        <v>44</v>
      </c>
      <c r="F387" s="2" t="s">
        <v>707</v>
      </c>
      <c r="G387" s="2"/>
      <c r="H387" s="2" t="s">
        <v>708</v>
      </c>
      <c r="I387" s="2" t="s">
        <v>709</v>
      </c>
      <c r="J387" s="2" t="s">
        <v>1178</v>
      </c>
      <c r="K387" s="2">
        <v>1</v>
      </c>
      <c r="L387" s="2">
        <v>25</v>
      </c>
      <c r="M387" s="3">
        <v>22</v>
      </c>
    </row>
    <row r="388" spans="1:13" x14ac:dyDescent="0.2">
      <c r="A388" s="1" t="s">
        <v>1211</v>
      </c>
      <c r="B388" s="1" t="s">
        <v>23</v>
      </c>
      <c r="C388" s="1" t="s">
        <v>15</v>
      </c>
      <c r="D388" s="2" t="s">
        <v>55</v>
      </c>
      <c r="E388" s="2" t="s">
        <v>92</v>
      </c>
      <c r="F388" s="2" t="s">
        <v>1212</v>
      </c>
      <c r="G388" s="2" t="s">
        <v>1213</v>
      </c>
      <c r="H388" s="2">
        <v>9209385645</v>
      </c>
      <c r="I388" s="2" t="s">
        <v>1214</v>
      </c>
      <c r="J388" s="2" t="s">
        <v>1178</v>
      </c>
      <c r="K388" s="2">
        <v>1</v>
      </c>
      <c r="L388" s="2">
        <v>3</v>
      </c>
      <c r="M388" s="3">
        <v>5</v>
      </c>
    </row>
    <row r="389" spans="1:13" x14ac:dyDescent="0.2">
      <c r="A389" s="1" t="s">
        <v>61</v>
      </c>
      <c r="B389" s="1" t="s">
        <v>14</v>
      </c>
      <c r="C389" s="1" t="s">
        <v>15</v>
      </c>
      <c r="D389" s="2" t="s">
        <v>16</v>
      </c>
      <c r="E389" s="2" t="s">
        <v>17</v>
      </c>
      <c r="F389" s="2" t="s">
        <v>62</v>
      </c>
      <c r="G389" s="2" t="s">
        <v>63</v>
      </c>
      <c r="H389" s="2">
        <v>8172650</v>
      </c>
      <c r="I389" s="2" t="s">
        <v>64</v>
      </c>
      <c r="J389" s="2" t="s">
        <v>1178</v>
      </c>
      <c r="K389" s="2">
        <v>2</v>
      </c>
      <c r="L389" s="2">
        <v>68</v>
      </c>
      <c r="M389" s="3">
        <v>39</v>
      </c>
    </row>
    <row r="390" spans="1:13" x14ac:dyDescent="0.2">
      <c r="A390" s="1" t="s">
        <v>358</v>
      </c>
      <c r="B390" s="1" t="s">
        <v>23</v>
      </c>
      <c r="C390" s="1" t="s">
        <v>15</v>
      </c>
      <c r="D390" s="2" t="s">
        <v>72</v>
      </c>
      <c r="E390" s="2" t="s">
        <v>119</v>
      </c>
      <c r="F390" s="2" t="s">
        <v>359</v>
      </c>
      <c r="G390" s="2" t="s">
        <v>360</v>
      </c>
      <c r="H390" s="2" t="s">
        <v>361</v>
      </c>
      <c r="I390" s="2" t="s">
        <v>362</v>
      </c>
      <c r="J390" s="2" t="s">
        <v>1178</v>
      </c>
      <c r="K390" s="2">
        <v>3</v>
      </c>
      <c r="L390" s="2">
        <v>458</v>
      </c>
      <c r="M390" s="3">
        <v>571</v>
      </c>
    </row>
    <row r="391" spans="1:13" x14ac:dyDescent="0.2">
      <c r="A391" s="1" t="s">
        <v>229</v>
      </c>
      <c r="B391" s="1" t="s">
        <v>23</v>
      </c>
      <c r="C391" s="1" t="s">
        <v>15</v>
      </c>
      <c r="D391" s="2" t="s">
        <v>55</v>
      </c>
      <c r="E391" s="2" t="s">
        <v>56</v>
      </c>
      <c r="F391" s="2" t="s">
        <v>230</v>
      </c>
      <c r="G391" s="2" t="s">
        <v>231</v>
      </c>
      <c r="H391" s="2">
        <v>8230918</v>
      </c>
      <c r="I391" s="2" t="s">
        <v>232</v>
      </c>
      <c r="J391" s="2" t="s">
        <v>1178</v>
      </c>
      <c r="K391" s="2">
        <v>3</v>
      </c>
      <c r="L391" s="2">
        <v>97</v>
      </c>
      <c r="M391" s="3">
        <v>97</v>
      </c>
    </row>
    <row r="392" spans="1:13" x14ac:dyDescent="0.2">
      <c r="A392" s="1" t="s">
        <v>505</v>
      </c>
      <c r="B392" s="1" t="s">
        <v>43</v>
      </c>
      <c r="C392" s="1" t="s">
        <v>15</v>
      </c>
      <c r="D392" s="2" t="s">
        <v>44</v>
      </c>
      <c r="E392" s="2" t="s">
        <v>44</v>
      </c>
      <c r="F392" s="2" t="s">
        <v>506</v>
      </c>
      <c r="G392" s="2" t="s">
        <v>507</v>
      </c>
      <c r="H392" s="2" t="s">
        <v>508</v>
      </c>
      <c r="I392" s="2" t="s">
        <v>509</v>
      </c>
      <c r="J392" s="2" t="s">
        <v>1178</v>
      </c>
      <c r="K392" s="2">
        <v>1</v>
      </c>
      <c r="L392" s="2">
        <v>99</v>
      </c>
      <c r="M392" s="3">
        <v>91</v>
      </c>
    </row>
    <row r="393" spans="1:13" x14ac:dyDescent="0.2">
      <c r="A393" s="1" t="s">
        <v>697</v>
      </c>
      <c r="B393" s="1" t="s">
        <v>23</v>
      </c>
      <c r="C393" s="1" t="s">
        <v>15</v>
      </c>
      <c r="D393" s="2" t="s">
        <v>16</v>
      </c>
      <c r="E393" s="2" t="s">
        <v>224</v>
      </c>
      <c r="F393" s="2" t="s">
        <v>698</v>
      </c>
      <c r="G393" s="2" t="s">
        <v>699</v>
      </c>
      <c r="H393" s="2" t="s">
        <v>700</v>
      </c>
      <c r="I393" s="2" t="s">
        <v>701</v>
      </c>
      <c r="J393" s="2" t="s">
        <v>1178</v>
      </c>
      <c r="K393" s="2">
        <v>2</v>
      </c>
      <c r="L393" s="2">
        <v>37</v>
      </c>
      <c r="M393" s="3">
        <v>78</v>
      </c>
    </row>
    <row r="394" spans="1:13" x14ac:dyDescent="0.2">
      <c r="A394" s="1" t="s">
        <v>1215</v>
      </c>
      <c r="B394" s="1" t="s">
        <v>43</v>
      </c>
      <c r="C394" s="1" t="s">
        <v>15</v>
      </c>
      <c r="D394" s="2" t="s">
        <v>24</v>
      </c>
      <c r="E394" s="2" t="s">
        <v>80</v>
      </c>
      <c r="F394" s="2" t="s">
        <v>1216</v>
      </c>
      <c r="G394" s="2" t="s">
        <v>1217</v>
      </c>
      <c r="H394" s="2" t="s">
        <v>1218</v>
      </c>
      <c r="I394" s="2" t="s">
        <v>1219</v>
      </c>
      <c r="J394" s="2" t="s">
        <v>1220</v>
      </c>
      <c r="K394" s="2">
        <v>1</v>
      </c>
      <c r="L394" s="2">
        <v>39</v>
      </c>
      <c r="M394" s="3">
        <v>25</v>
      </c>
    </row>
    <row r="395" spans="1:13" x14ac:dyDescent="0.2">
      <c r="A395" s="1" t="s">
        <v>1215</v>
      </c>
      <c r="B395" s="1" t="s">
        <v>43</v>
      </c>
      <c r="C395" s="1" t="s">
        <v>15</v>
      </c>
      <c r="D395" s="2" t="s">
        <v>24</v>
      </c>
      <c r="E395" s="2" t="s">
        <v>80</v>
      </c>
      <c r="F395" s="2" t="s">
        <v>1216</v>
      </c>
      <c r="G395" s="2" t="s">
        <v>1217</v>
      </c>
      <c r="H395" s="2" t="s">
        <v>1218</v>
      </c>
      <c r="I395" s="2" t="s">
        <v>1219</v>
      </c>
      <c r="J395" s="2" t="s">
        <v>1221</v>
      </c>
      <c r="K395" s="2">
        <v>1</v>
      </c>
      <c r="L395" s="2">
        <v>48</v>
      </c>
      <c r="M395" s="3">
        <v>0</v>
      </c>
    </row>
    <row r="396" spans="1:13" x14ac:dyDescent="0.2">
      <c r="A396" s="1" t="s">
        <v>802</v>
      </c>
      <c r="B396" s="1" t="s">
        <v>43</v>
      </c>
      <c r="C396" s="1" t="s">
        <v>15</v>
      </c>
      <c r="D396" s="2" t="s">
        <v>24</v>
      </c>
      <c r="E396" s="2" t="s">
        <v>166</v>
      </c>
      <c r="F396" s="2" t="s">
        <v>803</v>
      </c>
      <c r="G396" s="2" t="s">
        <v>804</v>
      </c>
      <c r="H396" s="2" t="s">
        <v>805</v>
      </c>
      <c r="I396" s="2" t="s">
        <v>806</v>
      </c>
      <c r="J396" s="2" t="s">
        <v>1221</v>
      </c>
      <c r="K396" s="2">
        <v>1</v>
      </c>
      <c r="L396" s="2">
        <v>16</v>
      </c>
      <c r="M396" s="3">
        <v>8</v>
      </c>
    </row>
    <row r="397" spans="1:13" x14ac:dyDescent="0.2">
      <c r="A397" s="1" t="s">
        <v>1222</v>
      </c>
      <c r="B397" s="1" t="s">
        <v>23</v>
      </c>
      <c r="C397" s="1" t="s">
        <v>15</v>
      </c>
      <c r="D397" s="2" t="s">
        <v>55</v>
      </c>
      <c r="E397" s="2" t="s">
        <v>92</v>
      </c>
      <c r="F397" s="2" t="s">
        <v>1223</v>
      </c>
      <c r="G397" s="2" t="s">
        <v>1224</v>
      </c>
      <c r="H397" s="2" t="s">
        <v>1225</v>
      </c>
      <c r="I397" s="2" t="s">
        <v>1226</v>
      </c>
      <c r="J397" s="2" t="s">
        <v>1221</v>
      </c>
      <c r="K397" s="2">
        <v>0</v>
      </c>
      <c r="L397" s="2">
        <v>0</v>
      </c>
      <c r="M397" s="3">
        <v>3</v>
      </c>
    </row>
    <row r="398" spans="1:13" x14ac:dyDescent="0.2">
      <c r="A398" s="1" t="s">
        <v>1215</v>
      </c>
      <c r="B398" s="1" t="s">
        <v>43</v>
      </c>
      <c r="C398" s="1" t="s">
        <v>15</v>
      </c>
      <c r="D398" s="2" t="s">
        <v>24</v>
      </c>
      <c r="E398" s="2" t="s">
        <v>80</v>
      </c>
      <c r="F398" s="2" t="s">
        <v>1216</v>
      </c>
      <c r="G398" s="2" t="s">
        <v>1217</v>
      </c>
      <c r="H398" s="2" t="s">
        <v>1218</v>
      </c>
      <c r="I398" s="2" t="s">
        <v>1219</v>
      </c>
      <c r="J398" s="2" t="s">
        <v>1227</v>
      </c>
      <c r="K398" s="2">
        <v>1</v>
      </c>
      <c r="L398" s="2">
        <v>62</v>
      </c>
      <c r="M398" s="3">
        <v>55</v>
      </c>
    </row>
    <row r="399" spans="1:13" x14ac:dyDescent="0.2">
      <c r="A399" s="1" t="s">
        <v>802</v>
      </c>
      <c r="B399" s="1" t="s">
        <v>43</v>
      </c>
      <c r="C399" s="1" t="s">
        <v>15</v>
      </c>
      <c r="D399" s="2" t="s">
        <v>24</v>
      </c>
      <c r="E399" s="2" t="s">
        <v>166</v>
      </c>
      <c r="F399" s="2" t="s">
        <v>803</v>
      </c>
      <c r="G399" s="2" t="s">
        <v>804</v>
      </c>
      <c r="H399" s="2" t="s">
        <v>805</v>
      </c>
      <c r="I399" s="2" t="s">
        <v>806</v>
      </c>
      <c r="J399" s="2" t="s">
        <v>1227</v>
      </c>
      <c r="K399" s="2">
        <v>1</v>
      </c>
      <c r="L399" s="2">
        <v>8</v>
      </c>
      <c r="M399" s="3">
        <v>3</v>
      </c>
    </row>
    <row r="400" spans="1:13" x14ac:dyDescent="0.2">
      <c r="A400" s="1" t="s">
        <v>1222</v>
      </c>
      <c r="B400" s="1" t="s">
        <v>23</v>
      </c>
      <c r="C400" s="1" t="s">
        <v>15</v>
      </c>
      <c r="D400" s="2" t="s">
        <v>55</v>
      </c>
      <c r="E400" s="2" t="s">
        <v>92</v>
      </c>
      <c r="F400" s="2" t="s">
        <v>1223</v>
      </c>
      <c r="G400" s="2" t="s">
        <v>1224</v>
      </c>
      <c r="H400" s="2" t="s">
        <v>1225</v>
      </c>
      <c r="I400" s="2" t="s">
        <v>1226</v>
      </c>
      <c r="J400" s="2" t="s">
        <v>1227</v>
      </c>
      <c r="K400" s="2">
        <v>0</v>
      </c>
      <c r="L400" s="2">
        <v>0</v>
      </c>
      <c r="M400" s="3">
        <v>2</v>
      </c>
    </row>
    <row r="401" spans="1:13" x14ac:dyDescent="0.2">
      <c r="A401" s="1" t="s">
        <v>1215</v>
      </c>
      <c r="B401" s="1" t="s">
        <v>43</v>
      </c>
      <c r="C401" s="1" t="s">
        <v>15</v>
      </c>
      <c r="D401" s="2" t="s">
        <v>24</v>
      </c>
      <c r="E401" s="2" t="s">
        <v>80</v>
      </c>
      <c r="F401" s="2" t="s">
        <v>1216</v>
      </c>
      <c r="G401" s="2" t="s">
        <v>1217</v>
      </c>
      <c r="H401" s="2" t="s">
        <v>1218</v>
      </c>
      <c r="I401" s="2" t="s">
        <v>1219</v>
      </c>
      <c r="J401" s="2" t="s">
        <v>1228</v>
      </c>
      <c r="K401" s="2">
        <v>1</v>
      </c>
      <c r="L401" s="2">
        <v>49</v>
      </c>
      <c r="M401" s="3">
        <v>33</v>
      </c>
    </row>
    <row r="402" spans="1:13" x14ac:dyDescent="0.2">
      <c r="A402" s="1" t="s">
        <v>1222</v>
      </c>
      <c r="B402" s="1" t="s">
        <v>23</v>
      </c>
      <c r="C402" s="1" t="s">
        <v>15</v>
      </c>
      <c r="D402" s="2" t="s">
        <v>55</v>
      </c>
      <c r="E402" s="2" t="s">
        <v>92</v>
      </c>
      <c r="F402" s="2" t="s">
        <v>1223</v>
      </c>
      <c r="G402" s="2" t="s">
        <v>1224</v>
      </c>
      <c r="H402" s="2" t="s">
        <v>1225</v>
      </c>
      <c r="I402" s="2" t="s">
        <v>1226</v>
      </c>
      <c r="J402" s="2" t="s">
        <v>1228</v>
      </c>
      <c r="K402" s="2">
        <v>1</v>
      </c>
      <c r="L402" s="2">
        <v>2</v>
      </c>
      <c r="M402" s="3">
        <v>0</v>
      </c>
    </row>
    <row r="403" spans="1:13" x14ac:dyDescent="0.2">
      <c r="A403" s="1" t="s">
        <v>1229</v>
      </c>
      <c r="B403" s="1" t="s">
        <v>43</v>
      </c>
      <c r="C403" s="1" t="s">
        <v>15</v>
      </c>
      <c r="D403" s="2" t="s">
        <v>24</v>
      </c>
      <c r="E403" s="2" t="s">
        <v>80</v>
      </c>
      <c r="F403" s="2" t="s">
        <v>1230</v>
      </c>
      <c r="G403" s="2"/>
      <c r="H403" s="2" t="s">
        <v>1231</v>
      </c>
      <c r="I403" s="2"/>
      <c r="J403" s="2" t="s">
        <v>1232</v>
      </c>
      <c r="K403" s="2">
        <v>0</v>
      </c>
      <c r="L403" s="2">
        <v>0</v>
      </c>
      <c r="M403" s="3">
        <v>1</v>
      </c>
    </row>
    <row r="404" spans="1:13" x14ac:dyDescent="0.2">
      <c r="A404" s="1" t="s">
        <v>773</v>
      </c>
      <c r="B404" s="1" t="s">
        <v>23</v>
      </c>
      <c r="C404" s="1" t="s">
        <v>15</v>
      </c>
      <c r="D404" s="2" t="s">
        <v>55</v>
      </c>
      <c r="E404" s="2" t="s">
        <v>56</v>
      </c>
      <c r="F404" s="2" t="s">
        <v>774</v>
      </c>
      <c r="G404" s="2" t="s">
        <v>775</v>
      </c>
      <c r="H404" s="2" t="s">
        <v>776</v>
      </c>
      <c r="I404" s="2" t="s">
        <v>777</v>
      </c>
      <c r="J404" s="2" t="s">
        <v>1233</v>
      </c>
      <c r="K404" s="2">
        <v>1</v>
      </c>
      <c r="L404" s="2">
        <v>10</v>
      </c>
      <c r="M404" s="3">
        <v>10</v>
      </c>
    </row>
    <row r="405" spans="1:13" x14ac:dyDescent="0.2">
      <c r="A405" s="1" t="s">
        <v>1234</v>
      </c>
      <c r="B405" s="1" t="s">
        <v>23</v>
      </c>
      <c r="C405" s="1" t="s">
        <v>15</v>
      </c>
      <c r="D405" s="2" t="s">
        <v>24</v>
      </c>
      <c r="E405" s="2" t="s">
        <v>135</v>
      </c>
      <c r="F405" s="2" t="s">
        <v>1235</v>
      </c>
      <c r="G405" s="2" t="s">
        <v>1236</v>
      </c>
      <c r="H405" s="2" t="s">
        <v>1237</v>
      </c>
      <c r="I405" s="2"/>
      <c r="J405" s="2" t="s">
        <v>1233</v>
      </c>
      <c r="K405" s="2">
        <v>2</v>
      </c>
      <c r="L405" s="2">
        <v>229</v>
      </c>
      <c r="M405" s="3">
        <v>222</v>
      </c>
    </row>
    <row r="406" spans="1:13" x14ac:dyDescent="0.2">
      <c r="A406" s="1" t="s">
        <v>719</v>
      </c>
      <c r="B406" s="1" t="s">
        <v>23</v>
      </c>
      <c r="C406" s="1" t="s">
        <v>15</v>
      </c>
      <c r="D406" s="2" t="s">
        <v>16</v>
      </c>
      <c r="E406" s="2" t="s">
        <v>108</v>
      </c>
      <c r="F406" s="2" t="s">
        <v>720</v>
      </c>
      <c r="G406" s="2" t="s">
        <v>721</v>
      </c>
      <c r="H406" s="2">
        <v>9497373755</v>
      </c>
      <c r="I406" s="2" t="s">
        <v>722</v>
      </c>
      <c r="J406" s="2" t="s">
        <v>1233</v>
      </c>
      <c r="K406" s="2">
        <v>1</v>
      </c>
      <c r="L406" s="2">
        <v>20</v>
      </c>
      <c r="M406" s="3">
        <v>19</v>
      </c>
    </row>
    <row r="407" spans="1:13" x14ac:dyDescent="0.2">
      <c r="A407" s="1" t="s">
        <v>1238</v>
      </c>
      <c r="B407" s="1" t="s">
        <v>23</v>
      </c>
      <c r="C407" s="1" t="s">
        <v>15</v>
      </c>
      <c r="D407" s="2" t="s">
        <v>24</v>
      </c>
      <c r="E407" s="2" t="s">
        <v>818</v>
      </c>
      <c r="F407" s="2" t="s">
        <v>1239</v>
      </c>
      <c r="G407" s="2" t="s">
        <v>1240</v>
      </c>
      <c r="H407" s="2" t="s">
        <v>1241</v>
      </c>
      <c r="I407" s="2" t="s">
        <v>1242</v>
      </c>
      <c r="J407" s="2" t="s">
        <v>1233</v>
      </c>
      <c r="K407" s="2">
        <v>1</v>
      </c>
      <c r="L407" s="2">
        <v>100</v>
      </c>
      <c r="M407" s="3">
        <v>100</v>
      </c>
    </row>
    <row r="408" spans="1:13" x14ac:dyDescent="0.2">
      <c r="A408" s="1" t="s">
        <v>1243</v>
      </c>
      <c r="B408" s="1" t="s">
        <v>23</v>
      </c>
      <c r="C408" s="1" t="s">
        <v>15</v>
      </c>
      <c r="D408" s="2" t="s">
        <v>16</v>
      </c>
      <c r="E408" s="2" t="s">
        <v>108</v>
      </c>
      <c r="F408" s="2" t="s">
        <v>1244</v>
      </c>
      <c r="G408" s="2" t="s">
        <v>1245</v>
      </c>
      <c r="H408" s="2" t="s">
        <v>1246</v>
      </c>
      <c r="I408" s="2" t="s">
        <v>1247</v>
      </c>
      <c r="J408" s="2" t="s">
        <v>1233</v>
      </c>
      <c r="K408" s="2">
        <v>2</v>
      </c>
      <c r="L408" s="2">
        <v>53</v>
      </c>
      <c r="M408" s="3">
        <v>48</v>
      </c>
    </row>
    <row r="409" spans="1:13" x14ac:dyDescent="0.2">
      <c r="A409" s="1" t="s">
        <v>1248</v>
      </c>
      <c r="B409" s="1" t="s">
        <v>23</v>
      </c>
      <c r="C409" s="1" t="s">
        <v>15</v>
      </c>
      <c r="D409" s="2" t="s">
        <v>24</v>
      </c>
      <c r="E409" s="2" t="s">
        <v>135</v>
      </c>
      <c r="F409" s="2" t="s">
        <v>1249</v>
      </c>
      <c r="G409" s="2" t="s">
        <v>1250</v>
      </c>
      <c r="H409" s="2" t="s">
        <v>1251</v>
      </c>
      <c r="I409" s="2"/>
      <c r="J409" s="2" t="s">
        <v>1233</v>
      </c>
      <c r="K409" s="2">
        <v>2</v>
      </c>
      <c r="L409" s="2">
        <v>244</v>
      </c>
      <c r="M409" s="3">
        <v>232</v>
      </c>
    </row>
    <row r="410" spans="1:13" x14ac:dyDescent="0.2">
      <c r="A410" s="1" t="s">
        <v>1252</v>
      </c>
      <c r="B410" s="1" t="s">
        <v>23</v>
      </c>
      <c r="C410" s="1" t="s">
        <v>15</v>
      </c>
      <c r="D410" s="2" t="s">
        <v>16</v>
      </c>
      <c r="E410" s="2" t="s">
        <v>108</v>
      </c>
      <c r="F410" s="2" t="s">
        <v>1253</v>
      </c>
      <c r="G410" s="2" t="s">
        <v>1254</v>
      </c>
      <c r="H410" s="2" t="s">
        <v>1255</v>
      </c>
      <c r="I410" s="2" t="s">
        <v>1256</v>
      </c>
      <c r="J410" s="2" t="s">
        <v>1233</v>
      </c>
      <c r="K410" s="2">
        <v>1</v>
      </c>
      <c r="L410" s="2">
        <v>1</v>
      </c>
      <c r="M410" s="3">
        <v>1</v>
      </c>
    </row>
    <row r="411" spans="1:13" x14ac:dyDescent="0.2">
      <c r="A411" s="1" t="s">
        <v>405</v>
      </c>
      <c r="B411" s="1" t="s">
        <v>23</v>
      </c>
      <c r="C411" s="1" t="s">
        <v>15</v>
      </c>
      <c r="D411" s="2" t="s">
        <v>24</v>
      </c>
      <c r="E411" s="2" t="s">
        <v>349</v>
      </c>
      <c r="F411" s="2" t="s">
        <v>406</v>
      </c>
      <c r="G411" s="2" t="s">
        <v>407</v>
      </c>
      <c r="H411" s="2" t="s">
        <v>408</v>
      </c>
      <c r="I411" s="2" t="s">
        <v>409</v>
      </c>
      <c r="J411" s="2" t="s">
        <v>1233</v>
      </c>
      <c r="K411" s="2">
        <v>1</v>
      </c>
      <c r="L411" s="2">
        <v>354</v>
      </c>
      <c r="M411" s="3">
        <v>354</v>
      </c>
    </row>
    <row r="412" spans="1:13" x14ac:dyDescent="0.2">
      <c r="A412" s="1" t="s">
        <v>1257</v>
      </c>
      <c r="B412" s="1" t="s">
        <v>23</v>
      </c>
      <c r="C412" s="1" t="s">
        <v>15</v>
      </c>
      <c r="D412" s="2" t="s">
        <v>44</v>
      </c>
      <c r="E412" s="2" t="s">
        <v>44</v>
      </c>
      <c r="F412" s="2" t="s">
        <v>1258</v>
      </c>
      <c r="G412" s="2"/>
      <c r="H412" s="2" t="s">
        <v>1259</v>
      </c>
      <c r="I412" s="2"/>
      <c r="J412" s="2" t="s">
        <v>1233</v>
      </c>
      <c r="K412" s="2">
        <v>4</v>
      </c>
      <c r="L412" s="2">
        <v>447</v>
      </c>
      <c r="M412" s="3">
        <v>480</v>
      </c>
    </row>
    <row r="413" spans="1:13" x14ac:dyDescent="0.2">
      <c r="A413" s="1" t="s">
        <v>1260</v>
      </c>
      <c r="B413" s="1" t="s">
        <v>23</v>
      </c>
      <c r="C413" s="1" t="s">
        <v>15</v>
      </c>
      <c r="D413" s="2" t="s">
        <v>16</v>
      </c>
      <c r="E413" s="2" t="s">
        <v>17</v>
      </c>
      <c r="F413" s="2" t="s">
        <v>1261</v>
      </c>
      <c r="G413" s="2" t="s">
        <v>1262</v>
      </c>
      <c r="H413" s="2">
        <v>86508626</v>
      </c>
      <c r="I413" s="2" t="s">
        <v>1263</v>
      </c>
      <c r="J413" s="2" t="s">
        <v>1233</v>
      </c>
      <c r="K413" s="2">
        <v>2</v>
      </c>
      <c r="L413" s="2">
        <v>28</v>
      </c>
      <c r="M413" s="3">
        <v>28</v>
      </c>
    </row>
    <row r="414" spans="1:13" x14ac:dyDescent="0.2">
      <c r="A414" s="1" t="s">
        <v>1264</v>
      </c>
      <c r="B414" s="1" t="s">
        <v>23</v>
      </c>
      <c r="C414" s="1" t="s">
        <v>15</v>
      </c>
      <c r="D414" s="2" t="s">
        <v>44</v>
      </c>
      <c r="E414" s="2" t="s">
        <v>44</v>
      </c>
      <c r="F414" s="2" t="s">
        <v>1265</v>
      </c>
      <c r="G414" s="2" t="s">
        <v>1266</v>
      </c>
      <c r="H414" s="2" t="s">
        <v>1267</v>
      </c>
      <c r="I414" s="2" t="s">
        <v>1268</v>
      </c>
      <c r="J414" s="2" t="s">
        <v>1233</v>
      </c>
      <c r="K414" s="2">
        <v>1</v>
      </c>
      <c r="L414" s="2">
        <v>141</v>
      </c>
      <c r="M414" s="3">
        <v>127</v>
      </c>
    </row>
    <row r="415" spans="1:13" x14ac:dyDescent="0.2">
      <c r="A415" s="1" t="s">
        <v>1269</v>
      </c>
      <c r="B415" s="1" t="s">
        <v>23</v>
      </c>
      <c r="C415" s="1" t="s">
        <v>15</v>
      </c>
      <c r="D415" s="2" t="s">
        <v>44</v>
      </c>
      <c r="E415" s="2" t="s">
        <v>44</v>
      </c>
      <c r="F415" s="2" t="s">
        <v>1270</v>
      </c>
      <c r="G415" s="2"/>
      <c r="H415" s="2" t="s">
        <v>1271</v>
      </c>
      <c r="I415" s="2"/>
      <c r="J415" s="2" t="s">
        <v>1233</v>
      </c>
      <c r="K415" s="2">
        <v>1</v>
      </c>
      <c r="L415" s="2">
        <v>199</v>
      </c>
      <c r="M415" s="3">
        <v>178</v>
      </c>
    </row>
    <row r="416" spans="1:13" x14ac:dyDescent="0.2">
      <c r="A416" s="1" t="s">
        <v>1272</v>
      </c>
      <c r="B416" s="1" t="s">
        <v>23</v>
      </c>
      <c r="C416" s="1" t="s">
        <v>15</v>
      </c>
      <c r="D416" s="2" t="s">
        <v>16</v>
      </c>
      <c r="E416" s="2" t="s">
        <v>456</v>
      </c>
      <c r="F416" s="2" t="s">
        <v>1273</v>
      </c>
      <c r="G416" s="2" t="s">
        <v>1274</v>
      </c>
      <c r="H416" s="2" t="s">
        <v>1275</v>
      </c>
      <c r="I416" s="2" t="s">
        <v>1276</v>
      </c>
      <c r="J416" s="2" t="s">
        <v>1233</v>
      </c>
      <c r="K416" s="2">
        <v>1</v>
      </c>
      <c r="L416" s="2">
        <v>71</v>
      </c>
      <c r="M416" s="3">
        <v>70</v>
      </c>
    </row>
    <row r="417" spans="1:13" x14ac:dyDescent="0.2">
      <c r="A417" s="1" t="s">
        <v>1277</v>
      </c>
      <c r="B417" s="1" t="s">
        <v>23</v>
      </c>
      <c r="C417" s="1" t="s">
        <v>15</v>
      </c>
      <c r="D417" s="2" t="s">
        <v>24</v>
      </c>
      <c r="E417" s="2" t="s">
        <v>135</v>
      </c>
      <c r="F417" s="2" t="s">
        <v>1278</v>
      </c>
      <c r="G417" s="2" t="s">
        <v>1279</v>
      </c>
      <c r="H417" s="2" t="s">
        <v>1280</v>
      </c>
      <c r="I417" s="2" t="s">
        <v>1281</v>
      </c>
      <c r="J417" s="2" t="s">
        <v>1233</v>
      </c>
      <c r="K417" s="2">
        <v>2</v>
      </c>
      <c r="L417" s="2">
        <v>397</v>
      </c>
      <c r="M417" s="3">
        <v>422</v>
      </c>
    </row>
    <row r="418" spans="1:13" x14ac:dyDescent="0.2">
      <c r="A418" s="1" t="s">
        <v>1282</v>
      </c>
      <c r="B418" s="1" t="s">
        <v>23</v>
      </c>
      <c r="C418" s="1" t="s">
        <v>15</v>
      </c>
      <c r="D418" s="2" t="s">
        <v>55</v>
      </c>
      <c r="E418" s="2" t="s">
        <v>56</v>
      </c>
      <c r="F418" s="2" t="s">
        <v>1283</v>
      </c>
      <c r="G418" s="2" t="s">
        <v>1284</v>
      </c>
      <c r="H418" s="2" t="s">
        <v>1285</v>
      </c>
      <c r="I418" s="2" t="s">
        <v>1286</v>
      </c>
      <c r="J418" s="2" t="s">
        <v>1233</v>
      </c>
      <c r="K418" s="2">
        <v>3</v>
      </c>
      <c r="L418" s="2">
        <v>226</v>
      </c>
      <c r="M418" s="3">
        <v>168</v>
      </c>
    </row>
    <row r="419" spans="1:13" x14ac:dyDescent="0.2">
      <c r="A419" s="1" t="s">
        <v>1287</v>
      </c>
      <c r="B419" s="1" t="s">
        <v>23</v>
      </c>
      <c r="C419" s="1" t="s">
        <v>15</v>
      </c>
      <c r="D419" s="2" t="s">
        <v>24</v>
      </c>
      <c r="E419" s="2" t="s">
        <v>349</v>
      </c>
      <c r="F419" s="2" t="s">
        <v>1288</v>
      </c>
      <c r="G419" s="2" t="s">
        <v>1289</v>
      </c>
      <c r="H419" s="2" t="s">
        <v>1290</v>
      </c>
      <c r="I419" s="2" t="s">
        <v>1291</v>
      </c>
      <c r="J419" s="2" t="s">
        <v>1233</v>
      </c>
      <c r="K419" s="2">
        <v>1</v>
      </c>
      <c r="L419" s="2">
        <v>2</v>
      </c>
      <c r="M419" s="3">
        <v>2</v>
      </c>
    </row>
    <row r="420" spans="1:13" x14ac:dyDescent="0.2">
      <c r="A420" s="1" t="s">
        <v>1292</v>
      </c>
      <c r="B420" s="1" t="s">
        <v>23</v>
      </c>
      <c r="C420" s="1" t="s">
        <v>15</v>
      </c>
      <c r="D420" s="2" t="s">
        <v>16</v>
      </c>
      <c r="E420" s="2" t="s">
        <v>108</v>
      </c>
      <c r="F420" s="2" t="s">
        <v>1293</v>
      </c>
      <c r="G420" s="2" t="s">
        <v>1294</v>
      </c>
      <c r="H420" s="2" t="s">
        <v>1295</v>
      </c>
      <c r="I420" s="2" t="s">
        <v>1296</v>
      </c>
      <c r="J420" s="2" t="s">
        <v>1233</v>
      </c>
      <c r="K420" s="2">
        <v>1</v>
      </c>
      <c r="L420" s="2">
        <v>170</v>
      </c>
      <c r="M420" s="3">
        <v>168</v>
      </c>
    </row>
    <row r="421" spans="1:13" x14ac:dyDescent="0.2">
      <c r="A421" s="1" t="s">
        <v>394</v>
      </c>
      <c r="B421" s="1" t="s">
        <v>23</v>
      </c>
      <c r="C421" s="1" t="s">
        <v>15</v>
      </c>
      <c r="D421" s="2" t="s">
        <v>24</v>
      </c>
      <c r="E421" s="2" t="s">
        <v>395</v>
      </c>
      <c r="F421" s="2" t="s">
        <v>396</v>
      </c>
      <c r="G421" s="2" t="s">
        <v>397</v>
      </c>
      <c r="H421" s="2" t="s">
        <v>398</v>
      </c>
      <c r="I421" s="2" t="s">
        <v>399</v>
      </c>
      <c r="J421" s="2" t="s">
        <v>1233</v>
      </c>
      <c r="K421" s="2">
        <v>1</v>
      </c>
      <c r="L421" s="2">
        <v>17</v>
      </c>
      <c r="M421" s="3">
        <v>17</v>
      </c>
    </row>
    <row r="422" spans="1:13" x14ac:dyDescent="0.2">
      <c r="A422" s="1" t="s">
        <v>578</v>
      </c>
      <c r="B422" s="1" t="s">
        <v>23</v>
      </c>
      <c r="C422" s="1" t="s">
        <v>15</v>
      </c>
      <c r="D422" s="2" t="s">
        <v>24</v>
      </c>
      <c r="E422" s="2" t="s">
        <v>182</v>
      </c>
      <c r="F422" s="2" t="s">
        <v>579</v>
      </c>
      <c r="G422" s="2" t="s">
        <v>580</v>
      </c>
      <c r="H422" s="2" t="s">
        <v>581</v>
      </c>
      <c r="I422" s="2" t="s">
        <v>582</v>
      </c>
      <c r="J422" s="2" t="s">
        <v>1233</v>
      </c>
      <c r="K422" s="2">
        <v>1</v>
      </c>
      <c r="L422" s="2">
        <v>392</v>
      </c>
      <c r="M422" s="3">
        <v>370</v>
      </c>
    </row>
    <row r="423" spans="1:13" x14ac:dyDescent="0.2">
      <c r="A423" s="1" t="s">
        <v>763</v>
      </c>
      <c r="B423" s="1" t="s">
        <v>23</v>
      </c>
      <c r="C423" s="1" t="s">
        <v>15</v>
      </c>
      <c r="D423" s="2" t="s">
        <v>55</v>
      </c>
      <c r="E423" s="2" t="s">
        <v>92</v>
      </c>
      <c r="F423" s="2" t="s">
        <v>764</v>
      </c>
      <c r="G423" s="2" t="s">
        <v>765</v>
      </c>
      <c r="H423" s="2" t="s">
        <v>766</v>
      </c>
      <c r="I423" s="2" t="s">
        <v>767</v>
      </c>
      <c r="J423" s="2" t="s">
        <v>1233</v>
      </c>
      <c r="K423" s="2">
        <v>1</v>
      </c>
      <c r="L423" s="2">
        <v>219</v>
      </c>
      <c r="M423" s="3">
        <v>199</v>
      </c>
    </row>
    <row r="424" spans="1:13" x14ac:dyDescent="0.2">
      <c r="A424" s="1" t="s">
        <v>1297</v>
      </c>
      <c r="B424" s="1" t="s">
        <v>23</v>
      </c>
      <c r="C424" s="1" t="s">
        <v>15</v>
      </c>
      <c r="D424" s="2" t="s">
        <v>24</v>
      </c>
      <c r="E424" s="2" t="s">
        <v>349</v>
      </c>
      <c r="F424" s="2" t="s">
        <v>1298</v>
      </c>
      <c r="G424" s="2" t="s">
        <v>1299</v>
      </c>
      <c r="H424" s="2" t="s">
        <v>1300</v>
      </c>
      <c r="I424" s="2"/>
      <c r="J424" s="2" t="s">
        <v>1233</v>
      </c>
      <c r="K424" s="2">
        <v>1</v>
      </c>
      <c r="L424" s="2">
        <v>22</v>
      </c>
      <c r="M424" s="3">
        <v>22</v>
      </c>
    </row>
    <row r="425" spans="1:13" x14ac:dyDescent="0.2">
      <c r="A425" s="1" t="s">
        <v>191</v>
      </c>
      <c r="B425" s="1" t="s">
        <v>23</v>
      </c>
      <c r="C425" s="1" t="s">
        <v>15</v>
      </c>
      <c r="D425" s="2" t="s">
        <v>55</v>
      </c>
      <c r="E425" s="2" t="s">
        <v>92</v>
      </c>
      <c r="F425" s="2" t="s">
        <v>192</v>
      </c>
      <c r="G425" s="2" t="s">
        <v>193</v>
      </c>
      <c r="H425" s="2" t="s">
        <v>194</v>
      </c>
      <c r="I425" s="2" t="s">
        <v>195</v>
      </c>
      <c r="J425" s="2" t="s">
        <v>1233</v>
      </c>
      <c r="K425" s="2">
        <v>5</v>
      </c>
      <c r="L425" s="2">
        <v>600</v>
      </c>
      <c r="M425" s="3">
        <v>615</v>
      </c>
    </row>
    <row r="426" spans="1:13" x14ac:dyDescent="0.2">
      <c r="A426" s="1" t="s">
        <v>1301</v>
      </c>
      <c r="B426" s="1" t="s">
        <v>23</v>
      </c>
      <c r="C426" s="1" t="s">
        <v>15</v>
      </c>
      <c r="D426" s="2" t="s">
        <v>24</v>
      </c>
      <c r="E426" s="2" t="s">
        <v>818</v>
      </c>
      <c r="F426" s="2" t="s">
        <v>1302</v>
      </c>
      <c r="G426" s="2" t="s">
        <v>1303</v>
      </c>
      <c r="H426" s="2" t="s">
        <v>1304</v>
      </c>
      <c r="I426" s="2" t="s">
        <v>1305</v>
      </c>
      <c r="J426" s="2" t="s">
        <v>1233</v>
      </c>
      <c r="K426" s="2">
        <v>1</v>
      </c>
      <c r="L426" s="2">
        <v>25</v>
      </c>
      <c r="M426" s="3">
        <v>25</v>
      </c>
    </row>
    <row r="427" spans="1:13" x14ac:dyDescent="0.2">
      <c r="A427" s="1" t="s">
        <v>1306</v>
      </c>
      <c r="B427" s="1" t="s">
        <v>66</v>
      </c>
      <c r="C427" s="1" t="s">
        <v>15</v>
      </c>
      <c r="D427" s="2" t="s">
        <v>36</v>
      </c>
      <c r="E427" s="2" t="s">
        <v>176</v>
      </c>
      <c r="F427" s="2" t="s">
        <v>1307</v>
      </c>
      <c r="G427" s="2" t="s">
        <v>1308</v>
      </c>
      <c r="H427" s="2" t="s">
        <v>1309</v>
      </c>
      <c r="I427" s="2" t="s">
        <v>1310</v>
      </c>
      <c r="J427" s="2" t="s">
        <v>1311</v>
      </c>
      <c r="K427" s="2">
        <v>2</v>
      </c>
      <c r="L427" s="2">
        <v>28</v>
      </c>
      <c r="M427" s="3">
        <v>82</v>
      </c>
    </row>
    <row r="428" spans="1:13" x14ac:dyDescent="0.2">
      <c r="A428" s="1" t="s">
        <v>290</v>
      </c>
      <c r="B428" s="1" t="s">
        <v>43</v>
      </c>
      <c r="C428" s="1" t="s">
        <v>15</v>
      </c>
      <c r="D428" s="2" t="s">
        <v>72</v>
      </c>
      <c r="E428" s="2" t="s">
        <v>213</v>
      </c>
      <c r="F428" s="2" t="s">
        <v>291</v>
      </c>
      <c r="G428" s="2" t="s">
        <v>292</v>
      </c>
      <c r="H428" s="2" t="s">
        <v>293</v>
      </c>
      <c r="I428" s="2" t="s">
        <v>294</v>
      </c>
      <c r="J428" s="2" t="s">
        <v>1311</v>
      </c>
      <c r="K428" s="2">
        <v>2</v>
      </c>
      <c r="L428" s="2">
        <v>136</v>
      </c>
      <c r="M428" s="3">
        <v>159</v>
      </c>
    </row>
    <row r="429" spans="1:13" x14ac:dyDescent="0.2">
      <c r="A429" s="1" t="s">
        <v>1312</v>
      </c>
      <c r="B429" s="1" t="s">
        <v>66</v>
      </c>
      <c r="C429" s="1" t="s">
        <v>15</v>
      </c>
      <c r="D429" s="2" t="s">
        <v>72</v>
      </c>
      <c r="E429" s="2" t="s">
        <v>213</v>
      </c>
      <c r="F429" s="2" t="s">
        <v>1313</v>
      </c>
      <c r="G429" s="2" t="s">
        <v>1314</v>
      </c>
      <c r="H429" s="2" t="s">
        <v>1315</v>
      </c>
      <c r="I429" s="2" t="s">
        <v>1316</v>
      </c>
      <c r="J429" s="2" t="s">
        <v>1311</v>
      </c>
      <c r="K429" s="2">
        <v>1</v>
      </c>
      <c r="L429" s="2">
        <v>95</v>
      </c>
      <c r="M429" s="3">
        <v>85</v>
      </c>
    </row>
    <row r="430" spans="1:13" x14ac:dyDescent="0.2">
      <c r="A430" s="1" t="s">
        <v>530</v>
      </c>
      <c r="B430" s="1" t="s">
        <v>66</v>
      </c>
      <c r="C430" s="1" t="s">
        <v>15</v>
      </c>
      <c r="D430" s="2" t="s">
        <v>36</v>
      </c>
      <c r="E430" s="2" t="s">
        <v>145</v>
      </c>
      <c r="F430" s="2" t="s">
        <v>531</v>
      </c>
      <c r="G430" s="2" t="s">
        <v>147</v>
      </c>
      <c r="H430" s="2" t="s">
        <v>532</v>
      </c>
      <c r="I430" s="2" t="s">
        <v>533</v>
      </c>
      <c r="J430" s="2" t="s">
        <v>1311</v>
      </c>
      <c r="K430" s="2">
        <v>1</v>
      </c>
      <c r="L430" s="2">
        <v>35</v>
      </c>
      <c r="M430" s="3">
        <v>31</v>
      </c>
    </row>
    <row r="431" spans="1:13" x14ac:dyDescent="0.2">
      <c r="A431" s="1" t="s">
        <v>42</v>
      </c>
      <c r="B431" s="1" t="s">
        <v>43</v>
      </c>
      <c r="C431" s="1" t="s">
        <v>15</v>
      </c>
      <c r="D431" s="2" t="s">
        <v>44</v>
      </c>
      <c r="E431" s="2" t="s">
        <v>44</v>
      </c>
      <c r="F431" s="2" t="s">
        <v>45</v>
      </c>
      <c r="G431" s="2" t="s">
        <v>46</v>
      </c>
      <c r="H431" s="2" t="s">
        <v>47</v>
      </c>
      <c r="I431" s="2" t="s">
        <v>48</v>
      </c>
      <c r="J431" s="2" t="s">
        <v>1311</v>
      </c>
      <c r="K431" s="2">
        <v>1</v>
      </c>
      <c r="L431" s="2">
        <v>39</v>
      </c>
      <c r="M431" s="3">
        <v>29</v>
      </c>
    </row>
    <row r="432" spans="1:13" x14ac:dyDescent="0.2">
      <c r="A432" s="1" t="s">
        <v>1317</v>
      </c>
      <c r="B432" s="1" t="s">
        <v>23</v>
      </c>
      <c r="C432" s="1" t="s">
        <v>15</v>
      </c>
      <c r="D432" s="2" t="s">
        <v>55</v>
      </c>
      <c r="E432" s="2" t="s">
        <v>92</v>
      </c>
      <c r="F432" s="2" t="s">
        <v>1318</v>
      </c>
      <c r="G432" s="2" t="s">
        <v>1319</v>
      </c>
      <c r="H432" s="2" t="s">
        <v>1320</v>
      </c>
      <c r="I432" s="2" t="s">
        <v>1321</v>
      </c>
      <c r="J432" s="2" t="s">
        <v>1311</v>
      </c>
      <c r="K432" s="2">
        <v>1</v>
      </c>
      <c r="L432" s="2">
        <v>10</v>
      </c>
      <c r="M432" s="3">
        <v>10</v>
      </c>
    </row>
    <row r="433" spans="1:13" x14ac:dyDescent="0.2">
      <c r="A433" s="1" t="s">
        <v>61</v>
      </c>
      <c r="B433" s="1" t="s">
        <v>14</v>
      </c>
      <c r="C433" s="1" t="s">
        <v>15</v>
      </c>
      <c r="D433" s="2" t="s">
        <v>16</v>
      </c>
      <c r="E433" s="2" t="s">
        <v>17</v>
      </c>
      <c r="F433" s="2" t="s">
        <v>62</v>
      </c>
      <c r="G433" s="2" t="s">
        <v>63</v>
      </c>
      <c r="H433" s="2">
        <v>8172650</v>
      </c>
      <c r="I433" s="2" t="s">
        <v>64</v>
      </c>
      <c r="J433" s="2" t="s">
        <v>1311</v>
      </c>
      <c r="K433" s="2">
        <v>1</v>
      </c>
      <c r="L433" s="2">
        <v>162</v>
      </c>
      <c r="M433" s="3">
        <v>177</v>
      </c>
    </row>
    <row r="434" spans="1:13" x14ac:dyDescent="0.2">
      <c r="A434" s="1" t="s">
        <v>65</v>
      </c>
      <c r="B434" s="1" t="s">
        <v>66</v>
      </c>
      <c r="C434" s="1" t="s">
        <v>15</v>
      </c>
      <c r="D434" s="2" t="s">
        <v>36</v>
      </c>
      <c r="E434" s="2" t="s">
        <v>37</v>
      </c>
      <c r="F434" s="2" t="s">
        <v>67</v>
      </c>
      <c r="G434" s="2" t="s">
        <v>68</v>
      </c>
      <c r="H434" s="2" t="s">
        <v>69</v>
      </c>
      <c r="I434" s="2" t="s">
        <v>70</v>
      </c>
      <c r="J434" s="2" t="s">
        <v>1311</v>
      </c>
      <c r="K434" s="2">
        <v>1</v>
      </c>
      <c r="L434" s="2">
        <v>25</v>
      </c>
      <c r="M434" s="3">
        <v>0</v>
      </c>
    </row>
    <row r="435" spans="1:13" x14ac:dyDescent="0.2">
      <c r="A435" s="1" t="s">
        <v>54</v>
      </c>
      <c r="B435" s="1" t="s">
        <v>23</v>
      </c>
      <c r="C435" s="1" t="s">
        <v>15</v>
      </c>
      <c r="D435" s="2" t="s">
        <v>55</v>
      </c>
      <c r="E435" s="2" t="s">
        <v>56</v>
      </c>
      <c r="F435" s="2" t="s">
        <v>57</v>
      </c>
      <c r="G435" s="2" t="s">
        <v>58</v>
      </c>
      <c r="H435" s="2" t="s">
        <v>59</v>
      </c>
      <c r="I435" s="2" t="s">
        <v>60</v>
      </c>
      <c r="J435" s="2" t="s">
        <v>1322</v>
      </c>
      <c r="K435" s="2">
        <v>1</v>
      </c>
      <c r="L435" s="2">
        <v>126</v>
      </c>
      <c r="M435" s="3">
        <v>123</v>
      </c>
    </row>
    <row r="436" spans="1:13" x14ac:dyDescent="0.2">
      <c r="A436" s="1" t="s">
        <v>54</v>
      </c>
      <c r="B436" s="1" t="s">
        <v>23</v>
      </c>
      <c r="C436" s="1" t="s">
        <v>15</v>
      </c>
      <c r="D436" s="2" t="s">
        <v>55</v>
      </c>
      <c r="E436" s="2" t="s">
        <v>56</v>
      </c>
      <c r="F436" s="2" t="s">
        <v>57</v>
      </c>
      <c r="G436" s="2" t="s">
        <v>58</v>
      </c>
      <c r="H436" s="2" t="s">
        <v>59</v>
      </c>
      <c r="I436" s="2" t="s">
        <v>60</v>
      </c>
      <c r="J436" s="2" t="s">
        <v>1323</v>
      </c>
      <c r="K436" s="2">
        <v>1</v>
      </c>
      <c r="L436" s="2">
        <v>50</v>
      </c>
      <c r="M436" s="3">
        <v>50</v>
      </c>
    </row>
    <row r="437" spans="1:13" x14ac:dyDescent="0.2">
      <c r="A437" s="1" t="s">
        <v>1324</v>
      </c>
      <c r="B437" s="1" t="s">
        <v>23</v>
      </c>
      <c r="C437" s="1" t="s">
        <v>15</v>
      </c>
      <c r="D437" s="2" t="s">
        <v>24</v>
      </c>
      <c r="E437" s="2" t="s">
        <v>182</v>
      </c>
      <c r="F437" s="2" t="s">
        <v>1325</v>
      </c>
      <c r="G437" s="2" t="s">
        <v>1326</v>
      </c>
      <c r="H437" s="2" t="s">
        <v>1327</v>
      </c>
      <c r="I437" s="2" t="s">
        <v>1328</v>
      </c>
      <c r="J437" s="2" t="s">
        <v>1323</v>
      </c>
      <c r="K437" s="2">
        <v>1</v>
      </c>
      <c r="L437" s="2">
        <v>77</v>
      </c>
      <c r="M437" s="3">
        <v>74</v>
      </c>
    </row>
    <row r="438" spans="1:13" x14ac:dyDescent="0.2">
      <c r="A438" s="1" t="s">
        <v>1329</v>
      </c>
      <c r="B438" s="1" t="s">
        <v>23</v>
      </c>
      <c r="C438" s="1" t="s">
        <v>15</v>
      </c>
      <c r="D438" s="2" t="s">
        <v>16</v>
      </c>
      <c r="E438" s="2" t="s">
        <v>108</v>
      </c>
      <c r="F438" s="2" t="s">
        <v>1330</v>
      </c>
      <c r="G438" s="2" t="s">
        <v>1331</v>
      </c>
      <c r="H438" s="2" t="s">
        <v>1332</v>
      </c>
      <c r="I438" s="2" t="s">
        <v>1333</v>
      </c>
      <c r="J438" s="2" t="s">
        <v>1323</v>
      </c>
      <c r="K438" s="2">
        <v>3</v>
      </c>
      <c r="L438" s="2">
        <v>235</v>
      </c>
      <c r="M438" s="3">
        <v>295</v>
      </c>
    </row>
    <row r="439" spans="1:13" x14ac:dyDescent="0.2">
      <c r="A439" s="1" t="s">
        <v>1334</v>
      </c>
      <c r="B439" s="1" t="s">
        <v>23</v>
      </c>
      <c r="C439" s="1" t="s">
        <v>15</v>
      </c>
      <c r="D439" s="2" t="s">
        <v>24</v>
      </c>
      <c r="E439" s="2" t="s">
        <v>1335</v>
      </c>
      <c r="F439" s="2" t="s">
        <v>1336</v>
      </c>
      <c r="G439" s="2" t="s">
        <v>1337</v>
      </c>
      <c r="H439" s="2" t="s">
        <v>1338</v>
      </c>
      <c r="I439" s="2" t="s">
        <v>1339</v>
      </c>
      <c r="J439" s="2" t="s">
        <v>1340</v>
      </c>
      <c r="K439" s="2">
        <v>3</v>
      </c>
      <c r="L439" s="2">
        <v>112</v>
      </c>
      <c r="M439" s="3">
        <v>94</v>
      </c>
    </row>
    <row r="440" spans="1:13" x14ac:dyDescent="0.2">
      <c r="A440" s="1" t="s">
        <v>1341</v>
      </c>
      <c r="B440" s="1" t="s">
        <v>23</v>
      </c>
      <c r="C440" s="1" t="s">
        <v>15</v>
      </c>
      <c r="D440" s="2" t="s">
        <v>55</v>
      </c>
      <c r="E440" s="2" t="s">
        <v>92</v>
      </c>
      <c r="F440" s="2" t="s">
        <v>1342</v>
      </c>
      <c r="G440" s="2" t="s">
        <v>1343</v>
      </c>
      <c r="H440" s="2" t="s">
        <v>1344</v>
      </c>
      <c r="I440" s="2" t="s">
        <v>1345</v>
      </c>
      <c r="J440" s="2" t="s">
        <v>1340</v>
      </c>
      <c r="K440" s="2">
        <v>1</v>
      </c>
      <c r="L440" s="2">
        <v>205</v>
      </c>
      <c r="M440" s="3">
        <v>247</v>
      </c>
    </row>
    <row r="441" spans="1:13" x14ac:dyDescent="0.2">
      <c r="A441" s="1" t="s">
        <v>300</v>
      </c>
      <c r="B441" s="1" t="s">
        <v>23</v>
      </c>
      <c r="C441" s="1" t="s">
        <v>15</v>
      </c>
      <c r="D441" s="2" t="s">
        <v>16</v>
      </c>
      <c r="E441" s="2" t="s">
        <v>224</v>
      </c>
      <c r="F441" s="2" t="s">
        <v>301</v>
      </c>
      <c r="G441" s="2" t="s">
        <v>302</v>
      </c>
      <c r="H441" s="2" t="s">
        <v>303</v>
      </c>
      <c r="I441" s="2" t="s">
        <v>304</v>
      </c>
      <c r="J441" s="2" t="s">
        <v>1340</v>
      </c>
      <c r="K441" s="2">
        <v>1</v>
      </c>
      <c r="L441" s="2">
        <v>19</v>
      </c>
      <c r="M441" s="3">
        <v>0</v>
      </c>
    </row>
    <row r="442" spans="1:13" x14ac:dyDescent="0.2">
      <c r="A442" s="1" t="s">
        <v>1090</v>
      </c>
      <c r="B442" s="1" t="s">
        <v>240</v>
      </c>
      <c r="C442" s="1" t="s">
        <v>15</v>
      </c>
      <c r="D442" s="2" t="s">
        <v>16</v>
      </c>
      <c r="E442" s="2" t="s">
        <v>17</v>
      </c>
      <c r="F442" s="2" t="s">
        <v>1091</v>
      </c>
      <c r="G442" s="2" t="s">
        <v>1092</v>
      </c>
      <c r="H442" s="2" t="s">
        <v>1093</v>
      </c>
      <c r="I442" s="2" t="s">
        <v>1094</v>
      </c>
      <c r="J442" s="2" t="s">
        <v>1340</v>
      </c>
      <c r="K442" s="2">
        <v>2</v>
      </c>
      <c r="L442" s="2">
        <v>292</v>
      </c>
      <c r="M442" s="3">
        <v>524</v>
      </c>
    </row>
    <row r="443" spans="1:13" x14ac:dyDescent="0.2">
      <c r="A443" s="1" t="s">
        <v>894</v>
      </c>
      <c r="B443" s="1" t="s">
        <v>240</v>
      </c>
      <c r="C443" s="1" t="s">
        <v>15</v>
      </c>
      <c r="D443" s="2" t="s">
        <v>55</v>
      </c>
      <c r="E443" s="2" t="s">
        <v>92</v>
      </c>
      <c r="F443" s="2" t="s">
        <v>895</v>
      </c>
      <c r="G443" s="2" t="s">
        <v>896</v>
      </c>
      <c r="H443" s="2">
        <v>9688524038</v>
      </c>
      <c r="I443" s="2" t="s">
        <v>897</v>
      </c>
      <c r="J443" s="2" t="s">
        <v>1340</v>
      </c>
      <c r="K443" s="2">
        <v>2</v>
      </c>
      <c r="L443" s="2">
        <v>161</v>
      </c>
      <c r="M443" s="3">
        <v>197</v>
      </c>
    </row>
    <row r="444" spans="1:13" x14ac:dyDescent="0.2">
      <c r="A444" s="1" t="s">
        <v>1346</v>
      </c>
      <c r="B444" s="1" t="s">
        <v>729</v>
      </c>
      <c r="C444" s="1" t="s">
        <v>15</v>
      </c>
      <c r="D444" s="2" t="s">
        <v>44</v>
      </c>
      <c r="E444" s="2" t="s">
        <v>44</v>
      </c>
      <c r="F444" s="2" t="s">
        <v>1347</v>
      </c>
      <c r="G444" s="2" t="s">
        <v>1348</v>
      </c>
      <c r="H444" s="2" t="s">
        <v>1349</v>
      </c>
      <c r="I444" s="2" t="s">
        <v>1350</v>
      </c>
      <c r="J444" s="2" t="s">
        <v>1340</v>
      </c>
      <c r="K444" s="2">
        <v>1</v>
      </c>
      <c r="L444" s="2">
        <v>25</v>
      </c>
      <c r="M444" s="3">
        <v>25</v>
      </c>
    </row>
    <row r="445" spans="1:13" x14ac:dyDescent="0.2">
      <c r="A445" s="1" t="s">
        <v>239</v>
      </c>
      <c r="B445" s="1" t="s">
        <v>240</v>
      </c>
      <c r="C445" s="1" t="s">
        <v>15</v>
      </c>
      <c r="D445" s="2" t="s">
        <v>44</v>
      </c>
      <c r="E445" s="2" t="s">
        <v>44</v>
      </c>
      <c r="F445" s="2" t="s">
        <v>241</v>
      </c>
      <c r="G445" s="2" t="s">
        <v>242</v>
      </c>
      <c r="H445" s="2" t="s">
        <v>243</v>
      </c>
      <c r="I445" s="2" t="s">
        <v>244</v>
      </c>
      <c r="J445" s="2" t="s">
        <v>1340</v>
      </c>
      <c r="K445" s="2">
        <v>4</v>
      </c>
      <c r="L445" s="2">
        <v>608</v>
      </c>
      <c r="M445" s="3">
        <v>645</v>
      </c>
    </row>
    <row r="446" spans="1:13" x14ac:dyDescent="0.2">
      <c r="A446" s="1" t="s">
        <v>1351</v>
      </c>
      <c r="B446" s="1" t="s">
        <v>23</v>
      </c>
      <c r="C446" s="1" t="s">
        <v>15</v>
      </c>
      <c r="D446" s="2" t="s">
        <v>16</v>
      </c>
      <c r="E446" s="2" t="s">
        <v>108</v>
      </c>
      <c r="F446" s="2" t="s">
        <v>1352</v>
      </c>
      <c r="G446" s="2" t="s">
        <v>1353</v>
      </c>
      <c r="H446" s="2">
        <v>9692435190</v>
      </c>
      <c r="I446" s="2" t="s">
        <v>1354</v>
      </c>
      <c r="J446" s="2" t="s">
        <v>1340</v>
      </c>
      <c r="K446" s="2">
        <v>2</v>
      </c>
      <c r="L446" s="2">
        <v>133</v>
      </c>
      <c r="M446" s="3">
        <v>128</v>
      </c>
    </row>
    <row r="447" spans="1:13" x14ac:dyDescent="0.2">
      <c r="A447" s="1" t="s">
        <v>1355</v>
      </c>
      <c r="B447" s="1" t="s">
        <v>23</v>
      </c>
      <c r="C447" s="1" t="s">
        <v>15</v>
      </c>
      <c r="D447" s="2" t="s">
        <v>36</v>
      </c>
      <c r="E447" s="2" t="s">
        <v>207</v>
      </c>
      <c r="F447" s="2" t="s">
        <v>1356</v>
      </c>
      <c r="G447" s="2" t="s">
        <v>1357</v>
      </c>
      <c r="H447" s="2" t="s">
        <v>1358</v>
      </c>
      <c r="I447" s="2" t="s">
        <v>1359</v>
      </c>
      <c r="J447" s="2" t="s">
        <v>1340</v>
      </c>
      <c r="K447" s="2">
        <v>2</v>
      </c>
      <c r="L447" s="2">
        <v>70</v>
      </c>
      <c r="M447" s="3">
        <v>68</v>
      </c>
    </row>
    <row r="448" spans="1:13" x14ac:dyDescent="0.2">
      <c r="A448" s="1" t="s">
        <v>1360</v>
      </c>
      <c r="B448" s="1" t="s">
        <v>23</v>
      </c>
      <c r="C448" s="1" t="s">
        <v>15</v>
      </c>
      <c r="D448" s="2" t="s">
        <v>36</v>
      </c>
      <c r="E448" s="2" t="s">
        <v>207</v>
      </c>
      <c r="F448" s="2" t="s">
        <v>1361</v>
      </c>
      <c r="G448" s="2" t="s">
        <v>1362</v>
      </c>
      <c r="H448" s="2" t="s">
        <v>1363</v>
      </c>
      <c r="I448" s="2" t="s">
        <v>1364</v>
      </c>
      <c r="J448" s="2" t="s">
        <v>1340</v>
      </c>
      <c r="K448" s="2">
        <v>3</v>
      </c>
      <c r="L448" s="2">
        <v>768</v>
      </c>
      <c r="M448" s="3">
        <v>811</v>
      </c>
    </row>
    <row r="449" spans="1:13" x14ac:dyDescent="0.2">
      <c r="A449" s="1" t="s">
        <v>54</v>
      </c>
      <c r="B449" s="1" t="s">
        <v>23</v>
      </c>
      <c r="C449" s="1" t="s">
        <v>15</v>
      </c>
      <c r="D449" s="2" t="s">
        <v>55</v>
      </c>
      <c r="E449" s="2" t="s">
        <v>56</v>
      </c>
      <c r="F449" s="2" t="s">
        <v>57</v>
      </c>
      <c r="G449" s="2" t="s">
        <v>58</v>
      </c>
      <c r="H449" s="2" t="s">
        <v>59</v>
      </c>
      <c r="I449" s="2" t="s">
        <v>60</v>
      </c>
      <c r="J449" s="2" t="s">
        <v>1340</v>
      </c>
      <c r="K449" s="2">
        <v>2</v>
      </c>
      <c r="L449" s="2">
        <v>230</v>
      </c>
      <c r="M449" s="3">
        <v>201</v>
      </c>
    </row>
    <row r="450" spans="1:13" x14ac:dyDescent="0.2">
      <c r="A450" s="1" t="s">
        <v>1365</v>
      </c>
      <c r="B450" s="1" t="s">
        <v>240</v>
      </c>
      <c r="C450" s="1" t="s">
        <v>15</v>
      </c>
      <c r="D450" s="2" t="s">
        <v>72</v>
      </c>
      <c r="E450" s="2" t="s">
        <v>73</v>
      </c>
      <c r="F450" s="2" t="s">
        <v>1366</v>
      </c>
      <c r="G450" s="2" t="s">
        <v>1367</v>
      </c>
      <c r="H450" s="2" t="s">
        <v>1368</v>
      </c>
      <c r="I450" s="2" t="s">
        <v>1369</v>
      </c>
      <c r="J450" s="2" t="s">
        <v>1340</v>
      </c>
      <c r="K450" s="2">
        <v>2</v>
      </c>
      <c r="L450" s="2">
        <v>389</v>
      </c>
      <c r="M450" s="3">
        <v>420</v>
      </c>
    </row>
    <row r="451" spans="1:13" x14ac:dyDescent="0.2">
      <c r="A451" s="1" t="s">
        <v>61</v>
      </c>
      <c r="B451" s="1" t="s">
        <v>14</v>
      </c>
      <c r="C451" s="1" t="s">
        <v>15</v>
      </c>
      <c r="D451" s="2" t="s">
        <v>16</v>
      </c>
      <c r="E451" s="2" t="s">
        <v>17</v>
      </c>
      <c r="F451" s="2" t="s">
        <v>62</v>
      </c>
      <c r="G451" s="2" t="s">
        <v>63</v>
      </c>
      <c r="H451" s="2">
        <v>8172650</v>
      </c>
      <c r="I451" s="2" t="s">
        <v>64</v>
      </c>
      <c r="J451" s="2" t="s">
        <v>1340</v>
      </c>
      <c r="K451" s="2">
        <v>1</v>
      </c>
      <c r="L451" s="2">
        <v>248</v>
      </c>
      <c r="M451" s="3">
        <v>241</v>
      </c>
    </row>
    <row r="452" spans="1:13" x14ac:dyDescent="0.2">
      <c r="A452" s="1" t="s">
        <v>1070</v>
      </c>
      <c r="B452" s="1" t="s">
        <v>240</v>
      </c>
      <c r="C452" s="1" t="s">
        <v>15</v>
      </c>
      <c r="D452" s="2" t="s">
        <v>36</v>
      </c>
      <c r="E452" s="2" t="s">
        <v>145</v>
      </c>
      <c r="F452" s="2" t="s">
        <v>1071</v>
      </c>
      <c r="G452" s="2" t="s">
        <v>1072</v>
      </c>
      <c r="H452" s="2" t="s">
        <v>1073</v>
      </c>
      <c r="I452" s="2" t="s">
        <v>1074</v>
      </c>
      <c r="J452" s="2" t="s">
        <v>1340</v>
      </c>
      <c r="K452" s="2">
        <v>1</v>
      </c>
      <c r="L452" s="2">
        <v>191</v>
      </c>
      <c r="M452" s="3">
        <v>256</v>
      </c>
    </row>
    <row r="453" spans="1:13" x14ac:dyDescent="0.2">
      <c r="A453" s="1" t="s">
        <v>1324</v>
      </c>
      <c r="B453" s="1" t="s">
        <v>23</v>
      </c>
      <c r="C453" s="1" t="s">
        <v>15</v>
      </c>
      <c r="D453" s="2" t="s">
        <v>24</v>
      </c>
      <c r="E453" s="2" t="s">
        <v>182</v>
      </c>
      <c r="F453" s="2" t="s">
        <v>1325</v>
      </c>
      <c r="G453" s="2" t="s">
        <v>1326</v>
      </c>
      <c r="H453" s="2" t="s">
        <v>1327</v>
      </c>
      <c r="I453" s="2" t="s">
        <v>1328</v>
      </c>
      <c r="J453" s="2" t="s">
        <v>1340</v>
      </c>
      <c r="K453" s="2">
        <v>5</v>
      </c>
      <c r="L453" s="2">
        <v>178</v>
      </c>
      <c r="M453" s="3">
        <v>115</v>
      </c>
    </row>
    <row r="454" spans="1:13" x14ac:dyDescent="0.2">
      <c r="A454" s="1" t="s">
        <v>1329</v>
      </c>
      <c r="B454" s="1" t="s">
        <v>23</v>
      </c>
      <c r="C454" s="1" t="s">
        <v>15</v>
      </c>
      <c r="D454" s="2" t="s">
        <v>16</v>
      </c>
      <c r="E454" s="2" t="s">
        <v>108</v>
      </c>
      <c r="F454" s="2" t="s">
        <v>1330</v>
      </c>
      <c r="G454" s="2" t="s">
        <v>1331</v>
      </c>
      <c r="H454" s="2" t="s">
        <v>1332</v>
      </c>
      <c r="I454" s="2" t="s">
        <v>1333</v>
      </c>
      <c r="J454" s="2" t="s">
        <v>1340</v>
      </c>
      <c r="K454" s="2">
        <v>5</v>
      </c>
      <c r="L454" s="2">
        <v>470</v>
      </c>
      <c r="M454" s="3">
        <v>398</v>
      </c>
    </row>
    <row r="455" spans="1:13" x14ac:dyDescent="0.2">
      <c r="A455" s="1" t="s">
        <v>920</v>
      </c>
      <c r="B455" s="1" t="s">
        <v>23</v>
      </c>
      <c r="C455" s="1" t="s">
        <v>15</v>
      </c>
      <c r="D455" s="2" t="s">
        <v>16</v>
      </c>
      <c r="E455" s="2" t="s">
        <v>17</v>
      </c>
      <c r="F455" s="2" t="s">
        <v>921</v>
      </c>
      <c r="G455" s="2" t="s">
        <v>922</v>
      </c>
      <c r="H455" s="2" t="s">
        <v>923</v>
      </c>
      <c r="I455" s="2" t="s">
        <v>924</v>
      </c>
      <c r="J455" s="2" t="s">
        <v>1370</v>
      </c>
      <c r="K455" s="2">
        <v>2</v>
      </c>
      <c r="L455" s="2">
        <v>75</v>
      </c>
      <c r="M455" s="3">
        <v>118</v>
      </c>
    </row>
    <row r="456" spans="1:13" x14ac:dyDescent="0.2">
      <c r="A456" s="1" t="s">
        <v>1371</v>
      </c>
      <c r="B456" s="1" t="s">
        <v>23</v>
      </c>
      <c r="C456" s="1" t="s">
        <v>15</v>
      </c>
      <c r="D456" s="2" t="s">
        <v>16</v>
      </c>
      <c r="E456" s="2" t="s">
        <v>108</v>
      </c>
      <c r="F456" s="2" t="s">
        <v>1372</v>
      </c>
      <c r="G456" s="2" t="s">
        <v>1373</v>
      </c>
      <c r="H456" s="2" t="s">
        <v>1374</v>
      </c>
      <c r="I456" s="2" t="s">
        <v>1375</v>
      </c>
      <c r="J456" s="2" t="s">
        <v>1370</v>
      </c>
      <c r="K456" s="2">
        <v>1</v>
      </c>
      <c r="L456" s="2">
        <v>1</v>
      </c>
      <c r="M456" s="3">
        <v>1</v>
      </c>
    </row>
    <row r="457" spans="1:13" x14ac:dyDescent="0.2">
      <c r="A457" s="1" t="s">
        <v>583</v>
      </c>
      <c r="B457" s="1" t="s">
        <v>23</v>
      </c>
      <c r="C457" s="1" t="s">
        <v>15</v>
      </c>
      <c r="D457" s="2" t="s">
        <v>16</v>
      </c>
      <c r="E457" s="2" t="s">
        <v>456</v>
      </c>
      <c r="F457" s="2" t="s">
        <v>584</v>
      </c>
      <c r="G457" s="2" t="s">
        <v>585</v>
      </c>
      <c r="H457" s="2" t="s">
        <v>586</v>
      </c>
      <c r="I457" s="2" t="s">
        <v>587</v>
      </c>
      <c r="J457" s="2" t="s">
        <v>1370</v>
      </c>
      <c r="K457" s="2">
        <v>0</v>
      </c>
      <c r="L457" s="2">
        <v>0</v>
      </c>
      <c r="M457" s="3">
        <v>45</v>
      </c>
    </row>
    <row r="458" spans="1:13" x14ac:dyDescent="0.2">
      <c r="A458" s="1" t="s">
        <v>1376</v>
      </c>
      <c r="B458" s="1" t="s">
        <v>23</v>
      </c>
      <c r="C458" s="1" t="s">
        <v>15</v>
      </c>
      <c r="D458" s="2" t="s">
        <v>72</v>
      </c>
      <c r="E458" s="2" t="s">
        <v>213</v>
      </c>
      <c r="F458" s="2" t="s">
        <v>1377</v>
      </c>
      <c r="G458" s="2" t="s">
        <v>1378</v>
      </c>
      <c r="H458" s="2" t="s">
        <v>1379</v>
      </c>
      <c r="I458" s="2" t="s">
        <v>1380</v>
      </c>
      <c r="J458" s="2" t="s">
        <v>1370</v>
      </c>
      <c r="K458" s="2">
        <v>1</v>
      </c>
      <c r="L458" s="2">
        <v>43</v>
      </c>
      <c r="M458" s="3">
        <v>43</v>
      </c>
    </row>
    <row r="459" spans="1:13" x14ac:dyDescent="0.2">
      <c r="A459" s="1" t="s">
        <v>22</v>
      </c>
      <c r="B459" s="1" t="s">
        <v>23</v>
      </c>
      <c r="C459" s="1" t="s">
        <v>15</v>
      </c>
      <c r="D459" s="2" t="s">
        <v>24</v>
      </c>
      <c r="E459" s="2" t="s">
        <v>25</v>
      </c>
      <c r="F459" s="2" t="s">
        <v>26</v>
      </c>
      <c r="G459" s="2" t="s">
        <v>27</v>
      </c>
      <c r="H459" s="2" t="s">
        <v>28</v>
      </c>
      <c r="I459" s="2"/>
      <c r="J459" s="2" t="s">
        <v>1370</v>
      </c>
      <c r="K459" s="2">
        <v>1</v>
      </c>
      <c r="L459" s="2">
        <v>38</v>
      </c>
      <c r="M459" s="3">
        <v>75</v>
      </c>
    </row>
    <row r="460" spans="1:13" x14ac:dyDescent="0.2">
      <c r="A460" s="1" t="s">
        <v>1381</v>
      </c>
      <c r="B460" s="1" t="s">
        <v>23</v>
      </c>
      <c r="C460" s="1" t="s">
        <v>15</v>
      </c>
      <c r="D460" s="2" t="s">
        <v>36</v>
      </c>
      <c r="E460" s="2" t="s">
        <v>37</v>
      </c>
      <c r="F460" s="2" t="s">
        <v>1382</v>
      </c>
      <c r="G460" s="2" t="s">
        <v>1383</v>
      </c>
      <c r="H460" s="2" t="s">
        <v>1384</v>
      </c>
      <c r="I460" s="2" t="s">
        <v>1385</v>
      </c>
      <c r="J460" s="2" t="s">
        <v>1370</v>
      </c>
      <c r="K460" s="2">
        <v>1</v>
      </c>
      <c r="L460" s="2">
        <v>45</v>
      </c>
      <c r="M460" s="3">
        <v>36</v>
      </c>
    </row>
    <row r="461" spans="1:13" x14ac:dyDescent="0.2">
      <c r="A461" s="1" t="s">
        <v>1386</v>
      </c>
      <c r="B461" s="1" t="s">
        <v>23</v>
      </c>
      <c r="C461" s="1" t="s">
        <v>15</v>
      </c>
      <c r="D461" s="2" t="s">
        <v>36</v>
      </c>
      <c r="E461" s="2" t="s">
        <v>37</v>
      </c>
      <c r="F461" s="2" t="s">
        <v>1387</v>
      </c>
      <c r="G461" s="2" t="s">
        <v>1388</v>
      </c>
      <c r="H461" s="2" t="s">
        <v>1389</v>
      </c>
      <c r="I461" s="2" t="s">
        <v>1390</v>
      </c>
      <c r="J461" s="2" t="s">
        <v>1370</v>
      </c>
      <c r="K461" s="2">
        <v>1</v>
      </c>
      <c r="L461" s="2">
        <v>43</v>
      </c>
      <c r="M461" s="3">
        <v>38</v>
      </c>
    </row>
    <row r="462" spans="1:13" x14ac:dyDescent="0.2">
      <c r="A462" s="1" t="s">
        <v>374</v>
      </c>
      <c r="B462" s="1" t="s">
        <v>23</v>
      </c>
      <c r="C462" s="1" t="s">
        <v>15</v>
      </c>
      <c r="D462" s="2" t="s">
        <v>36</v>
      </c>
      <c r="E462" s="2" t="s">
        <v>207</v>
      </c>
      <c r="F462" s="2" t="s">
        <v>375</v>
      </c>
      <c r="G462" s="2" t="s">
        <v>376</v>
      </c>
      <c r="H462" s="2" t="s">
        <v>377</v>
      </c>
      <c r="I462" s="2" t="s">
        <v>378</v>
      </c>
      <c r="J462" s="2" t="s">
        <v>1370</v>
      </c>
      <c r="K462" s="2">
        <v>1</v>
      </c>
      <c r="L462" s="2">
        <v>110</v>
      </c>
      <c r="M462" s="3">
        <v>106</v>
      </c>
    </row>
    <row r="463" spans="1:13" x14ac:dyDescent="0.2">
      <c r="A463" s="1" t="s">
        <v>1391</v>
      </c>
      <c r="B463" s="1" t="s">
        <v>23</v>
      </c>
      <c r="C463" s="1" t="s">
        <v>15</v>
      </c>
      <c r="D463" s="2" t="s">
        <v>16</v>
      </c>
      <c r="E463" s="2" t="s">
        <v>224</v>
      </c>
      <c r="F463" s="2" t="s">
        <v>1392</v>
      </c>
      <c r="G463" s="2" t="s">
        <v>278</v>
      </c>
      <c r="H463" s="2" t="s">
        <v>1393</v>
      </c>
      <c r="I463" s="2" t="s">
        <v>280</v>
      </c>
      <c r="J463" s="2" t="s">
        <v>1370</v>
      </c>
      <c r="K463" s="2">
        <v>2</v>
      </c>
      <c r="L463" s="2">
        <v>43</v>
      </c>
      <c r="M463" s="3">
        <v>80</v>
      </c>
    </row>
    <row r="464" spans="1:13" x14ac:dyDescent="0.2">
      <c r="A464" s="1" t="s">
        <v>1394</v>
      </c>
      <c r="B464" s="1" t="s">
        <v>23</v>
      </c>
      <c r="C464" s="1" t="s">
        <v>15</v>
      </c>
      <c r="D464" s="2" t="s">
        <v>16</v>
      </c>
      <c r="E464" s="2" t="s">
        <v>108</v>
      </c>
      <c r="F464" s="2" t="s">
        <v>1395</v>
      </c>
      <c r="G464" s="2" t="s">
        <v>1396</v>
      </c>
      <c r="H464" s="2" t="s">
        <v>1397</v>
      </c>
      <c r="I464" s="2" t="s">
        <v>1398</v>
      </c>
      <c r="J464" s="2" t="s">
        <v>1370</v>
      </c>
      <c r="K464" s="2">
        <v>1</v>
      </c>
      <c r="L464" s="2">
        <v>1</v>
      </c>
      <c r="M464" s="3">
        <v>1</v>
      </c>
    </row>
    <row r="465" spans="1:13" x14ac:dyDescent="0.2">
      <c r="A465" s="1" t="s">
        <v>1399</v>
      </c>
      <c r="B465" s="1" t="s">
        <v>23</v>
      </c>
      <c r="C465" s="1" t="s">
        <v>15</v>
      </c>
      <c r="D465" s="2" t="s">
        <v>16</v>
      </c>
      <c r="E465" s="2" t="s">
        <v>17</v>
      </c>
      <c r="F465" s="2" t="s">
        <v>1400</v>
      </c>
      <c r="G465" s="2" t="s">
        <v>1401</v>
      </c>
      <c r="H465" s="2" t="s">
        <v>1402</v>
      </c>
      <c r="I465" s="2" t="s">
        <v>1403</v>
      </c>
      <c r="J465" s="2" t="s">
        <v>1370</v>
      </c>
      <c r="K465" s="2">
        <v>1</v>
      </c>
      <c r="L465" s="2">
        <v>82</v>
      </c>
      <c r="M465" s="3">
        <v>78</v>
      </c>
    </row>
    <row r="466" spans="1:13" x14ac:dyDescent="0.2">
      <c r="A466" s="1" t="s">
        <v>1404</v>
      </c>
      <c r="B466" s="1" t="s">
        <v>23</v>
      </c>
      <c r="C466" s="1" t="s">
        <v>15</v>
      </c>
      <c r="D466" s="2" t="s">
        <v>44</v>
      </c>
      <c r="E466" s="2" t="s">
        <v>44</v>
      </c>
      <c r="F466" s="2" t="s">
        <v>1405</v>
      </c>
      <c r="G466" s="2" t="s">
        <v>1406</v>
      </c>
      <c r="H466" s="2" t="s">
        <v>1407</v>
      </c>
      <c r="I466" s="2" t="s">
        <v>1408</v>
      </c>
      <c r="J466" s="2" t="s">
        <v>1370</v>
      </c>
      <c r="K466" s="2">
        <v>2</v>
      </c>
      <c r="L466" s="2">
        <v>231</v>
      </c>
      <c r="M466" s="3">
        <v>237</v>
      </c>
    </row>
    <row r="467" spans="1:13" x14ac:dyDescent="0.2">
      <c r="A467" s="1" t="s">
        <v>1409</v>
      </c>
      <c r="B467" s="1" t="s">
        <v>23</v>
      </c>
      <c r="C467" s="1" t="s">
        <v>15</v>
      </c>
      <c r="D467" s="2" t="s">
        <v>44</v>
      </c>
      <c r="E467" s="2" t="s">
        <v>44</v>
      </c>
      <c r="F467" s="2" t="s">
        <v>1410</v>
      </c>
      <c r="G467" s="2" t="s">
        <v>1411</v>
      </c>
      <c r="H467" s="2" t="s">
        <v>1412</v>
      </c>
      <c r="I467" s="2" t="s">
        <v>1413</v>
      </c>
      <c r="J467" s="2" t="s">
        <v>1370</v>
      </c>
      <c r="K467" s="2">
        <v>1</v>
      </c>
      <c r="L467" s="2">
        <v>26</v>
      </c>
      <c r="M467" s="3">
        <v>23</v>
      </c>
    </row>
    <row r="468" spans="1:13" x14ac:dyDescent="0.2">
      <c r="A468" s="1" t="s">
        <v>1090</v>
      </c>
      <c r="B468" s="1" t="s">
        <v>240</v>
      </c>
      <c r="C468" s="1" t="s">
        <v>15</v>
      </c>
      <c r="D468" s="2" t="s">
        <v>16</v>
      </c>
      <c r="E468" s="2" t="s">
        <v>17</v>
      </c>
      <c r="F468" s="2" t="s">
        <v>1091</v>
      </c>
      <c r="G468" s="2" t="s">
        <v>1092</v>
      </c>
      <c r="H468" s="2" t="s">
        <v>1093</v>
      </c>
      <c r="I468" s="2" t="s">
        <v>1094</v>
      </c>
      <c r="J468" s="2" t="s">
        <v>1370</v>
      </c>
      <c r="K468" s="2">
        <v>1</v>
      </c>
      <c r="L468" s="2">
        <v>146</v>
      </c>
      <c r="M468" s="3">
        <v>213</v>
      </c>
    </row>
    <row r="469" spans="1:13" x14ac:dyDescent="0.2">
      <c r="A469" s="1" t="s">
        <v>415</v>
      </c>
      <c r="B469" s="1" t="s">
        <v>23</v>
      </c>
      <c r="C469" s="1" t="s">
        <v>15</v>
      </c>
      <c r="D469" s="2" t="s">
        <v>36</v>
      </c>
      <c r="E469" s="2" t="s">
        <v>37</v>
      </c>
      <c r="F469" s="2" t="s">
        <v>416</v>
      </c>
      <c r="G469" s="2" t="s">
        <v>417</v>
      </c>
      <c r="H469" s="2" t="s">
        <v>418</v>
      </c>
      <c r="I469" s="2" t="s">
        <v>419</v>
      </c>
      <c r="J469" s="2" t="s">
        <v>1370</v>
      </c>
      <c r="K469" s="2">
        <v>1</v>
      </c>
      <c r="L469" s="2">
        <v>357</v>
      </c>
      <c r="M469" s="3">
        <v>322</v>
      </c>
    </row>
    <row r="470" spans="1:13" x14ac:dyDescent="0.2">
      <c r="A470" s="1" t="s">
        <v>239</v>
      </c>
      <c r="B470" s="1" t="s">
        <v>240</v>
      </c>
      <c r="C470" s="1" t="s">
        <v>15</v>
      </c>
      <c r="D470" s="2" t="s">
        <v>44</v>
      </c>
      <c r="E470" s="2" t="s">
        <v>44</v>
      </c>
      <c r="F470" s="2" t="s">
        <v>241</v>
      </c>
      <c r="G470" s="2" t="s">
        <v>242</v>
      </c>
      <c r="H470" s="2" t="s">
        <v>243</v>
      </c>
      <c r="I470" s="2" t="s">
        <v>244</v>
      </c>
      <c r="J470" s="2" t="s">
        <v>1370</v>
      </c>
      <c r="K470" s="2">
        <v>1</v>
      </c>
      <c r="L470" s="2">
        <v>49</v>
      </c>
      <c r="M470" s="3">
        <v>48</v>
      </c>
    </row>
    <row r="471" spans="1:13" x14ac:dyDescent="0.2">
      <c r="A471" s="1" t="s">
        <v>1414</v>
      </c>
      <c r="B471" s="1" t="s">
        <v>23</v>
      </c>
      <c r="C471" s="1" t="s">
        <v>15</v>
      </c>
      <c r="D471" s="2" t="s">
        <v>24</v>
      </c>
      <c r="E471" s="2" t="s">
        <v>80</v>
      </c>
      <c r="F471" s="2" t="s">
        <v>1415</v>
      </c>
      <c r="G471" s="2" t="s">
        <v>1416</v>
      </c>
      <c r="H471" s="2" t="s">
        <v>1417</v>
      </c>
      <c r="I471" s="2" t="s">
        <v>1418</v>
      </c>
      <c r="J471" s="2" t="s">
        <v>1370</v>
      </c>
      <c r="K471" s="2">
        <v>2</v>
      </c>
      <c r="L471" s="2">
        <v>103</v>
      </c>
      <c r="M471" s="3">
        <v>90</v>
      </c>
    </row>
    <row r="472" spans="1:13" x14ac:dyDescent="0.2">
      <c r="A472" s="1" t="s">
        <v>175</v>
      </c>
      <c r="B472" s="1" t="s">
        <v>23</v>
      </c>
      <c r="C472" s="1" t="s">
        <v>15</v>
      </c>
      <c r="D472" s="2" t="s">
        <v>36</v>
      </c>
      <c r="E472" s="2" t="s">
        <v>176</v>
      </c>
      <c r="F472" s="2" t="s">
        <v>177</v>
      </c>
      <c r="G472" s="2" t="s">
        <v>178</v>
      </c>
      <c r="H472" s="2" t="s">
        <v>179</v>
      </c>
      <c r="I472" s="2" t="s">
        <v>180</v>
      </c>
      <c r="J472" s="2" t="s">
        <v>1370</v>
      </c>
      <c r="K472" s="2">
        <v>2</v>
      </c>
      <c r="L472" s="2">
        <v>43</v>
      </c>
      <c r="M472" s="3">
        <v>125</v>
      </c>
    </row>
    <row r="473" spans="1:13" x14ac:dyDescent="0.2">
      <c r="A473" s="1" t="s">
        <v>1060</v>
      </c>
      <c r="B473" s="1" t="s">
        <v>23</v>
      </c>
      <c r="C473" s="1" t="s">
        <v>15</v>
      </c>
      <c r="D473" s="2" t="s">
        <v>36</v>
      </c>
      <c r="E473" s="2" t="s">
        <v>37</v>
      </c>
      <c r="F473" s="2" t="s">
        <v>1061</v>
      </c>
      <c r="G473" s="2" t="s">
        <v>1062</v>
      </c>
      <c r="H473" s="2" t="s">
        <v>1063</v>
      </c>
      <c r="I473" s="2" t="s">
        <v>1064</v>
      </c>
      <c r="J473" s="2" t="s">
        <v>1370</v>
      </c>
      <c r="K473" s="2">
        <v>1</v>
      </c>
      <c r="L473" s="2">
        <v>42</v>
      </c>
      <c r="M473" s="3">
        <v>42</v>
      </c>
    </row>
    <row r="474" spans="1:13" x14ac:dyDescent="0.2">
      <c r="A474" s="1" t="s">
        <v>1060</v>
      </c>
      <c r="B474" s="1" t="s">
        <v>23</v>
      </c>
      <c r="C474" s="1" t="s">
        <v>15</v>
      </c>
      <c r="D474" s="2" t="s">
        <v>44</v>
      </c>
      <c r="E474" s="2" t="s">
        <v>44</v>
      </c>
      <c r="F474" s="2" t="s">
        <v>1419</v>
      </c>
      <c r="G474" s="2" t="s">
        <v>1062</v>
      </c>
      <c r="H474" s="2" t="s">
        <v>1420</v>
      </c>
      <c r="I474" s="2" t="s">
        <v>1064</v>
      </c>
      <c r="J474" s="2" t="s">
        <v>1370</v>
      </c>
      <c r="K474" s="2">
        <v>1</v>
      </c>
      <c r="L474" s="2">
        <v>57</v>
      </c>
      <c r="M474" s="3">
        <v>49</v>
      </c>
    </row>
    <row r="475" spans="1:13" x14ac:dyDescent="0.2">
      <c r="A475" s="1" t="s">
        <v>187</v>
      </c>
      <c r="B475" s="1" t="s">
        <v>66</v>
      </c>
      <c r="C475" s="1" t="s">
        <v>15</v>
      </c>
      <c r="D475" s="2" t="s">
        <v>16</v>
      </c>
      <c r="E475" s="2" t="s">
        <v>17</v>
      </c>
      <c r="F475" s="2" t="s">
        <v>188</v>
      </c>
      <c r="G475" s="2" t="s">
        <v>189</v>
      </c>
      <c r="H475" s="2">
        <v>9297015428</v>
      </c>
      <c r="I475" s="2" t="s">
        <v>190</v>
      </c>
      <c r="J475" s="2" t="s">
        <v>1370</v>
      </c>
      <c r="K475" s="2">
        <v>2</v>
      </c>
      <c r="L475" s="2">
        <v>131</v>
      </c>
      <c r="M475" s="3">
        <v>194</v>
      </c>
    </row>
    <row r="476" spans="1:13" x14ac:dyDescent="0.2">
      <c r="A476" s="1" t="s">
        <v>61</v>
      </c>
      <c r="B476" s="1" t="s">
        <v>14</v>
      </c>
      <c r="C476" s="1" t="s">
        <v>15</v>
      </c>
      <c r="D476" s="2" t="s">
        <v>16</v>
      </c>
      <c r="E476" s="2" t="s">
        <v>17</v>
      </c>
      <c r="F476" s="2" t="s">
        <v>62</v>
      </c>
      <c r="G476" s="2" t="s">
        <v>63</v>
      </c>
      <c r="H476" s="2">
        <v>8172650</v>
      </c>
      <c r="I476" s="2" t="s">
        <v>64</v>
      </c>
      <c r="J476" s="2" t="s">
        <v>1370</v>
      </c>
      <c r="K476" s="2">
        <v>1</v>
      </c>
      <c r="L476" s="2">
        <v>106</v>
      </c>
      <c r="M476" s="3">
        <v>148</v>
      </c>
    </row>
    <row r="477" spans="1:13" x14ac:dyDescent="0.2">
      <c r="A477" s="1" t="s">
        <v>65</v>
      </c>
      <c r="B477" s="1" t="s">
        <v>66</v>
      </c>
      <c r="C477" s="1" t="s">
        <v>15</v>
      </c>
      <c r="D477" s="2" t="s">
        <v>36</v>
      </c>
      <c r="E477" s="2" t="s">
        <v>37</v>
      </c>
      <c r="F477" s="2" t="s">
        <v>67</v>
      </c>
      <c r="G477" s="2" t="s">
        <v>68</v>
      </c>
      <c r="H477" s="2" t="s">
        <v>69</v>
      </c>
      <c r="I477" s="2" t="s">
        <v>70</v>
      </c>
      <c r="J477" s="2" t="s">
        <v>1370</v>
      </c>
      <c r="K477" s="2">
        <v>1</v>
      </c>
      <c r="L477" s="2">
        <v>28</v>
      </c>
      <c r="M477" s="3">
        <v>22</v>
      </c>
    </row>
    <row r="478" spans="1:13" x14ac:dyDescent="0.2">
      <c r="A478" s="1" t="s">
        <v>13</v>
      </c>
      <c r="B478" s="1" t="s">
        <v>14</v>
      </c>
      <c r="C478" s="1" t="s">
        <v>15</v>
      </c>
      <c r="D478" s="2" t="s">
        <v>16</v>
      </c>
      <c r="E478" s="2" t="s">
        <v>17</v>
      </c>
      <c r="F478" s="2" t="s">
        <v>18</v>
      </c>
      <c r="G478" s="2" t="s">
        <v>19</v>
      </c>
      <c r="H478" s="2">
        <v>9182178647</v>
      </c>
      <c r="I478" s="2" t="s">
        <v>20</v>
      </c>
      <c r="J478" s="2" t="s">
        <v>1421</v>
      </c>
      <c r="K478" s="2">
        <v>2</v>
      </c>
      <c r="L478" s="2">
        <v>329</v>
      </c>
      <c r="M478" s="3">
        <v>328</v>
      </c>
    </row>
    <row r="479" spans="1:13" x14ac:dyDescent="0.2">
      <c r="A479" s="1" t="s">
        <v>1404</v>
      </c>
      <c r="B479" s="1" t="s">
        <v>23</v>
      </c>
      <c r="C479" s="1" t="s">
        <v>15</v>
      </c>
      <c r="D479" s="2" t="s">
        <v>44</v>
      </c>
      <c r="E479" s="2" t="s">
        <v>44</v>
      </c>
      <c r="F479" s="2" t="s">
        <v>1405</v>
      </c>
      <c r="G479" s="2" t="s">
        <v>1406</v>
      </c>
      <c r="H479" s="2" t="s">
        <v>1407</v>
      </c>
      <c r="I479" s="2" t="s">
        <v>1408</v>
      </c>
      <c r="J479" s="2" t="s">
        <v>1421</v>
      </c>
      <c r="K479" s="2">
        <v>1</v>
      </c>
      <c r="L479" s="2">
        <v>25</v>
      </c>
      <c r="M479" s="3">
        <v>25</v>
      </c>
    </row>
    <row r="480" spans="1:13" x14ac:dyDescent="0.2">
      <c r="A480" s="1" t="s">
        <v>1188</v>
      </c>
      <c r="B480" s="1" t="s">
        <v>23</v>
      </c>
      <c r="C480" s="1" t="s">
        <v>15</v>
      </c>
      <c r="D480" s="2" t="s">
        <v>72</v>
      </c>
      <c r="E480" s="2" t="s">
        <v>73</v>
      </c>
      <c r="F480" s="2" t="s">
        <v>1189</v>
      </c>
      <c r="G480" s="2" t="s">
        <v>1190</v>
      </c>
      <c r="H480" s="2" t="s">
        <v>1191</v>
      </c>
      <c r="I480" s="2" t="s">
        <v>1192</v>
      </c>
      <c r="J480" s="2" t="s">
        <v>1422</v>
      </c>
      <c r="K480" s="2">
        <v>1</v>
      </c>
      <c r="L480" s="2">
        <v>48</v>
      </c>
      <c r="M480" s="3">
        <v>41</v>
      </c>
    </row>
    <row r="481" spans="1:13" x14ac:dyDescent="0.2">
      <c r="A481" s="1" t="s">
        <v>276</v>
      </c>
      <c r="B481" s="1" t="s">
        <v>23</v>
      </c>
      <c r="C481" s="1" t="s">
        <v>15</v>
      </c>
      <c r="D481" s="2" t="s">
        <v>16</v>
      </c>
      <c r="E481" s="2" t="s">
        <v>224</v>
      </c>
      <c r="F481" s="2" t="s">
        <v>277</v>
      </c>
      <c r="G481" s="2" t="s">
        <v>278</v>
      </c>
      <c r="H481" s="2" t="s">
        <v>279</v>
      </c>
      <c r="I481" s="2" t="s">
        <v>280</v>
      </c>
      <c r="J481" s="2" t="s">
        <v>1422</v>
      </c>
      <c r="K481" s="2">
        <v>0</v>
      </c>
      <c r="L481" s="2">
        <v>0</v>
      </c>
      <c r="M481" s="3">
        <v>55</v>
      </c>
    </row>
    <row r="482" spans="1:13" x14ac:dyDescent="0.2">
      <c r="A482" s="1" t="s">
        <v>995</v>
      </c>
      <c r="B482" s="1" t="s">
        <v>23</v>
      </c>
      <c r="C482" s="1" t="s">
        <v>15</v>
      </c>
      <c r="D482" s="2" t="s">
        <v>16</v>
      </c>
      <c r="E482" s="2" t="s">
        <v>456</v>
      </c>
      <c r="F482" s="2" t="s">
        <v>996</v>
      </c>
      <c r="G482" s="2" t="s">
        <v>997</v>
      </c>
      <c r="H482" s="2" t="s">
        <v>998</v>
      </c>
      <c r="I482" s="2" t="s">
        <v>999</v>
      </c>
      <c r="J482" s="2" t="s">
        <v>1422</v>
      </c>
      <c r="K482" s="2">
        <v>1</v>
      </c>
      <c r="L482" s="2">
        <v>44</v>
      </c>
      <c r="M482" s="3">
        <v>44</v>
      </c>
    </row>
    <row r="483" spans="1:13" x14ac:dyDescent="0.2">
      <c r="A483" s="1" t="s">
        <v>1399</v>
      </c>
      <c r="B483" s="1" t="s">
        <v>23</v>
      </c>
      <c r="C483" s="1" t="s">
        <v>15</v>
      </c>
      <c r="D483" s="2" t="s">
        <v>16</v>
      </c>
      <c r="E483" s="2" t="s">
        <v>17</v>
      </c>
      <c r="F483" s="2" t="s">
        <v>1400</v>
      </c>
      <c r="G483" s="2" t="s">
        <v>1401</v>
      </c>
      <c r="H483" s="2" t="s">
        <v>1402</v>
      </c>
      <c r="I483" s="2" t="s">
        <v>1403</v>
      </c>
      <c r="J483" s="2" t="s">
        <v>1422</v>
      </c>
      <c r="K483" s="2">
        <v>1</v>
      </c>
      <c r="L483" s="2">
        <v>135</v>
      </c>
      <c r="M483" s="3">
        <v>85</v>
      </c>
    </row>
    <row r="484" spans="1:13" x14ac:dyDescent="0.2">
      <c r="A484" s="1" t="s">
        <v>1015</v>
      </c>
      <c r="B484" s="1" t="s">
        <v>23</v>
      </c>
      <c r="C484" s="1" t="s">
        <v>15</v>
      </c>
      <c r="D484" s="2" t="s">
        <v>72</v>
      </c>
      <c r="E484" s="2" t="s">
        <v>119</v>
      </c>
      <c r="F484" s="2" t="s">
        <v>1016</v>
      </c>
      <c r="G484" s="2" t="s">
        <v>1017</v>
      </c>
      <c r="H484" s="2" t="s">
        <v>1018</v>
      </c>
      <c r="I484" s="2" t="s">
        <v>1019</v>
      </c>
      <c r="J484" s="2" t="s">
        <v>1422</v>
      </c>
      <c r="K484" s="2">
        <v>0</v>
      </c>
      <c r="L484" s="2">
        <v>0</v>
      </c>
      <c r="M484" s="3">
        <v>84</v>
      </c>
    </row>
    <row r="485" spans="1:13" x14ac:dyDescent="0.2">
      <c r="A485" s="1" t="s">
        <v>1423</v>
      </c>
      <c r="B485" s="1" t="s">
        <v>23</v>
      </c>
      <c r="C485" s="1" t="s">
        <v>15</v>
      </c>
      <c r="D485" s="2" t="s">
        <v>16</v>
      </c>
      <c r="E485" s="2" t="s">
        <v>17</v>
      </c>
      <c r="F485" s="2" t="s">
        <v>1424</v>
      </c>
      <c r="G485" s="2" t="s">
        <v>1425</v>
      </c>
      <c r="H485" s="2" t="s">
        <v>1426</v>
      </c>
      <c r="I485" s="2" t="s">
        <v>1427</v>
      </c>
      <c r="J485" s="2" t="s">
        <v>1422</v>
      </c>
      <c r="K485" s="2">
        <v>1</v>
      </c>
      <c r="L485" s="2">
        <v>25</v>
      </c>
      <c r="M485" s="3">
        <v>22</v>
      </c>
    </row>
    <row r="486" spans="1:13" x14ac:dyDescent="0.2">
      <c r="A486" s="1" t="s">
        <v>239</v>
      </c>
      <c r="B486" s="1" t="s">
        <v>240</v>
      </c>
      <c r="C486" s="1" t="s">
        <v>15</v>
      </c>
      <c r="D486" s="2" t="s">
        <v>44</v>
      </c>
      <c r="E486" s="2" t="s">
        <v>44</v>
      </c>
      <c r="F486" s="2" t="s">
        <v>241</v>
      </c>
      <c r="G486" s="2" t="s">
        <v>242</v>
      </c>
      <c r="H486" s="2" t="s">
        <v>243</v>
      </c>
      <c r="I486" s="2" t="s">
        <v>244</v>
      </c>
      <c r="J486" s="2" t="s">
        <v>1422</v>
      </c>
      <c r="K486" s="2">
        <v>1</v>
      </c>
      <c r="L486" s="2">
        <v>95</v>
      </c>
      <c r="M486" s="3">
        <v>55</v>
      </c>
    </row>
    <row r="487" spans="1:13" x14ac:dyDescent="0.2">
      <c r="A487" s="1" t="s">
        <v>175</v>
      </c>
      <c r="B487" s="1" t="s">
        <v>23</v>
      </c>
      <c r="C487" s="1" t="s">
        <v>15</v>
      </c>
      <c r="D487" s="2" t="s">
        <v>36</v>
      </c>
      <c r="E487" s="2" t="s">
        <v>176</v>
      </c>
      <c r="F487" s="2" t="s">
        <v>177</v>
      </c>
      <c r="G487" s="2" t="s">
        <v>178</v>
      </c>
      <c r="H487" s="2" t="s">
        <v>179</v>
      </c>
      <c r="I487" s="2" t="s">
        <v>180</v>
      </c>
      <c r="J487" s="2" t="s">
        <v>1422</v>
      </c>
      <c r="K487" s="2">
        <v>1</v>
      </c>
      <c r="L487" s="2">
        <v>25</v>
      </c>
      <c r="M487" s="3">
        <v>0</v>
      </c>
    </row>
    <row r="488" spans="1:13" x14ac:dyDescent="0.2">
      <c r="A488" s="1" t="s">
        <v>61</v>
      </c>
      <c r="B488" s="1" t="s">
        <v>14</v>
      </c>
      <c r="C488" s="1" t="s">
        <v>15</v>
      </c>
      <c r="D488" s="2" t="s">
        <v>16</v>
      </c>
      <c r="E488" s="2" t="s">
        <v>17</v>
      </c>
      <c r="F488" s="2" t="s">
        <v>62</v>
      </c>
      <c r="G488" s="2" t="s">
        <v>63</v>
      </c>
      <c r="H488" s="2">
        <v>8172650</v>
      </c>
      <c r="I488" s="2" t="s">
        <v>64</v>
      </c>
      <c r="J488" s="2" t="s">
        <v>1422</v>
      </c>
      <c r="K488" s="2">
        <v>1</v>
      </c>
      <c r="L488" s="2">
        <v>68</v>
      </c>
      <c r="M488" s="3">
        <v>92</v>
      </c>
    </row>
    <row r="489" spans="1:13" x14ac:dyDescent="0.2">
      <c r="A489" s="1" t="s">
        <v>1428</v>
      </c>
      <c r="B489" s="1" t="s">
        <v>23</v>
      </c>
      <c r="C489" s="1" t="s">
        <v>15</v>
      </c>
      <c r="D489" s="2" t="s">
        <v>72</v>
      </c>
      <c r="E489" s="2" t="s">
        <v>119</v>
      </c>
      <c r="F489" s="2" t="s">
        <v>1429</v>
      </c>
      <c r="G489" s="2" t="s">
        <v>1430</v>
      </c>
      <c r="H489" s="2" t="s">
        <v>1431</v>
      </c>
      <c r="I489" s="2" t="s">
        <v>1432</v>
      </c>
      <c r="J489" s="2" t="s">
        <v>1433</v>
      </c>
      <c r="K489" s="2">
        <v>3</v>
      </c>
      <c r="L489" s="2">
        <v>164</v>
      </c>
      <c r="M489" s="3">
        <v>130</v>
      </c>
    </row>
    <row r="490" spans="1:13" x14ac:dyDescent="0.2">
      <c r="A490" s="1" t="s">
        <v>1070</v>
      </c>
      <c r="B490" s="1" t="s">
        <v>240</v>
      </c>
      <c r="C490" s="1" t="s">
        <v>15</v>
      </c>
      <c r="D490" s="2" t="s">
        <v>36</v>
      </c>
      <c r="E490" s="2" t="s">
        <v>145</v>
      </c>
      <c r="F490" s="2" t="s">
        <v>1071</v>
      </c>
      <c r="G490" s="2" t="s">
        <v>1072</v>
      </c>
      <c r="H490" s="2" t="s">
        <v>1073</v>
      </c>
      <c r="I490" s="2" t="s">
        <v>1074</v>
      </c>
      <c r="J490" s="2" t="s">
        <v>1433</v>
      </c>
      <c r="K490" s="2">
        <v>1</v>
      </c>
      <c r="L490" s="2">
        <v>103</v>
      </c>
      <c r="M490" s="3">
        <v>92</v>
      </c>
    </row>
    <row r="491" spans="1:13" x14ac:dyDescent="0.2">
      <c r="A491" s="1" t="s">
        <v>1096</v>
      </c>
      <c r="B491" s="1" t="s">
        <v>23</v>
      </c>
      <c r="C491" s="1" t="s">
        <v>15</v>
      </c>
      <c r="D491" s="2" t="s">
        <v>72</v>
      </c>
      <c r="E491" s="2" t="s">
        <v>213</v>
      </c>
      <c r="F491" s="2" t="s">
        <v>1097</v>
      </c>
      <c r="G491" s="2" t="s">
        <v>1098</v>
      </c>
      <c r="H491" s="2" t="s">
        <v>1099</v>
      </c>
      <c r="I491" s="2" t="s">
        <v>1100</v>
      </c>
      <c r="J491" s="2" t="s">
        <v>1434</v>
      </c>
      <c r="K491" s="2">
        <v>3</v>
      </c>
      <c r="L491" s="2">
        <v>126</v>
      </c>
      <c r="M491" s="3">
        <v>122</v>
      </c>
    </row>
    <row r="492" spans="1:13" x14ac:dyDescent="0.2">
      <c r="A492" s="1" t="s">
        <v>905</v>
      </c>
      <c r="B492" s="1" t="s">
        <v>23</v>
      </c>
      <c r="C492" s="1" t="s">
        <v>15</v>
      </c>
      <c r="D492" s="2" t="s">
        <v>44</v>
      </c>
      <c r="E492" s="2" t="s">
        <v>44</v>
      </c>
      <c r="F492" s="2" t="s">
        <v>906</v>
      </c>
      <c r="G492" s="2" t="s">
        <v>907</v>
      </c>
      <c r="H492" s="2">
        <v>9558691867</v>
      </c>
      <c r="I492" s="2" t="s">
        <v>908</v>
      </c>
      <c r="J492" s="2" t="s">
        <v>1434</v>
      </c>
      <c r="K492" s="2">
        <v>2</v>
      </c>
      <c r="L492" s="2">
        <v>550</v>
      </c>
      <c r="M492" s="3">
        <v>452</v>
      </c>
    </row>
    <row r="493" spans="1:13" x14ac:dyDescent="0.2">
      <c r="A493" s="1" t="s">
        <v>389</v>
      </c>
      <c r="B493" s="1" t="s">
        <v>23</v>
      </c>
      <c r="C493" s="1" t="s">
        <v>15</v>
      </c>
      <c r="D493" s="2" t="s">
        <v>36</v>
      </c>
      <c r="E493" s="2" t="s">
        <v>37</v>
      </c>
      <c r="F493" s="2" t="s">
        <v>390</v>
      </c>
      <c r="G493" s="2" t="s">
        <v>391</v>
      </c>
      <c r="H493" s="2" t="s">
        <v>392</v>
      </c>
      <c r="I493" s="2" t="s">
        <v>393</v>
      </c>
      <c r="J493" s="2" t="s">
        <v>1434</v>
      </c>
      <c r="K493" s="2">
        <v>1</v>
      </c>
      <c r="L493" s="2">
        <v>201</v>
      </c>
      <c r="M493" s="3">
        <v>201</v>
      </c>
    </row>
    <row r="494" spans="1:13" x14ac:dyDescent="0.2">
      <c r="A494" s="1" t="s">
        <v>247</v>
      </c>
      <c r="B494" s="1" t="s">
        <v>23</v>
      </c>
      <c r="C494" s="1" t="s">
        <v>15</v>
      </c>
      <c r="D494" s="2" t="s">
        <v>72</v>
      </c>
      <c r="E494" s="2" t="s">
        <v>73</v>
      </c>
      <c r="F494" s="2" t="s">
        <v>248</v>
      </c>
      <c r="G494" s="2" t="s">
        <v>249</v>
      </c>
      <c r="H494" s="2" t="s">
        <v>250</v>
      </c>
      <c r="I494" s="2" t="s">
        <v>251</v>
      </c>
      <c r="J494" s="2" t="s">
        <v>1434</v>
      </c>
      <c r="K494" s="2">
        <v>4</v>
      </c>
      <c r="L494" s="2">
        <v>336</v>
      </c>
      <c r="M494" s="3">
        <v>334</v>
      </c>
    </row>
    <row r="495" spans="1:13" x14ac:dyDescent="0.2">
      <c r="A495" s="1" t="s">
        <v>628</v>
      </c>
      <c r="B495" s="1" t="s">
        <v>23</v>
      </c>
      <c r="C495" s="1" t="s">
        <v>15</v>
      </c>
      <c r="D495" s="2" t="s">
        <v>16</v>
      </c>
      <c r="E495" s="2" t="s">
        <v>17</v>
      </c>
      <c r="F495" s="2" t="s">
        <v>629</v>
      </c>
      <c r="G495" s="2" t="s">
        <v>630</v>
      </c>
      <c r="H495" s="2" t="s">
        <v>631</v>
      </c>
      <c r="I495" s="2" t="s">
        <v>484</v>
      </c>
      <c r="J495" s="2" t="s">
        <v>1434</v>
      </c>
      <c r="K495" s="2">
        <v>1</v>
      </c>
      <c r="L495" s="2">
        <v>103</v>
      </c>
      <c r="M495" s="3">
        <v>45</v>
      </c>
    </row>
    <row r="496" spans="1:13" x14ac:dyDescent="0.2">
      <c r="A496" s="1" t="s">
        <v>1112</v>
      </c>
      <c r="B496" s="1" t="s">
        <v>23</v>
      </c>
      <c r="C496" s="1" t="s">
        <v>15</v>
      </c>
      <c r="D496" s="2" t="s">
        <v>72</v>
      </c>
      <c r="E496" s="2" t="s">
        <v>491</v>
      </c>
      <c r="F496" s="2" t="s">
        <v>1113</v>
      </c>
      <c r="G496" s="2" t="s">
        <v>1114</v>
      </c>
      <c r="H496" s="2" t="s">
        <v>1115</v>
      </c>
      <c r="I496" s="2" t="s">
        <v>1116</v>
      </c>
      <c r="J496" s="2" t="s">
        <v>1434</v>
      </c>
      <c r="K496" s="2">
        <v>2</v>
      </c>
      <c r="L496" s="2">
        <v>128</v>
      </c>
      <c r="M496" s="3">
        <v>80</v>
      </c>
    </row>
    <row r="497" spans="1:13" x14ac:dyDescent="0.2">
      <c r="A497" s="1" t="s">
        <v>1435</v>
      </c>
      <c r="B497" s="1" t="s">
        <v>23</v>
      </c>
      <c r="C497" s="1" t="s">
        <v>15</v>
      </c>
      <c r="D497" s="2" t="s">
        <v>72</v>
      </c>
      <c r="E497" s="2" t="s">
        <v>491</v>
      </c>
      <c r="F497" s="2" t="s">
        <v>1436</v>
      </c>
      <c r="G497" s="2" t="s">
        <v>1437</v>
      </c>
      <c r="H497" s="2" t="s">
        <v>1438</v>
      </c>
      <c r="I497" s="2" t="s">
        <v>1439</v>
      </c>
      <c r="J497" s="2" t="s">
        <v>1434</v>
      </c>
      <c r="K497" s="2">
        <v>1</v>
      </c>
      <c r="L497" s="2">
        <v>70</v>
      </c>
      <c r="M497" s="3">
        <v>40</v>
      </c>
    </row>
    <row r="498" spans="1:13" x14ac:dyDescent="0.2">
      <c r="A498" s="1" t="s">
        <v>257</v>
      </c>
      <c r="B498" s="1" t="s">
        <v>23</v>
      </c>
      <c r="C498" s="1" t="s">
        <v>15</v>
      </c>
      <c r="D498" s="2" t="s">
        <v>55</v>
      </c>
      <c r="E498" s="2" t="s">
        <v>56</v>
      </c>
      <c r="F498" s="2" t="s">
        <v>258</v>
      </c>
      <c r="G498" s="2" t="s">
        <v>259</v>
      </c>
      <c r="H498" s="2">
        <v>5511342</v>
      </c>
      <c r="I498" s="2" t="s">
        <v>260</v>
      </c>
      <c r="J498" s="2" t="s">
        <v>1434</v>
      </c>
      <c r="K498" s="2">
        <v>3</v>
      </c>
      <c r="L498" s="2">
        <v>110</v>
      </c>
      <c r="M498" s="3">
        <v>81</v>
      </c>
    </row>
    <row r="499" spans="1:13" x14ac:dyDescent="0.2">
      <c r="A499" s="1" t="s">
        <v>430</v>
      </c>
      <c r="B499" s="1" t="s">
        <v>23</v>
      </c>
      <c r="C499" s="1" t="s">
        <v>15</v>
      </c>
      <c r="D499" s="2" t="s">
        <v>36</v>
      </c>
      <c r="E499" s="2" t="s">
        <v>176</v>
      </c>
      <c r="F499" s="2" t="s">
        <v>431</v>
      </c>
      <c r="G499" s="2" t="s">
        <v>432</v>
      </c>
      <c r="H499" s="2" t="s">
        <v>433</v>
      </c>
      <c r="I499" s="2" t="s">
        <v>434</v>
      </c>
      <c r="J499" s="2" t="s">
        <v>1434</v>
      </c>
      <c r="K499" s="2">
        <v>3</v>
      </c>
      <c r="L499" s="2">
        <v>188</v>
      </c>
      <c r="M499" s="3">
        <v>233</v>
      </c>
    </row>
    <row r="500" spans="1:13" x14ac:dyDescent="0.2">
      <c r="A500" s="1" t="s">
        <v>1440</v>
      </c>
      <c r="B500" s="1" t="s">
        <v>43</v>
      </c>
      <c r="C500" s="1" t="s">
        <v>15</v>
      </c>
      <c r="D500" s="2" t="s">
        <v>24</v>
      </c>
      <c r="E500" s="2" t="s">
        <v>349</v>
      </c>
      <c r="F500" s="2" t="s">
        <v>1441</v>
      </c>
      <c r="G500" s="2" t="s">
        <v>1442</v>
      </c>
      <c r="H500" s="2" t="s">
        <v>1443</v>
      </c>
      <c r="I500" s="2" t="s">
        <v>1444</v>
      </c>
      <c r="J500" s="2" t="s">
        <v>1434</v>
      </c>
      <c r="K500" s="2">
        <v>1</v>
      </c>
      <c r="L500" s="2">
        <v>54</v>
      </c>
      <c r="M500" s="3">
        <v>54</v>
      </c>
    </row>
    <row r="501" spans="1:13" x14ac:dyDescent="0.2">
      <c r="A501" s="1" t="s">
        <v>1445</v>
      </c>
      <c r="B501" s="1" t="s">
        <v>23</v>
      </c>
      <c r="C501" s="1" t="s">
        <v>15</v>
      </c>
      <c r="D501" s="2" t="s">
        <v>55</v>
      </c>
      <c r="E501" s="2" t="s">
        <v>56</v>
      </c>
      <c r="F501" s="2" t="s">
        <v>1446</v>
      </c>
      <c r="G501" s="2" t="s">
        <v>1447</v>
      </c>
      <c r="H501" s="2" t="s">
        <v>1448</v>
      </c>
      <c r="I501" s="2" t="s">
        <v>1449</v>
      </c>
      <c r="J501" s="2" t="s">
        <v>1434</v>
      </c>
      <c r="K501" s="2">
        <v>3</v>
      </c>
      <c r="L501" s="2">
        <v>245</v>
      </c>
      <c r="M501" s="3">
        <v>198</v>
      </c>
    </row>
    <row r="502" spans="1:13" x14ac:dyDescent="0.2">
      <c r="A502" s="1" t="s">
        <v>1450</v>
      </c>
      <c r="B502" s="1" t="s">
        <v>23</v>
      </c>
      <c r="C502" s="1" t="s">
        <v>15</v>
      </c>
      <c r="D502" s="2" t="s">
        <v>55</v>
      </c>
      <c r="E502" s="2" t="s">
        <v>92</v>
      </c>
      <c r="F502" s="2" t="s">
        <v>1451</v>
      </c>
      <c r="G502" s="2" t="s">
        <v>1452</v>
      </c>
      <c r="H502" s="2" t="s">
        <v>1453</v>
      </c>
      <c r="I502" s="2" t="s">
        <v>1454</v>
      </c>
      <c r="J502" s="2" t="s">
        <v>1434</v>
      </c>
      <c r="K502" s="2">
        <v>2</v>
      </c>
      <c r="L502" s="2">
        <v>155</v>
      </c>
      <c r="M502" s="3">
        <v>155</v>
      </c>
    </row>
    <row r="503" spans="1:13" x14ac:dyDescent="0.2">
      <c r="A503" s="1" t="s">
        <v>553</v>
      </c>
      <c r="B503" s="1" t="s">
        <v>23</v>
      </c>
      <c r="C503" s="1" t="s">
        <v>15</v>
      </c>
      <c r="D503" s="2" t="s">
        <v>36</v>
      </c>
      <c r="E503" s="2" t="s">
        <v>207</v>
      </c>
      <c r="F503" s="2" t="s">
        <v>554</v>
      </c>
      <c r="G503" s="2" t="s">
        <v>555</v>
      </c>
      <c r="H503" s="2" t="s">
        <v>556</v>
      </c>
      <c r="I503" s="2" t="s">
        <v>557</v>
      </c>
      <c r="J503" s="2" t="s">
        <v>1434</v>
      </c>
      <c r="K503" s="2">
        <v>1</v>
      </c>
      <c r="L503" s="2">
        <v>48</v>
      </c>
      <c r="M503" s="3">
        <v>48</v>
      </c>
    </row>
    <row r="504" spans="1:13" x14ac:dyDescent="0.2">
      <c r="A504" s="1" t="s">
        <v>1455</v>
      </c>
      <c r="B504" s="1" t="s">
        <v>23</v>
      </c>
      <c r="C504" s="1" t="s">
        <v>15</v>
      </c>
      <c r="D504" s="2" t="s">
        <v>72</v>
      </c>
      <c r="E504" s="2" t="s">
        <v>119</v>
      </c>
      <c r="F504" s="2" t="s">
        <v>1456</v>
      </c>
      <c r="G504" s="2" t="s">
        <v>1457</v>
      </c>
      <c r="H504" s="2" t="s">
        <v>1458</v>
      </c>
      <c r="I504" s="2" t="s">
        <v>1459</v>
      </c>
      <c r="J504" s="2" t="s">
        <v>1434</v>
      </c>
      <c r="K504" s="2">
        <v>1</v>
      </c>
      <c r="L504" s="2">
        <v>149</v>
      </c>
      <c r="M504" s="3">
        <v>145</v>
      </c>
    </row>
    <row r="505" spans="1:13" x14ac:dyDescent="0.2">
      <c r="A505" s="1" t="s">
        <v>1334</v>
      </c>
      <c r="B505" s="1" t="s">
        <v>23</v>
      </c>
      <c r="C505" s="1" t="s">
        <v>15</v>
      </c>
      <c r="D505" s="2" t="s">
        <v>24</v>
      </c>
      <c r="E505" s="2" t="s">
        <v>1335</v>
      </c>
      <c r="F505" s="2" t="s">
        <v>1336</v>
      </c>
      <c r="G505" s="2" t="s">
        <v>1337</v>
      </c>
      <c r="H505" s="2" t="s">
        <v>1338</v>
      </c>
      <c r="I505" s="2" t="s">
        <v>1339</v>
      </c>
      <c r="J505" s="2" t="s">
        <v>1434</v>
      </c>
      <c r="K505" s="2">
        <v>2</v>
      </c>
      <c r="L505" s="2">
        <v>116</v>
      </c>
      <c r="M505" s="3">
        <v>116</v>
      </c>
    </row>
    <row r="506" spans="1:13" x14ac:dyDescent="0.2">
      <c r="A506" s="1" t="s">
        <v>261</v>
      </c>
      <c r="B506" s="1" t="s">
        <v>23</v>
      </c>
      <c r="C506" s="1" t="s">
        <v>15</v>
      </c>
      <c r="D506" s="2" t="s">
        <v>55</v>
      </c>
      <c r="E506" s="2" t="s">
        <v>92</v>
      </c>
      <c r="F506" s="2" t="s">
        <v>262</v>
      </c>
      <c r="G506" s="2" t="s">
        <v>263</v>
      </c>
      <c r="H506" s="2" t="s">
        <v>264</v>
      </c>
      <c r="I506" s="2" t="s">
        <v>265</v>
      </c>
      <c r="J506" s="2" t="s">
        <v>1434</v>
      </c>
      <c r="K506" s="2">
        <v>1</v>
      </c>
      <c r="L506" s="2">
        <v>119</v>
      </c>
      <c r="M506" s="3">
        <v>86</v>
      </c>
    </row>
    <row r="507" spans="1:13" x14ac:dyDescent="0.2">
      <c r="A507" s="1" t="s">
        <v>608</v>
      </c>
      <c r="B507" s="1" t="s">
        <v>23</v>
      </c>
      <c r="C507" s="1" t="s">
        <v>15</v>
      </c>
      <c r="D507" s="2" t="s">
        <v>36</v>
      </c>
      <c r="E507" s="2" t="s">
        <v>207</v>
      </c>
      <c r="F507" s="2" t="s">
        <v>609</v>
      </c>
      <c r="G507" s="2" t="s">
        <v>610</v>
      </c>
      <c r="H507" s="2" t="s">
        <v>611</v>
      </c>
      <c r="I507" s="2" t="s">
        <v>612</v>
      </c>
      <c r="J507" s="2" t="s">
        <v>1434</v>
      </c>
      <c r="K507" s="2">
        <v>2</v>
      </c>
      <c r="L507" s="2">
        <v>53</v>
      </c>
      <c r="M507" s="3">
        <v>28</v>
      </c>
    </row>
    <row r="508" spans="1:13" x14ac:dyDescent="0.2">
      <c r="A508" s="1" t="s">
        <v>964</v>
      </c>
      <c r="B508" s="1" t="s">
        <v>23</v>
      </c>
      <c r="C508" s="1" t="s">
        <v>15</v>
      </c>
      <c r="D508" s="2" t="s">
        <v>36</v>
      </c>
      <c r="E508" s="2" t="s">
        <v>176</v>
      </c>
      <c r="F508" s="2" t="s">
        <v>965</v>
      </c>
      <c r="G508" s="2" t="s">
        <v>966</v>
      </c>
      <c r="H508" s="2">
        <v>9684471790</v>
      </c>
      <c r="I508" s="2" t="s">
        <v>967</v>
      </c>
      <c r="J508" s="2" t="s">
        <v>1434</v>
      </c>
      <c r="K508" s="2">
        <v>2</v>
      </c>
      <c r="L508" s="2">
        <v>183</v>
      </c>
      <c r="M508" s="3">
        <v>52</v>
      </c>
    </row>
    <row r="509" spans="1:13" x14ac:dyDescent="0.2">
      <c r="A509" s="1" t="s">
        <v>374</v>
      </c>
      <c r="B509" s="1" t="s">
        <v>23</v>
      </c>
      <c r="C509" s="1" t="s">
        <v>15</v>
      </c>
      <c r="D509" s="2" t="s">
        <v>36</v>
      </c>
      <c r="E509" s="2" t="s">
        <v>207</v>
      </c>
      <c r="F509" s="2" t="s">
        <v>375</v>
      </c>
      <c r="G509" s="2" t="s">
        <v>376</v>
      </c>
      <c r="H509" s="2" t="s">
        <v>377</v>
      </c>
      <c r="I509" s="2" t="s">
        <v>378</v>
      </c>
      <c r="J509" s="2" t="s">
        <v>1434</v>
      </c>
      <c r="K509" s="2">
        <v>1</v>
      </c>
      <c r="L509" s="2">
        <v>185</v>
      </c>
      <c r="M509" s="3">
        <v>156</v>
      </c>
    </row>
    <row r="510" spans="1:13" x14ac:dyDescent="0.2">
      <c r="A510" s="1" t="s">
        <v>1460</v>
      </c>
      <c r="B510" s="1" t="s">
        <v>23</v>
      </c>
      <c r="C510" s="1" t="s">
        <v>15</v>
      </c>
      <c r="D510" s="2" t="s">
        <v>16</v>
      </c>
      <c r="E510" s="2" t="s">
        <v>17</v>
      </c>
      <c r="F510" s="2" t="s">
        <v>1461</v>
      </c>
      <c r="G510" s="2" t="s">
        <v>1462</v>
      </c>
      <c r="H510" s="2" t="s">
        <v>1463</v>
      </c>
      <c r="I510" s="2" t="s">
        <v>1464</v>
      </c>
      <c r="J510" s="2" t="s">
        <v>1434</v>
      </c>
      <c r="K510" s="2">
        <v>2</v>
      </c>
      <c r="L510" s="2">
        <v>111</v>
      </c>
      <c r="M510" s="3">
        <v>154</v>
      </c>
    </row>
    <row r="511" spans="1:13" x14ac:dyDescent="0.2">
      <c r="A511" s="1" t="s">
        <v>285</v>
      </c>
      <c r="B511" s="1" t="s">
        <v>23</v>
      </c>
      <c r="C511" s="1" t="s">
        <v>15</v>
      </c>
      <c r="D511" s="2" t="s">
        <v>16</v>
      </c>
      <c r="E511" s="2" t="s">
        <v>108</v>
      </c>
      <c r="F511" s="2" t="s">
        <v>286</v>
      </c>
      <c r="G511" s="2" t="s">
        <v>287</v>
      </c>
      <c r="H511" s="2" t="s">
        <v>288</v>
      </c>
      <c r="I511" s="2" t="s">
        <v>289</v>
      </c>
      <c r="J511" s="2" t="s">
        <v>1434</v>
      </c>
      <c r="K511" s="2">
        <v>1</v>
      </c>
      <c r="L511" s="2">
        <v>54</v>
      </c>
      <c r="M511" s="3">
        <v>54</v>
      </c>
    </row>
    <row r="512" spans="1:13" x14ac:dyDescent="0.2">
      <c r="A512" s="1" t="s">
        <v>290</v>
      </c>
      <c r="B512" s="1" t="s">
        <v>43</v>
      </c>
      <c r="C512" s="1" t="s">
        <v>15</v>
      </c>
      <c r="D512" s="2" t="s">
        <v>72</v>
      </c>
      <c r="E512" s="2" t="s">
        <v>213</v>
      </c>
      <c r="F512" s="2" t="s">
        <v>291</v>
      </c>
      <c r="G512" s="2" t="s">
        <v>292</v>
      </c>
      <c r="H512" s="2" t="s">
        <v>293</v>
      </c>
      <c r="I512" s="2" t="s">
        <v>294</v>
      </c>
      <c r="J512" s="2" t="s">
        <v>1434</v>
      </c>
      <c r="K512" s="2">
        <v>1</v>
      </c>
      <c r="L512" s="2">
        <v>55</v>
      </c>
      <c r="M512" s="3">
        <v>47</v>
      </c>
    </row>
    <row r="513" spans="1:13" x14ac:dyDescent="0.2">
      <c r="A513" s="1" t="s">
        <v>1465</v>
      </c>
      <c r="B513" s="1" t="s">
        <v>23</v>
      </c>
      <c r="C513" s="1" t="s">
        <v>15</v>
      </c>
      <c r="D513" s="2" t="s">
        <v>55</v>
      </c>
      <c r="E513" s="2" t="s">
        <v>92</v>
      </c>
      <c r="F513" s="2" t="s">
        <v>1466</v>
      </c>
      <c r="G513" s="2" t="s">
        <v>1467</v>
      </c>
      <c r="H513" s="2" t="s">
        <v>1468</v>
      </c>
      <c r="I513" s="2" t="s">
        <v>1469</v>
      </c>
      <c r="J513" s="2" t="s">
        <v>1434</v>
      </c>
      <c r="K513" s="2">
        <v>1</v>
      </c>
      <c r="L513" s="2">
        <v>154</v>
      </c>
      <c r="M513" s="3">
        <v>185</v>
      </c>
    </row>
    <row r="514" spans="1:13" x14ac:dyDescent="0.2">
      <c r="A514" s="1" t="s">
        <v>305</v>
      </c>
      <c r="B514" s="1" t="s">
        <v>23</v>
      </c>
      <c r="C514" s="1" t="s">
        <v>15</v>
      </c>
      <c r="D514" s="2" t="s">
        <v>24</v>
      </c>
      <c r="E514" s="2" t="s">
        <v>182</v>
      </c>
      <c r="F514" s="2" t="s">
        <v>306</v>
      </c>
      <c r="G514" s="2" t="s">
        <v>307</v>
      </c>
      <c r="H514" s="2" t="s">
        <v>83</v>
      </c>
      <c r="I514" s="2" t="s">
        <v>308</v>
      </c>
      <c r="J514" s="2" t="s">
        <v>1434</v>
      </c>
      <c r="K514" s="2">
        <v>1</v>
      </c>
      <c r="L514" s="2">
        <v>25</v>
      </c>
      <c r="M514" s="3">
        <v>22</v>
      </c>
    </row>
    <row r="515" spans="1:13" x14ac:dyDescent="0.2">
      <c r="A515" s="1" t="s">
        <v>309</v>
      </c>
      <c r="B515" s="1" t="s">
        <v>23</v>
      </c>
      <c r="C515" s="1" t="s">
        <v>15</v>
      </c>
      <c r="D515" s="2" t="s">
        <v>36</v>
      </c>
      <c r="E515" s="2" t="s">
        <v>37</v>
      </c>
      <c r="F515" s="2" t="s">
        <v>310</v>
      </c>
      <c r="G515" s="2" t="s">
        <v>311</v>
      </c>
      <c r="H515" s="2">
        <v>82340614</v>
      </c>
      <c r="I515" s="2" t="s">
        <v>312</v>
      </c>
      <c r="J515" s="2" t="s">
        <v>1434</v>
      </c>
      <c r="K515" s="2">
        <v>4</v>
      </c>
      <c r="L515" s="2">
        <v>310</v>
      </c>
      <c r="M515" s="3">
        <v>307</v>
      </c>
    </row>
    <row r="516" spans="1:13" x14ac:dyDescent="0.2">
      <c r="A516" s="1" t="s">
        <v>313</v>
      </c>
      <c r="B516" s="1" t="s">
        <v>23</v>
      </c>
      <c r="C516" s="1" t="s">
        <v>15</v>
      </c>
      <c r="D516" s="2" t="s">
        <v>16</v>
      </c>
      <c r="E516" s="2" t="s">
        <v>108</v>
      </c>
      <c r="F516" s="2" t="s">
        <v>314</v>
      </c>
      <c r="G516" s="2" t="s">
        <v>315</v>
      </c>
      <c r="H516" s="2" t="s">
        <v>316</v>
      </c>
      <c r="I516" s="2" t="s">
        <v>317</v>
      </c>
      <c r="J516" s="2" t="s">
        <v>1434</v>
      </c>
      <c r="K516" s="2">
        <v>1</v>
      </c>
      <c r="L516" s="2">
        <v>67</v>
      </c>
      <c r="M516" s="3">
        <v>67</v>
      </c>
    </row>
    <row r="517" spans="1:13" x14ac:dyDescent="0.2">
      <c r="A517" s="1" t="s">
        <v>525</v>
      </c>
      <c r="B517" s="1" t="s">
        <v>23</v>
      </c>
      <c r="C517" s="1" t="s">
        <v>15</v>
      </c>
      <c r="D517" s="2" t="s">
        <v>44</v>
      </c>
      <c r="E517" s="2" t="s">
        <v>44</v>
      </c>
      <c r="F517" s="2" t="s">
        <v>526</v>
      </c>
      <c r="G517" s="2" t="s">
        <v>527</v>
      </c>
      <c r="H517" s="2" t="s">
        <v>528</v>
      </c>
      <c r="I517" s="2" t="s">
        <v>529</v>
      </c>
      <c r="J517" s="2" t="s">
        <v>1434</v>
      </c>
      <c r="K517" s="2">
        <v>0</v>
      </c>
      <c r="L517" s="2">
        <v>0</v>
      </c>
      <c r="M517" s="3">
        <v>39</v>
      </c>
    </row>
    <row r="518" spans="1:13" x14ac:dyDescent="0.2">
      <c r="A518" s="1" t="s">
        <v>461</v>
      </c>
      <c r="B518" s="1" t="s">
        <v>23</v>
      </c>
      <c r="C518" s="1" t="s">
        <v>15</v>
      </c>
      <c r="D518" s="2" t="s">
        <v>36</v>
      </c>
      <c r="E518" s="2" t="s">
        <v>37</v>
      </c>
      <c r="F518" s="2" t="s">
        <v>462</v>
      </c>
      <c r="G518" s="2" t="s">
        <v>463</v>
      </c>
      <c r="H518" s="2" t="s">
        <v>464</v>
      </c>
      <c r="I518" s="2" t="s">
        <v>465</v>
      </c>
      <c r="J518" s="2" t="s">
        <v>1434</v>
      </c>
      <c r="K518" s="2">
        <v>3</v>
      </c>
      <c r="L518" s="2">
        <v>353</v>
      </c>
      <c r="M518" s="3">
        <v>287</v>
      </c>
    </row>
    <row r="519" spans="1:13" x14ac:dyDescent="0.2">
      <c r="A519" s="1" t="s">
        <v>1025</v>
      </c>
      <c r="B519" s="1" t="s">
        <v>23</v>
      </c>
      <c r="C519" s="1" t="s">
        <v>15</v>
      </c>
      <c r="D519" s="2" t="s">
        <v>72</v>
      </c>
      <c r="E519" s="2" t="s">
        <v>119</v>
      </c>
      <c r="F519" s="2" t="s">
        <v>1026</v>
      </c>
      <c r="G519" s="2" t="s">
        <v>1027</v>
      </c>
      <c r="H519" s="2" t="s">
        <v>1023</v>
      </c>
      <c r="I519" s="2" t="s">
        <v>1028</v>
      </c>
      <c r="J519" s="2" t="s">
        <v>1434</v>
      </c>
      <c r="K519" s="2">
        <v>2</v>
      </c>
      <c r="L519" s="2">
        <v>644</v>
      </c>
      <c r="M519" s="3">
        <v>642</v>
      </c>
    </row>
    <row r="520" spans="1:13" x14ac:dyDescent="0.2">
      <c r="A520" s="1" t="s">
        <v>139</v>
      </c>
      <c r="B520" s="1" t="s">
        <v>23</v>
      </c>
      <c r="C520" s="1" t="s">
        <v>15</v>
      </c>
      <c r="D520" s="2" t="s">
        <v>44</v>
      </c>
      <c r="E520" s="2" t="s">
        <v>44</v>
      </c>
      <c r="F520" s="2" t="s">
        <v>140</v>
      </c>
      <c r="G520" s="2" t="s">
        <v>141</v>
      </c>
      <c r="H520" s="2" t="s">
        <v>142</v>
      </c>
      <c r="I520" s="2" t="s">
        <v>143</v>
      </c>
      <c r="J520" s="2" t="s">
        <v>1434</v>
      </c>
      <c r="K520" s="2">
        <v>2</v>
      </c>
      <c r="L520" s="2">
        <v>154</v>
      </c>
      <c r="M520" s="3">
        <v>154</v>
      </c>
    </row>
    <row r="521" spans="1:13" x14ac:dyDescent="0.2">
      <c r="A521" s="1" t="s">
        <v>1470</v>
      </c>
      <c r="B521" s="1" t="s">
        <v>23</v>
      </c>
      <c r="C521" s="1" t="s">
        <v>15</v>
      </c>
      <c r="D521" s="2" t="s">
        <v>44</v>
      </c>
      <c r="E521" s="2" t="s">
        <v>44</v>
      </c>
      <c r="F521" s="2" t="s">
        <v>1471</v>
      </c>
      <c r="G521" s="2" t="s">
        <v>1472</v>
      </c>
      <c r="H521" s="2" t="s">
        <v>1473</v>
      </c>
      <c r="I521" s="2" t="s">
        <v>1474</v>
      </c>
      <c r="J521" s="2" t="s">
        <v>1434</v>
      </c>
      <c r="K521" s="2">
        <v>2</v>
      </c>
      <c r="L521" s="2">
        <v>129</v>
      </c>
      <c r="M521" s="3">
        <v>122</v>
      </c>
    </row>
    <row r="522" spans="1:13" x14ac:dyDescent="0.2">
      <c r="A522" s="1" t="s">
        <v>894</v>
      </c>
      <c r="B522" s="1" t="s">
        <v>240</v>
      </c>
      <c r="C522" s="1" t="s">
        <v>15</v>
      </c>
      <c r="D522" s="2" t="s">
        <v>55</v>
      </c>
      <c r="E522" s="2" t="s">
        <v>92</v>
      </c>
      <c r="F522" s="2" t="s">
        <v>895</v>
      </c>
      <c r="G522" s="2" t="s">
        <v>896</v>
      </c>
      <c r="H522" s="2">
        <v>9688524038</v>
      </c>
      <c r="I522" s="2" t="s">
        <v>897</v>
      </c>
      <c r="J522" s="2" t="s">
        <v>1434</v>
      </c>
      <c r="K522" s="2">
        <v>2</v>
      </c>
      <c r="L522" s="2">
        <v>101</v>
      </c>
      <c r="M522" s="3">
        <v>78</v>
      </c>
    </row>
    <row r="523" spans="1:13" x14ac:dyDescent="0.2">
      <c r="A523" s="1" t="s">
        <v>1033</v>
      </c>
      <c r="B523" s="1" t="s">
        <v>23</v>
      </c>
      <c r="C523" s="1" t="s">
        <v>15</v>
      </c>
      <c r="D523" s="2" t="s">
        <v>55</v>
      </c>
      <c r="E523" s="2" t="s">
        <v>92</v>
      </c>
      <c r="F523" s="2" t="s">
        <v>1034</v>
      </c>
      <c r="G523" s="2" t="s">
        <v>1035</v>
      </c>
      <c r="H523" s="2">
        <v>9606688727</v>
      </c>
      <c r="I523" s="2" t="s">
        <v>1036</v>
      </c>
      <c r="J523" s="2" t="s">
        <v>1434</v>
      </c>
      <c r="K523" s="2">
        <v>3</v>
      </c>
      <c r="L523" s="2">
        <v>172</v>
      </c>
      <c r="M523" s="3">
        <v>171</v>
      </c>
    </row>
    <row r="524" spans="1:13" x14ac:dyDescent="0.2">
      <c r="A524" s="1" t="s">
        <v>415</v>
      </c>
      <c r="B524" s="1" t="s">
        <v>23</v>
      </c>
      <c r="C524" s="1" t="s">
        <v>15</v>
      </c>
      <c r="D524" s="2" t="s">
        <v>36</v>
      </c>
      <c r="E524" s="2" t="s">
        <v>37</v>
      </c>
      <c r="F524" s="2" t="s">
        <v>416</v>
      </c>
      <c r="G524" s="2" t="s">
        <v>417</v>
      </c>
      <c r="H524" s="2" t="s">
        <v>418</v>
      </c>
      <c r="I524" s="2" t="s">
        <v>419</v>
      </c>
      <c r="J524" s="2" t="s">
        <v>1434</v>
      </c>
      <c r="K524" s="2">
        <v>1</v>
      </c>
      <c r="L524" s="2">
        <v>202</v>
      </c>
      <c r="M524" s="3">
        <v>285</v>
      </c>
    </row>
    <row r="525" spans="1:13" x14ac:dyDescent="0.2">
      <c r="A525" s="1" t="s">
        <v>1475</v>
      </c>
      <c r="B525" s="1" t="s">
        <v>23</v>
      </c>
      <c r="C525" s="1" t="s">
        <v>15</v>
      </c>
      <c r="D525" s="2" t="s">
        <v>44</v>
      </c>
      <c r="E525" s="2" t="s">
        <v>44</v>
      </c>
      <c r="F525" s="2" t="s">
        <v>1476</v>
      </c>
      <c r="G525" s="2" t="s">
        <v>1477</v>
      </c>
      <c r="H525" s="2" t="s">
        <v>1478</v>
      </c>
      <c r="I525" s="2" t="s">
        <v>1479</v>
      </c>
      <c r="J525" s="2" t="s">
        <v>1434</v>
      </c>
      <c r="K525" s="2">
        <v>1</v>
      </c>
      <c r="L525" s="2">
        <v>60</v>
      </c>
      <c r="M525" s="3">
        <v>60</v>
      </c>
    </row>
    <row r="526" spans="1:13" x14ac:dyDescent="0.2">
      <c r="A526" s="1" t="s">
        <v>807</v>
      </c>
      <c r="B526" s="1" t="s">
        <v>23</v>
      </c>
      <c r="C526" s="1" t="s">
        <v>15</v>
      </c>
      <c r="D526" s="2" t="s">
        <v>55</v>
      </c>
      <c r="E526" s="2" t="s">
        <v>92</v>
      </c>
      <c r="F526" s="2" t="s">
        <v>808</v>
      </c>
      <c r="G526" s="2" t="s">
        <v>809</v>
      </c>
      <c r="H526" s="2" t="s">
        <v>810</v>
      </c>
      <c r="I526" s="2" t="s">
        <v>811</v>
      </c>
      <c r="J526" s="2" t="s">
        <v>1434</v>
      </c>
      <c r="K526" s="2">
        <v>1</v>
      </c>
      <c r="L526" s="2">
        <v>25</v>
      </c>
      <c r="M526" s="3">
        <v>25</v>
      </c>
    </row>
    <row r="527" spans="1:13" x14ac:dyDescent="0.2">
      <c r="A527" s="1" t="s">
        <v>394</v>
      </c>
      <c r="B527" s="1" t="s">
        <v>23</v>
      </c>
      <c r="C527" s="1" t="s">
        <v>15</v>
      </c>
      <c r="D527" s="2" t="s">
        <v>24</v>
      </c>
      <c r="E527" s="2" t="s">
        <v>395</v>
      </c>
      <c r="F527" s="2" t="s">
        <v>396</v>
      </c>
      <c r="G527" s="2" t="s">
        <v>397</v>
      </c>
      <c r="H527" s="2" t="s">
        <v>398</v>
      </c>
      <c r="I527" s="2" t="s">
        <v>399</v>
      </c>
      <c r="J527" s="2" t="s">
        <v>1434</v>
      </c>
      <c r="K527" s="2">
        <v>3</v>
      </c>
      <c r="L527" s="2">
        <v>176</v>
      </c>
      <c r="M527" s="3">
        <v>83</v>
      </c>
    </row>
    <row r="528" spans="1:13" x14ac:dyDescent="0.2">
      <c r="A528" s="1" t="s">
        <v>1037</v>
      </c>
      <c r="B528" s="1" t="s">
        <v>23</v>
      </c>
      <c r="C528" s="1" t="s">
        <v>15</v>
      </c>
      <c r="D528" s="2" t="s">
        <v>72</v>
      </c>
      <c r="E528" s="2" t="s">
        <v>213</v>
      </c>
      <c r="F528" s="2" t="s">
        <v>1038</v>
      </c>
      <c r="G528" s="2" t="s">
        <v>1039</v>
      </c>
      <c r="H528" s="2">
        <v>9178820923</v>
      </c>
      <c r="I528" s="2" t="s">
        <v>1040</v>
      </c>
      <c r="J528" s="2" t="s">
        <v>1434</v>
      </c>
      <c r="K528" s="2">
        <v>2</v>
      </c>
      <c r="L528" s="2">
        <v>255</v>
      </c>
      <c r="M528" s="3">
        <v>240</v>
      </c>
    </row>
    <row r="529" spans="1:13" x14ac:dyDescent="0.2">
      <c r="A529" s="1" t="s">
        <v>1360</v>
      </c>
      <c r="B529" s="1" t="s">
        <v>23</v>
      </c>
      <c r="C529" s="1" t="s">
        <v>15</v>
      </c>
      <c r="D529" s="2" t="s">
        <v>36</v>
      </c>
      <c r="E529" s="2" t="s">
        <v>207</v>
      </c>
      <c r="F529" s="2" t="s">
        <v>1361</v>
      </c>
      <c r="G529" s="2" t="s">
        <v>1362</v>
      </c>
      <c r="H529" s="2" t="s">
        <v>1363</v>
      </c>
      <c r="I529" s="2" t="s">
        <v>1364</v>
      </c>
      <c r="J529" s="2" t="s">
        <v>1434</v>
      </c>
      <c r="K529" s="2">
        <v>3</v>
      </c>
      <c r="L529" s="2">
        <v>609</v>
      </c>
      <c r="M529" s="3">
        <v>507</v>
      </c>
    </row>
    <row r="530" spans="1:13" x14ac:dyDescent="0.2">
      <c r="A530" s="1" t="s">
        <v>1041</v>
      </c>
      <c r="B530" s="1" t="s">
        <v>23</v>
      </c>
      <c r="C530" s="1" t="s">
        <v>15</v>
      </c>
      <c r="D530" s="2" t="s">
        <v>36</v>
      </c>
      <c r="E530" s="2" t="s">
        <v>176</v>
      </c>
      <c r="F530" s="2" t="s">
        <v>1042</v>
      </c>
      <c r="G530" s="2" t="s">
        <v>1043</v>
      </c>
      <c r="H530" s="2" t="s">
        <v>1044</v>
      </c>
      <c r="I530" s="2" t="s">
        <v>1045</v>
      </c>
      <c r="J530" s="2" t="s">
        <v>1434</v>
      </c>
      <c r="K530" s="2">
        <v>2</v>
      </c>
      <c r="L530" s="2">
        <v>48</v>
      </c>
      <c r="M530" s="3">
        <v>48</v>
      </c>
    </row>
    <row r="531" spans="1:13" x14ac:dyDescent="0.2">
      <c r="A531" s="1" t="s">
        <v>1480</v>
      </c>
      <c r="B531" s="1" t="s">
        <v>23</v>
      </c>
      <c r="C531" s="1" t="s">
        <v>15</v>
      </c>
      <c r="D531" s="2" t="s">
        <v>36</v>
      </c>
      <c r="E531" s="2" t="s">
        <v>37</v>
      </c>
      <c r="F531" s="2" t="s">
        <v>1481</v>
      </c>
      <c r="G531" s="2" t="s">
        <v>1482</v>
      </c>
      <c r="H531" s="2" t="s">
        <v>1483</v>
      </c>
      <c r="I531" s="2" t="s">
        <v>1484</v>
      </c>
      <c r="J531" s="2" t="s">
        <v>1434</v>
      </c>
      <c r="K531" s="2">
        <v>1</v>
      </c>
      <c r="L531" s="2">
        <v>61</v>
      </c>
      <c r="M531" s="3">
        <v>60</v>
      </c>
    </row>
    <row r="532" spans="1:13" x14ac:dyDescent="0.2">
      <c r="A532" s="1" t="s">
        <v>1485</v>
      </c>
      <c r="B532" s="1" t="s">
        <v>23</v>
      </c>
      <c r="C532" s="1" t="s">
        <v>15</v>
      </c>
      <c r="D532" s="2" t="s">
        <v>72</v>
      </c>
      <c r="E532" s="2" t="s">
        <v>73</v>
      </c>
      <c r="F532" s="2" t="s">
        <v>1486</v>
      </c>
      <c r="G532" s="2" t="s">
        <v>1487</v>
      </c>
      <c r="H532" s="2" t="s">
        <v>1488</v>
      </c>
      <c r="I532" s="2" t="s">
        <v>1489</v>
      </c>
      <c r="J532" s="2" t="s">
        <v>1434</v>
      </c>
      <c r="K532" s="2">
        <v>0</v>
      </c>
      <c r="L532" s="2">
        <v>0</v>
      </c>
      <c r="M532" s="3">
        <v>43</v>
      </c>
    </row>
    <row r="533" spans="1:13" x14ac:dyDescent="0.2">
      <c r="A533" s="1" t="s">
        <v>1490</v>
      </c>
      <c r="B533" s="1" t="s">
        <v>23</v>
      </c>
      <c r="C533" s="1" t="s">
        <v>15</v>
      </c>
      <c r="D533" s="2" t="s">
        <v>44</v>
      </c>
      <c r="E533" s="2" t="s">
        <v>44</v>
      </c>
      <c r="F533" s="2" t="s">
        <v>1491</v>
      </c>
      <c r="G533" s="2" t="s">
        <v>1492</v>
      </c>
      <c r="H533" s="2" t="s">
        <v>1493</v>
      </c>
      <c r="I533" s="2" t="s">
        <v>1494</v>
      </c>
      <c r="J533" s="2" t="s">
        <v>1434</v>
      </c>
      <c r="K533" s="2">
        <v>1</v>
      </c>
      <c r="L533" s="2">
        <v>16</v>
      </c>
      <c r="M533" s="3">
        <v>14</v>
      </c>
    </row>
    <row r="534" spans="1:13" x14ac:dyDescent="0.2">
      <c r="A534" s="1" t="s">
        <v>171</v>
      </c>
      <c r="B534" s="1" t="s">
        <v>23</v>
      </c>
      <c r="C534" s="1" t="s">
        <v>15</v>
      </c>
      <c r="D534" s="2" t="s">
        <v>55</v>
      </c>
      <c r="E534" s="2" t="s">
        <v>56</v>
      </c>
      <c r="F534" s="2" t="s">
        <v>172</v>
      </c>
      <c r="G534" s="2" t="s">
        <v>173</v>
      </c>
      <c r="H534" s="2">
        <v>2474130</v>
      </c>
      <c r="I534" s="2" t="s">
        <v>174</v>
      </c>
      <c r="J534" s="2" t="s">
        <v>1434</v>
      </c>
      <c r="K534" s="2">
        <v>2</v>
      </c>
      <c r="L534" s="2">
        <v>96</v>
      </c>
      <c r="M534" s="3">
        <v>96</v>
      </c>
    </row>
    <row r="535" spans="1:13" x14ac:dyDescent="0.2">
      <c r="A535" s="1" t="s">
        <v>1495</v>
      </c>
      <c r="B535" s="1" t="s">
        <v>23</v>
      </c>
      <c r="C535" s="1" t="s">
        <v>15</v>
      </c>
      <c r="D535" s="2" t="s">
        <v>16</v>
      </c>
      <c r="E535" s="2" t="s">
        <v>108</v>
      </c>
      <c r="F535" s="2" t="s">
        <v>1496</v>
      </c>
      <c r="G535" s="2" t="s">
        <v>1497</v>
      </c>
      <c r="H535" s="2" t="s">
        <v>1498</v>
      </c>
      <c r="I535" s="2" t="s">
        <v>1499</v>
      </c>
      <c r="J535" s="2" t="s">
        <v>1434</v>
      </c>
      <c r="K535" s="2">
        <v>1</v>
      </c>
      <c r="L535" s="2">
        <v>47</v>
      </c>
      <c r="M535" s="3">
        <v>47</v>
      </c>
    </row>
    <row r="536" spans="1:13" x14ac:dyDescent="0.2">
      <c r="A536" s="1" t="s">
        <v>1500</v>
      </c>
      <c r="B536" s="1" t="s">
        <v>23</v>
      </c>
      <c r="C536" s="1" t="s">
        <v>15</v>
      </c>
      <c r="D536" s="2" t="s">
        <v>36</v>
      </c>
      <c r="E536" s="2" t="s">
        <v>207</v>
      </c>
      <c r="F536" s="2" t="s">
        <v>1501</v>
      </c>
      <c r="G536" s="2" t="s">
        <v>1502</v>
      </c>
      <c r="H536" s="2" t="s">
        <v>1503</v>
      </c>
      <c r="I536" s="2" t="s">
        <v>1504</v>
      </c>
      <c r="J536" s="2" t="s">
        <v>1434</v>
      </c>
      <c r="K536" s="2">
        <v>1</v>
      </c>
      <c r="L536" s="2">
        <v>31</v>
      </c>
      <c r="M536" s="3">
        <v>30</v>
      </c>
    </row>
    <row r="537" spans="1:13" x14ac:dyDescent="0.2">
      <c r="A537" s="1" t="s">
        <v>1505</v>
      </c>
      <c r="B537" s="1" t="s">
        <v>23</v>
      </c>
      <c r="C537" s="1" t="s">
        <v>15</v>
      </c>
      <c r="D537" s="2" t="s">
        <v>55</v>
      </c>
      <c r="E537" s="2" t="s">
        <v>56</v>
      </c>
      <c r="F537" s="2" t="s">
        <v>1506</v>
      </c>
      <c r="G537" s="2" t="s">
        <v>1507</v>
      </c>
      <c r="H537" s="2" t="s">
        <v>1508</v>
      </c>
      <c r="I537" s="2" t="s">
        <v>1509</v>
      </c>
      <c r="J537" s="2" t="s">
        <v>1434</v>
      </c>
      <c r="K537" s="2">
        <v>2</v>
      </c>
      <c r="L537" s="2">
        <v>145</v>
      </c>
      <c r="M537" s="3">
        <v>140</v>
      </c>
    </row>
    <row r="538" spans="1:13" x14ac:dyDescent="0.2">
      <c r="A538" s="1" t="s">
        <v>410</v>
      </c>
      <c r="B538" s="1" t="s">
        <v>23</v>
      </c>
      <c r="C538" s="1" t="s">
        <v>15</v>
      </c>
      <c r="D538" s="2" t="s">
        <v>36</v>
      </c>
      <c r="E538" s="2" t="s">
        <v>176</v>
      </c>
      <c r="F538" s="2" t="s">
        <v>1167</v>
      </c>
      <c r="G538" s="2" t="s">
        <v>412</v>
      </c>
      <c r="H538" s="2">
        <v>9278551680</v>
      </c>
      <c r="I538" s="2" t="s">
        <v>414</v>
      </c>
      <c r="J538" s="2" t="s">
        <v>1434</v>
      </c>
      <c r="K538" s="2">
        <v>1</v>
      </c>
      <c r="L538" s="2">
        <v>38</v>
      </c>
      <c r="M538" s="3">
        <v>38</v>
      </c>
    </row>
    <row r="539" spans="1:13" x14ac:dyDescent="0.2">
      <c r="A539" s="1" t="s">
        <v>435</v>
      </c>
      <c r="B539" s="1" t="s">
        <v>23</v>
      </c>
      <c r="C539" s="1" t="s">
        <v>15</v>
      </c>
      <c r="D539" s="2" t="s">
        <v>36</v>
      </c>
      <c r="E539" s="2" t="s">
        <v>207</v>
      </c>
      <c r="F539" s="2" t="s">
        <v>436</v>
      </c>
      <c r="G539" s="2" t="s">
        <v>437</v>
      </c>
      <c r="H539" s="2" t="s">
        <v>438</v>
      </c>
      <c r="I539" s="2" t="s">
        <v>439</v>
      </c>
      <c r="J539" s="2" t="s">
        <v>1434</v>
      </c>
      <c r="K539" s="2">
        <v>1</v>
      </c>
      <c r="L539" s="2">
        <v>379</v>
      </c>
      <c r="M539" s="3">
        <v>294</v>
      </c>
    </row>
    <row r="540" spans="1:13" x14ac:dyDescent="0.2">
      <c r="A540" s="1" t="s">
        <v>1510</v>
      </c>
      <c r="B540" s="1" t="s">
        <v>23</v>
      </c>
      <c r="C540" s="1" t="s">
        <v>15</v>
      </c>
      <c r="D540" s="2" t="s">
        <v>36</v>
      </c>
      <c r="E540" s="2" t="s">
        <v>207</v>
      </c>
      <c r="F540" s="2" t="s">
        <v>1511</v>
      </c>
      <c r="G540" s="2" t="s">
        <v>1512</v>
      </c>
      <c r="H540" s="2">
        <v>87216790</v>
      </c>
      <c r="I540" s="2" t="s">
        <v>1513</v>
      </c>
      <c r="J540" s="2" t="s">
        <v>1434</v>
      </c>
      <c r="K540" s="2">
        <v>2</v>
      </c>
      <c r="L540" s="2">
        <v>312</v>
      </c>
      <c r="M540" s="3">
        <v>293</v>
      </c>
    </row>
    <row r="541" spans="1:13" x14ac:dyDescent="0.2">
      <c r="A541" s="1" t="s">
        <v>470</v>
      </c>
      <c r="B541" s="1" t="s">
        <v>23</v>
      </c>
      <c r="C541" s="1" t="s">
        <v>15</v>
      </c>
      <c r="D541" s="2" t="s">
        <v>36</v>
      </c>
      <c r="E541" s="2" t="s">
        <v>207</v>
      </c>
      <c r="F541" s="2" t="s">
        <v>471</v>
      </c>
      <c r="G541" s="2" t="s">
        <v>472</v>
      </c>
      <c r="H541" s="2" t="s">
        <v>473</v>
      </c>
      <c r="I541" s="2" t="s">
        <v>474</v>
      </c>
      <c r="J541" s="2" t="s">
        <v>1434</v>
      </c>
      <c r="K541" s="2">
        <v>1</v>
      </c>
      <c r="L541" s="2">
        <v>25</v>
      </c>
      <c r="M541" s="3">
        <v>0</v>
      </c>
    </row>
    <row r="542" spans="1:13" x14ac:dyDescent="0.2">
      <c r="A542" s="1" t="s">
        <v>191</v>
      </c>
      <c r="B542" s="1" t="s">
        <v>23</v>
      </c>
      <c r="C542" s="1" t="s">
        <v>15</v>
      </c>
      <c r="D542" s="2" t="s">
        <v>55</v>
      </c>
      <c r="E542" s="2" t="s">
        <v>92</v>
      </c>
      <c r="F542" s="2" t="s">
        <v>192</v>
      </c>
      <c r="G542" s="2" t="s">
        <v>193</v>
      </c>
      <c r="H542" s="2" t="s">
        <v>194</v>
      </c>
      <c r="I542" s="2" t="s">
        <v>195</v>
      </c>
      <c r="J542" s="2" t="s">
        <v>1434</v>
      </c>
      <c r="K542" s="2">
        <v>2</v>
      </c>
      <c r="L542" s="2">
        <v>99</v>
      </c>
      <c r="M542" s="3">
        <v>83</v>
      </c>
    </row>
    <row r="543" spans="1:13" x14ac:dyDescent="0.2">
      <c r="A543" s="1" t="s">
        <v>1514</v>
      </c>
      <c r="B543" s="1" t="s">
        <v>43</v>
      </c>
      <c r="C543" s="1" t="s">
        <v>15</v>
      </c>
      <c r="D543" s="2" t="s">
        <v>36</v>
      </c>
      <c r="E543" s="2" t="s">
        <v>207</v>
      </c>
      <c r="F543" s="2" t="s">
        <v>1515</v>
      </c>
      <c r="G543" s="2" t="s">
        <v>1516</v>
      </c>
      <c r="H543" s="2">
        <v>83679110</v>
      </c>
      <c r="I543" s="2" t="s">
        <v>1517</v>
      </c>
      <c r="J543" s="2" t="s">
        <v>1434</v>
      </c>
      <c r="K543" s="2">
        <v>1</v>
      </c>
      <c r="L543" s="2">
        <v>42</v>
      </c>
      <c r="M543" s="3">
        <v>42</v>
      </c>
    </row>
    <row r="544" spans="1:13" x14ac:dyDescent="0.2">
      <c r="A544" s="1" t="s">
        <v>1518</v>
      </c>
      <c r="B544" s="1" t="s">
        <v>23</v>
      </c>
      <c r="C544" s="1" t="s">
        <v>15</v>
      </c>
      <c r="D544" s="2" t="s">
        <v>44</v>
      </c>
      <c r="E544" s="2" t="s">
        <v>44</v>
      </c>
      <c r="F544" s="2" t="s">
        <v>1519</v>
      </c>
      <c r="G544" s="2" t="s">
        <v>1520</v>
      </c>
      <c r="H544" s="2" t="s">
        <v>1521</v>
      </c>
      <c r="I544" s="2" t="s">
        <v>1522</v>
      </c>
      <c r="J544" s="2" t="s">
        <v>1523</v>
      </c>
      <c r="K544" s="2">
        <v>2</v>
      </c>
      <c r="L544" s="2">
        <v>224</v>
      </c>
      <c r="M544" s="3">
        <v>330</v>
      </c>
    </row>
    <row r="545" spans="1:13" x14ac:dyDescent="0.2">
      <c r="A545" s="1" t="s">
        <v>1524</v>
      </c>
      <c r="B545" s="1" t="s">
        <v>23</v>
      </c>
      <c r="C545" s="1" t="s">
        <v>15</v>
      </c>
      <c r="D545" s="2" t="s">
        <v>72</v>
      </c>
      <c r="E545" s="2" t="s">
        <v>119</v>
      </c>
      <c r="F545" s="2" t="s">
        <v>1525</v>
      </c>
      <c r="G545" s="2" t="s">
        <v>1526</v>
      </c>
      <c r="H545" s="2" t="s">
        <v>1527</v>
      </c>
      <c r="I545" s="2" t="s">
        <v>1528</v>
      </c>
      <c r="J545" s="2" t="s">
        <v>1529</v>
      </c>
      <c r="K545" s="2">
        <v>1</v>
      </c>
      <c r="L545" s="2">
        <v>62</v>
      </c>
      <c r="M545" s="3">
        <v>57</v>
      </c>
    </row>
    <row r="546" spans="1:13" x14ac:dyDescent="0.2">
      <c r="A546" s="1" t="s">
        <v>79</v>
      </c>
      <c r="B546" s="1" t="s">
        <v>23</v>
      </c>
      <c r="C546" s="1" t="s">
        <v>15</v>
      </c>
      <c r="D546" s="2" t="s">
        <v>24</v>
      </c>
      <c r="E546" s="2" t="s">
        <v>80</v>
      </c>
      <c r="F546" s="2" t="s">
        <v>81</v>
      </c>
      <c r="G546" s="2" t="s">
        <v>82</v>
      </c>
      <c r="H546" s="2" t="s">
        <v>83</v>
      </c>
      <c r="I546" s="2" t="s">
        <v>84</v>
      </c>
      <c r="J546" s="2" t="s">
        <v>1529</v>
      </c>
      <c r="K546" s="2">
        <v>1</v>
      </c>
      <c r="L546" s="2">
        <v>11</v>
      </c>
      <c r="M546" s="3">
        <v>10</v>
      </c>
    </row>
    <row r="547" spans="1:13" x14ac:dyDescent="0.2">
      <c r="A547" s="1" t="s">
        <v>196</v>
      </c>
      <c r="B547" s="1" t="s">
        <v>23</v>
      </c>
      <c r="C547" s="1" t="s">
        <v>15</v>
      </c>
      <c r="D547" s="2" t="s">
        <v>72</v>
      </c>
      <c r="E547" s="2" t="s">
        <v>73</v>
      </c>
      <c r="F547" s="2" t="s">
        <v>197</v>
      </c>
      <c r="G547" s="2" t="s">
        <v>198</v>
      </c>
      <c r="H547" s="2" t="s">
        <v>199</v>
      </c>
      <c r="I547" s="2" t="s">
        <v>200</v>
      </c>
      <c r="J547" s="2" t="s">
        <v>1529</v>
      </c>
      <c r="K547" s="2">
        <v>1</v>
      </c>
      <c r="L547" s="2">
        <v>75</v>
      </c>
      <c r="M547" s="3">
        <v>75</v>
      </c>
    </row>
    <row r="548" spans="1:13" x14ac:dyDescent="0.2">
      <c r="A548" s="1" t="s">
        <v>1530</v>
      </c>
      <c r="B548" s="1" t="s">
        <v>23</v>
      </c>
      <c r="C548" s="1" t="s">
        <v>15</v>
      </c>
      <c r="D548" s="2" t="s">
        <v>55</v>
      </c>
      <c r="E548" s="2" t="s">
        <v>56</v>
      </c>
      <c r="F548" s="2" t="s">
        <v>1531</v>
      </c>
      <c r="G548" s="2" t="s">
        <v>1532</v>
      </c>
      <c r="H548" s="2">
        <v>9178788295</v>
      </c>
      <c r="I548" s="2" t="s">
        <v>1533</v>
      </c>
      <c r="J548" s="2" t="s">
        <v>1529</v>
      </c>
      <c r="K548" s="2">
        <v>1</v>
      </c>
      <c r="L548" s="2">
        <v>58</v>
      </c>
      <c r="M548" s="3">
        <v>58</v>
      </c>
    </row>
    <row r="549" spans="1:13" x14ac:dyDescent="0.2">
      <c r="A549" s="1" t="s">
        <v>714</v>
      </c>
      <c r="B549" s="1" t="s">
        <v>23</v>
      </c>
      <c r="C549" s="1" t="s">
        <v>15</v>
      </c>
      <c r="D549" s="2" t="s">
        <v>36</v>
      </c>
      <c r="E549" s="2" t="s">
        <v>207</v>
      </c>
      <c r="F549" s="2" t="s">
        <v>760</v>
      </c>
      <c r="G549" s="2" t="s">
        <v>761</v>
      </c>
      <c r="H549" s="2" t="s">
        <v>762</v>
      </c>
      <c r="I549" s="2" t="s">
        <v>718</v>
      </c>
      <c r="J549" s="2" t="s">
        <v>1529</v>
      </c>
      <c r="K549" s="2">
        <v>0</v>
      </c>
      <c r="L549" s="2">
        <v>0</v>
      </c>
      <c r="M549" s="3">
        <v>0</v>
      </c>
    </row>
    <row r="550" spans="1:13" x14ac:dyDescent="0.2">
      <c r="A550" s="1" t="s">
        <v>920</v>
      </c>
      <c r="B550" s="1" t="s">
        <v>23</v>
      </c>
      <c r="C550" s="1" t="s">
        <v>15</v>
      </c>
      <c r="D550" s="2" t="s">
        <v>16</v>
      </c>
      <c r="E550" s="2" t="s">
        <v>17</v>
      </c>
      <c r="F550" s="2" t="s">
        <v>921</v>
      </c>
      <c r="G550" s="2" t="s">
        <v>922</v>
      </c>
      <c r="H550" s="2" t="s">
        <v>923</v>
      </c>
      <c r="I550" s="2" t="s">
        <v>924</v>
      </c>
      <c r="J550" s="2" t="s">
        <v>1529</v>
      </c>
      <c r="K550" s="2">
        <v>2</v>
      </c>
      <c r="L550" s="2">
        <v>48</v>
      </c>
      <c r="M550" s="3">
        <v>38</v>
      </c>
    </row>
    <row r="551" spans="1:13" x14ac:dyDescent="0.2">
      <c r="A551" s="1" t="s">
        <v>86</v>
      </c>
      <c r="B551" s="1" t="s">
        <v>23</v>
      </c>
      <c r="C551" s="1" t="s">
        <v>15</v>
      </c>
      <c r="D551" s="2" t="s">
        <v>72</v>
      </c>
      <c r="E551" s="2" t="s">
        <v>73</v>
      </c>
      <c r="F551" s="2" t="s">
        <v>87</v>
      </c>
      <c r="G551" s="2" t="s">
        <v>88</v>
      </c>
      <c r="H551" s="2" t="s">
        <v>89</v>
      </c>
      <c r="I551" s="2" t="s">
        <v>90</v>
      </c>
      <c r="J551" s="2" t="s">
        <v>1529</v>
      </c>
      <c r="K551" s="2">
        <v>2</v>
      </c>
      <c r="L551" s="2">
        <v>101</v>
      </c>
      <c r="M551" s="3">
        <v>33</v>
      </c>
    </row>
    <row r="552" spans="1:13" x14ac:dyDescent="0.2">
      <c r="A552" s="1" t="s">
        <v>934</v>
      </c>
      <c r="B552" s="1" t="s">
        <v>23</v>
      </c>
      <c r="C552" s="1" t="s">
        <v>15</v>
      </c>
      <c r="D552" s="2" t="s">
        <v>72</v>
      </c>
      <c r="E552" s="2" t="s">
        <v>73</v>
      </c>
      <c r="F552" s="2" t="s">
        <v>935</v>
      </c>
      <c r="G552" s="2" t="s">
        <v>936</v>
      </c>
      <c r="H552" s="2" t="s">
        <v>937</v>
      </c>
      <c r="I552" s="2" t="s">
        <v>938</v>
      </c>
      <c r="J552" s="2" t="s">
        <v>1529</v>
      </c>
      <c r="K552" s="2">
        <v>2</v>
      </c>
      <c r="L552" s="2">
        <v>215</v>
      </c>
      <c r="M552" s="3">
        <v>215</v>
      </c>
    </row>
    <row r="553" spans="1:13" x14ac:dyDescent="0.2">
      <c r="A553" s="1" t="s">
        <v>1534</v>
      </c>
      <c r="B553" s="1" t="s">
        <v>23</v>
      </c>
      <c r="C553" s="1" t="s">
        <v>15</v>
      </c>
      <c r="D553" s="2" t="s">
        <v>72</v>
      </c>
      <c r="E553" s="2" t="s">
        <v>213</v>
      </c>
      <c r="F553" s="2" t="s">
        <v>1535</v>
      </c>
      <c r="G553" s="2" t="s">
        <v>1536</v>
      </c>
      <c r="H553" s="2" t="s">
        <v>1537</v>
      </c>
      <c r="I553" s="2" t="s">
        <v>1538</v>
      </c>
      <c r="J553" s="2" t="s">
        <v>1529</v>
      </c>
      <c r="K553" s="2">
        <v>1</v>
      </c>
      <c r="L553" s="2">
        <v>141</v>
      </c>
      <c r="M553" s="3">
        <v>222</v>
      </c>
    </row>
    <row r="554" spans="1:13" x14ac:dyDescent="0.2">
      <c r="A554" s="1" t="s">
        <v>949</v>
      </c>
      <c r="B554" s="1" t="s">
        <v>23</v>
      </c>
      <c r="C554" s="1" t="s">
        <v>15</v>
      </c>
      <c r="D554" s="2" t="s">
        <v>44</v>
      </c>
      <c r="E554" s="2" t="s">
        <v>44</v>
      </c>
      <c r="F554" s="2" t="s">
        <v>950</v>
      </c>
      <c r="G554" s="2" t="s">
        <v>951</v>
      </c>
      <c r="H554" s="2" t="s">
        <v>952</v>
      </c>
      <c r="I554" s="2" t="s">
        <v>953</v>
      </c>
      <c r="J554" s="2" t="s">
        <v>1529</v>
      </c>
      <c r="K554" s="2">
        <v>1</v>
      </c>
      <c r="L554" s="2">
        <v>83</v>
      </c>
      <c r="M554" s="3">
        <v>75</v>
      </c>
    </row>
    <row r="555" spans="1:13" x14ac:dyDescent="0.2">
      <c r="A555" s="1" t="s">
        <v>113</v>
      </c>
      <c r="B555" s="1" t="s">
        <v>23</v>
      </c>
      <c r="C555" s="1" t="s">
        <v>15</v>
      </c>
      <c r="D555" s="2" t="s">
        <v>44</v>
      </c>
      <c r="E555" s="2" t="s">
        <v>44</v>
      </c>
      <c r="F555" s="2" t="s">
        <v>114</v>
      </c>
      <c r="G555" s="2" t="s">
        <v>115</v>
      </c>
      <c r="H555" s="2" t="s">
        <v>116</v>
      </c>
      <c r="I555" s="2" t="s">
        <v>117</v>
      </c>
      <c r="J555" s="2" t="s">
        <v>1529</v>
      </c>
      <c r="K555" s="2">
        <v>1</v>
      </c>
      <c r="L555" s="2">
        <v>50</v>
      </c>
      <c r="M555" s="3">
        <v>24</v>
      </c>
    </row>
    <row r="556" spans="1:13" x14ac:dyDescent="0.2">
      <c r="A556" s="1" t="s">
        <v>22</v>
      </c>
      <c r="B556" s="1" t="s">
        <v>23</v>
      </c>
      <c r="C556" s="1" t="s">
        <v>15</v>
      </c>
      <c r="D556" s="2" t="s">
        <v>24</v>
      </c>
      <c r="E556" s="2" t="s">
        <v>25</v>
      </c>
      <c r="F556" s="2" t="s">
        <v>26</v>
      </c>
      <c r="G556" s="2" t="s">
        <v>27</v>
      </c>
      <c r="H556" s="2" t="s">
        <v>28</v>
      </c>
      <c r="I556" s="2"/>
      <c r="J556" s="2" t="s">
        <v>1529</v>
      </c>
      <c r="K556" s="2">
        <v>2</v>
      </c>
      <c r="L556" s="2">
        <v>122</v>
      </c>
      <c r="M556" s="3">
        <v>156</v>
      </c>
    </row>
    <row r="557" spans="1:13" x14ac:dyDescent="0.2">
      <c r="A557" s="1" t="s">
        <v>500</v>
      </c>
      <c r="B557" s="1" t="s">
        <v>23</v>
      </c>
      <c r="C557" s="1" t="s">
        <v>15</v>
      </c>
      <c r="D557" s="2" t="s">
        <v>72</v>
      </c>
      <c r="E557" s="2" t="s">
        <v>491</v>
      </c>
      <c r="F557" s="2" t="s">
        <v>501</v>
      </c>
      <c r="G557" s="2" t="s">
        <v>502</v>
      </c>
      <c r="H557" s="2" t="s">
        <v>503</v>
      </c>
      <c r="I557" s="2" t="s">
        <v>504</v>
      </c>
      <c r="J557" s="2" t="s">
        <v>1529</v>
      </c>
      <c r="K557" s="2">
        <v>1</v>
      </c>
      <c r="L557" s="2">
        <v>76</v>
      </c>
      <c r="M557" s="3">
        <v>120</v>
      </c>
    </row>
    <row r="558" spans="1:13" x14ac:dyDescent="0.2">
      <c r="A558" s="1" t="s">
        <v>212</v>
      </c>
      <c r="B558" s="1" t="s">
        <v>23</v>
      </c>
      <c r="C558" s="1" t="s">
        <v>15</v>
      </c>
      <c r="D558" s="2" t="s">
        <v>72</v>
      </c>
      <c r="E558" s="2" t="s">
        <v>213</v>
      </c>
      <c r="F558" s="2" t="s">
        <v>214</v>
      </c>
      <c r="G558" s="2" t="s">
        <v>215</v>
      </c>
      <c r="H558" s="2" t="s">
        <v>216</v>
      </c>
      <c r="I558" s="2" t="s">
        <v>217</v>
      </c>
      <c r="J558" s="2" t="s">
        <v>1529</v>
      </c>
      <c r="K558" s="2">
        <v>1</v>
      </c>
      <c r="L558" s="2">
        <v>200</v>
      </c>
      <c r="M558" s="3">
        <v>125</v>
      </c>
    </row>
    <row r="559" spans="1:13" x14ac:dyDescent="0.2">
      <c r="A559" s="1" t="s">
        <v>124</v>
      </c>
      <c r="B559" s="1" t="s">
        <v>23</v>
      </c>
      <c r="C559" s="1" t="s">
        <v>15</v>
      </c>
      <c r="D559" s="2" t="s">
        <v>16</v>
      </c>
      <c r="E559" s="2" t="s">
        <v>108</v>
      </c>
      <c r="F559" s="2" t="s">
        <v>125</v>
      </c>
      <c r="G559" s="2" t="s">
        <v>126</v>
      </c>
      <c r="H559" s="2" t="s">
        <v>127</v>
      </c>
      <c r="I559" s="2" t="s">
        <v>128</v>
      </c>
      <c r="J559" s="2" t="s">
        <v>1529</v>
      </c>
      <c r="K559" s="2">
        <v>1</v>
      </c>
      <c r="L559" s="2">
        <v>64</v>
      </c>
      <c r="M559" s="3">
        <v>36</v>
      </c>
    </row>
    <row r="560" spans="1:13" x14ac:dyDescent="0.2">
      <c r="A560" s="1" t="s">
        <v>129</v>
      </c>
      <c r="B560" s="1" t="s">
        <v>23</v>
      </c>
      <c r="C560" s="1" t="s">
        <v>15</v>
      </c>
      <c r="D560" s="2" t="s">
        <v>16</v>
      </c>
      <c r="E560" s="2" t="s">
        <v>108</v>
      </c>
      <c r="F560" s="2" t="s">
        <v>130</v>
      </c>
      <c r="G560" s="2" t="s">
        <v>131</v>
      </c>
      <c r="H560" s="2" t="s">
        <v>132</v>
      </c>
      <c r="I560" s="2" t="s">
        <v>133</v>
      </c>
      <c r="J560" s="2" t="s">
        <v>1529</v>
      </c>
      <c r="K560" s="2">
        <v>0</v>
      </c>
      <c r="L560" s="2">
        <v>0</v>
      </c>
      <c r="M560" s="3">
        <v>49</v>
      </c>
    </row>
    <row r="561" spans="1:13" x14ac:dyDescent="0.2">
      <c r="A561" s="1" t="s">
        <v>455</v>
      </c>
      <c r="B561" s="1" t="s">
        <v>23</v>
      </c>
      <c r="C561" s="1" t="s">
        <v>15</v>
      </c>
      <c r="D561" s="2" t="s">
        <v>16</v>
      </c>
      <c r="E561" s="2" t="s">
        <v>456</v>
      </c>
      <c r="F561" s="2" t="s">
        <v>457</v>
      </c>
      <c r="G561" s="2" t="s">
        <v>458</v>
      </c>
      <c r="H561" s="2" t="s">
        <v>459</v>
      </c>
      <c r="I561" s="2" t="s">
        <v>460</v>
      </c>
      <c r="J561" s="2" t="s">
        <v>1529</v>
      </c>
      <c r="K561" s="2">
        <v>1</v>
      </c>
      <c r="L561" s="2">
        <v>114</v>
      </c>
      <c r="M561" s="3">
        <v>89</v>
      </c>
    </row>
    <row r="562" spans="1:13" x14ac:dyDescent="0.2">
      <c r="A562" s="1" t="s">
        <v>218</v>
      </c>
      <c r="B562" s="1" t="s">
        <v>23</v>
      </c>
      <c r="C562" s="1" t="s">
        <v>15</v>
      </c>
      <c r="D562" s="2" t="s">
        <v>72</v>
      </c>
      <c r="E562" s="2" t="s">
        <v>213</v>
      </c>
      <c r="F562" s="2" t="s">
        <v>219</v>
      </c>
      <c r="G562" s="2" t="s">
        <v>220</v>
      </c>
      <c r="H562" s="2" t="s">
        <v>221</v>
      </c>
      <c r="I562" s="2" t="s">
        <v>222</v>
      </c>
      <c r="J562" s="2" t="s">
        <v>1529</v>
      </c>
      <c r="K562" s="2">
        <v>1</v>
      </c>
      <c r="L562" s="2">
        <v>63</v>
      </c>
      <c r="M562" s="3">
        <v>59</v>
      </c>
    </row>
    <row r="563" spans="1:13" x14ac:dyDescent="0.2">
      <c r="A563" s="1" t="s">
        <v>290</v>
      </c>
      <c r="B563" s="1" t="s">
        <v>43</v>
      </c>
      <c r="C563" s="1" t="s">
        <v>15</v>
      </c>
      <c r="D563" s="2" t="s">
        <v>72</v>
      </c>
      <c r="E563" s="2" t="s">
        <v>213</v>
      </c>
      <c r="F563" s="2" t="s">
        <v>291</v>
      </c>
      <c r="G563" s="2" t="s">
        <v>292</v>
      </c>
      <c r="H563" s="2" t="s">
        <v>293</v>
      </c>
      <c r="I563" s="2" t="s">
        <v>294</v>
      </c>
      <c r="J563" s="2" t="s">
        <v>1529</v>
      </c>
      <c r="K563" s="2">
        <v>0</v>
      </c>
      <c r="L563" s="2">
        <v>0</v>
      </c>
      <c r="M563" s="3">
        <v>11</v>
      </c>
    </row>
    <row r="564" spans="1:13" x14ac:dyDescent="0.2">
      <c r="A564" s="1" t="s">
        <v>223</v>
      </c>
      <c r="B564" s="1" t="s">
        <v>23</v>
      </c>
      <c r="C564" s="1" t="s">
        <v>15</v>
      </c>
      <c r="D564" s="2" t="s">
        <v>16</v>
      </c>
      <c r="E564" s="2" t="s">
        <v>224</v>
      </c>
      <c r="F564" s="2" t="s">
        <v>225</v>
      </c>
      <c r="G564" s="2" t="s">
        <v>226</v>
      </c>
      <c r="H564" s="2" t="s">
        <v>227</v>
      </c>
      <c r="I564" s="2" t="s">
        <v>228</v>
      </c>
      <c r="J564" s="2" t="s">
        <v>1529</v>
      </c>
      <c r="K564" s="2">
        <v>1</v>
      </c>
      <c r="L564" s="2">
        <v>26</v>
      </c>
      <c r="M564" s="3">
        <v>0</v>
      </c>
    </row>
    <row r="565" spans="1:13" x14ac:dyDescent="0.2">
      <c r="A565" s="1" t="s">
        <v>510</v>
      </c>
      <c r="B565" s="1" t="s">
        <v>23</v>
      </c>
      <c r="C565" s="1" t="s">
        <v>15</v>
      </c>
      <c r="D565" s="2" t="s">
        <v>24</v>
      </c>
      <c r="E565" s="2" t="s">
        <v>166</v>
      </c>
      <c r="F565" s="2" t="s">
        <v>549</v>
      </c>
      <c r="G565" s="2" t="s">
        <v>550</v>
      </c>
      <c r="H565" s="2" t="s">
        <v>551</v>
      </c>
      <c r="I565" s="2" t="s">
        <v>552</v>
      </c>
      <c r="J565" s="2" t="s">
        <v>1529</v>
      </c>
      <c r="K565" s="2">
        <v>3</v>
      </c>
      <c r="L565" s="2">
        <v>293</v>
      </c>
      <c r="M565" s="3">
        <v>381</v>
      </c>
    </row>
    <row r="566" spans="1:13" x14ac:dyDescent="0.2">
      <c r="A566" s="1" t="s">
        <v>510</v>
      </c>
      <c r="B566" s="1" t="s">
        <v>23</v>
      </c>
      <c r="C566" s="1" t="s">
        <v>15</v>
      </c>
      <c r="D566" s="2" t="s">
        <v>72</v>
      </c>
      <c r="E566" s="2" t="s">
        <v>213</v>
      </c>
      <c r="F566" s="2" t="s">
        <v>511</v>
      </c>
      <c r="G566" s="2" t="s">
        <v>512</v>
      </c>
      <c r="H566" s="2" t="s">
        <v>513</v>
      </c>
      <c r="I566" s="2" t="s">
        <v>514</v>
      </c>
      <c r="J566" s="2" t="s">
        <v>1529</v>
      </c>
      <c r="K566" s="2">
        <v>1</v>
      </c>
      <c r="L566" s="2">
        <v>60</v>
      </c>
      <c r="M566" s="3">
        <v>116</v>
      </c>
    </row>
    <row r="567" spans="1:13" x14ac:dyDescent="0.2">
      <c r="A567" s="1" t="s">
        <v>1312</v>
      </c>
      <c r="B567" s="1" t="s">
        <v>66</v>
      </c>
      <c r="C567" s="1" t="s">
        <v>15</v>
      </c>
      <c r="D567" s="2" t="s">
        <v>72</v>
      </c>
      <c r="E567" s="2" t="s">
        <v>213</v>
      </c>
      <c r="F567" s="2" t="s">
        <v>1313</v>
      </c>
      <c r="G567" s="2" t="s">
        <v>1314</v>
      </c>
      <c r="H567" s="2" t="s">
        <v>1315</v>
      </c>
      <c r="I567" s="2" t="s">
        <v>1316</v>
      </c>
      <c r="J567" s="2" t="s">
        <v>1529</v>
      </c>
      <c r="K567" s="2">
        <v>1</v>
      </c>
      <c r="L567" s="2">
        <v>58</v>
      </c>
      <c r="M567" s="3">
        <v>75</v>
      </c>
    </row>
    <row r="568" spans="1:13" x14ac:dyDescent="0.2">
      <c r="A568" s="1" t="s">
        <v>1539</v>
      </c>
      <c r="B568" s="1" t="s">
        <v>43</v>
      </c>
      <c r="C568" s="1" t="s">
        <v>15</v>
      </c>
      <c r="D568" s="2" t="s">
        <v>44</v>
      </c>
      <c r="E568" s="2" t="s">
        <v>44</v>
      </c>
      <c r="F568" s="2" t="s">
        <v>1540</v>
      </c>
      <c r="G568" s="2" t="s">
        <v>1541</v>
      </c>
      <c r="H568" s="2" t="s">
        <v>1542</v>
      </c>
      <c r="I568" s="2" t="s">
        <v>1543</v>
      </c>
      <c r="J568" s="2" t="s">
        <v>1529</v>
      </c>
      <c r="K568" s="2">
        <v>1</v>
      </c>
      <c r="L568" s="2">
        <v>63</v>
      </c>
      <c r="M568" s="3">
        <v>50</v>
      </c>
    </row>
    <row r="569" spans="1:13" x14ac:dyDescent="0.2">
      <c r="A569" s="1" t="s">
        <v>588</v>
      </c>
      <c r="B569" s="1" t="s">
        <v>23</v>
      </c>
      <c r="C569" s="1" t="s">
        <v>15</v>
      </c>
      <c r="D569" s="2" t="s">
        <v>72</v>
      </c>
      <c r="E569" s="2" t="s">
        <v>119</v>
      </c>
      <c r="F569" s="2" t="s">
        <v>589</v>
      </c>
      <c r="G569" s="2" t="s">
        <v>590</v>
      </c>
      <c r="H569" s="2" t="s">
        <v>591</v>
      </c>
      <c r="I569" s="2" t="s">
        <v>592</v>
      </c>
      <c r="J569" s="2" t="s">
        <v>1529</v>
      </c>
      <c r="K569" s="2">
        <v>1</v>
      </c>
      <c r="L569" s="2">
        <v>120</v>
      </c>
      <c r="M569" s="3">
        <v>89</v>
      </c>
    </row>
    <row r="570" spans="1:13" x14ac:dyDescent="0.2">
      <c r="A570" s="1" t="s">
        <v>1544</v>
      </c>
      <c r="B570" s="1" t="s">
        <v>1545</v>
      </c>
      <c r="C570" s="1" t="s">
        <v>15</v>
      </c>
      <c r="D570" s="2" t="s">
        <v>44</v>
      </c>
      <c r="E570" s="2" t="s">
        <v>44</v>
      </c>
      <c r="F570" s="2" t="s">
        <v>1546</v>
      </c>
      <c r="G570" s="2" t="s">
        <v>1547</v>
      </c>
      <c r="H570" s="2" t="s">
        <v>1548</v>
      </c>
      <c r="I570" s="2" t="s">
        <v>1549</v>
      </c>
      <c r="J570" s="2" t="s">
        <v>1529</v>
      </c>
      <c r="K570" s="2">
        <v>1</v>
      </c>
      <c r="L570" s="2">
        <v>51</v>
      </c>
      <c r="M570" s="3">
        <v>47</v>
      </c>
    </row>
    <row r="571" spans="1:13" x14ac:dyDescent="0.2">
      <c r="A571" s="1" t="s">
        <v>593</v>
      </c>
      <c r="B571" s="1" t="s">
        <v>23</v>
      </c>
      <c r="C571" s="1" t="s">
        <v>15</v>
      </c>
      <c r="D571" s="2" t="s">
        <v>16</v>
      </c>
      <c r="E571" s="2" t="s">
        <v>456</v>
      </c>
      <c r="F571" s="2" t="s">
        <v>594</v>
      </c>
      <c r="G571" s="2" t="s">
        <v>595</v>
      </c>
      <c r="H571" s="2" t="s">
        <v>596</v>
      </c>
      <c r="I571" s="2" t="s">
        <v>597</v>
      </c>
      <c r="J571" s="2" t="s">
        <v>1529</v>
      </c>
      <c r="K571" s="2">
        <v>2</v>
      </c>
      <c r="L571" s="2">
        <v>46</v>
      </c>
      <c r="M571" s="3">
        <v>16</v>
      </c>
    </row>
    <row r="572" spans="1:13" x14ac:dyDescent="0.2">
      <c r="A572" s="1" t="s">
        <v>144</v>
      </c>
      <c r="B572" s="1" t="s">
        <v>66</v>
      </c>
      <c r="C572" s="1" t="s">
        <v>15</v>
      </c>
      <c r="D572" s="2" t="s">
        <v>36</v>
      </c>
      <c r="E572" s="2" t="s">
        <v>145</v>
      </c>
      <c r="F572" s="2" t="s">
        <v>146</v>
      </c>
      <c r="G572" s="2" t="s">
        <v>147</v>
      </c>
      <c r="H572" s="2" t="s">
        <v>148</v>
      </c>
      <c r="I572" s="2" t="s">
        <v>149</v>
      </c>
      <c r="J572" s="2" t="s">
        <v>1529</v>
      </c>
      <c r="K572" s="2">
        <v>1</v>
      </c>
      <c r="L572" s="2">
        <v>68</v>
      </c>
      <c r="M572" s="3">
        <v>66</v>
      </c>
    </row>
    <row r="573" spans="1:13" x14ac:dyDescent="0.2">
      <c r="A573" s="1" t="s">
        <v>1470</v>
      </c>
      <c r="B573" s="1" t="s">
        <v>23</v>
      </c>
      <c r="C573" s="1" t="s">
        <v>15</v>
      </c>
      <c r="D573" s="2" t="s">
        <v>44</v>
      </c>
      <c r="E573" s="2" t="s">
        <v>44</v>
      </c>
      <c r="F573" s="2" t="s">
        <v>1471</v>
      </c>
      <c r="G573" s="2" t="s">
        <v>1472</v>
      </c>
      <c r="H573" s="2" t="s">
        <v>1473</v>
      </c>
      <c r="I573" s="2" t="s">
        <v>1474</v>
      </c>
      <c r="J573" s="2" t="s">
        <v>1529</v>
      </c>
      <c r="K573" s="2">
        <v>1</v>
      </c>
      <c r="L573" s="2">
        <v>83</v>
      </c>
      <c r="M573" s="3">
        <v>77</v>
      </c>
    </row>
    <row r="574" spans="1:13" x14ac:dyDescent="0.2">
      <c r="A574" s="1" t="s">
        <v>1550</v>
      </c>
      <c r="B574" s="1" t="s">
        <v>23</v>
      </c>
      <c r="C574" s="1" t="s">
        <v>15</v>
      </c>
      <c r="D574" s="2" t="s">
        <v>44</v>
      </c>
      <c r="E574" s="2" t="s">
        <v>44</v>
      </c>
      <c r="F574" s="2" t="s">
        <v>1551</v>
      </c>
      <c r="G574" s="2" t="s">
        <v>1552</v>
      </c>
      <c r="H574" s="2" t="s">
        <v>1553</v>
      </c>
      <c r="I574" s="2" t="s">
        <v>1554</v>
      </c>
      <c r="J574" s="2" t="s">
        <v>1529</v>
      </c>
      <c r="K574" s="2">
        <v>2</v>
      </c>
      <c r="L574" s="2">
        <v>83</v>
      </c>
      <c r="M574" s="3">
        <v>76</v>
      </c>
    </row>
    <row r="575" spans="1:13" x14ac:dyDescent="0.2">
      <c r="A575" s="1" t="s">
        <v>1555</v>
      </c>
      <c r="B575" s="1" t="s">
        <v>23</v>
      </c>
      <c r="C575" s="1" t="s">
        <v>15</v>
      </c>
      <c r="D575" s="2" t="s">
        <v>55</v>
      </c>
      <c r="E575" s="2" t="s">
        <v>92</v>
      </c>
      <c r="F575" s="2" t="s">
        <v>1556</v>
      </c>
      <c r="G575" s="2" t="s">
        <v>1557</v>
      </c>
      <c r="H575" s="2" t="s">
        <v>1558</v>
      </c>
      <c r="I575" s="2" t="s">
        <v>1559</v>
      </c>
      <c r="J575" s="2" t="s">
        <v>1529</v>
      </c>
      <c r="K575" s="2">
        <v>2</v>
      </c>
      <c r="L575" s="2">
        <v>57</v>
      </c>
      <c r="M575" s="3">
        <v>45</v>
      </c>
    </row>
    <row r="576" spans="1:13" x14ac:dyDescent="0.2">
      <c r="A576" s="1" t="s">
        <v>323</v>
      </c>
      <c r="B576" s="1" t="s">
        <v>23</v>
      </c>
      <c r="C576" s="1" t="s">
        <v>15</v>
      </c>
      <c r="D576" s="2" t="s">
        <v>16</v>
      </c>
      <c r="E576" s="2" t="s">
        <v>108</v>
      </c>
      <c r="F576" s="2" t="s">
        <v>324</v>
      </c>
      <c r="G576" s="2" t="s">
        <v>325</v>
      </c>
      <c r="H576" s="2" t="s">
        <v>326</v>
      </c>
      <c r="I576" s="2" t="s">
        <v>327</v>
      </c>
      <c r="J576" s="2" t="s">
        <v>1529</v>
      </c>
      <c r="K576" s="2">
        <v>2</v>
      </c>
      <c r="L576" s="2">
        <v>66</v>
      </c>
      <c r="M576" s="3">
        <v>141</v>
      </c>
    </row>
    <row r="577" spans="1:13" x14ac:dyDescent="0.2">
      <c r="A577" s="1" t="s">
        <v>1475</v>
      </c>
      <c r="B577" s="1" t="s">
        <v>23</v>
      </c>
      <c r="C577" s="1" t="s">
        <v>15</v>
      </c>
      <c r="D577" s="2" t="s">
        <v>44</v>
      </c>
      <c r="E577" s="2" t="s">
        <v>44</v>
      </c>
      <c r="F577" s="2" t="s">
        <v>1476</v>
      </c>
      <c r="G577" s="2" t="s">
        <v>1477</v>
      </c>
      <c r="H577" s="2" t="s">
        <v>1478</v>
      </c>
      <c r="I577" s="2" t="s">
        <v>1479</v>
      </c>
      <c r="J577" s="2" t="s">
        <v>1529</v>
      </c>
      <c r="K577" s="2">
        <v>1</v>
      </c>
      <c r="L577" s="2">
        <v>20</v>
      </c>
      <c r="M577" s="3">
        <v>20</v>
      </c>
    </row>
    <row r="578" spans="1:13" x14ac:dyDescent="0.2">
      <c r="A578" s="1" t="s">
        <v>394</v>
      </c>
      <c r="B578" s="1" t="s">
        <v>23</v>
      </c>
      <c r="C578" s="1" t="s">
        <v>15</v>
      </c>
      <c r="D578" s="2" t="s">
        <v>24</v>
      </c>
      <c r="E578" s="2" t="s">
        <v>395</v>
      </c>
      <c r="F578" s="2" t="s">
        <v>396</v>
      </c>
      <c r="G578" s="2" t="s">
        <v>397</v>
      </c>
      <c r="H578" s="2" t="s">
        <v>398</v>
      </c>
      <c r="I578" s="2" t="s">
        <v>399</v>
      </c>
      <c r="J578" s="2" t="s">
        <v>1529</v>
      </c>
      <c r="K578" s="2">
        <v>2</v>
      </c>
      <c r="L578" s="2">
        <v>274</v>
      </c>
      <c r="M578" s="3">
        <v>227</v>
      </c>
    </row>
    <row r="579" spans="1:13" x14ac:dyDescent="0.2">
      <c r="A579" s="1" t="s">
        <v>171</v>
      </c>
      <c r="B579" s="1" t="s">
        <v>23</v>
      </c>
      <c r="C579" s="1" t="s">
        <v>15</v>
      </c>
      <c r="D579" s="2" t="s">
        <v>55</v>
      </c>
      <c r="E579" s="2" t="s">
        <v>56</v>
      </c>
      <c r="F579" s="2" t="s">
        <v>172</v>
      </c>
      <c r="G579" s="2" t="s">
        <v>173</v>
      </c>
      <c r="H579" s="2">
        <v>2474130</v>
      </c>
      <c r="I579" s="2" t="s">
        <v>174</v>
      </c>
      <c r="J579" s="2" t="s">
        <v>1529</v>
      </c>
      <c r="K579" s="2">
        <v>1</v>
      </c>
      <c r="L579" s="2">
        <v>57</v>
      </c>
      <c r="M579" s="3">
        <v>57</v>
      </c>
    </row>
    <row r="580" spans="1:13" x14ac:dyDescent="0.2">
      <c r="A580" s="1" t="s">
        <v>343</v>
      </c>
      <c r="B580" s="1" t="s">
        <v>23</v>
      </c>
      <c r="C580" s="1" t="s">
        <v>15</v>
      </c>
      <c r="D580" s="2" t="s">
        <v>16</v>
      </c>
      <c r="E580" s="2" t="s">
        <v>224</v>
      </c>
      <c r="F580" s="2" t="s">
        <v>344</v>
      </c>
      <c r="G580" s="2" t="s">
        <v>345</v>
      </c>
      <c r="H580" s="2" t="s">
        <v>346</v>
      </c>
      <c r="I580" s="2" t="s">
        <v>347</v>
      </c>
      <c r="J580" s="2" t="s">
        <v>1529</v>
      </c>
      <c r="K580" s="2">
        <v>1</v>
      </c>
      <c r="L580" s="2">
        <v>26</v>
      </c>
      <c r="M580" s="3">
        <v>28</v>
      </c>
    </row>
    <row r="581" spans="1:13" x14ac:dyDescent="0.2">
      <c r="A581" s="1" t="s">
        <v>175</v>
      </c>
      <c r="B581" s="1" t="s">
        <v>23</v>
      </c>
      <c r="C581" s="1" t="s">
        <v>15</v>
      </c>
      <c r="D581" s="2" t="s">
        <v>36</v>
      </c>
      <c r="E581" s="2" t="s">
        <v>176</v>
      </c>
      <c r="F581" s="2" t="s">
        <v>177</v>
      </c>
      <c r="G581" s="2" t="s">
        <v>178</v>
      </c>
      <c r="H581" s="2" t="s">
        <v>179</v>
      </c>
      <c r="I581" s="2" t="s">
        <v>180</v>
      </c>
      <c r="J581" s="2" t="s">
        <v>1529</v>
      </c>
      <c r="K581" s="2">
        <v>1</v>
      </c>
      <c r="L581" s="2">
        <v>47</v>
      </c>
      <c r="M581" s="3">
        <v>42</v>
      </c>
    </row>
    <row r="582" spans="1:13" x14ac:dyDescent="0.2">
      <c r="A582" s="1" t="s">
        <v>1206</v>
      </c>
      <c r="B582" s="1" t="s">
        <v>43</v>
      </c>
      <c r="C582" s="1" t="s">
        <v>15</v>
      </c>
      <c r="D582" s="2" t="s">
        <v>72</v>
      </c>
      <c r="E582" s="2" t="s">
        <v>73</v>
      </c>
      <c r="F582" s="2" t="s">
        <v>1207</v>
      </c>
      <c r="G582" s="2" t="s">
        <v>1208</v>
      </c>
      <c r="H582" s="2" t="s">
        <v>1209</v>
      </c>
      <c r="I582" s="2" t="s">
        <v>1210</v>
      </c>
      <c r="J582" s="2" t="s">
        <v>1529</v>
      </c>
      <c r="K582" s="2">
        <v>1</v>
      </c>
      <c r="L582" s="2">
        <v>54</v>
      </c>
      <c r="M582" s="3">
        <v>54</v>
      </c>
    </row>
    <row r="583" spans="1:13" x14ac:dyDescent="0.2">
      <c r="A583" s="1" t="s">
        <v>61</v>
      </c>
      <c r="B583" s="1" t="s">
        <v>14</v>
      </c>
      <c r="C583" s="1" t="s">
        <v>15</v>
      </c>
      <c r="D583" s="2" t="s">
        <v>16</v>
      </c>
      <c r="E583" s="2" t="s">
        <v>17</v>
      </c>
      <c r="F583" s="2" t="s">
        <v>62</v>
      </c>
      <c r="G583" s="2" t="s">
        <v>63</v>
      </c>
      <c r="H583" s="2">
        <v>8172650</v>
      </c>
      <c r="I583" s="2" t="s">
        <v>64</v>
      </c>
      <c r="J583" s="2" t="s">
        <v>1529</v>
      </c>
      <c r="K583" s="2">
        <v>1</v>
      </c>
      <c r="L583" s="2">
        <v>140</v>
      </c>
      <c r="M583" s="3">
        <v>145</v>
      </c>
    </row>
    <row r="584" spans="1:13" x14ac:dyDescent="0.2">
      <c r="A584" s="1" t="s">
        <v>191</v>
      </c>
      <c r="B584" s="1" t="s">
        <v>23</v>
      </c>
      <c r="C584" s="1" t="s">
        <v>15</v>
      </c>
      <c r="D584" s="2" t="s">
        <v>55</v>
      </c>
      <c r="E584" s="2" t="s">
        <v>92</v>
      </c>
      <c r="F584" s="2" t="s">
        <v>192</v>
      </c>
      <c r="G584" s="2" t="s">
        <v>193</v>
      </c>
      <c r="H584" s="2" t="s">
        <v>194</v>
      </c>
      <c r="I584" s="2" t="s">
        <v>195</v>
      </c>
      <c r="J584" s="2" t="s">
        <v>1529</v>
      </c>
      <c r="K584" s="2">
        <v>3</v>
      </c>
      <c r="L584" s="2">
        <v>160</v>
      </c>
      <c r="M584" s="3">
        <v>108</v>
      </c>
    </row>
    <row r="585" spans="1:13" x14ac:dyDescent="0.2">
      <c r="A585" s="1" t="s">
        <v>191</v>
      </c>
      <c r="B585" s="1" t="s">
        <v>23</v>
      </c>
      <c r="C585" s="1" t="s">
        <v>15</v>
      </c>
      <c r="D585" s="2" t="s">
        <v>55</v>
      </c>
      <c r="E585" s="2" t="s">
        <v>92</v>
      </c>
      <c r="F585" s="2" t="s">
        <v>192</v>
      </c>
      <c r="G585" s="2" t="s">
        <v>193</v>
      </c>
      <c r="H585" s="2" t="s">
        <v>194</v>
      </c>
      <c r="I585" s="2" t="s">
        <v>195</v>
      </c>
      <c r="J585" s="2" t="s">
        <v>1560</v>
      </c>
      <c r="K585" s="2">
        <v>0</v>
      </c>
      <c r="L585" s="2">
        <v>0</v>
      </c>
      <c r="M585" s="3">
        <v>54</v>
      </c>
    </row>
    <row r="586" spans="1:13" x14ac:dyDescent="0.2">
      <c r="A586" s="1" t="s">
        <v>218</v>
      </c>
      <c r="B586" s="1" t="s">
        <v>23</v>
      </c>
      <c r="C586" s="1" t="s">
        <v>15</v>
      </c>
      <c r="D586" s="2" t="s">
        <v>72</v>
      </c>
      <c r="E586" s="2" t="s">
        <v>213</v>
      </c>
      <c r="F586" s="2" t="s">
        <v>219</v>
      </c>
      <c r="G586" s="2" t="s">
        <v>220</v>
      </c>
      <c r="H586" s="2" t="s">
        <v>221</v>
      </c>
      <c r="I586" s="2" t="s">
        <v>222</v>
      </c>
      <c r="J586" s="2" t="s">
        <v>1561</v>
      </c>
      <c r="K586" s="2">
        <v>2</v>
      </c>
      <c r="L586" s="2">
        <v>114</v>
      </c>
      <c r="M586" s="3">
        <v>126</v>
      </c>
    </row>
    <row r="587" spans="1:13" x14ac:dyDescent="0.2">
      <c r="A587" s="1" t="s">
        <v>588</v>
      </c>
      <c r="B587" s="1" t="s">
        <v>23</v>
      </c>
      <c r="C587" s="1" t="s">
        <v>15</v>
      </c>
      <c r="D587" s="2" t="s">
        <v>72</v>
      </c>
      <c r="E587" s="2" t="s">
        <v>119</v>
      </c>
      <c r="F587" s="2" t="s">
        <v>589</v>
      </c>
      <c r="G587" s="2" t="s">
        <v>590</v>
      </c>
      <c r="H587" s="2" t="s">
        <v>591</v>
      </c>
      <c r="I587" s="2" t="s">
        <v>592</v>
      </c>
      <c r="J587" s="2" t="s">
        <v>1561</v>
      </c>
      <c r="K587" s="2">
        <v>1</v>
      </c>
      <c r="L587" s="2">
        <v>52</v>
      </c>
      <c r="M587" s="3">
        <v>19</v>
      </c>
    </row>
    <row r="588" spans="1:13" x14ac:dyDescent="0.2">
      <c r="A588" s="1" t="s">
        <v>13</v>
      </c>
      <c r="B588" s="1" t="s">
        <v>14</v>
      </c>
      <c r="C588" s="1" t="s">
        <v>15</v>
      </c>
      <c r="D588" s="2" t="s">
        <v>16</v>
      </c>
      <c r="E588" s="2" t="s">
        <v>17</v>
      </c>
      <c r="F588" s="2" t="s">
        <v>18</v>
      </c>
      <c r="G588" s="2" t="s">
        <v>19</v>
      </c>
      <c r="H588" s="2">
        <v>9182178647</v>
      </c>
      <c r="I588" s="2" t="s">
        <v>20</v>
      </c>
      <c r="J588" s="2" t="s">
        <v>1562</v>
      </c>
      <c r="K588" s="2">
        <v>1</v>
      </c>
      <c r="L588" s="2">
        <v>43</v>
      </c>
      <c r="M588" s="3">
        <v>22</v>
      </c>
    </row>
    <row r="589" spans="1:13" x14ac:dyDescent="0.2">
      <c r="A589" s="1" t="s">
        <v>415</v>
      </c>
      <c r="B589" s="1" t="s">
        <v>23</v>
      </c>
      <c r="C589" s="1" t="s">
        <v>15</v>
      </c>
      <c r="D589" s="2" t="s">
        <v>36</v>
      </c>
      <c r="E589" s="2" t="s">
        <v>37</v>
      </c>
      <c r="F589" s="2" t="s">
        <v>416</v>
      </c>
      <c r="G589" s="2" t="s">
        <v>417</v>
      </c>
      <c r="H589" s="2" t="s">
        <v>418</v>
      </c>
      <c r="I589" s="2" t="s">
        <v>419</v>
      </c>
      <c r="J589" s="2" t="s">
        <v>1523</v>
      </c>
      <c r="K589" s="2">
        <v>1</v>
      </c>
      <c r="L589" s="2">
        <v>326</v>
      </c>
      <c r="M589" s="3">
        <v>314</v>
      </c>
    </row>
    <row r="590" spans="1:13" x14ac:dyDescent="0.2">
      <c r="A590" s="1" t="s">
        <v>1563</v>
      </c>
      <c r="B590" s="1" t="s">
        <v>23</v>
      </c>
      <c r="C590" s="1" t="s">
        <v>15</v>
      </c>
      <c r="D590" s="2" t="s">
        <v>16</v>
      </c>
      <c r="E590" s="2" t="s">
        <v>108</v>
      </c>
      <c r="F590" s="2" t="s">
        <v>1564</v>
      </c>
      <c r="G590" s="2" t="s">
        <v>1565</v>
      </c>
      <c r="H590" s="2" t="s">
        <v>1566</v>
      </c>
      <c r="I590" s="2" t="s">
        <v>1567</v>
      </c>
      <c r="J590" s="2" t="s">
        <v>1568</v>
      </c>
      <c r="K590" s="2">
        <v>2</v>
      </c>
      <c r="L590" s="2">
        <v>163</v>
      </c>
      <c r="M590" s="3">
        <v>308</v>
      </c>
    </row>
    <row r="591" spans="1:13" x14ac:dyDescent="0.2">
      <c r="A591" s="1" t="s">
        <v>102</v>
      </c>
      <c r="B591" s="1" t="s">
        <v>23</v>
      </c>
      <c r="C591" s="1" t="s">
        <v>15</v>
      </c>
      <c r="D591" s="2" t="s">
        <v>44</v>
      </c>
      <c r="E591" s="2" t="s">
        <v>44</v>
      </c>
      <c r="F591" s="2" t="s">
        <v>103</v>
      </c>
      <c r="G591" s="2" t="s">
        <v>104</v>
      </c>
      <c r="H591" s="2" t="s">
        <v>105</v>
      </c>
      <c r="I591" s="2" t="s">
        <v>106</v>
      </c>
      <c r="J591" s="2" t="s">
        <v>1523</v>
      </c>
      <c r="K591" s="2">
        <v>2</v>
      </c>
      <c r="L591" s="2">
        <v>192</v>
      </c>
      <c r="M591" s="3">
        <v>283</v>
      </c>
    </row>
    <row r="592" spans="1:13" x14ac:dyDescent="0.2">
      <c r="A592" s="1" t="s">
        <v>828</v>
      </c>
      <c r="B592" s="1" t="s">
        <v>23</v>
      </c>
      <c r="C592" s="1" t="s">
        <v>15</v>
      </c>
      <c r="D592" s="2" t="s">
        <v>16</v>
      </c>
      <c r="E592" s="2" t="s">
        <v>17</v>
      </c>
      <c r="F592" s="2" t="s">
        <v>829</v>
      </c>
      <c r="G592" s="2" t="s">
        <v>830</v>
      </c>
      <c r="H592" s="2">
        <v>82521804</v>
      </c>
      <c r="I592" s="2" t="s">
        <v>831</v>
      </c>
      <c r="J592" s="2" t="s">
        <v>1523</v>
      </c>
      <c r="K592" s="2">
        <v>4</v>
      </c>
      <c r="L592" s="2">
        <v>264</v>
      </c>
      <c r="M592" s="3">
        <v>280</v>
      </c>
    </row>
    <row r="593" spans="1:13" x14ac:dyDescent="0.2">
      <c r="A593" s="1" t="s">
        <v>828</v>
      </c>
      <c r="B593" s="1" t="s">
        <v>23</v>
      </c>
      <c r="C593" s="1" t="s">
        <v>15</v>
      </c>
      <c r="D593" s="2" t="s">
        <v>16</v>
      </c>
      <c r="E593" s="2" t="s">
        <v>17</v>
      </c>
      <c r="F593" s="2" t="s">
        <v>829</v>
      </c>
      <c r="G593" s="2" t="s">
        <v>830</v>
      </c>
      <c r="H593" s="2">
        <v>82521804</v>
      </c>
      <c r="I593" s="2" t="s">
        <v>831</v>
      </c>
      <c r="J593" s="2" t="s">
        <v>1568</v>
      </c>
      <c r="K593" s="2">
        <v>2</v>
      </c>
      <c r="L593" s="2">
        <v>156</v>
      </c>
      <c r="M593" s="3">
        <v>234</v>
      </c>
    </row>
    <row r="594" spans="1:13" x14ac:dyDescent="0.2">
      <c r="A594" s="1" t="s">
        <v>1563</v>
      </c>
      <c r="B594" s="1" t="s">
        <v>23</v>
      </c>
      <c r="C594" s="1" t="s">
        <v>15</v>
      </c>
      <c r="D594" s="2" t="s">
        <v>16</v>
      </c>
      <c r="E594" s="2" t="s">
        <v>108</v>
      </c>
      <c r="F594" s="2" t="s">
        <v>1564</v>
      </c>
      <c r="G594" s="2" t="s">
        <v>1565</v>
      </c>
      <c r="H594" s="2" t="s">
        <v>1566</v>
      </c>
      <c r="I594" s="2" t="s">
        <v>1567</v>
      </c>
      <c r="J594" s="2" t="s">
        <v>1523</v>
      </c>
      <c r="K594" s="2">
        <v>4</v>
      </c>
      <c r="L594" s="2">
        <v>209</v>
      </c>
      <c r="M594" s="3">
        <v>202</v>
      </c>
    </row>
    <row r="595" spans="1:13" x14ac:dyDescent="0.2">
      <c r="A595" s="1" t="s">
        <v>233</v>
      </c>
      <c r="B595" s="1" t="s">
        <v>66</v>
      </c>
      <c r="C595" s="1" t="s">
        <v>15</v>
      </c>
      <c r="D595" s="2" t="s">
        <v>72</v>
      </c>
      <c r="E595" s="2" t="s">
        <v>119</v>
      </c>
      <c r="F595" s="2" t="s">
        <v>234</v>
      </c>
      <c r="G595" s="2" t="s">
        <v>235</v>
      </c>
      <c r="H595" s="2" t="s">
        <v>236</v>
      </c>
      <c r="I595" s="2" t="s">
        <v>237</v>
      </c>
      <c r="J595" s="2" t="s">
        <v>1523</v>
      </c>
      <c r="K595" s="2">
        <v>2</v>
      </c>
      <c r="L595" s="2">
        <v>193</v>
      </c>
      <c r="M595" s="3">
        <v>197</v>
      </c>
    </row>
    <row r="596" spans="1:13" x14ac:dyDescent="0.2">
      <c r="A596" s="1" t="s">
        <v>1569</v>
      </c>
      <c r="B596" s="1" t="s">
        <v>23</v>
      </c>
      <c r="C596" s="1" t="s">
        <v>15</v>
      </c>
      <c r="D596" s="2" t="s">
        <v>16</v>
      </c>
      <c r="E596" s="2" t="s">
        <v>108</v>
      </c>
      <c r="F596" s="2" t="s">
        <v>1570</v>
      </c>
      <c r="G596" s="2" t="s">
        <v>1571</v>
      </c>
      <c r="H596" s="2" t="s">
        <v>1572</v>
      </c>
      <c r="I596" s="2" t="s">
        <v>1573</v>
      </c>
      <c r="J596" s="2" t="s">
        <v>1523</v>
      </c>
      <c r="K596" s="2">
        <v>2</v>
      </c>
      <c r="L596" s="2">
        <v>219</v>
      </c>
      <c r="M596" s="3">
        <v>182</v>
      </c>
    </row>
    <row r="597" spans="1:13" x14ac:dyDescent="0.2">
      <c r="A597" s="1" t="s">
        <v>714</v>
      </c>
      <c r="B597" s="1" t="s">
        <v>23</v>
      </c>
      <c r="C597" s="1" t="s">
        <v>15</v>
      </c>
      <c r="D597" s="2" t="s">
        <v>36</v>
      </c>
      <c r="E597" s="2" t="s">
        <v>207</v>
      </c>
      <c r="F597" s="2" t="s">
        <v>715</v>
      </c>
      <c r="G597" s="2" t="s">
        <v>716</v>
      </c>
      <c r="H597" s="2" t="s">
        <v>717</v>
      </c>
      <c r="I597" s="2" t="s">
        <v>718</v>
      </c>
      <c r="J597" s="2" t="s">
        <v>1574</v>
      </c>
      <c r="K597" s="2">
        <v>1</v>
      </c>
      <c r="L597" s="2">
        <v>13</v>
      </c>
      <c r="M597" s="3">
        <v>0</v>
      </c>
    </row>
    <row r="598" spans="1:13" x14ac:dyDescent="0.2">
      <c r="A598" s="1" t="s">
        <v>751</v>
      </c>
      <c r="B598" s="1" t="s">
        <v>23</v>
      </c>
      <c r="C598" s="1" t="s">
        <v>15</v>
      </c>
      <c r="D598" s="2" t="s">
        <v>36</v>
      </c>
      <c r="E598" s="2" t="s">
        <v>207</v>
      </c>
      <c r="F598" s="2" t="s">
        <v>752</v>
      </c>
      <c r="G598" s="2" t="s">
        <v>753</v>
      </c>
      <c r="H598" s="2">
        <v>87277855</v>
      </c>
      <c r="I598" s="2" t="s">
        <v>754</v>
      </c>
      <c r="J598" s="2" t="s">
        <v>1574</v>
      </c>
      <c r="K598" s="2">
        <v>1</v>
      </c>
      <c r="L598" s="2">
        <v>19</v>
      </c>
      <c r="M598" s="3">
        <v>0</v>
      </c>
    </row>
    <row r="599" spans="1:13" x14ac:dyDescent="0.2">
      <c r="A599" s="1" t="s">
        <v>849</v>
      </c>
      <c r="B599" s="1" t="s">
        <v>23</v>
      </c>
      <c r="C599" s="1" t="s">
        <v>15</v>
      </c>
      <c r="D599" s="2" t="s">
        <v>16</v>
      </c>
      <c r="E599" s="2" t="s">
        <v>456</v>
      </c>
      <c r="F599" s="2" t="s">
        <v>850</v>
      </c>
      <c r="G599" s="2" t="s">
        <v>851</v>
      </c>
      <c r="H599" s="2" t="s">
        <v>852</v>
      </c>
      <c r="I599" s="2" t="s">
        <v>853</v>
      </c>
      <c r="J599" s="2" t="s">
        <v>1574</v>
      </c>
      <c r="K599" s="2">
        <v>1</v>
      </c>
      <c r="L599" s="2">
        <v>21</v>
      </c>
      <c r="M599" s="3">
        <v>13</v>
      </c>
    </row>
    <row r="600" spans="1:13" x14ac:dyDescent="0.2">
      <c r="A600" s="1" t="s">
        <v>1575</v>
      </c>
      <c r="B600" s="1" t="s">
        <v>23</v>
      </c>
      <c r="C600" s="1" t="s">
        <v>15</v>
      </c>
      <c r="D600" s="2" t="s">
        <v>16</v>
      </c>
      <c r="E600" s="2" t="s">
        <v>224</v>
      </c>
      <c r="F600" s="2" t="s">
        <v>1576</v>
      </c>
      <c r="G600" s="2" t="s">
        <v>1577</v>
      </c>
      <c r="H600" s="2" t="s">
        <v>1578</v>
      </c>
      <c r="I600" s="2" t="s">
        <v>1579</v>
      </c>
      <c r="J600" s="2" t="s">
        <v>1580</v>
      </c>
      <c r="K600" s="2">
        <v>2</v>
      </c>
      <c r="L600" s="2">
        <v>144</v>
      </c>
      <c r="M600" s="3">
        <v>122</v>
      </c>
    </row>
    <row r="601" spans="1:13" x14ac:dyDescent="0.2">
      <c r="A601" s="1" t="s">
        <v>1581</v>
      </c>
      <c r="B601" s="1" t="s">
        <v>23</v>
      </c>
      <c r="C601" s="1" t="s">
        <v>15</v>
      </c>
      <c r="D601" s="2" t="s">
        <v>72</v>
      </c>
      <c r="E601" s="2" t="s">
        <v>119</v>
      </c>
      <c r="F601" s="2" t="s">
        <v>1582</v>
      </c>
      <c r="G601" s="2" t="s">
        <v>1583</v>
      </c>
      <c r="H601" s="2" t="s">
        <v>1584</v>
      </c>
      <c r="I601" s="2" t="s">
        <v>1585</v>
      </c>
      <c r="J601" s="2" t="s">
        <v>1580</v>
      </c>
      <c r="K601" s="2">
        <v>3</v>
      </c>
      <c r="L601" s="2">
        <v>191</v>
      </c>
      <c r="M601" s="3">
        <v>166</v>
      </c>
    </row>
    <row r="602" spans="1:13" x14ac:dyDescent="0.2">
      <c r="A602" s="1" t="s">
        <v>1586</v>
      </c>
      <c r="B602" s="1" t="s">
        <v>23</v>
      </c>
      <c r="C602" s="1" t="s">
        <v>15</v>
      </c>
      <c r="D602" s="2" t="s">
        <v>16</v>
      </c>
      <c r="E602" s="2" t="s">
        <v>224</v>
      </c>
      <c r="F602" s="2" t="s">
        <v>1587</v>
      </c>
      <c r="G602" s="2" t="s">
        <v>1588</v>
      </c>
      <c r="H602" s="2" t="s">
        <v>1589</v>
      </c>
      <c r="I602" s="2" t="s">
        <v>1590</v>
      </c>
      <c r="J602" s="2" t="s">
        <v>1580</v>
      </c>
      <c r="K602" s="2">
        <v>1</v>
      </c>
      <c r="L602" s="2">
        <v>81</v>
      </c>
      <c r="M602" s="3">
        <v>80</v>
      </c>
    </row>
    <row r="603" spans="1:13" x14ac:dyDescent="0.2">
      <c r="A603" s="1" t="s">
        <v>1591</v>
      </c>
      <c r="B603" s="1" t="s">
        <v>23</v>
      </c>
      <c r="C603" s="1" t="s">
        <v>15</v>
      </c>
      <c r="D603" s="2" t="s">
        <v>72</v>
      </c>
      <c r="E603" s="2" t="s">
        <v>73</v>
      </c>
      <c r="F603" s="2" t="s">
        <v>1592</v>
      </c>
      <c r="G603" s="2" t="s">
        <v>1593</v>
      </c>
      <c r="H603" s="2" t="s">
        <v>1594</v>
      </c>
      <c r="I603" s="2" t="s">
        <v>1595</v>
      </c>
      <c r="J603" s="2" t="s">
        <v>1580</v>
      </c>
      <c r="K603" s="2">
        <v>3</v>
      </c>
      <c r="L603" s="2">
        <v>110</v>
      </c>
      <c r="M603" s="3">
        <v>107</v>
      </c>
    </row>
    <row r="604" spans="1:13" x14ac:dyDescent="0.2">
      <c r="A604" s="1" t="s">
        <v>1329</v>
      </c>
      <c r="B604" s="1" t="s">
        <v>23</v>
      </c>
      <c r="C604" s="1" t="s">
        <v>15</v>
      </c>
      <c r="D604" s="2" t="s">
        <v>16</v>
      </c>
      <c r="E604" s="2" t="s">
        <v>108</v>
      </c>
      <c r="F604" s="2" t="s">
        <v>1330</v>
      </c>
      <c r="G604" s="2" t="s">
        <v>1331</v>
      </c>
      <c r="H604" s="2" t="s">
        <v>1332</v>
      </c>
      <c r="I604" s="2" t="s">
        <v>1333</v>
      </c>
      <c r="J604" s="2" t="s">
        <v>1580</v>
      </c>
      <c r="K604" s="2">
        <v>2</v>
      </c>
      <c r="L604" s="2">
        <v>258</v>
      </c>
      <c r="M604" s="3">
        <v>204</v>
      </c>
    </row>
    <row r="605" spans="1:13" x14ac:dyDescent="0.2">
      <c r="A605" s="1" t="s">
        <v>1581</v>
      </c>
      <c r="B605" s="1" t="s">
        <v>23</v>
      </c>
      <c r="C605" s="1" t="s">
        <v>15</v>
      </c>
      <c r="D605" s="2" t="s">
        <v>72</v>
      </c>
      <c r="E605" s="2" t="s">
        <v>119</v>
      </c>
      <c r="F605" s="2" t="s">
        <v>1582</v>
      </c>
      <c r="G605" s="2" t="s">
        <v>1583</v>
      </c>
      <c r="H605" s="2" t="s">
        <v>1584</v>
      </c>
      <c r="I605" s="2" t="s">
        <v>1585</v>
      </c>
      <c r="J605" s="2" t="s">
        <v>1596</v>
      </c>
      <c r="K605" s="2">
        <v>3</v>
      </c>
      <c r="L605" s="2">
        <v>109</v>
      </c>
      <c r="M605" s="3">
        <v>105</v>
      </c>
    </row>
    <row r="606" spans="1:13" x14ac:dyDescent="0.2">
      <c r="A606" s="1" t="s">
        <v>1586</v>
      </c>
      <c r="B606" s="1" t="s">
        <v>23</v>
      </c>
      <c r="C606" s="1" t="s">
        <v>15</v>
      </c>
      <c r="D606" s="2" t="s">
        <v>16</v>
      </c>
      <c r="E606" s="2" t="s">
        <v>224</v>
      </c>
      <c r="F606" s="2" t="s">
        <v>1587</v>
      </c>
      <c r="G606" s="2" t="s">
        <v>1588</v>
      </c>
      <c r="H606" s="2" t="s">
        <v>1589</v>
      </c>
      <c r="I606" s="2" t="s">
        <v>1590</v>
      </c>
      <c r="J606" s="2" t="s">
        <v>1596</v>
      </c>
      <c r="K606" s="2">
        <v>2</v>
      </c>
      <c r="L606" s="2">
        <v>22</v>
      </c>
      <c r="M606" s="3">
        <v>22</v>
      </c>
    </row>
    <row r="607" spans="1:13" x14ac:dyDescent="0.2">
      <c r="A607" s="1" t="s">
        <v>1591</v>
      </c>
      <c r="B607" s="1" t="s">
        <v>23</v>
      </c>
      <c r="C607" s="1" t="s">
        <v>15</v>
      </c>
      <c r="D607" s="2" t="s">
        <v>72</v>
      </c>
      <c r="E607" s="2" t="s">
        <v>73</v>
      </c>
      <c r="F607" s="2" t="s">
        <v>1592</v>
      </c>
      <c r="G607" s="2" t="s">
        <v>1593</v>
      </c>
      <c r="H607" s="2" t="s">
        <v>1594</v>
      </c>
      <c r="I607" s="2" t="s">
        <v>1595</v>
      </c>
      <c r="J607" s="2" t="s">
        <v>1596</v>
      </c>
      <c r="K607" s="2">
        <v>1</v>
      </c>
      <c r="L607" s="2">
        <v>105</v>
      </c>
      <c r="M607" s="3">
        <v>103</v>
      </c>
    </row>
    <row r="608" spans="1:13" x14ac:dyDescent="0.2">
      <c r="A608" s="1" t="s">
        <v>915</v>
      </c>
      <c r="B608" s="1" t="s">
        <v>23</v>
      </c>
      <c r="C608" s="1" t="s">
        <v>15</v>
      </c>
      <c r="D608" s="2" t="s">
        <v>72</v>
      </c>
      <c r="E608" s="2" t="s">
        <v>491</v>
      </c>
      <c r="F608" s="2" t="s">
        <v>916</v>
      </c>
      <c r="G608" s="2" t="s">
        <v>917</v>
      </c>
      <c r="H608" s="2" t="s">
        <v>918</v>
      </c>
      <c r="I608" s="2" t="s">
        <v>919</v>
      </c>
      <c r="J608" s="2" t="s">
        <v>1597</v>
      </c>
      <c r="K608" s="2">
        <v>2</v>
      </c>
      <c r="L608" s="2">
        <v>311</v>
      </c>
      <c r="M608" s="3">
        <v>242</v>
      </c>
    </row>
    <row r="609" spans="1:13" x14ac:dyDescent="0.2">
      <c r="A609" s="1" t="s">
        <v>1598</v>
      </c>
      <c r="B609" s="1" t="s">
        <v>23</v>
      </c>
      <c r="C609" s="1" t="s">
        <v>15</v>
      </c>
      <c r="D609" s="2" t="s">
        <v>55</v>
      </c>
      <c r="E609" s="2" t="s">
        <v>56</v>
      </c>
      <c r="F609" s="2" t="s">
        <v>1599</v>
      </c>
      <c r="G609" s="2" t="s">
        <v>1600</v>
      </c>
      <c r="H609" s="2">
        <v>9169164355</v>
      </c>
      <c r="I609" s="2" t="s">
        <v>1601</v>
      </c>
      <c r="J609" s="2" t="s">
        <v>1597</v>
      </c>
      <c r="K609" s="2">
        <v>1</v>
      </c>
      <c r="L609" s="2">
        <v>47</v>
      </c>
      <c r="M609" s="3">
        <v>45</v>
      </c>
    </row>
    <row r="610" spans="1:13" x14ac:dyDescent="0.2">
      <c r="A610" s="1" t="s">
        <v>1435</v>
      </c>
      <c r="B610" s="1" t="s">
        <v>23</v>
      </c>
      <c r="C610" s="1" t="s">
        <v>15</v>
      </c>
      <c r="D610" s="2" t="s">
        <v>72</v>
      </c>
      <c r="E610" s="2" t="s">
        <v>491</v>
      </c>
      <c r="F610" s="2" t="s">
        <v>1436</v>
      </c>
      <c r="G610" s="2" t="s">
        <v>1437</v>
      </c>
      <c r="H610" s="2" t="s">
        <v>1438</v>
      </c>
      <c r="I610" s="2" t="s">
        <v>1439</v>
      </c>
      <c r="J610" s="2" t="s">
        <v>1597</v>
      </c>
      <c r="K610" s="2">
        <v>1</v>
      </c>
      <c r="L610" s="2">
        <v>58</v>
      </c>
      <c r="M610" s="3">
        <v>7</v>
      </c>
    </row>
    <row r="611" spans="1:13" x14ac:dyDescent="0.2">
      <c r="A611" s="1" t="s">
        <v>91</v>
      </c>
      <c r="B611" s="1" t="s">
        <v>23</v>
      </c>
      <c r="C611" s="1" t="s">
        <v>15</v>
      </c>
      <c r="D611" s="2" t="s">
        <v>55</v>
      </c>
      <c r="E611" s="2" t="s">
        <v>92</v>
      </c>
      <c r="F611" s="2" t="s">
        <v>93</v>
      </c>
      <c r="G611" s="2" t="s">
        <v>94</v>
      </c>
      <c r="H611" s="2" t="s">
        <v>95</v>
      </c>
      <c r="I611" s="2" t="s">
        <v>96</v>
      </c>
      <c r="J611" s="2" t="s">
        <v>1597</v>
      </c>
      <c r="K611" s="2">
        <v>7</v>
      </c>
      <c r="L611" s="2">
        <v>742</v>
      </c>
      <c r="M611" s="3">
        <v>765</v>
      </c>
    </row>
    <row r="612" spans="1:13" x14ac:dyDescent="0.2">
      <c r="A612" s="1" t="s">
        <v>97</v>
      </c>
      <c r="B612" s="1" t="s">
        <v>23</v>
      </c>
      <c r="C612" s="1" t="s">
        <v>15</v>
      </c>
      <c r="D612" s="2" t="s">
        <v>16</v>
      </c>
      <c r="E612" s="2" t="s">
        <v>17</v>
      </c>
      <c r="F612" s="2" t="s">
        <v>100</v>
      </c>
      <c r="G612" s="2" t="s">
        <v>94</v>
      </c>
      <c r="H612" s="2" t="s">
        <v>101</v>
      </c>
      <c r="I612" s="2" t="s">
        <v>96</v>
      </c>
      <c r="J612" s="2" t="s">
        <v>1597</v>
      </c>
      <c r="K612" s="2">
        <v>1</v>
      </c>
      <c r="L612" s="2">
        <v>50</v>
      </c>
      <c r="M612" s="3">
        <v>25</v>
      </c>
    </row>
    <row r="613" spans="1:13" x14ac:dyDescent="0.2">
      <c r="A613" s="1" t="s">
        <v>1602</v>
      </c>
      <c r="B613" s="1" t="s">
        <v>23</v>
      </c>
      <c r="C613" s="1" t="s">
        <v>15</v>
      </c>
      <c r="D613" s="2" t="s">
        <v>55</v>
      </c>
      <c r="E613" s="2" t="s">
        <v>56</v>
      </c>
      <c r="F613" s="2" t="s">
        <v>1603</v>
      </c>
      <c r="G613" s="2" t="s">
        <v>1604</v>
      </c>
      <c r="H613" s="2" t="s">
        <v>1605</v>
      </c>
      <c r="I613" s="2" t="s">
        <v>1606</v>
      </c>
      <c r="J613" s="2" t="s">
        <v>1597</v>
      </c>
      <c r="K613" s="2">
        <v>1</v>
      </c>
      <c r="L613" s="2">
        <v>50</v>
      </c>
      <c r="M613" s="3">
        <v>50</v>
      </c>
    </row>
    <row r="614" spans="1:13" x14ac:dyDescent="0.2">
      <c r="A614" s="1" t="s">
        <v>1607</v>
      </c>
      <c r="B614" s="1" t="s">
        <v>23</v>
      </c>
      <c r="C614" s="1" t="s">
        <v>15</v>
      </c>
      <c r="D614" s="2" t="s">
        <v>44</v>
      </c>
      <c r="E614" s="2" t="s">
        <v>44</v>
      </c>
      <c r="F614" s="2" t="s">
        <v>1608</v>
      </c>
      <c r="G614" s="2" t="s">
        <v>1609</v>
      </c>
      <c r="H614" s="2" t="s">
        <v>1610</v>
      </c>
      <c r="I614" s="2" t="s">
        <v>1611</v>
      </c>
      <c r="J614" s="2" t="s">
        <v>1597</v>
      </c>
      <c r="K614" s="2">
        <v>1</v>
      </c>
      <c r="L614" s="2">
        <v>52</v>
      </c>
      <c r="M614" s="3">
        <v>52</v>
      </c>
    </row>
    <row r="615" spans="1:13" x14ac:dyDescent="0.2">
      <c r="A615" s="1" t="s">
        <v>261</v>
      </c>
      <c r="B615" s="1" t="s">
        <v>23</v>
      </c>
      <c r="C615" s="1" t="s">
        <v>15</v>
      </c>
      <c r="D615" s="2" t="s">
        <v>55</v>
      </c>
      <c r="E615" s="2" t="s">
        <v>92</v>
      </c>
      <c r="F615" s="2" t="s">
        <v>262</v>
      </c>
      <c r="G615" s="2" t="s">
        <v>263</v>
      </c>
      <c r="H615" s="2" t="s">
        <v>264</v>
      </c>
      <c r="I615" s="2" t="s">
        <v>265</v>
      </c>
      <c r="J615" s="2" t="s">
        <v>1597</v>
      </c>
      <c r="K615" s="2">
        <v>1</v>
      </c>
      <c r="L615" s="2">
        <v>220</v>
      </c>
      <c r="M615" s="3">
        <v>188</v>
      </c>
    </row>
    <row r="616" spans="1:13" x14ac:dyDescent="0.2">
      <c r="A616" s="1" t="s">
        <v>964</v>
      </c>
      <c r="B616" s="1" t="s">
        <v>23</v>
      </c>
      <c r="C616" s="1" t="s">
        <v>15</v>
      </c>
      <c r="D616" s="2" t="s">
        <v>36</v>
      </c>
      <c r="E616" s="2" t="s">
        <v>176</v>
      </c>
      <c r="F616" s="2" t="s">
        <v>965</v>
      </c>
      <c r="G616" s="2" t="s">
        <v>966</v>
      </c>
      <c r="H616" s="2">
        <v>9684471790</v>
      </c>
      <c r="I616" s="2" t="s">
        <v>967</v>
      </c>
      <c r="J616" s="2" t="s">
        <v>1597</v>
      </c>
      <c r="K616" s="2">
        <v>1</v>
      </c>
      <c r="L616" s="2">
        <v>79</v>
      </c>
      <c r="M616" s="3">
        <v>40</v>
      </c>
    </row>
    <row r="617" spans="1:13" x14ac:dyDescent="0.2">
      <c r="A617" s="1" t="s">
        <v>1612</v>
      </c>
      <c r="B617" s="1" t="s">
        <v>23</v>
      </c>
      <c r="C617" s="1" t="s">
        <v>15</v>
      </c>
      <c r="D617" s="2" t="s">
        <v>72</v>
      </c>
      <c r="E617" s="2" t="s">
        <v>73</v>
      </c>
      <c r="F617" s="2" t="s">
        <v>1613</v>
      </c>
      <c r="G617" s="2" t="s">
        <v>1614</v>
      </c>
      <c r="H617" s="2" t="s">
        <v>1615</v>
      </c>
      <c r="I617" s="2" t="s">
        <v>1616</v>
      </c>
      <c r="J617" s="2" t="s">
        <v>1597</v>
      </c>
      <c r="K617" s="2">
        <v>3</v>
      </c>
      <c r="L617" s="2">
        <v>239</v>
      </c>
      <c r="M617" s="3">
        <v>204</v>
      </c>
    </row>
    <row r="618" spans="1:13" x14ac:dyDescent="0.2">
      <c r="A618" s="1" t="s">
        <v>461</v>
      </c>
      <c r="B618" s="1" t="s">
        <v>23</v>
      </c>
      <c r="C618" s="1" t="s">
        <v>15</v>
      </c>
      <c r="D618" s="2" t="s">
        <v>36</v>
      </c>
      <c r="E618" s="2" t="s">
        <v>37</v>
      </c>
      <c r="F618" s="2" t="s">
        <v>462</v>
      </c>
      <c r="G618" s="2" t="s">
        <v>463</v>
      </c>
      <c r="H618" s="2" t="s">
        <v>464</v>
      </c>
      <c r="I618" s="2" t="s">
        <v>465</v>
      </c>
      <c r="J618" s="2" t="s">
        <v>1597</v>
      </c>
      <c r="K618" s="2">
        <v>2</v>
      </c>
      <c r="L618" s="2">
        <v>106</v>
      </c>
      <c r="M618" s="3">
        <v>81</v>
      </c>
    </row>
    <row r="619" spans="1:13" x14ac:dyDescent="0.2">
      <c r="A619" s="1" t="s">
        <v>160</v>
      </c>
      <c r="B619" s="1" t="s">
        <v>23</v>
      </c>
      <c r="C619" s="1" t="s">
        <v>15</v>
      </c>
      <c r="D619" s="2" t="s">
        <v>55</v>
      </c>
      <c r="E619" s="2" t="s">
        <v>56</v>
      </c>
      <c r="F619" s="2" t="s">
        <v>161</v>
      </c>
      <c r="G619" s="2" t="s">
        <v>162</v>
      </c>
      <c r="H619" s="2" t="s">
        <v>163</v>
      </c>
      <c r="I619" s="2" t="s">
        <v>164</v>
      </c>
      <c r="J619" s="2" t="s">
        <v>1597</v>
      </c>
      <c r="K619" s="2">
        <v>2</v>
      </c>
      <c r="L619" s="2">
        <v>89</v>
      </c>
      <c r="M619" s="3">
        <v>0</v>
      </c>
    </row>
    <row r="620" spans="1:13" x14ac:dyDescent="0.2">
      <c r="A620" s="1" t="s">
        <v>763</v>
      </c>
      <c r="B620" s="1" t="s">
        <v>23</v>
      </c>
      <c r="C620" s="1" t="s">
        <v>15</v>
      </c>
      <c r="D620" s="2" t="s">
        <v>55</v>
      </c>
      <c r="E620" s="2" t="s">
        <v>92</v>
      </c>
      <c r="F620" s="2" t="s">
        <v>764</v>
      </c>
      <c r="G620" s="2" t="s">
        <v>765</v>
      </c>
      <c r="H620" s="2" t="s">
        <v>766</v>
      </c>
      <c r="I620" s="2" t="s">
        <v>767</v>
      </c>
      <c r="J620" s="2" t="s">
        <v>1597</v>
      </c>
      <c r="K620" s="2">
        <v>4</v>
      </c>
      <c r="L620" s="2">
        <v>420</v>
      </c>
      <c r="M620" s="3">
        <v>360</v>
      </c>
    </row>
    <row r="621" spans="1:13" x14ac:dyDescent="0.2">
      <c r="A621" s="1" t="s">
        <v>1158</v>
      </c>
      <c r="B621" s="1" t="s">
        <v>23</v>
      </c>
      <c r="C621" s="1" t="s">
        <v>15</v>
      </c>
      <c r="D621" s="2" t="s">
        <v>72</v>
      </c>
      <c r="E621" s="2" t="s">
        <v>119</v>
      </c>
      <c r="F621" s="2" t="s">
        <v>1159</v>
      </c>
      <c r="G621" s="2" t="s">
        <v>1119</v>
      </c>
      <c r="H621" s="2" t="s">
        <v>1160</v>
      </c>
      <c r="I621" s="2" t="s">
        <v>1161</v>
      </c>
      <c r="J621" s="2" t="s">
        <v>1597</v>
      </c>
      <c r="K621" s="2">
        <v>2</v>
      </c>
      <c r="L621" s="2">
        <v>135</v>
      </c>
      <c r="M621" s="3">
        <v>214</v>
      </c>
    </row>
    <row r="622" spans="1:13" x14ac:dyDescent="0.2">
      <c r="A622" s="1" t="s">
        <v>1505</v>
      </c>
      <c r="B622" s="1" t="s">
        <v>23</v>
      </c>
      <c r="C622" s="1" t="s">
        <v>15</v>
      </c>
      <c r="D622" s="2" t="s">
        <v>55</v>
      </c>
      <c r="E622" s="2" t="s">
        <v>56</v>
      </c>
      <c r="F622" s="2" t="s">
        <v>1506</v>
      </c>
      <c r="G622" s="2" t="s">
        <v>1507</v>
      </c>
      <c r="H622" s="2" t="s">
        <v>1508</v>
      </c>
      <c r="I622" s="2" t="s">
        <v>1509</v>
      </c>
      <c r="J622" s="2" t="s">
        <v>1597</v>
      </c>
      <c r="K622" s="2">
        <v>1</v>
      </c>
      <c r="L622" s="2">
        <v>152</v>
      </c>
      <c r="M622" s="3">
        <v>141</v>
      </c>
    </row>
    <row r="623" spans="1:13" x14ac:dyDescent="0.2">
      <c r="A623" s="1" t="s">
        <v>645</v>
      </c>
      <c r="B623" s="1" t="s">
        <v>23</v>
      </c>
      <c r="C623" s="1" t="s">
        <v>15</v>
      </c>
      <c r="D623" s="2" t="s">
        <v>36</v>
      </c>
      <c r="E623" s="2" t="s">
        <v>207</v>
      </c>
      <c r="F623" s="2" t="s">
        <v>646</v>
      </c>
      <c r="G623" s="2" t="s">
        <v>647</v>
      </c>
      <c r="H623" s="2" t="s">
        <v>648</v>
      </c>
      <c r="I623" s="2" t="s">
        <v>649</v>
      </c>
      <c r="J623" s="2" t="s">
        <v>1597</v>
      </c>
      <c r="K623" s="2">
        <v>1</v>
      </c>
      <c r="L623" s="2">
        <v>39</v>
      </c>
      <c r="M623" s="3">
        <v>39</v>
      </c>
    </row>
    <row r="624" spans="1:13" x14ac:dyDescent="0.2">
      <c r="A624" s="1" t="s">
        <v>1168</v>
      </c>
      <c r="B624" s="1" t="s">
        <v>23</v>
      </c>
      <c r="C624" s="1" t="s">
        <v>15</v>
      </c>
      <c r="D624" s="2" t="s">
        <v>24</v>
      </c>
      <c r="E624" s="2" t="s">
        <v>80</v>
      </c>
      <c r="F624" s="2" t="s">
        <v>1169</v>
      </c>
      <c r="G624" s="2" t="s">
        <v>1170</v>
      </c>
      <c r="H624" s="2" t="s">
        <v>1171</v>
      </c>
      <c r="I624" s="2" t="s">
        <v>1172</v>
      </c>
      <c r="J624" s="2" t="s">
        <v>1597</v>
      </c>
      <c r="K624" s="2">
        <v>3</v>
      </c>
      <c r="L624" s="2">
        <v>366</v>
      </c>
      <c r="M624" s="3">
        <v>359</v>
      </c>
    </row>
    <row r="625" spans="1:13" x14ac:dyDescent="0.2">
      <c r="A625" s="1" t="s">
        <v>1524</v>
      </c>
      <c r="B625" s="1" t="s">
        <v>23</v>
      </c>
      <c r="C625" s="1" t="s">
        <v>15</v>
      </c>
      <c r="D625" s="2" t="s">
        <v>72</v>
      </c>
      <c r="E625" s="2" t="s">
        <v>119</v>
      </c>
      <c r="F625" s="2" t="s">
        <v>1525</v>
      </c>
      <c r="G625" s="2" t="s">
        <v>1526</v>
      </c>
      <c r="H625" s="2" t="s">
        <v>1527</v>
      </c>
      <c r="I625" s="2" t="s">
        <v>1528</v>
      </c>
      <c r="J625" s="2" t="s">
        <v>1617</v>
      </c>
      <c r="K625" s="2">
        <v>1</v>
      </c>
      <c r="L625" s="2">
        <v>56</v>
      </c>
      <c r="M625" s="3">
        <v>53</v>
      </c>
    </row>
    <row r="626" spans="1:13" x14ac:dyDescent="0.2">
      <c r="A626" s="1" t="s">
        <v>714</v>
      </c>
      <c r="B626" s="1" t="s">
        <v>23</v>
      </c>
      <c r="C626" s="1" t="s">
        <v>15</v>
      </c>
      <c r="D626" s="2" t="s">
        <v>36</v>
      </c>
      <c r="E626" s="2" t="s">
        <v>207</v>
      </c>
      <c r="F626" s="2" t="s">
        <v>715</v>
      </c>
      <c r="G626" s="2" t="s">
        <v>716</v>
      </c>
      <c r="H626" s="2" t="s">
        <v>717</v>
      </c>
      <c r="I626" s="2" t="s">
        <v>718</v>
      </c>
      <c r="J626" s="2" t="s">
        <v>1617</v>
      </c>
      <c r="K626" s="2">
        <v>1</v>
      </c>
      <c r="L626" s="2">
        <v>7</v>
      </c>
      <c r="M626" s="3">
        <v>0</v>
      </c>
    </row>
    <row r="627" spans="1:13" x14ac:dyDescent="0.2">
      <c r="A627" s="1" t="s">
        <v>714</v>
      </c>
      <c r="B627" s="1" t="s">
        <v>23</v>
      </c>
      <c r="C627" s="1" t="s">
        <v>15</v>
      </c>
      <c r="D627" s="2" t="s">
        <v>36</v>
      </c>
      <c r="E627" s="2" t="s">
        <v>207</v>
      </c>
      <c r="F627" s="2" t="s">
        <v>760</v>
      </c>
      <c r="G627" s="2" t="s">
        <v>761</v>
      </c>
      <c r="H627" s="2" t="s">
        <v>762</v>
      </c>
      <c r="I627" s="2" t="s">
        <v>718</v>
      </c>
      <c r="J627" s="2" t="s">
        <v>1617</v>
      </c>
      <c r="K627" s="2">
        <v>0</v>
      </c>
      <c r="L627" s="2">
        <v>0</v>
      </c>
      <c r="M627" s="3">
        <v>0</v>
      </c>
    </row>
    <row r="628" spans="1:13" x14ac:dyDescent="0.2">
      <c r="A628" s="1" t="s">
        <v>86</v>
      </c>
      <c r="B628" s="1" t="s">
        <v>23</v>
      </c>
      <c r="C628" s="1" t="s">
        <v>15</v>
      </c>
      <c r="D628" s="2" t="s">
        <v>72</v>
      </c>
      <c r="E628" s="2" t="s">
        <v>73</v>
      </c>
      <c r="F628" s="2" t="s">
        <v>87</v>
      </c>
      <c r="G628" s="2" t="s">
        <v>88</v>
      </c>
      <c r="H628" s="2" t="s">
        <v>89</v>
      </c>
      <c r="I628" s="2" t="s">
        <v>90</v>
      </c>
      <c r="J628" s="2" t="s">
        <v>1617</v>
      </c>
      <c r="K628" s="2">
        <v>2</v>
      </c>
      <c r="L628" s="2">
        <v>121</v>
      </c>
      <c r="M628" s="3">
        <v>127</v>
      </c>
    </row>
    <row r="629" spans="1:13" x14ac:dyDescent="0.2">
      <c r="A629" s="1" t="s">
        <v>364</v>
      </c>
      <c r="B629" s="1" t="s">
        <v>23</v>
      </c>
      <c r="C629" s="1" t="s">
        <v>15</v>
      </c>
      <c r="D629" s="2" t="s">
        <v>72</v>
      </c>
      <c r="E629" s="2" t="s">
        <v>119</v>
      </c>
      <c r="F629" s="2" t="s">
        <v>365</v>
      </c>
      <c r="G629" s="2" t="s">
        <v>366</v>
      </c>
      <c r="H629" s="2" t="s">
        <v>367</v>
      </c>
      <c r="I629" s="2" t="s">
        <v>368</v>
      </c>
      <c r="J629" s="2" t="s">
        <v>1617</v>
      </c>
      <c r="K629" s="2">
        <v>2</v>
      </c>
      <c r="L629" s="2">
        <v>164</v>
      </c>
      <c r="M629" s="3">
        <v>108</v>
      </c>
    </row>
    <row r="630" spans="1:13" x14ac:dyDescent="0.2">
      <c r="A630" s="1" t="s">
        <v>1618</v>
      </c>
      <c r="B630" s="1" t="s">
        <v>23</v>
      </c>
      <c r="C630" s="1" t="s">
        <v>15</v>
      </c>
      <c r="D630" s="2" t="s">
        <v>36</v>
      </c>
      <c r="E630" s="2" t="s">
        <v>176</v>
      </c>
      <c r="F630" s="2" t="s">
        <v>1619</v>
      </c>
      <c r="G630" s="2" t="s">
        <v>1620</v>
      </c>
      <c r="H630" s="2">
        <v>9566373487</v>
      </c>
      <c r="I630" s="2" t="s">
        <v>1621</v>
      </c>
      <c r="J630" s="2" t="s">
        <v>1617</v>
      </c>
      <c r="K630" s="2">
        <v>2</v>
      </c>
      <c r="L630" s="2">
        <v>47</v>
      </c>
      <c r="M630" s="3">
        <v>119</v>
      </c>
    </row>
    <row r="631" spans="1:13" x14ac:dyDescent="0.2">
      <c r="A631" s="1" t="s">
        <v>583</v>
      </c>
      <c r="B631" s="1" t="s">
        <v>23</v>
      </c>
      <c r="C631" s="1" t="s">
        <v>15</v>
      </c>
      <c r="D631" s="2" t="s">
        <v>16</v>
      </c>
      <c r="E631" s="2" t="s">
        <v>456</v>
      </c>
      <c r="F631" s="2" t="s">
        <v>584</v>
      </c>
      <c r="G631" s="2" t="s">
        <v>585</v>
      </c>
      <c r="H631" s="2" t="s">
        <v>586</v>
      </c>
      <c r="I631" s="2" t="s">
        <v>587</v>
      </c>
      <c r="J631" s="2" t="s">
        <v>1617</v>
      </c>
      <c r="K631" s="2">
        <v>0</v>
      </c>
      <c r="L631" s="2">
        <v>0</v>
      </c>
      <c r="M631" s="3">
        <v>45</v>
      </c>
    </row>
    <row r="632" spans="1:13" x14ac:dyDescent="0.2">
      <c r="A632" s="1" t="s">
        <v>934</v>
      </c>
      <c r="B632" s="1" t="s">
        <v>23</v>
      </c>
      <c r="C632" s="1" t="s">
        <v>15</v>
      </c>
      <c r="D632" s="2" t="s">
        <v>72</v>
      </c>
      <c r="E632" s="2" t="s">
        <v>73</v>
      </c>
      <c r="F632" s="2" t="s">
        <v>935</v>
      </c>
      <c r="G632" s="2" t="s">
        <v>936</v>
      </c>
      <c r="H632" s="2" t="s">
        <v>937</v>
      </c>
      <c r="I632" s="2" t="s">
        <v>938</v>
      </c>
      <c r="J632" s="2" t="s">
        <v>1617</v>
      </c>
      <c r="K632" s="2">
        <v>2</v>
      </c>
      <c r="L632" s="2">
        <v>324</v>
      </c>
      <c r="M632" s="3">
        <v>248</v>
      </c>
    </row>
    <row r="633" spans="1:13" x14ac:dyDescent="0.2">
      <c r="A633" s="1" t="s">
        <v>1435</v>
      </c>
      <c r="B633" s="1" t="s">
        <v>23</v>
      </c>
      <c r="C633" s="1" t="s">
        <v>15</v>
      </c>
      <c r="D633" s="2" t="s">
        <v>72</v>
      </c>
      <c r="E633" s="2" t="s">
        <v>491</v>
      </c>
      <c r="F633" s="2" t="s">
        <v>1436</v>
      </c>
      <c r="G633" s="2" t="s">
        <v>1437</v>
      </c>
      <c r="H633" s="2" t="s">
        <v>1438</v>
      </c>
      <c r="I633" s="2" t="s">
        <v>1439</v>
      </c>
      <c r="J633" s="2" t="s">
        <v>1617</v>
      </c>
      <c r="K633" s="2">
        <v>1</v>
      </c>
      <c r="L633" s="2">
        <v>47</v>
      </c>
      <c r="M633" s="3">
        <v>45</v>
      </c>
    </row>
    <row r="634" spans="1:13" x14ac:dyDescent="0.2">
      <c r="A634" s="1" t="s">
        <v>1534</v>
      </c>
      <c r="B634" s="1" t="s">
        <v>23</v>
      </c>
      <c r="C634" s="1" t="s">
        <v>15</v>
      </c>
      <c r="D634" s="2" t="s">
        <v>72</v>
      </c>
      <c r="E634" s="2" t="s">
        <v>213</v>
      </c>
      <c r="F634" s="2" t="s">
        <v>1535</v>
      </c>
      <c r="G634" s="2" t="s">
        <v>1536</v>
      </c>
      <c r="H634" s="2" t="s">
        <v>1537</v>
      </c>
      <c r="I634" s="2" t="s">
        <v>1538</v>
      </c>
      <c r="J634" s="2" t="s">
        <v>1617</v>
      </c>
      <c r="K634" s="2">
        <v>1</v>
      </c>
      <c r="L634" s="2">
        <v>178</v>
      </c>
      <c r="M634" s="3">
        <v>215</v>
      </c>
    </row>
    <row r="635" spans="1:13" x14ac:dyDescent="0.2">
      <c r="A635" s="1" t="s">
        <v>1622</v>
      </c>
      <c r="B635" s="1" t="s">
        <v>23</v>
      </c>
      <c r="C635" s="1" t="s">
        <v>15</v>
      </c>
      <c r="D635" s="2" t="s">
        <v>55</v>
      </c>
      <c r="E635" s="2" t="s">
        <v>56</v>
      </c>
      <c r="F635" s="2" t="s">
        <v>1623</v>
      </c>
      <c r="G635" s="2" t="s">
        <v>1624</v>
      </c>
      <c r="H635" s="2" t="s">
        <v>1625</v>
      </c>
      <c r="I635" s="2" t="s">
        <v>1626</v>
      </c>
      <c r="J635" s="2" t="s">
        <v>1617</v>
      </c>
      <c r="K635" s="2">
        <v>2</v>
      </c>
      <c r="L635" s="2">
        <v>96</v>
      </c>
      <c r="M635" s="3">
        <v>45</v>
      </c>
    </row>
    <row r="636" spans="1:13" x14ac:dyDescent="0.2">
      <c r="A636" s="1" t="s">
        <v>949</v>
      </c>
      <c r="B636" s="1" t="s">
        <v>23</v>
      </c>
      <c r="C636" s="1" t="s">
        <v>15</v>
      </c>
      <c r="D636" s="2" t="s">
        <v>44</v>
      </c>
      <c r="E636" s="2" t="s">
        <v>44</v>
      </c>
      <c r="F636" s="2" t="s">
        <v>950</v>
      </c>
      <c r="G636" s="2" t="s">
        <v>951</v>
      </c>
      <c r="H636" s="2" t="s">
        <v>952</v>
      </c>
      <c r="I636" s="2" t="s">
        <v>953</v>
      </c>
      <c r="J636" s="2" t="s">
        <v>1617</v>
      </c>
      <c r="K636" s="2">
        <v>2</v>
      </c>
      <c r="L636" s="2">
        <v>133</v>
      </c>
      <c r="M636" s="3">
        <v>96</v>
      </c>
    </row>
    <row r="637" spans="1:13" x14ac:dyDescent="0.2">
      <c r="A637" s="1" t="s">
        <v>1238</v>
      </c>
      <c r="B637" s="1" t="s">
        <v>23</v>
      </c>
      <c r="C637" s="1" t="s">
        <v>15</v>
      </c>
      <c r="D637" s="2" t="s">
        <v>24</v>
      </c>
      <c r="E637" s="2" t="s">
        <v>818</v>
      </c>
      <c r="F637" s="2" t="s">
        <v>1239</v>
      </c>
      <c r="G637" s="2" t="s">
        <v>1240</v>
      </c>
      <c r="H637" s="2" t="s">
        <v>1241</v>
      </c>
      <c r="I637" s="2" t="s">
        <v>1242</v>
      </c>
      <c r="J637" s="2" t="s">
        <v>1617</v>
      </c>
      <c r="K637" s="2">
        <v>1</v>
      </c>
      <c r="L637" s="2">
        <v>25</v>
      </c>
      <c r="M637" s="3">
        <v>25</v>
      </c>
    </row>
    <row r="638" spans="1:13" x14ac:dyDescent="0.2">
      <c r="A638" s="1" t="s">
        <v>1183</v>
      </c>
      <c r="B638" s="1" t="s">
        <v>23</v>
      </c>
      <c r="C638" s="1" t="s">
        <v>15</v>
      </c>
      <c r="D638" s="2" t="s">
        <v>44</v>
      </c>
      <c r="E638" s="2" t="s">
        <v>44</v>
      </c>
      <c r="F638" s="2" t="s">
        <v>1184</v>
      </c>
      <c r="G638" s="2" t="s">
        <v>1185</v>
      </c>
      <c r="H638" s="2" t="s">
        <v>1186</v>
      </c>
      <c r="I638" s="2" t="s">
        <v>1187</v>
      </c>
      <c r="J638" s="2" t="s">
        <v>1617</v>
      </c>
      <c r="K638" s="2">
        <v>2</v>
      </c>
      <c r="L638" s="2">
        <v>96</v>
      </c>
      <c r="M638" s="3">
        <v>53</v>
      </c>
    </row>
    <row r="639" spans="1:13" x14ac:dyDescent="0.2">
      <c r="A639" s="1" t="s">
        <v>812</v>
      </c>
      <c r="B639" s="1" t="s">
        <v>23</v>
      </c>
      <c r="C639" s="1" t="s">
        <v>15</v>
      </c>
      <c r="D639" s="2" t="s">
        <v>16</v>
      </c>
      <c r="E639" s="2" t="s">
        <v>108</v>
      </c>
      <c r="F639" s="2" t="s">
        <v>813</v>
      </c>
      <c r="G639" s="2" t="s">
        <v>814</v>
      </c>
      <c r="H639" s="2" t="s">
        <v>815</v>
      </c>
      <c r="I639" s="2" t="s">
        <v>816</v>
      </c>
      <c r="J639" s="2" t="s">
        <v>1617</v>
      </c>
      <c r="K639" s="2">
        <v>0</v>
      </c>
      <c r="L639" s="2">
        <v>0</v>
      </c>
      <c r="M639" s="3">
        <v>25</v>
      </c>
    </row>
    <row r="640" spans="1:13" x14ac:dyDescent="0.2">
      <c r="A640" s="1" t="s">
        <v>22</v>
      </c>
      <c r="B640" s="1" t="s">
        <v>23</v>
      </c>
      <c r="C640" s="1" t="s">
        <v>15</v>
      </c>
      <c r="D640" s="2" t="s">
        <v>24</v>
      </c>
      <c r="E640" s="2" t="s">
        <v>25</v>
      </c>
      <c r="F640" s="2" t="s">
        <v>26</v>
      </c>
      <c r="G640" s="2" t="s">
        <v>27</v>
      </c>
      <c r="H640" s="2" t="s">
        <v>28</v>
      </c>
      <c r="I640" s="2"/>
      <c r="J640" s="2" t="s">
        <v>1617</v>
      </c>
      <c r="K640" s="2">
        <v>2</v>
      </c>
      <c r="L640" s="2">
        <v>137</v>
      </c>
      <c r="M640" s="3">
        <v>210</v>
      </c>
    </row>
    <row r="641" spans="1:13" x14ac:dyDescent="0.2">
      <c r="A641" s="1" t="s">
        <v>660</v>
      </c>
      <c r="B641" s="1" t="s">
        <v>23</v>
      </c>
      <c r="C641" s="1" t="s">
        <v>15</v>
      </c>
      <c r="D641" s="2" t="s">
        <v>36</v>
      </c>
      <c r="E641" s="2" t="s">
        <v>37</v>
      </c>
      <c r="F641" s="2" t="s">
        <v>661</v>
      </c>
      <c r="G641" s="2" t="s">
        <v>662</v>
      </c>
      <c r="H641" s="2" t="s">
        <v>663</v>
      </c>
      <c r="I641" s="2" t="s">
        <v>664</v>
      </c>
      <c r="J641" s="2" t="s">
        <v>1617</v>
      </c>
      <c r="K641" s="2">
        <v>2</v>
      </c>
      <c r="L641" s="2">
        <v>53</v>
      </c>
      <c r="M641" s="3">
        <v>53</v>
      </c>
    </row>
    <row r="642" spans="1:13" x14ac:dyDescent="0.2">
      <c r="A642" s="1" t="s">
        <v>500</v>
      </c>
      <c r="B642" s="1" t="s">
        <v>23</v>
      </c>
      <c r="C642" s="1" t="s">
        <v>15</v>
      </c>
      <c r="D642" s="2" t="s">
        <v>72</v>
      </c>
      <c r="E642" s="2" t="s">
        <v>491</v>
      </c>
      <c r="F642" s="2" t="s">
        <v>501</v>
      </c>
      <c r="G642" s="2" t="s">
        <v>502</v>
      </c>
      <c r="H642" s="2" t="s">
        <v>503</v>
      </c>
      <c r="I642" s="2" t="s">
        <v>504</v>
      </c>
      <c r="J642" s="2" t="s">
        <v>1617</v>
      </c>
      <c r="K642" s="2">
        <v>1</v>
      </c>
      <c r="L642" s="2">
        <v>76</v>
      </c>
      <c r="M642" s="3">
        <v>126</v>
      </c>
    </row>
    <row r="643" spans="1:13" x14ac:dyDescent="0.2">
      <c r="A643" s="1" t="s">
        <v>266</v>
      </c>
      <c r="B643" s="1" t="s">
        <v>23</v>
      </c>
      <c r="C643" s="1" t="s">
        <v>15</v>
      </c>
      <c r="D643" s="2" t="s">
        <v>16</v>
      </c>
      <c r="E643" s="2" t="s">
        <v>108</v>
      </c>
      <c r="F643" s="2" t="s">
        <v>267</v>
      </c>
      <c r="G643" s="2" t="s">
        <v>268</v>
      </c>
      <c r="H643" s="2" t="s">
        <v>269</v>
      </c>
      <c r="I643" s="2" t="s">
        <v>270</v>
      </c>
      <c r="J643" s="2" t="s">
        <v>1617</v>
      </c>
      <c r="K643" s="2">
        <v>1</v>
      </c>
      <c r="L643" s="2">
        <v>12</v>
      </c>
      <c r="M643" s="3">
        <v>0</v>
      </c>
    </row>
    <row r="644" spans="1:13" x14ac:dyDescent="0.2">
      <c r="A644" s="1" t="s">
        <v>124</v>
      </c>
      <c r="B644" s="1" t="s">
        <v>23</v>
      </c>
      <c r="C644" s="1" t="s">
        <v>15</v>
      </c>
      <c r="D644" s="2" t="s">
        <v>16</v>
      </c>
      <c r="E644" s="2" t="s">
        <v>108</v>
      </c>
      <c r="F644" s="2" t="s">
        <v>125</v>
      </c>
      <c r="G644" s="2" t="s">
        <v>126</v>
      </c>
      <c r="H644" s="2" t="s">
        <v>127</v>
      </c>
      <c r="I644" s="2" t="s">
        <v>128</v>
      </c>
      <c r="J644" s="2" t="s">
        <v>1617</v>
      </c>
      <c r="K644" s="2">
        <v>1</v>
      </c>
      <c r="L644" s="2">
        <v>43</v>
      </c>
      <c r="M644" s="3">
        <v>43</v>
      </c>
    </row>
    <row r="645" spans="1:13" x14ac:dyDescent="0.2">
      <c r="A645" s="1" t="s">
        <v>285</v>
      </c>
      <c r="B645" s="1" t="s">
        <v>23</v>
      </c>
      <c r="C645" s="1" t="s">
        <v>15</v>
      </c>
      <c r="D645" s="2" t="s">
        <v>16</v>
      </c>
      <c r="E645" s="2" t="s">
        <v>108</v>
      </c>
      <c r="F645" s="2" t="s">
        <v>286</v>
      </c>
      <c r="G645" s="2" t="s">
        <v>287</v>
      </c>
      <c r="H645" s="2" t="s">
        <v>288</v>
      </c>
      <c r="I645" s="2" t="s">
        <v>289</v>
      </c>
      <c r="J645" s="2" t="s">
        <v>1617</v>
      </c>
      <c r="K645" s="2">
        <v>0</v>
      </c>
      <c r="L645" s="2">
        <v>0</v>
      </c>
      <c r="M645" s="3">
        <v>37</v>
      </c>
    </row>
    <row r="646" spans="1:13" x14ac:dyDescent="0.2">
      <c r="A646" s="1" t="s">
        <v>218</v>
      </c>
      <c r="B646" s="1" t="s">
        <v>23</v>
      </c>
      <c r="C646" s="1" t="s">
        <v>15</v>
      </c>
      <c r="D646" s="2" t="s">
        <v>72</v>
      </c>
      <c r="E646" s="2" t="s">
        <v>213</v>
      </c>
      <c r="F646" s="2" t="s">
        <v>219</v>
      </c>
      <c r="G646" s="2" t="s">
        <v>220</v>
      </c>
      <c r="H646" s="2" t="s">
        <v>221</v>
      </c>
      <c r="I646" s="2" t="s">
        <v>222</v>
      </c>
      <c r="J646" s="2" t="s">
        <v>1617</v>
      </c>
      <c r="K646" s="2">
        <v>0</v>
      </c>
      <c r="L646" s="2">
        <v>0</v>
      </c>
      <c r="M646" s="3">
        <v>47</v>
      </c>
    </row>
    <row r="647" spans="1:13" x14ac:dyDescent="0.2">
      <c r="A647" s="1" t="s">
        <v>1465</v>
      </c>
      <c r="B647" s="1" t="s">
        <v>23</v>
      </c>
      <c r="C647" s="1" t="s">
        <v>15</v>
      </c>
      <c r="D647" s="2" t="s">
        <v>55</v>
      </c>
      <c r="E647" s="2" t="s">
        <v>92</v>
      </c>
      <c r="F647" s="2" t="s">
        <v>1466</v>
      </c>
      <c r="G647" s="2" t="s">
        <v>1467</v>
      </c>
      <c r="H647" s="2" t="s">
        <v>1468</v>
      </c>
      <c r="I647" s="2" t="s">
        <v>1469</v>
      </c>
      <c r="J647" s="2" t="s">
        <v>1617</v>
      </c>
      <c r="K647" s="2">
        <v>2</v>
      </c>
      <c r="L647" s="2">
        <v>52</v>
      </c>
      <c r="M647" s="3">
        <v>101</v>
      </c>
    </row>
    <row r="648" spans="1:13" x14ac:dyDescent="0.2">
      <c r="A648" s="1" t="s">
        <v>510</v>
      </c>
      <c r="B648" s="1" t="s">
        <v>23</v>
      </c>
      <c r="C648" s="1" t="s">
        <v>15</v>
      </c>
      <c r="D648" s="2" t="s">
        <v>24</v>
      </c>
      <c r="E648" s="2" t="s">
        <v>166</v>
      </c>
      <c r="F648" s="2" t="s">
        <v>549</v>
      </c>
      <c r="G648" s="2" t="s">
        <v>550</v>
      </c>
      <c r="H648" s="2" t="s">
        <v>551</v>
      </c>
      <c r="I648" s="2" t="s">
        <v>552</v>
      </c>
      <c r="J648" s="2" t="s">
        <v>1617</v>
      </c>
      <c r="K648" s="2">
        <v>3</v>
      </c>
      <c r="L648" s="2">
        <v>174</v>
      </c>
      <c r="M648" s="3">
        <v>236</v>
      </c>
    </row>
    <row r="649" spans="1:13" x14ac:dyDescent="0.2">
      <c r="A649" s="1" t="s">
        <v>510</v>
      </c>
      <c r="B649" s="1" t="s">
        <v>23</v>
      </c>
      <c r="C649" s="1" t="s">
        <v>15</v>
      </c>
      <c r="D649" s="2" t="s">
        <v>72</v>
      </c>
      <c r="E649" s="2" t="s">
        <v>213</v>
      </c>
      <c r="F649" s="2" t="s">
        <v>511</v>
      </c>
      <c r="G649" s="2" t="s">
        <v>512</v>
      </c>
      <c r="H649" s="2" t="s">
        <v>513</v>
      </c>
      <c r="I649" s="2" t="s">
        <v>514</v>
      </c>
      <c r="J649" s="2" t="s">
        <v>1617</v>
      </c>
      <c r="K649" s="2">
        <v>1</v>
      </c>
      <c r="L649" s="2">
        <v>40</v>
      </c>
      <c r="M649" s="3">
        <v>65</v>
      </c>
    </row>
    <row r="650" spans="1:13" x14ac:dyDescent="0.2">
      <c r="A650" s="1" t="s">
        <v>313</v>
      </c>
      <c r="B650" s="1" t="s">
        <v>23</v>
      </c>
      <c r="C650" s="1" t="s">
        <v>15</v>
      </c>
      <c r="D650" s="2" t="s">
        <v>16</v>
      </c>
      <c r="E650" s="2" t="s">
        <v>108</v>
      </c>
      <c r="F650" s="2" t="s">
        <v>314</v>
      </c>
      <c r="G650" s="2" t="s">
        <v>315</v>
      </c>
      <c r="H650" s="2" t="s">
        <v>316</v>
      </c>
      <c r="I650" s="2" t="s">
        <v>317</v>
      </c>
      <c r="J650" s="2" t="s">
        <v>1617</v>
      </c>
      <c r="K650" s="2">
        <v>1</v>
      </c>
      <c r="L650" s="2">
        <v>83</v>
      </c>
      <c r="M650" s="3">
        <v>179</v>
      </c>
    </row>
    <row r="651" spans="1:13" x14ac:dyDescent="0.2">
      <c r="A651" s="1" t="s">
        <v>588</v>
      </c>
      <c r="B651" s="1" t="s">
        <v>23</v>
      </c>
      <c r="C651" s="1" t="s">
        <v>15</v>
      </c>
      <c r="D651" s="2" t="s">
        <v>72</v>
      </c>
      <c r="E651" s="2" t="s">
        <v>119</v>
      </c>
      <c r="F651" s="2" t="s">
        <v>589</v>
      </c>
      <c r="G651" s="2" t="s">
        <v>590</v>
      </c>
      <c r="H651" s="2" t="s">
        <v>591</v>
      </c>
      <c r="I651" s="2" t="s">
        <v>592</v>
      </c>
      <c r="J651" s="2" t="s">
        <v>1617</v>
      </c>
      <c r="K651" s="2">
        <v>1</v>
      </c>
      <c r="L651" s="2">
        <v>67</v>
      </c>
      <c r="M651" s="3">
        <v>36</v>
      </c>
    </row>
    <row r="652" spans="1:13" x14ac:dyDescent="0.2">
      <c r="A652" s="1" t="s">
        <v>593</v>
      </c>
      <c r="B652" s="1" t="s">
        <v>23</v>
      </c>
      <c r="C652" s="1" t="s">
        <v>15</v>
      </c>
      <c r="D652" s="2" t="s">
        <v>16</v>
      </c>
      <c r="E652" s="2" t="s">
        <v>456</v>
      </c>
      <c r="F652" s="2" t="s">
        <v>594</v>
      </c>
      <c r="G652" s="2" t="s">
        <v>595</v>
      </c>
      <c r="H652" s="2" t="s">
        <v>596</v>
      </c>
      <c r="I652" s="2" t="s">
        <v>597</v>
      </c>
      <c r="J652" s="2" t="s">
        <v>1617</v>
      </c>
      <c r="K652" s="2">
        <v>0</v>
      </c>
      <c r="L652" s="2">
        <v>0</v>
      </c>
      <c r="M652" s="3">
        <v>66</v>
      </c>
    </row>
    <row r="653" spans="1:13" x14ac:dyDescent="0.2">
      <c r="A653" s="1" t="s">
        <v>1550</v>
      </c>
      <c r="B653" s="1" t="s">
        <v>23</v>
      </c>
      <c r="C653" s="1" t="s">
        <v>15</v>
      </c>
      <c r="D653" s="2" t="s">
        <v>44</v>
      </c>
      <c r="E653" s="2" t="s">
        <v>44</v>
      </c>
      <c r="F653" s="2" t="s">
        <v>1551</v>
      </c>
      <c r="G653" s="2" t="s">
        <v>1552</v>
      </c>
      <c r="H653" s="2" t="s">
        <v>1553</v>
      </c>
      <c r="I653" s="2" t="s">
        <v>1554</v>
      </c>
      <c r="J653" s="2" t="s">
        <v>1617</v>
      </c>
      <c r="K653" s="2">
        <v>1</v>
      </c>
      <c r="L653" s="2">
        <v>44</v>
      </c>
      <c r="M653" s="3">
        <v>40</v>
      </c>
    </row>
    <row r="654" spans="1:13" x14ac:dyDescent="0.2">
      <c r="A654" s="1" t="s">
        <v>1555</v>
      </c>
      <c r="B654" s="1" t="s">
        <v>23</v>
      </c>
      <c r="C654" s="1" t="s">
        <v>15</v>
      </c>
      <c r="D654" s="2" t="s">
        <v>55</v>
      </c>
      <c r="E654" s="2" t="s">
        <v>92</v>
      </c>
      <c r="F654" s="2" t="s">
        <v>1556</v>
      </c>
      <c r="G654" s="2" t="s">
        <v>1557</v>
      </c>
      <c r="H654" s="2" t="s">
        <v>1558</v>
      </c>
      <c r="I654" s="2" t="s">
        <v>1559</v>
      </c>
      <c r="J654" s="2" t="s">
        <v>1617</v>
      </c>
      <c r="K654" s="2">
        <v>2</v>
      </c>
      <c r="L654" s="2">
        <v>52</v>
      </c>
      <c r="M654" s="3">
        <v>41</v>
      </c>
    </row>
    <row r="655" spans="1:13" x14ac:dyDescent="0.2">
      <c r="A655" s="1" t="s">
        <v>323</v>
      </c>
      <c r="B655" s="1" t="s">
        <v>23</v>
      </c>
      <c r="C655" s="1" t="s">
        <v>15</v>
      </c>
      <c r="D655" s="2" t="s">
        <v>16</v>
      </c>
      <c r="E655" s="2" t="s">
        <v>108</v>
      </c>
      <c r="F655" s="2" t="s">
        <v>324</v>
      </c>
      <c r="G655" s="2" t="s">
        <v>325</v>
      </c>
      <c r="H655" s="2" t="s">
        <v>326</v>
      </c>
      <c r="I655" s="2" t="s">
        <v>327</v>
      </c>
      <c r="J655" s="2" t="s">
        <v>1617</v>
      </c>
      <c r="K655" s="2">
        <v>1</v>
      </c>
      <c r="L655" s="2">
        <v>50</v>
      </c>
      <c r="M655" s="3">
        <v>83</v>
      </c>
    </row>
    <row r="656" spans="1:13" x14ac:dyDescent="0.2">
      <c r="A656" s="1" t="s">
        <v>1197</v>
      </c>
      <c r="B656" s="1" t="s">
        <v>23</v>
      </c>
      <c r="C656" s="1" t="s">
        <v>15</v>
      </c>
      <c r="D656" s="2" t="s">
        <v>24</v>
      </c>
      <c r="E656" s="2" t="s">
        <v>1143</v>
      </c>
      <c r="F656" s="2" t="s">
        <v>1198</v>
      </c>
      <c r="G656" s="2" t="s">
        <v>1199</v>
      </c>
      <c r="H656" s="2" t="s">
        <v>1200</v>
      </c>
      <c r="I656" s="2" t="s">
        <v>1201</v>
      </c>
      <c r="J656" s="2" t="s">
        <v>1617</v>
      </c>
      <c r="K656" s="2">
        <v>1</v>
      </c>
      <c r="L656" s="2">
        <v>29</v>
      </c>
      <c r="M656" s="3">
        <v>28</v>
      </c>
    </row>
    <row r="657" spans="1:13" x14ac:dyDescent="0.2">
      <c r="A657" s="1" t="s">
        <v>807</v>
      </c>
      <c r="B657" s="1" t="s">
        <v>23</v>
      </c>
      <c r="C657" s="1" t="s">
        <v>15</v>
      </c>
      <c r="D657" s="2" t="s">
        <v>55</v>
      </c>
      <c r="E657" s="2" t="s">
        <v>92</v>
      </c>
      <c r="F657" s="2" t="s">
        <v>808</v>
      </c>
      <c r="G657" s="2" t="s">
        <v>809</v>
      </c>
      <c r="H657" s="2" t="s">
        <v>810</v>
      </c>
      <c r="I657" s="2" t="s">
        <v>811</v>
      </c>
      <c r="J657" s="2" t="s">
        <v>1617</v>
      </c>
      <c r="K657" s="2">
        <v>1</v>
      </c>
      <c r="L657" s="2">
        <v>25</v>
      </c>
      <c r="M657" s="3">
        <v>23</v>
      </c>
    </row>
    <row r="658" spans="1:13" x14ac:dyDescent="0.2">
      <c r="A658" s="1" t="s">
        <v>394</v>
      </c>
      <c r="B658" s="1" t="s">
        <v>23</v>
      </c>
      <c r="C658" s="1" t="s">
        <v>15</v>
      </c>
      <c r="D658" s="2" t="s">
        <v>24</v>
      </c>
      <c r="E658" s="2" t="s">
        <v>395</v>
      </c>
      <c r="F658" s="2" t="s">
        <v>396</v>
      </c>
      <c r="G658" s="2" t="s">
        <v>397</v>
      </c>
      <c r="H658" s="2" t="s">
        <v>398</v>
      </c>
      <c r="I658" s="2" t="s">
        <v>399</v>
      </c>
      <c r="J658" s="2" t="s">
        <v>1617</v>
      </c>
      <c r="K658" s="2">
        <v>1</v>
      </c>
      <c r="L658" s="2">
        <v>54</v>
      </c>
      <c r="M658" s="3">
        <v>56</v>
      </c>
    </row>
    <row r="659" spans="1:13" x14ac:dyDescent="0.2">
      <c r="A659" s="1" t="s">
        <v>165</v>
      </c>
      <c r="B659" s="1" t="s">
        <v>23</v>
      </c>
      <c r="C659" s="1" t="s">
        <v>15</v>
      </c>
      <c r="D659" s="2" t="s">
        <v>24</v>
      </c>
      <c r="E659" s="2" t="s">
        <v>166</v>
      </c>
      <c r="F659" s="2" t="s">
        <v>167</v>
      </c>
      <c r="G659" s="2" t="s">
        <v>168</v>
      </c>
      <c r="H659" s="2" t="s">
        <v>169</v>
      </c>
      <c r="I659" s="2" t="s">
        <v>170</v>
      </c>
      <c r="J659" s="2" t="s">
        <v>1617</v>
      </c>
      <c r="K659" s="2">
        <v>1</v>
      </c>
      <c r="L659" s="2">
        <v>24</v>
      </c>
      <c r="M659" s="3">
        <v>0</v>
      </c>
    </row>
    <row r="660" spans="1:13" x14ac:dyDescent="0.2">
      <c r="A660" s="1" t="s">
        <v>1627</v>
      </c>
      <c r="B660" s="1" t="s">
        <v>23</v>
      </c>
      <c r="C660" s="1" t="s">
        <v>15</v>
      </c>
      <c r="D660" s="2" t="s">
        <v>36</v>
      </c>
      <c r="E660" s="2" t="s">
        <v>207</v>
      </c>
      <c r="F660" s="2" t="s">
        <v>1628</v>
      </c>
      <c r="G660" s="2" t="s">
        <v>1629</v>
      </c>
      <c r="H660" s="2" t="s">
        <v>1630</v>
      </c>
      <c r="I660" s="2" t="s">
        <v>1631</v>
      </c>
      <c r="J660" s="2" t="s">
        <v>1617</v>
      </c>
      <c r="K660" s="2">
        <v>1</v>
      </c>
      <c r="L660" s="2">
        <v>50</v>
      </c>
      <c r="M660" s="3">
        <v>44</v>
      </c>
    </row>
    <row r="661" spans="1:13" x14ac:dyDescent="0.2">
      <c r="A661" s="1" t="s">
        <v>578</v>
      </c>
      <c r="B661" s="1" t="s">
        <v>23</v>
      </c>
      <c r="C661" s="1" t="s">
        <v>15</v>
      </c>
      <c r="D661" s="2" t="s">
        <v>24</v>
      </c>
      <c r="E661" s="2" t="s">
        <v>182</v>
      </c>
      <c r="F661" s="2" t="s">
        <v>579</v>
      </c>
      <c r="G661" s="2" t="s">
        <v>580</v>
      </c>
      <c r="H661" s="2" t="s">
        <v>581</v>
      </c>
      <c r="I661" s="2" t="s">
        <v>582</v>
      </c>
      <c r="J661" s="2" t="s">
        <v>1617</v>
      </c>
      <c r="K661" s="2">
        <v>1</v>
      </c>
      <c r="L661" s="2">
        <v>109</v>
      </c>
      <c r="M661" s="3">
        <v>106</v>
      </c>
    </row>
    <row r="662" spans="1:13" x14ac:dyDescent="0.2">
      <c r="A662" s="1" t="s">
        <v>1632</v>
      </c>
      <c r="B662" s="1" t="s">
        <v>23</v>
      </c>
      <c r="C662" s="1" t="s">
        <v>15</v>
      </c>
      <c r="D662" s="2" t="s">
        <v>44</v>
      </c>
      <c r="E662" s="2" t="s">
        <v>44</v>
      </c>
      <c r="F662" s="2" t="s">
        <v>1633</v>
      </c>
      <c r="G662" s="2" t="s">
        <v>1634</v>
      </c>
      <c r="H662" s="2" t="s">
        <v>1635</v>
      </c>
      <c r="I662" s="2" t="s">
        <v>1636</v>
      </c>
      <c r="J662" s="2" t="s">
        <v>1617</v>
      </c>
      <c r="K662" s="2">
        <v>2</v>
      </c>
      <c r="L662" s="2">
        <v>102</v>
      </c>
      <c r="M662" s="3">
        <v>100</v>
      </c>
    </row>
    <row r="663" spans="1:13" x14ac:dyDescent="0.2">
      <c r="A663" s="1" t="s">
        <v>369</v>
      </c>
      <c r="B663" s="1" t="s">
        <v>23</v>
      </c>
      <c r="C663" s="1" t="s">
        <v>15</v>
      </c>
      <c r="D663" s="2" t="s">
        <v>44</v>
      </c>
      <c r="E663" s="2" t="s">
        <v>44</v>
      </c>
      <c r="F663" s="2" t="s">
        <v>370</v>
      </c>
      <c r="G663" s="2" t="s">
        <v>371</v>
      </c>
      <c r="H663" s="2" t="s">
        <v>372</v>
      </c>
      <c r="I663" s="2" t="s">
        <v>373</v>
      </c>
      <c r="J663" s="2" t="s">
        <v>1617</v>
      </c>
      <c r="K663" s="2">
        <v>1</v>
      </c>
      <c r="L663" s="2">
        <v>49</v>
      </c>
      <c r="M663" s="3">
        <v>49</v>
      </c>
    </row>
    <row r="664" spans="1:13" x14ac:dyDescent="0.2">
      <c r="A664" s="1" t="s">
        <v>171</v>
      </c>
      <c r="B664" s="1" t="s">
        <v>23</v>
      </c>
      <c r="C664" s="1" t="s">
        <v>15</v>
      </c>
      <c r="D664" s="2" t="s">
        <v>55</v>
      </c>
      <c r="E664" s="2" t="s">
        <v>56</v>
      </c>
      <c r="F664" s="2" t="s">
        <v>172</v>
      </c>
      <c r="G664" s="2" t="s">
        <v>173</v>
      </c>
      <c r="H664" s="2">
        <v>2474130</v>
      </c>
      <c r="I664" s="2" t="s">
        <v>174</v>
      </c>
      <c r="J664" s="2" t="s">
        <v>1617</v>
      </c>
      <c r="K664" s="2">
        <v>1</v>
      </c>
      <c r="L664" s="2">
        <v>78</v>
      </c>
      <c r="M664" s="3">
        <v>131</v>
      </c>
    </row>
    <row r="665" spans="1:13" x14ac:dyDescent="0.2">
      <c r="A665" s="1" t="s">
        <v>763</v>
      </c>
      <c r="B665" s="1" t="s">
        <v>23</v>
      </c>
      <c r="C665" s="1" t="s">
        <v>15</v>
      </c>
      <c r="D665" s="2" t="s">
        <v>55</v>
      </c>
      <c r="E665" s="2" t="s">
        <v>92</v>
      </c>
      <c r="F665" s="2" t="s">
        <v>764</v>
      </c>
      <c r="G665" s="2" t="s">
        <v>765</v>
      </c>
      <c r="H665" s="2" t="s">
        <v>766</v>
      </c>
      <c r="I665" s="2" t="s">
        <v>767</v>
      </c>
      <c r="J665" s="2" t="s">
        <v>1617</v>
      </c>
      <c r="K665" s="2">
        <v>1</v>
      </c>
      <c r="L665" s="2">
        <v>201</v>
      </c>
      <c r="M665" s="3">
        <v>138</v>
      </c>
    </row>
    <row r="666" spans="1:13" x14ac:dyDescent="0.2">
      <c r="A666" s="1" t="s">
        <v>175</v>
      </c>
      <c r="B666" s="1" t="s">
        <v>23</v>
      </c>
      <c r="C666" s="1" t="s">
        <v>15</v>
      </c>
      <c r="D666" s="2" t="s">
        <v>36</v>
      </c>
      <c r="E666" s="2" t="s">
        <v>176</v>
      </c>
      <c r="F666" s="2" t="s">
        <v>177</v>
      </c>
      <c r="G666" s="2" t="s">
        <v>178</v>
      </c>
      <c r="H666" s="2" t="s">
        <v>179</v>
      </c>
      <c r="I666" s="2" t="s">
        <v>180</v>
      </c>
      <c r="J666" s="2" t="s">
        <v>1617</v>
      </c>
      <c r="K666" s="2">
        <v>0</v>
      </c>
      <c r="L666" s="2">
        <v>0</v>
      </c>
      <c r="M666" s="3">
        <v>60</v>
      </c>
    </row>
    <row r="667" spans="1:13" x14ac:dyDescent="0.2">
      <c r="A667" s="1" t="s">
        <v>475</v>
      </c>
      <c r="B667" s="1" t="s">
        <v>23</v>
      </c>
      <c r="C667" s="1" t="s">
        <v>15</v>
      </c>
      <c r="D667" s="2" t="s">
        <v>72</v>
      </c>
      <c r="E667" s="2" t="s">
        <v>73</v>
      </c>
      <c r="F667" s="2" t="s">
        <v>476</v>
      </c>
      <c r="G667" s="2" t="s">
        <v>477</v>
      </c>
      <c r="H667" s="2" t="s">
        <v>478</v>
      </c>
      <c r="I667" s="2" t="s">
        <v>479</v>
      </c>
      <c r="J667" s="2" t="s">
        <v>1617</v>
      </c>
      <c r="K667" s="2">
        <v>1</v>
      </c>
      <c r="L667" s="2">
        <v>150</v>
      </c>
      <c r="M667" s="3">
        <v>229</v>
      </c>
    </row>
    <row r="668" spans="1:13" x14ac:dyDescent="0.2">
      <c r="A668" s="1" t="s">
        <v>187</v>
      </c>
      <c r="B668" s="1" t="s">
        <v>66</v>
      </c>
      <c r="C668" s="1" t="s">
        <v>15</v>
      </c>
      <c r="D668" s="2" t="s">
        <v>16</v>
      </c>
      <c r="E668" s="2" t="s">
        <v>17</v>
      </c>
      <c r="F668" s="2" t="s">
        <v>188</v>
      </c>
      <c r="G668" s="2" t="s">
        <v>189</v>
      </c>
      <c r="H668" s="2">
        <v>9297015428</v>
      </c>
      <c r="I668" s="2" t="s">
        <v>190</v>
      </c>
      <c r="J668" s="2" t="s">
        <v>1617</v>
      </c>
      <c r="K668" s="2">
        <v>2</v>
      </c>
      <c r="L668" s="2">
        <v>72</v>
      </c>
      <c r="M668" s="3">
        <v>69</v>
      </c>
    </row>
    <row r="669" spans="1:13" x14ac:dyDescent="0.2">
      <c r="A669" s="1" t="s">
        <v>61</v>
      </c>
      <c r="B669" s="1" t="s">
        <v>14</v>
      </c>
      <c r="C669" s="1" t="s">
        <v>15</v>
      </c>
      <c r="D669" s="2" t="s">
        <v>16</v>
      </c>
      <c r="E669" s="2" t="s">
        <v>17</v>
      </c>
      <c r="F669" s="2" t="s">
        <v>62</v>
      </c>
      <c r="G669" s="2" t="s">
        <v>63</v>
      </c>
      <c r="H669" s="2">
        <v>8172650</v>
      </c>
      <c r="I669" s="2" t="s">
        <v>64</v>
      </c>
      <c r="J669" s="2" t="s">
        <v>1617</v>
      </c>
      <c r="K669" s="2">
        <v>1</v>
      </c>
      <c r="L669" s="2">
        <v>132</v>
      </c>
      <c r="M669" s="3">
        <v>144</v>
      </c>
    </row>
    <row r="670" spans="1:13" x14ac:dyDescent="0.2">
      <c r="A670" s="1" t="s">
        <v>229</v>
      </c>
      <c r="B670" s="1" t="s">
        <v>23</v>
      </c>
      <c r="C670" s="1" t="s">
        <v>15</v>
      </c>
      <c r="D670" s="2" t="s">
        <v>55</v>
      </c>
      <c r="E670" s="2" t="s">
        <v>56</v>
      </c>
      <c r="F670" s="2" t="s">
        <v>230</v>
      </c>
      <c r="G670" s="2" t="s">
        <v>231</v>
      </c>
      <c r="H670" s="2">
        <v>8230918</v>
      </c>
      <c r="I670" s="2" t="s">
        <v>232</v>
      </c>
      <c r="J670" s="2" t="s">
        <v>1617</v>
      </c>
      <c r="K670" s="2">
        <v>3</v>
      </c>
      <c r="L670" s="2">
        <v>71</v>
      </c>
      <c r="M670" s="3">
        <v>46</v>
      </c>
    </row>
    <row r="671" spans="1:13" x14ac:dyDescent="0.2">
      <c r="A671" s="1" t="s">
        <v>191</v>
      </c>
      <c r="B671" s="1" t="s">
        <v>23</v>
      </c>
      <c r="C671" s="1" t="s">
        <v>15</v>
      </c>
      <c r="D671" s="2" t="s">
        <v>55</v>
      </c>
      <c r="E671" s="2" t="s">
        <v>92</v>
      </c>
      <c r="F671" s="2" t="s">
        <v>192</v>
      </c>
      <c r="G671" s="2" t="s">
        <v>193</v>
      </c>
      <c r="H671" s="2" t="s">
        <v>194</v>
      </c>
      <c r="I671" s="2" t="s">
        <v>195</v>
      </c>
      <c r="J671" s="2" t="s">
        <v>1617</v>
      </c>
      <c r="K671" s="2">
        <v>4</v>
      </c>
      <c r="L671" s="2">
        <v>179</v>
      </c>
      <c r="M671" s="3">
        <v>153</v>
      </c>
    </row>
    <row r="672" spans="1:13" x14ac:dyDescent="0.2">
      <c r="A672" s="1" t="s">
        <v>191</v>
      </c>
      <c r="B672" s="1" t="s">
        <v>23</v>
      </c>
      <c r="C672" s="1" t="s">
        <v>15</v>
      </c>
      <c r="D672" s="2" t="s">
        <v>55</v>
      </c>
      <c r="E672" s="2" t="s">
        <v>92</v>
      </c>
      <c r="F672" s="2" t="s">
        <v>192</v>
      </c>
      <c r="G672" s="2" t="s">
        <v>193</v>
      </c>
      <c r="H672" s="2" t="s">
        <v>194</v>
      </c>
      <c r="I672" s="2" t="s">
        <v>195</v>
      </c>
      <c r="J672" s="2" t="s">
        <v>1637</v>
      </c>
      <c r="K672" s="2">
        <v>0</v>
      </c>
      <c r="L672" s="2">
        <v>0</v>
      </c>
      <c r="M672" s="3">
        <v>116</v>
      </c>
    </row>
    <row r="673" spans="1:13" x14ac:dyDescent="0.2">
      <c r="A673" s="1" t="s">
        <v>353</v>
      </c>
      <c r="B673" s="1" t="s">
        <v>23</v>
      </c>
      <c r="C673" s="1" t="s">
        <v>15</v>
      </c>
      <c r="D673" s="2" t="s">
        <v>16</v>
      </c>
      <c r="E673" s="2" t="s">
        <v>108</v>
      </c>
      <c r="F673" s="2" t="s">
        <v>354</v>
      </c>
      <c r="G673" s="2" t="s">
        <v>355</v>
      </c>
      <c r="H673" s="2" t="s">
        <v>356</v>
      </c>
      <c r="I673" s="2" t="s">
        <v>357</v>
      </c>
      <c r="J673" s="2" t="s">
        <v>1638</v>
      </c>
      <c r="K673" s="2">
        <v>1</v>
      </c>
      <c r="L673" s="2">
        <v>25</v>
      </c>
      <c r="M673" s="3">
        <v>0</v>
      </c>
    </row>
    <row r="674" spans="1:13" x14ac:dyDescent="0.2">
      <c r="A674" s="1" t="s">
        <v>1404</v>
      </c>
      <c r="B674" s="1" t="s">
        <v>23</v>
      </c>
      <c r="C674" s="1" t="s">
        <v>15</v>
      </c>
      <c r="D674" s="2" t="s">
        <v>44</v>
      </c>
      <c r="E674" s="2" t="s">
        <v>44</v>
      </c>
      <c r="F674" s="2" t="s">
        <v>1405</v>
      </c>
      <c r="G674" s="2" t="s">
        <v>1406</v>
      </c>
      <c r="H674" s="2" t="s">
        <v>1407</v>
      </c>
      <c r="I674" s="2" t="s">
        <v>1408</v>
      </c>
      <c r="J674" s="2" t="s">
        <v>1639</v>
      </c>
      <c r="K674" s="2">
        <v>1</v>
      </c>
      <c r="L674" s="2">
        <v>25</v>
      </c>
      <c r="M674" s="3">
        <v>0</v>
      </c>
    </row>
    <row r="675" spans="1:13" x14ac:dyDescent="0.2">
      <c r="A675" s="1" t="s">
        <v>1640</v>
      </c>
      <c r="B675" s="1" t="s">
        <v>23</v>
      </c>
      <c r="C675" s="1" t="s">
        <v>15</v>
      </c>
      <c r="D675" s="2" t="s">
        <v>55</v>
      </c>
      <c r="E675" s="2" t="s">
        <v>56</v>
      </c>
      <c r="F675" s="2" t="s">
        <v>1641</v>
      </c>
      <c r="G675" s="2" t="s">
        <v>1642</v>
      </c>
      <c r="H675" s="2">
        <v>7362204</v>
      </c>
      <c r="I675" s="2" t="s">
        <v>1643</v>
      </c>
      <c r="J675" s="2" t="s">
        <v>1639</v>
      </c>
      <c r="K675" s="2">
        <v>2</v>
      </c>
      <c r="L675" s="2">
        <v>33</v>
      </c>
      <c r="M675" s="3">
        <v>30</v>
      </c>
    </row>
    <row r="676" spans="1:13" x14ac:dyDescent="0.2">
      <c r="A676" s="1" t="s">
        <v>1015</v>
      </c>
      <c r="B676" s="1" t="s">
        <v>23</v>
      </c>
      <c r="C676" s="1" t="s">
        <v>15</v>
      </c>
      <c r="D676" s="2" t="s">
        <v>72</v>
      </c>
      <c r="E676" s="2" t="s">
        <v>119</v>
      </c>
      <c r="F676" s="2" t="s">
        <v>1016</v>
      </c>
      <c r="G676" s="2" t="s">
        <v>1017</v>
      </c>
      <c r="H676" s="2" t="s">
        <v>1018</v>
      </c>
      <c r="I676" s="2" t="s">
        <v>1019</v>
      </c>
      <c r="J676" s="2" t="s">
        <v>1639</v>
      </c>
      <c r="K676" s="2">
        <v>0</v>
      </c>
      <c r="L676" s="2">
        <v>0</v>
      </c>
      <c r="M676" s="3">
        <v>14</v>
      </c>
    </row>
    <row r="677" spans="1:13" x14ac:dyDescent="0.2">
      <c r="A677" s="1" t="s">
        <v>1376</v>
      </c>
      <c r="B677" s="1" t="s">
        <v>23</v>
      </c>
      <c r="C677" s="1" t="s">
        <v>15</v>
      </c>
      <c r="D677" s="2" t="s">
        <v>72</v>
      </c>
      <c r="E677" s="2" t="s">
        <v>213</v>
      </c>
      <c r="F677" s="2" t="s">
        <v>1377</v>
      </c>
      <c r="G677" s="2" t="s">
        <v>1378</v>
      </c>
      <c r="H677" s="2" t="s">
        <v>1379</v>
      </c>
      <c r="I677" s="2" t="s">
        <v>1380</v>
      </c>
      <c r="J677" s="2" t="s">
        <v>1644</v>
      </c>
      <c r="K677" s="2">
        <v>1</v>
      </c>
      <c r="L677" s="2">
        <v>50</v>
      </c>
      <c r="M677" s="3">
        <v>0</v>
      </c>
    </row>
    <row r="678" spans="1:13" x14ac:dyDescent="0.2">
      <c r="A678" s="1" t="s">
        <v>22</v>
      </c>
      <c r="B678" s="1" t="s">
        <v>23</v>
      </c>
      <c r="C678" s="1" t="s">
        <v>15</v>
      </c>
      <c r="D678" s="2" t="s">
        <v>24</v>
      </c>
      <c r="E678" s="2" t="s">
        <v>25</v>
      </c>
      <c r="F678" s="2" t="s">
        <v>26</v>
      </c>
      <c r="G678" s="2" t="s">
        <v>27</v>
      </c>
      <c r="H678" s="2" t="s">
        <v>28</v>
      </c>
      <c r="I678" s="2"/>
      <c r="J678" s="2" t="s">
        <v>1644</v>
      </c>
      <c r="K678" s="2">
        <v>1</v>
      </c>
      <c r="L678" s="2">
        <v>118</v>
      </c>
      <c r="M678" s="3">
        <v>110</v>
      </c>
    </row>
    <row r="679" spans="1:13" x14ac:dyDescent="0.2">
      <c r="A679" s="1" t="s">
        <v>1090</v>
      </c>
      <c r="B679" s="1" t="s">
        <v>240</v>
      </c>
      <c r="C679" s="1" t="s">
        <v>15</v>
      </c>
      <c r="D679" s="2" t="s">
        <v>16</v>
      </c>
      <c r="E679" s="2" t="s">
        <v>17</v>
      </c>
      <c r="F679" s="2" t="s">
        <v>1091</v>
      </c>
      <c r="G679" s="2" t="s">
        <v>1092</v>
      </c>
      <c r="H679" s="2" t="s">
        <v>1093</v>
      </c>
      <c r="I679" s="2" t="s">
        <v>1094</v>
      </c>
      <c r="J679" s="2" t="s">
        <v>1645</v>
      </c>
      <c r="K679" s="2">
        <v>2</v>
      </c>
      <c r="L679" s="2">
        <v>81</v>
      </c>
      <c r="M679" s="3">
        <v>67</v>
      </c>
    </row>
    <row r="680" spans="1:13" x14ac:dyDescent="0.2">
      <c r="A680" s="1" t="s">
        <v>888</v>
      </c>
      <c r="B680" s="1" t="s">
        <v>23</v>
      </c>
      <c r="C680" s="1" t="s">
        <v>15</v>
      </c>
      <c r="D680" s="2" t="s">
        <v>16</v>
      </c>
      <c r="E680" s="2" t="s">
        <v>17</v>
      </c>
      <c r="F680" s="2" t="s">
        <v>889</v>
      </c>
      <c r="G680" s="2" t="s">
        <v>890</v>
      </c>
      <c r="H680" s="2" t="s">
        <v>891</v>
      </c>
      <c r="I680" s="2" t="s">
        <v>892</v>
      </c>
      <c r="J680" s="2" t="s">
        <v>1646</v>
      </c>
      <c r="K680" s="2">
        <v>1</v>
      </c>
      <c r="L680" s="2">
        <v>45</v>
      </c>
      <c r="M680" s="3">
        <v>40</v>
      </c>
    </row>
    <row r="681" spans="1:13" x14ac:dyDescent="0.2">
      <c r="A681" s="1" t="s">
        <v>1376</v>
      </c>
      <c r="B681" s="1" t="s">
        <v>23</v>
      </c>
      <c r="C681" s="1" t="s">
        <v>15</v>
      </c>
      <c r="D681" s="2" t="s">
        <v>72</v>
      </c>
      <c r="E681" s="2" t="s">
        <v>213</v>
      </c>
      <c r="F681" s="2" t="s">
        <v>1377</v>
      </c>
      <c r="G681" s="2" t="s">
        <v>1378</v>
      </c>
      <c r="H681" s="2" t="s">
        <v>1379</v>
      </c>
      <c r="I681" s="2" t="s">
        <v>1380</v>
      </c>
      <c r="J681" s="2" t="s">
        <v>1647</v>
      </c>
      <c r="K681" s="2">
        <v>1</v>
      </c>
      <c r="L681" s="2">
        <v>20</v>
      </c>
      <c r="M681" s="3">
        <v>16</v>
      </c>
    </row>
    <row r="682" spans="1:13" x14ac:dyDescent="0.2">
      <c r="A682" s="1" t="s">
        <v>1404</v>
      </c>
      <c r="B682" s="1" t="s">
        <v>23</v>
      </c>
      <c r="C682" s="1" t="s">
        <v>15</v>
      </c>
      <c r="D682" s="2" t="s">
        <v>44</v>
      </c>
      <c r="E682" s="2" t="s">
        <v>44</v>
      </c>
      <c r="F682" s="2" t="s">
        <v>1405</v>
      </c>
      <c r="G682" s="2" t="s">
        <v>1406</v>
      </c>
      <c r="H682" s="2" t="s">
        <v>1407</v>
      </c>
      <c r="I682" s="2" t="s">
        <v>1408</v>
      </c>
      <c r="J682" s="2" t="s">
        <v>1647</v>
      </c>
      <c r="K682" s="2">
        <v>3</v>
      </c>
      <c r="L682" s="2">
        <v>525</v>
      </c>
      <c r="M682" s="3">
        <v>445</v>
      </c>
    </row>
    <row r="683" spans="1:13" x14ac:dyDescent="0.2">
      <c r="A683" s="1" t="s">
        <v>1640</v>
      </c>
      <c r="B683" s="1" t="s">
        <v>23</v>
      </c>
      <c r="C683" s="1" t="s">
        <v>15</v>
      </c>
      <c r="D683" s="2" t="s">
        <v>55</v>
      </c>
      <c r="E683" s="2" t="s">
        <v>56</v>
      </c>
      <c r="F683" s="2" t="s">
        <v>1641</v>
      </c>
      <c r="G683" s="2" t="s">
        <v>1642</v>
      </c>
      <c r="H683" s="2">
        <v>7362204</v>
      </c>
      <c r="I683" s="2" t="s">
        <v>1643</v>
      </c>
      <c r="J683" s="2" t="s">
        <v>1647</v>
      </c>
      <c r="K683" s="2">
        <v>3</v>
      </c>
      <c r="L683" s="2">
        <v>65</v>
      </c>
      <c r="M683" s="3">
        <v>63</v>
      </c>
    </row>
    <row r="684" spans="1:13" x14ac:dyDescent="0.2">
      <c r="A684" s="1" t="s">
        <v>1648</v>
      </c>
      <c r="B684" s="1" t="s">
        <v>23</v>
      </c>
      <c r="C684" s="1" t="s">
        <v>15</v>
      </c>
      <c r="D684" s="2" t="s">
        <v>55</v>
      </c>
      <c r="E684" s="2" t="s">
        <v>56</v>
      </c>
      <c r="F684" s="2" t="s">
        <v>1649</v>
      </c>
      <c r="G684" s="2" t="s">
        <v>1650</v>
      </c>
      <c r="H684" s="2" t="s">
        <v>1651</v>
      </c>
      <c r="I684" s="2" t="s">
        <v>1652</v>
      </c>
      <c r="J684" s="2" t="s">
        <v>1647</v>
      </c>
      <c r="K684" s="2">
        <v>1</v>
      </c>
      <c r="L684" s="2">
        <v>86</v>
      </c>
      <c r="M684" s="3">
        <v>81</v>
      </c>
    </row>
    <row r="685" spans="1:13" x14ac:dyDescent="0.2">
      <c r="A685" s="1" t="s">
        <v>461</v>
      </c>
      <c r="B685" s="1" t="s">
        <v>23</v>
      </c>
      <c r="C685" s="1" t="s">
        <v>15</v>
      </c>
      <c r="D685" s="2" t="s">
        <v>36</v>
      </c>
      <c r="E685" s="2" t="s">
        <v>37</v>
      </c>
      <c r="F685" s="2" t="s">
        <v>462</v>
      </c>
      <c r="G685" s="2" t="s">
        <v>463</v>
      </c>
      <c r="H685" s="2" t="s">
        <v>464</v>
      </c>
      <c r="I685" s="2" t="s">
        <v>465</v>
      </c>
      <c r="J685" s="2" t="s">
        <v>1647</v>
      </c>
      <c r="K685" s="2">
        <v>1</v>
      </c>
      <c r="L685" s="2">
        <v>159</v>
      </c>
      <c r="M685" s="3">
        <v>159</v>
      </c>
    </row>
    <row r="686" spans="1:13" x14ac:dyDescent="0.2">
      <c r="A686" s="1" t="s">
        <v>1653</v>
      </c>
      <c r="B686" s="1" t="s">
        <v>1654</v>
      </c>
      <c r="C686" s="1" t="s">
        <v>15</v>
      </c>
      <c r="D686" s="2" t="s">
        <v>16</v>
      </c>
      <c r="E686" s="2" t="s">
        <v>17</v>
      </c>
      <c r="F686" s="2" t="s">
        <v>1655</v>
      </c>
      <c r="G686" s="2" t="s">
        <v>1656</v>
      </c>
      <c r="H686" s="2">
        <v>9171273635</v>
      </c>
      <c r="I686" s="2" t="s">
        <v>1657</v>
      </c>
      <c r="J686" s="2" t="s">
        <v>1647</v>
      </c>
      <c r="K686" s="2">
        <v>1</v>
      </c>
      <c r="L686" s="2">
        <v>136</v>
      </c>
      <c r="M686" s="3">
        <v>154</v>
      </c>
    </row>
    <row r="687" spans="1:13" x14ac:dyDescent="0.2">
      <c r="A687" s="1" t="s">
        <v>13</v>
      </c>
      <c r="B687" s="1" t="s">
        <v>14</v>
      </c>
      <c r="C687" s="1" t="s">
        <v>15</v>
      </c>
      <c r="D687" s="2" t="s">
        <v>16</v>
      </c>
      <c r="E687" s="2" t="s">
        <v>17</v>
      </c>
      <c r="F687" s="2" t="s">
        <v>18</v>
      </c>
      <c r="G687" s="2" t="s">
        <v>19</v>
      </c>
      <c r="H687" s="2">
        <v>9182178647</v>
      </c>
      <c r="I687" s="2" t="s">
        <v>20</v>
      </c>
      <c r="J687" s="2" t="s">
        <v>1658</v>
      </c>
      <c r="K687" s="2">
        <v>1</v>
      </c>
      <c r="L687" s="2">
        <v>211</v>
      </c>
      <c r="M687" s="3">
        <v>208</v>
      </c>
    </row>
    <row r="688" spans="1:13" x14ac:dyDescent="0.2">
      <c r="A688" s="1" t="s">
        <v>1404</v>
      </c>
      <c r="B688" s="1" t="s">
        <v>23</v>
      </c>
      <c r="C688" s="1" t="s">
        <v>15</v>
      </c>
      <c r="D688" s="2" t="s">
        <v>44</v>
      </c>
      <c r="E688" s="2" t="s">
        <v>44</v>
      </c>
      <c r="F688" s="2" t="s">
        <v>1405</v>
      </c>
      <c r="G688" s="2" t="s">
        <v>1406</v>
      </c>
      <c r="H688" s="2" t="s">
        <v>1407</v>
      </c>
      <c r="I688" s="2" t="s">
        <v>1408</v>
      </c>
      <c r="J688" s="2" t="s">
        <v>1658</v>
      </c>
      <c r="K688" s="2">
        <v>2</v>
      </c>
      <c r="L688" s="2">
        <v>124</v>
      </c>
      <c r="M688" s="3">
        <v>188</v>
      </c>
    </row>
    <row r="689" spans="1:13" x14ac:dyDescent="0.2">
      <c r="A689" s="1" t="s">
        <v>1653</v>
      </c>
      <c r="B689" s="1" t="s">
        <v>1654</v>
      </c>
      <c r="C689" s="1" t="s">
        <v>15</v>
      </c>
      <c r="D689" s="2" t="s">
        <v>16</v>
      </c>
      <c r="E689" s="2" t="s">
        <v>17</v>
      </c>
      <c r="F689" s="2" t="s">
        <v>1655</v>
      </c>
      <c r="G689" s="2" t="s">
        <v>1656</v>
      </c>
      <c r="H689" s="2">
        <v>9171273635</v>
      </c>
      <c r="I689" s="2" t="s">
        <v>1657</v>
      </c>
      <c r="J689" s="2" t="s">
        <v>1658</v>
      </c>
      <c r="K689" s="2">
        <v>1</v>
      </c>
      <c r="L689" s="2">
        <v>51</v>
      </c>
      <c r="M689" s="3">
        <v>49</v>
      </c>
    </row>
    <row r="690" spans="1:13" x14ac:dyDescent="0.2">
      <c r="A690" s="1" t="s">
        <v>1404</v>
      </c>
      <c r="B690" s="1" t="s">
        <v>23</v>
      </c>
      <c r="C690" s="1" t="s">
        <v>15</v>
      </c>
      <c r="D690" s="2" t="s">
        <v>44</v>
      </c>
      <c r="E690" s="2" t="s">
        <v>44</v>
      </c>
      <c r="F690" s="2" t="s">
        <v>1405</v>
      </c>
      <c r="G690" s="2" t="s">
        <v>1406</v>
      </c>
      <c r="H690" s="2" t="s">
        <v>1407</v>
      </c>
      <c r="I690" s="2" t="s">
        <v>1408</v>
      </c>
      <c r="J690" s="2" t="s">
        <v>1659</v>
      </c>
      <c r="K690" s="2">
        <v>2</v>
      </c>
      <c r="L690" s="2">
        <v>62</v>
      </c>
      <c r="M690" s="3">
        <v>62</v>
      </c>
    </row>
    <row r="691" spans="1:13" x14ac:dyDescent="0.2">
      <c r="A691" s="1" t="s">
        <v>1153</v>
      </c>
      <c r="B691" s="1" t="s">
        <v>23</v>
      </c>
      <c r="C691" s="1" t="s">
        <v>15</v>
      </c>
      <c r="D691" s="2" t="s">
        <v>72</v>
      </c>
      <c r="E691" s="2" t="s">
        <v>213</v>
      </c>
      <c r="F691" s="2" t="s">
        <v>1154</v>
      </c>
      <c r="G691" s="2" t="s">
        <v>1155</v>
      </c>
      <c r="H691" s="2" t="s">
        <v>1156</v>
      </c>
      <c r="I691" s="2" t="s">
        <v>1157</v>
      </c>
      <c r="J691" s="2" t="s">
        <v>1660</v>
      </c>
      <c r="K691" s="2">
        <v>1</v>
      </c>
      <c r="L691" s="2">
        <v>55</v>
      </c>
      <c r="M691" s="3">
        <v>40</v>
      </c>
    </row>
    <row r="692" spans="1:13" x14ac:dyDescent="0.2">
      <c r="A692" s="1" t="s">
        <v>155</v>
      </c>
      <c r="B692" s="1" t="s">
        <v>23</v>
      </c>
      <c r="C692" s="1" t="s">
        <v>15</v>
      </c>
      <c r="D692" s="2" t="s">
        <v>44</v>
      </c>
      <c r="E692" s="2" t="s">
        <v>44</v>
      </c>
      <c r="F692" s="2" t="s">
        <v>156</v>
      </c>
      <c r="G692" s="2" t="s">
        <v>157</v>
      </c>
      <c r="H692" s="2" t="s">
        <v>158</v>
      </c>
      <c r="I692" s="2" t="s">
        <v>159</v>
      </c>
      <c r="J692" s="2" t="s">
        <v>1661</v>
      </c>
      <c r="K692" s="2">
        <v>1</v>
      </c>
      <c r="L692" s="2">
        <v>48</v>
      </c>
      <c r="M692" s="3">
        <v>44</v>
      </c>
    </row>
    <row r="693" spans="1:13" x14ac:dyDescent="0.2">
      <c r="A693" s="1" t="s">
        <v>500</v>
      </c>
      <c r="B693" s="1" t="s">
        <v>23</v>
      </c>
      <c r="C693" s="1" t="s">
        <v>15</v>
      </c>
      <c r="D693" s="2" t="s">
        <v>72</v>
      </c>
      <c r="E693" s="2" t="s">
        <v>491</v>
      </c>
      <c r="F693" s="2" t="s">
        <v>501</v>
      </c>
      <c r="G693" s="2" t="s">
        <v>502</v>
      </c>
      <c r="H693" s="2" t="s">
        <v>503</v>
      </c>
      <c r="I693" s="2" t="s">
        <v>504</v>
      </c>
      <c r="J693" s="2" t="s">
        <v>1662</v>
      </c>
      <c r="K693" s="2">
        <v>1</v>
      </c>
      <c r="L693" s="2">
        <v>64</v>
      </c>
      <c r="M693" s="3">
        <v>35</v>
      </c>
    </row>
    <row r="694" spans="1:13" x14ac:dyDescent="0.2">
      <c r="A694" s="1" t="s">
        <v>1663</v>
      </c>
      <c r="B694" s="1" t="s">
        <v>23</v>
      </c>
      <c r="C694" s="1" t="s">
        <v>15</v>
      </c>
      <c r="D694" s="2" t="s">
        <v>55</v>
      </c>
      <c r="E694" s="2" t="s">
        <v>92</v>
      </c>
      <c r="F694" s="2" t="s">
        <v>1664</v>
      </c>
      <c r="G694" s="2" t="s">
        <v>1665</v>
      </c>
      <c r="H694" s="2">
        <v>7593087</v>
      </c>
      <c r="I694" s="2" t="s">
        <v>1666</v>
      </c>
      <c r="J694" s="2" t="s">
        <v>1667</v>
      </c>
      <c r="K694" s="2">
        <v>3</v>
      </c>
      <c r="L694" s="2">
        <v>120</v>
      </c>
      <c r="M694" s="3">
        <v>116</v>
      </c>
    </row>
    <row r="695" spans="1:13" x14ac:dyDescent="0.2">
      <c r="A695" s="1" t="s">
        <v>1668</v>
      </c>
      <c r="B695" s="1" t="s">
        <v>23</v>
      </c>
      <c r="C695" s="1" t="s">
        <v>15</v>
      </c>
      <c r="D695" s="2" t="s">
        <v>44</v>
      </c>
      <c r="E695" s="2" t="s">
        <v>44</v>
      </c>
      <c r="F695" s="2" t="s">
        <v>1669</v>
      </c>
      <c r="G695" s="2" t="s">
        <v>1670</v>
      </c>
      <c r="H695" s="2" t="s">
        <v>1671</v>
      </c>
      <c r="I695" s="2" t="s">
        <v>1672</v>
      </c>
      <c r="J695" s="2" t="s">
        <v>1673</v>
      </c>
      <c r="K695" s="2">
        <v>1</v>
      </c>
      <c r="L695" s="2">
        <v>98</v>
      </c>
      <c r="M695" s="3">
        <v>75</v>
      </c>
    </row>
    <row r="696" spans="1:13" x14ac:dyDescent="0.2">
      <c r="A696" s="1" t="s">
        <v>61</v>
      </c>
      <c r="B696" s="1" t="s">
        <v>14</v>
      </c>
      <c r="C696" s="1" t="s">
        <v>15</v>
      </c>
      <c r="D696" s="2" t="s">
        <v>16</v>
      </c>
      <c r="E696" s="2" t="s">
        <v>17</v>
      </c>
      <c r="F696" s="2" t="s">
        <v>62</v>
      </c>
      <c r="G696" s="2" t="s">
        <v>63</v>
      </c>
      <c r="H696" s="2">
        <v>8172650</v>
      </c>
      <c r="I696" s="2" t="s">
        <v>64</v>
      </c>
      <c r="J696" s="2" t="s">
        <v>1673</v>
      </c>
      <c r="K696" s="2">
        <v>2</v>
      </c>
      <c r="L696" s="2">
        <v>104</v>
      </c>
      <c r="M696" s="3">
        <v>97</v>
      </c>
    </row>
    <row r="697" spans="1:13" x14ac:dyDescent="0.2">
      <c r="A697" s="1" t="s">
        <v>1668</v>
      </c>
      <c r="B697" s="1" t="s">
        <v>23</v>
      </c>
      <c r="C697" s="1" t="s">
        <v>15</v>
      </c>
      <c r="D697" s="2" t="s">
        <v>44</v>
      </c>
      <c r="E697" s="2" t="s">
        <v>44</v>
      </c>
      <c r="F697" s="2" t="s">
        <v>1669</v>
      </c>
      <c r="G697" s="2" t="s">
        <v>1670</v>
      </c>
      <c r="H697" s="2" t="s">
        <v>1671</v>
      </c>
      <c r="I697" s="2" t="s">
        <v>1672</v>
      </c>
      <c r="J697" s="2" t="s">
        <v>1674</v>
      </c>
      <c r="K697" s="2">
        <v>1</v>
      </c>
      <c r="L697" s="2">
        <v>90</v>
      </c>
      <c r="M697" s="3">
        <v>90</v>
      </c>
    </row>
    <row r="698" spans="1:13" x14ac:dyDescent="0.2">
      <c r="A698" s="1" t="s">
        <v>61</v>
      </c>
      <c r="B698" s="1" t="s">
        <v>14</v>
      </c>
      <c r="C698" s="1" t="s">
        <v>15</v>
      </c>
      <c r="D698" s="2" t="s">
        <v>16</v>
      </c>
      <c r="E698" s="2" t="s">
        <v>17</v>
      </c>
      <c r="F698" s="2" t="s">
        <v>62</v>
      </c>
      <c r="G698" s="2" t="s">
        <v>63</v>
      </c>
      <c r="H698" s="2">
        <v>8172650</v>
      </c>
      <c r="I698" s="2" t="s">
        <v>64</v>
      </c>
      <c r="J698" s="2" t="s">
        <v>1674</v>
      </c>
      <c r="K698" s="2">
        <v>1</v>
      </c>
      <c r="L698" s="2">
        <v>25</v>
      </c>
      <c r="M698" s="3">
        <v>0</v>
      </c>
    </row>
    <row r="699" spans="1:13" x14ac:dyDescent="0.2">
      <c r="A699" s="1" t="s">
        <v>1668</v>
      </c>
      <c r="B699" s="1" t="s">
        <v>23</v>
      </c>
      <c r="C699" s="1" t="s">
        <v>15</v>
      </c>
      <c r="D699" s="2" t="s">
        <v>44</v>
      </c>
      <c r="E699" s="2" t="s">
        <v>44</v>
      </c>
      <c r="F699" s="2" t="s">
        <v>1669</v>
      </c>
      <c r="G699" s="2" t="s">
        <v>1670</v>
      </c>
      <c r="H699" s="2" t="s">
        <v>1671</v>
      </c>
      <c r="I699" s="2" t="s">
        <v>1672</v>
      </c>
      <c r="J699" s="2" t="s">
        <v>1675</v>
      </c>
      <c r="K699" s="2">
        <v>2</v>
      </c>
      <c r="L699" s="2">
        <v>56</v>
      </c>
      <c r="M699" s="3">
        <v>52</v>
      </c>
    </row>
    <row r="700" spans="1:13" x14ac:dyDescent="0.2">
      <c r="A700" s="1" t="s">
        <v>910</v>
      </c>
      <c r="B700" s="1" t="s">
        <v>23</v>
      </c>
      <c r="C700" s="1" t="s">
        <v>15</v>
      </c>
      <c r="D700" s="2" t="s">
        <v>24</v>
      </c>
      <c r="E700" s="2" t="s">
        <v>80</v>
      </c>
      <c r="F700" s="2" t="s">
        <v>911</v>
      </c>
      <c r="G700" s="2" t="s">
        <v>912</v>
      </c>
      <c r="H700" s="2" t="s">
        <v>913</v>
      </c>
      <c r="I700" s="2" t="s">
        <v>914</v>
      </c>
      <c r="J700" s="2" t="s">
        <v>1676</v>
      </c>
      <c r="K700" s="2">
        <v>1</v>
      </c>
      <c r="L700" s="2">
        <v>103</v>
      </c>
      <c r="M700" s="3">
        <v>103</v>
      </c>
    </row>
    <row r="701" spans="1:13" x14ac:dyDescent="0.2">
      <c r="A701" s="1" t="s">
        <v>1117</v>
      </c>
      <c r="B701" s="1" t="s">
        <v>23</v>
      </c>
      <c r="C701" s="1" t="s">
        <v>15</v>
      </c>
      <c r="D701" s="2" t="s">
        <v>44</v>
      </c>
      <c r="E701" s="2" t="s">
        <v>44</v>
      </c>
      <c r="F701" s="2" t="s">
        <v>1118</v>
      </c>
      <c r="G701" s="2" t="s">
        <v>1119</v>
      </c>
      <c r="H701" s="2" t="s">
        <v>1120</v>
      </c>
      <c r="I701" s="2" t="s">
        <v>1121</v>
      </c>
      <c r="J701" s="2" t="s">
        <v>1676</v>
      </c>
      <c r="K701" s="2">
        <v>3</v>
      </c>
      <c r="L701" s="2">
        <v>195</v>
      </c>
      <c r="M701" s="3">
        <v>158</v>
      </c>
    </row>
    <row r="702" spans="1:13" x14ac:dyDescent="0.2">
      <c r="A702" s="1" t="s">
        <v>1677</v>
      </c>
      <c r="B702" s="1" t="s">
        <v>23</v>
      </c>
      <c r="C702" s="1" t="s">
        <v>15</v>
      </c>
      <c r="D702" s="2" t="s">
        <v>72</v>
      </c>
      <c r="E702" s="2" t="s">
        <v>73</v>
      </c>
      <c r="F702" s="2" t="s">
        <v>1678</v>
      </c>
      <c r="G702" s="2" t="s">
        <v>1679</v>
      </c>
      <c r="H702" s="2" t="s">
        <v>1680</v>
      </c>
      <c r="I702" s="2" t="s">
        <v>1681</v>
      </c>
      <c r="J702" s="2" t="s">
        <v>1676</v>
      </c>
      <c r="K702" s="2">
        <v>3</v>
      </c>
      <c r="L702" s="2">
        <v>121</v>
      </c>
      <c r="M702" s="3">
        <v>121</v>
      </c>
    </row>
    <row r="703" spans="1:13" x14ac:dyDescent="0.2">
      <c r="A703" s="1" t="s">
        <v>1682</v>
      </c>
      <c r="B703" s="1" t="s">
        <v>23</v>
      </c>
      <c r="C703" s="1" t="s">
        <v>15</v>
      </c>
      <c r="D703" s="2" t="s">
        <v>36</v>
      </c>
      <c r="E703" s="2" t="s">
        <v>207</v>
      </c>
      <c r="F703" s="2" t="s">
        <v>1683</v>
      </c>
      <c r="G703" s="2" t="s">
        <v>1684</v>
      </c>
      <c r="H703" s="2" t="s">
        <v>1685</v>
      </c>
      <c r="I703" s="2" t="s">
        <v>1686</v>
      </c>
      <c r="J703" s="2" t="s">
        <v>1676</v>
      </c>
      <c r="K703" s="2">
        <v>1</v>
      </c>
      <c r="L703" s="2">
        <v>140</v>
      </c>
      <c r="M703" s="3">
        <v>125</v>
      </c>
    </row>
    <row r="704" spans="1:13" x14ac:dyDescent="0.2">
      <c r="A704" s="1" t="s">
        <v>1687</v>
      </c>
      <c r="B704" s="1" t="s">
        <v>23</v>
      </c>
      <c r="C704" s="1" t="s">
        <v>15</v>
      </c>
      <c r="D704" s="2" t="s">
        <v>36</v>
      </c>
      <c r="E704" s="2" t="s">
        <v>176</v>
      </c>
      <c r="F704" s="2" t="s">
        <v>1688</v>
      </c>
      <c r="G704" s="2" t="s">
        <v>1689</v>
      </c>
      <c r="H704" s="2" t="s">
        <v>1690</v>
      </c>
      <c r="I704" s="2" t="s">
        <v>1691</v>
      </c>
      <c r="J704" s="2" t="s">
        <v>1676</v>
      </c>
      <c r="K704" s="2">
        <v>3</v>
      </c>
      <c r="L704" s="2">
        <v>279</v>
      </c>
      <c r="M704" s="3">
        <v>304</v>
      </c>
    </row>
    <row r="705" spans="1:13" x14ac:dyDescent="0.2">
      <c r="A705" s="1" t="s">
        <v>461</v>
      </c>
      <c r="B705" s="1" t="s">
        <v>23</v>
      </c>
      <c r="C705" s="1" t="s">
        <v>15</v>
      </c>
      <c r="D705" s="2" t="s">
        <v>36</v>
      </c>
      <c r="E705" s="2" t="s">
        <v>37</v>
      </c>
      <c r="F705" s="2" t="s">
        <v>462</v>
      </c>
      <c r="G705" s="2" t="s">
        <v>463</v>
      </c>
      <c r="H705" s="2" t="s">
        <v>464</v>
      </c>
      <c r="I705" s="2" t="s">
        <v>465</v>
      </c>
      <c r="J705" s="2" t="s">
        <v>1676</v>
      </c>
      <c r="K705" s="2">
        <v>2</v>
      </c>
      <c r="L705" s="2">
        <v>246</v>
      </c>
      <c r="M705" s="3">
        <v>243</v>
      </c>
    </row>
    <row r="706" spans="1:13" x14ac:dyDescent="0.2">
      <c r="A706" s="1" t="s">
        <v>655</v>
      </c>
      <c r="B706" s="1" t="s">
        <v>23</v>
      </c>
      <c r="C706" s="1" t="s">
        <v>15</v>
      </c>
      <c r="D706" s="2" t="s">
        <v>24</v>
      </c>
      <c r="E706" s="2" t="s">
        <v>182</v>
      </c>
      <c r="F706" s="2" t="s">
        <v>656</v>
      </c>
      <c r="G706" s="2" t="s">
        <v>657</v>
      </c>
      <c r="H706" s="2" t="s">
        <v>658</v>
      </c>
      <c r="I706" s="2" t="s">
        <v>659</v>
      </c>
      <c r="J706" s="2" t="s">
        <v>1676</v>
      </c>
      <c r="K706" s="2">
        <v>1</v>
      </c>
      <c r="L706" s="2">
        <v>56</v>
      </c>
      <c r="M706" s="3">
        <v>56</v>
      </c>
    </row>
    <row r="707" spans="1:13" x14ac:dyDescent="0.2">
      <c r="A707" s="1" t="s">
        <v>655</v>
      </c>
      <c r="B707" s="1" t="s">
        <v>23</v>
      </c>
      <c r="C707" s="1" t="s">
        <v>15</v>
      </c>
      <c r="D707" s="2" t="s">
        <v>55</v>
      </c>
      <c r="E707" s="2" t="s">
        <v>56</v>
      </c>
      <c r="F707" s="2" t="s">
        <v>1692</v>
      </c>
      <c r="G707" s="2" t="s">
        <v>1693</v>
      </c>
      <c r="H707" s="2" t="s">
        <v>1694</v>
      </c>
      <c r="I707" s="2" t="s">
        <v>1695</v>
      </c>
      <c r="J707" s="2" t="s">
        <v>1676</v>
      </c>
      <c r="K707" s="2">
        <v>1</v>
      </c>
      <c r="L707" s="2">
        <v>51</v>
      </c>
      <c r="M707" s="3">
        <v>51</v>
      </c>
    </row>
    <row r="708" spans="1:13" x14ac:dyDescent="0.2">
      <c r="A708" s="1" t="s">
        <v>1051</v>
      </c>
      <c r="B708" s="1" t="s">
        <v>23</v>
      </c>
      <c r="C708" s="1" t="s">
        <v>15</v>
      </c>
      <c r="D708" s="2" t="s">
        <v>24</v>
      </c>
      <c r="E708" s="2" t="s">
        <v>135</v>
      </c>
      <c r="F708" s="2" t="s">
        <v>1052</v>
      </c>
      <c r="G708" s="2" t="s">
        <v>1053</v>
      </c>
      <c r="H708" s="2" t="s">
        <v>1054</v>
      </c>
      <c r="I708" s="2" t="s">
        <v>1055</v>
      </c>
      <c r="J708" s="2" t="s">
        <v>1676</v>
      </c>
      <c r="K708" s="2">
        <v>3</v>
      </c>
      <c r="L708" s="2">
        <v>163</v>
      </c>
      <c r="M708" s="3">
        <v>142</v>
      </c>
    </row>
    <row r="709" spans="1:13" x14ac:dyDescent="0.2">
      <c r="A709" s="1" t="s">
        <v>1158</v>
      </c>
      <c r="B709" s="1" t="s">
        <v>23</v>
      </c>
      <c r="C709" s="1" t="s">
        <v>15</v>
      </c>
      <c r="D709" s="2" t="s">
        <v>72</v>
      </c>
      <c r="E709" s="2" t="s">
        <v>119</v>
      </c>
      <c r="F709" s="2" t="s">
        <v>1159</v>
      </c>
      <c r="G709" s="2" t="s">
        <v>1119</v>
      </c>
      <c r="H709" s="2" t="s">
        <v>1160</v>
      </c>
      <c r="I709" s="2" t="s">
        <v>1161</v>
      </c>
      <c r="J709" s="2" t="s">
        <v>1676</v>
      </c>
      <c r="K709" s="2">
        <v>2</v>
      </c>
      <c r="L709" s="2">
        <v>133</v>
      </c>
      <c r="M709" s="3">
        <v>287</v>
      </c>
    </row>
    <row r="710" spans="1:13" x14ac:dyDescent="0.2">
      <c r="A710" s="1" t="s">
        <v>1075</v>
      </c>
      <c r="B710" s="1" t="s">
        <v>23</v>
      </c>
      <c r="C710" s="1" t="s">
        <v>15</v>
      </c>
      <c r="D710" s="2" t="s">
        <v>24</v>
      </c>
      <c r="E710" s="2" t="s">
        <v>135</v>
      </c>
      <c r="F710" s="2" t="s">
        <v>1076</v>
      </c>
      <c r="G710" s="2" t="s">
        <v>1077</v>
      </c>
      <c r="H710" s="2" t="s">
        <v>1078</v>
      </c>
      <c r="I710" s="2" t="s">
        <v>1079</v>
      </c>
      <c r="J710" s="2" t="s">
        <v>1676</v>
      </c>
      <c r="K710" s="2">
        <v>3</v>
      </c>
      <c r="L710" s="2">
        <v>296</v>
      </c>
      <c r="M710" s="3">
        <v>272</v>
      </c>
    </row>
    <row r="711" spans="1:13" x14ac:dyDescent="0.2">
      <c r="A711" s="1" t="s">
        <v>1653</v>
      </c>
      <c r="B711" s="1" t="s">
        <v>1654</v>
      </c>
      <c r="C711" s="1" t="s">
        <v>15</v>
      </c>
      <c r="D711" s="2" t="s">
        <v>16</v>
      </c>
      <c r="E711" s="2" t="s">
        <v>17</v>
      </c>
      <c r="F711" s="2" t="s">
        <v>1655</v>
      </c>
      <c r="G711" s="2" t="s">
        <v>1656</v>
      </c>
      <c r="H711" s="2">
        <v>9171273635</v>
      </c>
      <c r="I711" s="2" t="s">
        <v>1657</v>
      </c>
      <c r="J711" s="2" t="s">
        <v>1696</v>
      </c>
      <c r="K711" s="2">
        <v>2</v>
      </c>
      <c r="L711" s="2">
        <v>199</v>
      </c>
      <c r="M711" s="3">
        <v>288</v>
      </c>
    </row>
    <row r="712" spans="1:13" x14ac:dyDescent="0.2">
      <c r="A712" s="1" t="s">
        <v>1376</v>
      </c>
      <c r="B712" s="1" t="s">
        <v>23</v>
      </c>
      <c r="C712" s="1" t="s">
        <v>15</v>
      </c>
      <c r="D712" s="2" t="s">
        <v>72</v>
      </c>
      <c r="E712" s="2" t="s">
        <v>213</v>
      </c>
      <c r="F712" s="2" t="s">
        <v>1377</v>
      </c>
      <c r="G712" s="2" t="s">
        <v>1378</v>
      </c>
      <c r="H712" s="2" t="s">
        <v>1379</v>
      </c>
      <c r="I712" s="2" t="s">
        <v>1380</v>
      </c>
      <c r="J712" s="2" t="s">
        <v>1697</v>
      </c>
      <c r="K712" s="2">
        <v>2</v>
      </c>
      <c r="L712" s="2">
        <v>64</v>
      </c>
      <c r="M712" s="3">
        <v>60</v>
      </c>
    </row>
    <row r="713" spans="1:13" x14ac:dyDescent="0.2">
      <c r="A713" s="1" t="s">
        <v>1698</v>
      </c>
      <c r="B713" s="1" t="s">
        <v>23</v>
      </c>
      <c r="C713" s="1" t="s">
        <v>15</v>
      </c>
      <c r="D713" s="2" t="s">
        <v>55</v>
      </c>
      <c r="E713" s="2" t="s">
        <v>92</v>
      </c>
      <c r="F713" s="2" t="s">
        <v>1699</v>
      </c>
      <c r="G713" s="2" t="s">
        <v>1700</v>
      </c>
      <c r="H713" s="2" t="s">
        <v>1701</v>
      </c>
      <c r="I713" s="2" t="s">
        <v>1702</v>
      </c>
      <c r="J713" s="2" t="s">
        <v>1697</v>
      </c>
      <c r="K713" s="2">
        <v>1</v>
      </c>
      <c r="L713" s="2">
        <v>26</v>
      </c>
      <c r="M713" s="3">
        <v>0</v>
      </c>
    </row>
    <row r="714" spans="1:13" x14ac:dyDescent="0.2">
      <c r="A714" s="1" t="s">
        <v>22</v>
      </c>
      <c r="B714" s="1" t="s">
        <v>23</v>
      </c>
      <c r="C714" s="1" t="s">
        <v>15</v>
      </c>
      <c r="D714" s="2" t="s">
        <v>24</v>
      </c>
      <c r="E714" s="2" t="s">
        <v>25</v>
      </c>
      <c r="F714" s="2" t="s">
        <v>26</v>
      </c>
      <c r="G714" s="2" t="s">
        <v>27</v>
      </c>
      <c r="H714" s="2" t="s">
        <v>28</v>
      </c>
      <c r="I714" s="2"/>
      <c r="J714" s="2" t="s">
        <v>1697</v>
      </c>
      <c r="K714" s="2">
        <v>1</v>
      </c>
      <c r="L714" s="2">
        <v>72</v>
      </c>
      <c r="M714" s="3">
        <v>67</v>
      </c>
    </row>
    <row r="715" spans="1:13" x14ac:dyDescent="0.2">
      <c r="A715" s="1" t="s">
        <v>1653</v>
      </c>
      <c r="B715" s="1" t="s">
        <v>1654</v>
      </c>
      <c r="C715" s="1" t="s">
        <v>15</v>
      </c>
      <c r="D715" s="2" t="s">
        <v>16</v>
      </c>
      <c r="E715" s="2" t="s">
        <v>17</v>
      </c>
      <c r="F715" s="2" t="s">
        <v>1655</v>
      </c>
      <c r="G715" s="2" t="s">
        <v>1656</v>
      </c>
      <c r="H715" s="2">
        <v>9171273635</v>
      </c>
      <c r="I715" s="2" t="s">
        <v>1657</v>
      </c>
      <c r="J715" s="2" t="s">
        <v>1697</v>
      </c>
      <c r="K715" s="2">
        <v>1</v>
      </c>
      <c r="L715" s="2">
        <v>25</v>
      </c>
      <c r="M715" s="3">
        <v>25</v>
      </c>
    </row>
    <row r="716" spans="1:13" x14ac:dyDescent="0.2">
      <c r="A716" s="1" t="s">
        <v>42</v>
      </c>
      <c r="B716" s="1" t="s">
        <v>43</v>
      </c>
      <c r="C716" s="1" t="s">
        <v>15</v>
      </c>
      <c r="D716" s="2" t="s">
        <v>44</v>
      </c>
      <c r="E716" s="2" t="s">
        <v>44</v>
      </c>
      <c r="F716" s="2" t="s">
        <v>45</v>
      </c>
      <c r="G716" s="2" t="s">
        <v>46</v>
      </c>
      <c r="H716" s="2" t="s">
        <v>47</v>
      </c>
      <c r="I716" s="2" t="s">
        <v>48</v>
      </c>
      <c r="J716" s="2" t="s">
        <v>1697</v>
      </c>
      <c r="K716" s="2">
        <v>0</v>
      </c>
      <c r="L716" s="2">
        <v>0</v>
      </c>
      <c r="M716" s="3">
        <v>0</v>
      </c>
    </row>
    <row r="717" spans="1:13" x14ac:dyDescent="0.2">
      <c r="A717" s="1" t="s">
        <v>1070</v>
      </c>
      <c r="B717" s="1" t="s">
        <v>240</v>
      </c>
      <c r="C717" s="1" t="s">
        <v>15</v>
      </c>
      <c r="D717" s="2" t="s">
        <v>36</v>
      </c>
      <c r="E717" s="2" t="s">
        <v>145</v>
      </c>
      <c r="F717" s="2" t="s">
        <v>1071</v>
      </c>
      <c r="G717" s="2" t="s">
        <v>1072</v>
      </c>
      <c r="H717" s="2" t="s">
        <v>1073</v>
      </c>
      <c r="I717" s="2" t="s">
        <v>1074</v>
      </c>
      <c r="J717" s="2" t="s">
        <v>1697</v>
      </c>
      <c r="K717" s="2">
        <v>3</v>
      </c>
      <c r="L717" s="2">
        <v>103</v>
      </c>
      <c r="M717" s="3">
        <v>288</v>
      </c>
    </row>
    <row r="718" spans="1:13" x14ac:dyDescent="0.2">
      <c r="A718" s="1" t="s">
        <v>888</v>
      </c>
      <c r="B718" s="1" t="s">
        <v>23</v>
      </c>
      <c r="C718" s="1" t="s">
        <v>15</v>
      </c>
      <c r="D718" s="2" t="s">
        <v>16</v>
      </c>
      <c r="E718" s="2" t="s">
        <v>17</v>
      </c>
      <c r="F718" s="2" t="s">
        <v>889</v>
      </c>
      <c r="G718" s="2" t="s">
        <v>890</v>
      </c>
      <c r="H718" s="2" t="s">
        <v>891</v>
      </c>
      <c r="I718" s="2" t="s">
        <v>892</v>
      </c>
      <c r="J718" s="2" t="s">
        <v>1703</v>
      </c>
      <c r="K718" s="2">
        <v>0</v>
      </c>
      <c r="L718" s="2">
        <v>0</v>
      </c>
      <c r="M718" s="3">
        <v>28</v>
      </c>
    </row>
    <row r="719" spans="1:13" x14ac:dyDescent="0.2">
      <c r="A719" s="1" t="s">
        <v>1704</v>
      </c>
      <c r="B719" s="1" t="s">
        <v>23</v>
      </c>
      <c r="C719" s="1" t="s">
        <v>15</v>
      </c>
      <c r="D719" s="2" t="s">
        <v>44</v>
      </c>
      <c r="E719" s="2" t="s">
        <v>44</v>
      </c>
      <c r="F719" s="2" t="s">
        <v>1705</v>
      </c>
      <c r="G719" s="2" t="s">
        <v>1706</v>
      </c>
      <c r="H719" s="2" t="s">
        <v>83</v>
      </c>
      <c r="I719" s="2" t="s">
        <v>1707</v>
      </c>
      <c r="J719" s="2" t="s">
        <v>1708</v>
      </c>
      <c r="K719" s="2">
        <v>1</v>
      </c>
      <c r="L719" s="2">
        <v>25</v>
      </c>
      <c r="M719" s="3">
        <v>23</v>
      </c>
    </row>
    <row r="720" spans="1:13" x14ac:dyDescent="0.2">
      <c r="A720" s="1" t="s">
        <v>898</v>
      </c>
      <c r="B720" s="1" t="s">
        <v>23</v>
      </c>
      <c r="C720" s="1" t="s">
        <v>15</v>
      </c>
      <c r="D720" s="2" t="s">
        <v>72</v>
      </c>
      <c r="E720" s="2" t="s">
        <v>213</v>
      </c>
      <c r="F720" s="2" t="s">
        <v>899</v>
      </c>
      <c r="G720" s="2" t="s">
        <v>900</v>
      </c>
      <c r="H720" s="2" t="s">
        <v>901</v>
      </c>
      <c r="I720" s="2" t="s">
        <v>902</v>
      </c>
      <c r="J720" s="2" t="s">
        <v>1708</v>
      </c>
      <c r="K720" s="2">
        <v>2</v>
      </c>
      <c r="L720" s="2">
        <v>155</v>
      </c>
      <c r="M720" s="3">
        <v>140</v>
      </c>
    </row>
    <row r="721" spans="1:13" x14ac:dyDescent="0.2">
      <c r="A721" s="1" t="s">
        <v>1709</v>
      </c>
      <c r="B721" s="1" t="s">
        <v>23</v>
      </c>
      <c r="C721" s="1" t="s">
        <v>15</v>
      </c>
      <c r="D721" s="2" t="s">
        <v>36</v>
      </c>
      <c r="E721" s="2" t="s">
        <v>176</v>
      </c>
      <c r="F721" s="2" t="s">
        <v>1710</v>
      </c>
      <c r="G721" s="2" t="s">
        <v>1620</v>
      </c>
      <c r="H721" s="2" t="s">
        <v>1711</v>
      </c>
      <c r="I721" s="2" t="s">
        <v>1712</v>
      </c>
      <c r="J721" s="2" t="s">
        <v>1713</v>
      </c>
      <c r="K721" s="2">
        <v>1</v>
      </c>
      <c r="L721" s="2">
        <v>39</v>
      </c>
      <c r="M721" s="3">
        <v>34</v>
      </c>
    </row>
    <row r="722" spans="1:13" x14ac:dyDescent="0.2">
      <c r="A722" s="1" t="s">
        <v>338</v>
      </c>
      <c r="B722" s="1" t="s">
        <v>23</v>
      </c>
      <c r="C722" s="1" t="s">
        <v>15</v>
      </c>
      <c r="D722" s="2" t="s">
        <v>55</v>
      </c>
      <c r="E722" s="2" t="s">
        <v>56</v>
      </c>
      <c r="F722" s="2" t="s">
        <v>339</v>
      </c>
      <c r="G722" s="2" t="s">
        <v>340</v>
      </c>
      <c r="H722" s="2" t="s">
        <v>341</v>
      </c>
      <c r="I722" s="2" t="s">
        <v>342</v>
      </c>
      <c r="J722" s="2" t="s">
        <v>1713</v>
      </c>
      <c r="K722" s="2">
        <v>2</v>
      </c>
      <c r="L722" s="2">
        <v>295</v>
      </c>
      <c r="M722" s="3">
        <v>351</v>
      </c>
    </row>
    <row r="723" spans="1:13" x14ac:dyDescent="0.2">
      <c r="A723" s="1" t="s">
        <v>618</v>
      </c>
      <c r="B723" s="1" t="s">
        <v>23</v>
      </c>
      <c r="C723" s="1" t="s">
        <v>15</v>
      </c>
      <c r="D723" s="2" t="s">
        <v>44</v>
      </c>
      <c r="E723" s="2" t="s">
        <v>44</v>
      </c>
      <c r="F723" s="2" t="s">
        <v>619</v>
      </c>
      <c r="G723" s="2" t="s">
        <v>620</v>
      </c>
      <c r="H723" s="2" t="s">
        <v>621</v>
      </c>
      <c r="I723" s="2" t="s">
        <v>622</v>
      </c>
      <c r="J723" s="2" t="s">
        <v>1523</v>
      </c>
      <c r="K723" s="2">
        <v>2</v>
      </c>
      <c r="L723" s="2">
        <v>181</v>
      </c>
      <c r="M723" s="3">
        <v>181</v>
      </c>
    </row>
    <row r="724" spans="1:13" x14ac:dyDescent="0.2">
      <c r="A724" s="1" t="s">
        <v>1714</v>
      </c>
      <c r="B724" s="1" t="s">
        <v>23</v>
      </c>
      <c r="C724" s="1" t="s">
        <v>15</v>
      </c>
      <c r="D724" s="2" t="s">
        <v>36</v>
      </c>
      <c r="E724" s="2" t="s">
        <v>145</v>
      </c>
      <c r="F724" s="2" t="s">
        <v>1715</v>
      </c>
      <c r="G724" s="2" t="s">
        <v>1716</v>
      </c>
      <c r="H724" s="2">
        <v>4416970</v>
      </c>
      <c r="I724" s="2" t="s">
        <v>1717</v>
      </c>
      <c r="J724" s="2" t="s">
        <v>1568</v>
      </c>
      <c r="K724" s="2">
        <v>2</v>
      </c>
      <c r="L724" s="2">
        <v>136</v>
      </c>
      <c r="M724" s="3">
        <v>176</v>
      </c>
    </row>
    <row r="725" spans="1:13" x14ac:dyDescent="0.2">
      <c r="A725" s="1" t="s">
        <v>525</v>
      </c>
      <c r="B725" s="1" t="s">
        <v>23</v>
      </c>
      <c r="C725" s="1" t="s">
        <v>15</v>
      </c>
      <c r="D725" s="2" t="s">
        <v>44</v>
      </c>
      <c r="E725" s="2" t="s">
        <v>44</v>
      </c>
      <c r="F725" s="2" t="s">
        <v>526</v>
      </c>
      <c r="G725" s="2" t="s">
        <v>527</v>
      </c>
      <c r="H725" s="2" t="s">
        <v>528</v>
      </c>
      <c r="I725" s="2" t="s">
        <v>529</v>
      </c>
      <c r="J725" s="2" t="s">
        <v>1568</v>
      </c>
      <c r="K725" s="2">
        <v>3</v>
      </c>
      <c r="L725" s="2">
        <v>103</v>
      </c>
      <c r="M725" s="3">
        <v>174</v>
      </c>
    </row>
    <row r="726" spans="1:13" x14ac:dyDescent="0.2">
      <c r="A726" s="1" t="s">
        <v>1718</v>
      </c>
      <c r="B726" s="1" t="s">
        <v>23</v>
      </c>
      <c r="C726" s="1" t="s">
        <v>15</v>
      </c>
      <c r="D726" s="2" t="s">
        <v>16</v>
      </c>
      <c r="E726" s="2" t="s">
        <v>108</v>
      </c>
      <c r="F726" s="2" t="s">
        <v>1719</v>
      </c>
      <c r="G726" s="2" t="s">
        <v>1720</v>
      </c>
      <c r="H726" s="2">
        <v>9258459514</v>
      </c>
      <c r="I726" s="2" t="s">
        <v>1721</v>
      </c>
      <c r="J726" s="2" t="s">
        <v>1568</v>
      </c>
      <c r="K726" s="2">
        <v>1</v>
      </c>
      <c r="L726" s="2">
        <v>98</v>
      </c>
      <c r="M726" s="3">
        <v>162</v>
      </c>
    </row>
    <row r="727" spans="1:13" x14ac:dyDescent="0.2">
      <c r="A727" s="1" t="s">
        <v>1722</v>
      </c>
      <c r="B727" s="1" t="s">
        <v>23</v>
      </c>
      <c r="C727" s="1" t="s">
        <v>15</v>
      </c>
      <c r="D727" s="2" t="s">
        <v>72</v>
      </c>
      <c r="E727" s="2" t="s">
        <v>73</v>
      </c>
      <c r="F727" s="2" t="s">
        <v>1723</v>
      </c>
      <c r="G727" s="2" t="s">
        <v>1724</v>
      </c>
      <c r="H727" s="2">
        <v>9084183443</v>
      </c>
      <c r="I727" s="2" t="s">
        <v>1725</v>
      </c>
      <c r="J727" s="2" t="s">
        <v>1568</v>
      </c>
      <c r="K727" s="2">
        <v>2</v>
      </c>
      <c r="L727" s="2">
        <v>179</v>
      </c>
      <c r="M727" s="3">
        <v>162</v>
      </c>
    </row>
    <row r="728" spans="1:13" x14ac:dyDescent="0.2">
      <c r="A728" s="1" t="s">
        <v>61</v>
      </c>
      <c r="B728" s="1" t="s">
        <v>14</v>
      </c>
      <c r="C728" s="1" t="s">
        <v>15</v>
      </c>
      <c r="D728" s="2" t="s">
        <v>16</v>
      </c>
      <c r="E728" s="2" t="s">
        <v>17</v>
      </c>
      <c r="F728" s="2" t="s">
        <v>62</v>
      </c>
      <c r="G728" s="2" t="s">
        <v>63</v>
      </c>
      <c r="H728" s="2">
        <v>8172650</v>
      </c>
      <c r="I728" s="2" t="s">
        <v>64</v>
      </c>
      <c r="J728" s="2" t="s">
        <v>1726</v>
      </c>
      <c r="K728" s="2">
        <v>1</v>
      </c>
      <c r="L728" s="2">
        <v>172</v>
      </c>
      <c r="M728" s="3">
        <v>161</v>
      </c>
    </row>
    <row r="729" spans="1:13" x14ac:dyDescent="0.2">
      <c r="A729" s="1" t="s">
        <v>1727</v>
      </c>
      <c r="B729" s="1" t="s">
        <v>23</v>
      </c>
      <c r="C729" s="1" t="s">
        <v>15</v>
      </c>
      <c r="D729" s="2" t="s">
        <v>72</v>
      </c>
      <c r="E729" s="2" t="s">
        <v>213</v>
      </c>
      <c r="F729" s="2" t="s">
        <v>1728</v>
      </c>
      <c r="G729" s="2" t="s">
        <v>1729</v>
      </c>
      <c r="H729" s="2" t="s">
        <v>1730</v>
      </c>
      <c r="I729" s="2" t="s">
        <v>1731</v>
      </c>
      <c r="J729" s="2" t="s">
        <v>1568</v>
      </c>
      <c r="K729" s="2">
        <v>2</v>
      </c>
      <c r="L729" s="2">
        <v>136</v>
      </c>
      <c r="M729" s="3">
        <v>155</v>
      </c>
    </row>
    <row r="730" spans="1:13" x14ac:dyDescent="0.2">
      <c r="A730" s="1" t="s">
        <v>525</v>
      </c>
      <c r="B730" s="1" t="s">
        <v>23</v>
      </c>
      <c r="C730" s="1" t="s">
        <v>15</v>
      </c>
      <c r="D730" s="2" t="s">
        <v>44</v>
      </c>
      <c r="E730" s="2" t="s">
        <v>44</v>
      </c>
      <c r="F730" s="2" t="s">
        <v>526</v>
      </c>
      <c r="G730" s="2" t="s">
        <v>527</v>
      </c>
      <c r="H730" s="2" t="s">
        <v>528</v>
      </c>
      <c r="I730" s="2" t="s">
        <v>529</v>
      </c>
      <c r="J730" s="2" t="s">
        <v>1523</v>
      </c>
      <c r="K730" s="2">
        <v>2</v>
      </c>
      <c r="L730" s="2">
        <v>161</v>
      </c>
      <c r="M730" s="3">
        <v>154</v>
      </c>
    </row>
    <row r="731" spans="1:13" x14ac:dyDescent="0.2">
      <c r="A731" s="1" t="s">
        <v>1732</v>
      </c>
      <c r="B731" s="1" t="s">
        <v>23</v>
      </c>
      <c r="C731" s="1" t="s">
        <v>15</v>
      </c>
      <c r="D731" s="2" t="s">
        <v>24</v>
      </c>
      <c r="E731" s="2" t="s">
        <v>395</v>
      </c>
      <c r="F731" s="2" t="s">
        <v>1733</v>
      </c>
      <c r="G731" s="2" t="s">
        <v>1734</v>
      </c>
      <c r="H731" s="2" t="s">
        <v>1735</v>
      </c>
      <c r="I731" s="2" t="s">
        <v>1736</v>
      </c>
      <c r="J731" s="2" t="s">
        <v>1568</v>
      </c>
      <c r="K731" s="2">
        <v>2</v>
      </c>
      <c r="L731" s="2">
        <v>154</v>
      </c>
      <c r="M731" s="3">
        <v>152</v>
      </c>
    </row>
    <row r="732" spans="1:13" x14ac:dyDescent="0.2">
      <c r="A732" s="1" t="s">
        <v>675</v>
      </c>
      <c r="B732" s="1" t="s">
        <v>23</v>
      </c>
      <c r="C732" s="1" t="s">
        <v>15</v>
      </c>
      <c r="D732" s="2" t="s">
        <v>36</v>
      </c>
      <c r="E732" s="2" t="s">
        <v>207</v>
      </c>
      <c r="F732" s="2" t="s">
        <v>676</v>
      </c>
      <c r="G732" s="2" t="s">
        <v>620</v>
      </c>
      <c r="H732" s="2">
        <v>79566594</v>
      </c>
      <c r="I732" s="2" t="s">
        <v>677</v>
      </c>
      <c r="J732" s="2" t="s">
        <v>1568</v>
      </c>
      <c r="K732" s="2">
        <v>0</v>
      </c>
      <c r="L732" s="2">
        <v>0</v>
      </c>
      <c r="M732" s="3">
        <v>151</v>
      </c>
    </row>
    <row r="733" spans="1:13" x14ac:dyDescent="0.2">
      <c r="A733" s="1" t="s">
        <v>578</v>
      </c>
      <c r="B733" s="1" t="s">
        <v>23</v>
      </c>
      <c r="C733" s="1" t="s">
        <v>15</v>
      </c>
      <c r="D733" s="2" t="s">
        <v>24</v>
      </c>
      <c r="E733" s="2" t="s">
        <v>182</v>
      </c>
      <c r="F733" s="2" t="s">
        <v>579</v>
      </c>
      <c r="G733" s="2" t="s">
        <v>580</v>
      </c>
      <c r="H733" s="2" t="s">
        <v>581</v>
      </c>
      <c r="I733" s="2" t="s">
        <v>582</v>
      </c>
      <c r="J733" s="2" t="s">
        <v>1568</v>
      </c>
      <c r="K733" s="2">
        <v>2</v>
      </c>
      <c r="L733" s="2">
        <v>176</v>
      </c>
      <c r="M733" s="3">
        <v>151</v>
      </c>
    </row>
    <row r="734" spans="1:13" x14ac:dyDescent="0.2">
      <c r="A734" s="1" t="s">
        <v>1653</v>
      </c>
      <c r="B734" s="1" t="s">
        <v>1654</v>
      </c>
      <c r="C734" s="1" t="s">
        <v>15</v>
      </c>
      <c r="D734" s="2" t="s">
        <v>16</v>
      </c>
      <c r="E734" s="2" t="s">
        <v>17</v>
      </c>
      <c r="F734" s="2" t="s">
        <v>1655</v>
      </c>
      <c r="G734" s="2" t="s">
        <v>1656</v>
      </c>
      <c r="H734" s="2">
        <v>9171273635</v>
      </c>
      <c r="I734" s="2" t="s">
        <v>1657</v>
      </c>
      <c r="J734" s="2" t="s">
        <v>1568</v>
      </c>
      <c r="K734" s="2">
        <v>1</v>
      </c>
      <c r="L734" s="2">
        <v>80</v>
      </c>
      <c r="M734" s="3">
        <v>134</v>
      </c>
    </row>
    <row r="735" spans="1:13" x14ac:dyDescent="0.2">
      <c r="A735" s="1" t="s">
        <v>675</v>
      </c>
      <c r="B735" s="1" t="s">
        <v>23</v>
      </c>
      <c r="C735" s="1" t="s">
        <v>15</v>
      </c>
      <c r="D735" s="2" t="s">
        <v>36</v>
      </c>
      <c r="E735" s="2" t="s">
        <v>207</v>
      </c>
      <c r="F735" s="2" t="s">
        <v>676</v>
      </c>
      <c r="G735" s="2" t="s">
        <v>620</v>
      </c>
      <c r="H735" s="2">
        <v>79566594</v>
      </c>
      <c r="I735" s="2" t="s">
        <v>677</v>
      </c>
      <c r="J735" s="2" t="s">
        <v>1523</v>
      </c>
      <c r="K735" s="2">
        <v>3</v>
      </c>
      <c r="L735" s="2">
        <v>130</v>
      </c>
      <c r="M735" s="3">
        <v>130</v>
      </c>
    </row>
    <row r="736" spans="1:13" x14ac:dyDescent="0.2">
      <c r="A736" s="1" t="s">
        <v>35</v>
      </c>
      <c r="B736" s="1" t="s">
        <v>23</v>
      </c>
      <c r="C736" s="1" t="s">
        <v>15</v>
      </c>
      <c r="D736" s="2" t="s">
        <v>36</v>
      </c>
      <c r="E736" s="2" t="s">
        <v>37</v>
      </c>
      <c r="F736" s="2" t="s">
        <v>38</v>
      </c>
      <c r="G736" s="2" t="s">
        <v>39</v>
      </c>
      <c r="H736" s="2" t="s">
        <v>40</v>
      </c>
      <c r="I736" s="2" t="s">
        <v>41</v>
      </c>
      <c r="J736" s="2" t="s">
        <v>1568</v>
      </c>
      <c r="K736" s="2">
        <v>1</v>
      </c>
      <c r="L736" s="2">
        <v>178</v>
      </c>
      <c r="M736" s="3">
        <v>121</v>
      </c>
    </row>
    <row r="737" spans="1:13" x14ac:dyDescent="0.2">
      <c r="A737" s="1" t="s">
        <v>539</v>
      </c>
      <c r="B737" s="1" t="s">
        <v>23</v>
      </c>
      <c r="C737" s="1" t="s">
        <v>15</v>
      </c>
      <c r="D737" s="2" t="s">
        <v>36</v>
      </c>
      <c r="E737" s="2" t="s">
        <v>176</v>
      </c>
      <c r="F737" s="2" t="s">
        <v>540</v>
      </c>
      <c r="G737" s="2" t="s">
        <v>541</v>
      </c>
      <c r="H737" s="2" t="s">
        <v>542</v>
      </c>
      <c r="I737" s="2" t="s">
        <v>543</v>
      </c>
      <c r="J737" s="2" t="s">
        <v>1568</v>
      </c>
      <c r="K737" s="2">
        <v>1</v>
      </c>
      <c r="L737" s="2">
        <v>120</v>
      </c>
      <c r="M737" s="3">
        <v>119</v>
      </c>
    </row>
    <row r="738" spans="1:13" x14ac:dyDescent="0.2">
      <c r="A738" s="1" t="s">
        <v>22</v>
      </c>
      <c r="B738" s="1" t="s">
        <v>23</v>
      </c>
      <c r="C738" s="1" t="s">
        <v>15</v>
      </c>
      <c r="D738" s="2" t="s">
        <v>24</v>
      </c>
      <c r="E738" s="2" t="s">
        <v>25</v>
      </c>
      <c r="F738" s="2" t="s">
        <v>26</v>
      </c>
      <c r="G738" s="2" t="s">
        <v>27</v>
      </c>
      <c r="H738" s="2" t="s">
        <v>28</v>
      </c>
      <c r="I738" s="2"/>
      <c r="J738" s="2" t="s">
        <v>1523</v>
      </c>
      <c r="K738" s="2">
        <v>1</v>
      </c>
      <c r="L738" s="2">
        <v>163</v>
      </c>
      <c r="M738" s="3">
        <v>114</v>
      </c>
    </row>
    <row r="739" spans="1:13" x14ac:dyDescent="0.2">
      <c r="A739" s="1" t="s">
        <v>61</v>
      </c>
      <c r="B739" s="1" t="s">
        <v>14</v>
      </c>
      <c r="C739" s="1" t="s">
        <v>15</v>
      </c>
      <c r="D739" s="2" t="s">
        <v>16</v>
      </c>
      <c r="E739" s="2" t="s">
        <v>17</v>
      </c>
      <c r="F739" s="2" t="s">
        <v>62</v>
      </c>
      <c r="G739" s="2" t="s">
        <v>63</v>
      </c>
      <c r="H739" s="2">
        <v>8172650</v>
      </c>
      <c r="I739" s="2" t="s">
        <v>64</v>
      </c>
      <c r="J739" s="2" t="s">
        <v>1523</v>
      </c>
      <c r="K739" s="2">
        <v>3</v>
      </c>
      <c r="L739" s="2">
        <v>83</v>
      </c>
      <c r="M739" s="3">
        <v>114</v>
      </c>
    </row>
    <row r="740" spans="1:13" x14ac:dyDescent="0.2">
      <c r="A740" s="1" t="s">
        <v>61</v>
      </c>
      <c r="B740" s="1" t="s">
        <v>14</v>
      </c>
      <c r="C740" s="1" t="s">
        <v>15</v>
      </c>
      <c r="D740" s="2" t="s">
        <v>16</v>
      </c>
      <c r="E740" s="2" t="s">
        <v>17</v>
      </c>
      <c r="F740" s="2" t="s">
        <v>62</v>
      </c>
      <c r="G740" s="2" t="s">
        <v>63</v>
      </c>
      <c r="H740" s="2">
        <v>8172650</v>
      </c>
      <c r="I740" s="2" t="s">
        <v>64</v>
      </c>
      <c r="J740" s="2" t="s">
        <v>1568</v>
      </c>
      <c r="K740" s="2">
        <v>2</v>
      </c>
      <c r="L740" s="2">
        <v>129</v>
      </c>
      <c r="M740" s="3">
        <v>102</v>
      </c>
    </row>
    <row r="741" spans="1:13" x14ac:dyDescent="0.2">
      <c r="A741" s="1" t="s">
        <v>1732</v>
      </c>
      <c r="B741" s="1" t="s">
        <v>23</v>
      </c>
      <c r="C741" s="1" t="s">
        <v>15</v>
      </c>
      <c r="D741" s="2" t="s">
        <v>24</v>
      </c>
      <c r="E741" s="2" t="s">
        <v>395</v>
      </c>
      <c r="F741" s="2" t="s">
        <v>1733</v>
      </c>
      <c r="G741" s="2" t="s">
        <v>1734</v>
      </c>
      <c r="H741" s="2" t="s">
        <v>1735</v>
      </c>
      <c r="I741" s="2" t="s">
        <v>1736</v>
      </c>
      <c r="J741" s="2" t="s">
        <v>1523</v>
      </c>
      <c r="K741" s="2">
        <v>2</v>
      </c>
      <c r="L741" s="2">
        <v>95</v>
      </c>
      <c r="M741" s="3">
        <v>91</v>
      </c>
    </row>
    <row r="742" spans="1:13" x14ac:dyDescent="0.2">
      <c r="A742" s="1" t="s">
        <v>1653</v>
      </c>
      <c r="B742" s="1" t="s">
        <v>1654</v>
      </c>
      <c r="C742" s="1" t="s">
        <v>15</v>
      </c>
      <c r="D742" s="2" t="s">
        <v>16</v>
      </c>
      <c r="E742" s="2" t="s">
        <v>17</v>
      </c>
      <c r="F742" s="2" t="s">
        <v>1655</v>
      </c>
      <c r="G742" s="2" t="s">
        <v>1656</v>
      </c>
      <c r="H742" s="2">
        <v>9171273635</v>
      </c>
      <c r="I742" s="2" t="s">
        <v>1657</v>
      </c>
      <c r="J742" s="2" t="s">
        <v>1737</v>
      </c>
      <c r="K742" s="2">
        <v>1</v>
      </c>
      <c r="L742" s="2">
        <v>38</v>
      </c>
      <c r="M742" s="3">
        <v>86</v>
      </c>
    </row>
    <row r="743" spans="1:13" x14ac:dyDescent="0.2">
      <c r="A743" s="1" t="s">
        <v>374</v>
      </c>
      <c r="B743" s="1" t="s">
        <v>23</v>
      </c>
      <c r="C743" s="1" t="s">
        <v>15</v>
      </c>
      <c r="D743" s="2" t="s">
        <v>36</v>
      </c>
      <c r="E743" s="2" t="s">
        <v>207</v>
      </c>
      <c r="F743" s="2" t="s">
        <v>375</v>
      </c>
      <c r="G743" s="2" t="s">
        <v>376</v>
      </c>
      <c r="H743" s="2" t="s">
        <v>377</v>
      </c>
      <c r="I743" s="2" t="s">
        <v>378</v>
      </c>
      <c r="J743" s="2" t="s">
        <v>1523</v>
      </c>
      <c r="K743" s="2">
        <v>1</v>
      </c>
      <c r="L743" s="2">
        <v>83</v>
      </c>
      <c r="M743" s="3">
        <v>83</v>
      </c>
    </row>
    <row r="744" spans="1:13" x14ac:dyDescent="0.2">
      <c r="A744" s="1" t="s">
        <v>1518</v>
      </c>
      <c r="B744" s="1" t="s">
        <v>23</v>
      </c>
      <c r="C744" s="1" t="s">
        <v>15</v>
      </c>
      <c r="D744" s="2" t="s">
        <v>44</v>
      </c>
      <c r="E744" s="2" t="s">
        <v>44</v>
      </c>
      <c r="F744" s="2" t="s">
        <v>1519</v>
      </c>
      <c r="G744" s="2" t="s">
        <v>1520</v>
      </c>
      <c r="H744" s="2" t="s">
        <v>1521</v>
      </c>
      <c r="I744" s="2" t="s">
        <v>1522</v>
      </c>
      <c r="J744" s="2" t="s">
        <v>1568</v>
      </c>
      <c r="K744" s="2">
        <v>2</v>
      </c>
      <c r="L744" s="2">
        <v>117</v>
      </c>
      <c r="M744" s="3">
        <v>80</v>
      </c>
    </row>
    <row r="745" spans="1:13" x14ac:dyDescent="0.2">
      <c r="A745" s="1" t="s">
        <v>1414</v>
      </c>
      <c r="B745" s="1" t="s">
        <v>23</v>
      </c>
      <c r="C745" s="1" t="s">
        <v>15</v>
      </c>
      <c r="D745" s="2" t="s">
        <v>24</v>
      </c>
      <c r="E745" s="2" t="s">
        <v>80</v>
      </c>
      <c r="F745" s="2" t="s">
        <v>1415</v>
      </c>
      <c r="G745" s="2" t="s">
        <v>1416</v>
      </c>
      <c r="H745" s="2" t="s">
        <v>1417</v>
      </c>
      <c r="I745" s="2" t="s">
        <v>1418</v>
      </c>
      <c r="J745" s="2" t="s">
        <v>1523</v>
      </c>
      <c r="K745" s="2">
        <v>2</v>
      </c>
      <c r="L745" s="2">
        <v>102</v>
      </c>
      <c r="M745" s="3">
        <v>77</v>
      </c>
    </row>
    <row r="746" spans="1:13" x14ac:dyDescent="0.2">
      <c r="A746" s="1" t="s">
        <v>1738</v>
      </c>
      <c r="B746" s="1" t="s">
        <v>23</v>
      </c>
      <c r="C746" s="1" t="s">
        <v>15</v>
      </c>
      <c r="D746" s="2" t="s">
        <v>44</v>
      </c>
      <c r="E746" s="2" t="s">
        <v>44</v>
      </c>
      <c r="F746" s="2" t="s">
        <v>1739</v>
      </c>
      <c r="G746" s="2" t="s">
        <v>1740</v>
      </c>
      <c r="H746" s="2" t="s">
        <v>1741</v>
      </c>
      <c r="I746" s="2" t="s">
        <v>1742</v>
      </c>
      <c r="J746" s="2" t="s">
        <v>1568</v>
      </c>
      <c r="K746" s="2">
        <v>1</v>
      </c>
      <c r="L746" s="2">
        <v>25</v>
      </c>
      <c r="M746" s="3">
        <v>76</v>
      </c>
    </row>
    <row r="747" spans="1:13" x14ac:dyDescent="0.2">
      <c r="A747" s="1" t="s">
        <v>1381</v>
      </c>
      <c r="B747" s="1" t="s">
        <v>23</v>
      </c>
      <c r="C747" s="1" t="s">
        <v>15</v>
      </c>
      <c r="D747" s="2" t="s">
        <v>36</v>
      </c>
      <c r="E747" s="2" t="s">
        <v>37</v>
      </c>
      <c r="F747" s="2" t="s">
        <v>1382</v>
      </c>
      <c r="G747" s="2" t="s">
        <v>1383</v>
      </c>
      <c r="H747" s="2" t="s">
        <v>1384</v>
      </c>
      <c r="I747" s="2" t="s">
        <v>1385</v>
      </c>
      <c r="J747" s="2" t="s">
        <v>1523</v>
      </c>
      <c r="K747" s="2">
        <v>1</v>
      </c>
      <c r="L747" s="2">
        <v>25</v>
      </c>
      <c r="M747" s="3">
        <v>75</v>
      </c>
    </row>
    <row r="748" spans="1:13" x14ac:dyDescent="0.2">
      <c r="A748" s="1" t="s">
        <v>539</v>
      </c>
      <c r="B748" s="1" t="s">
        <v>23</v>
      </c>
      <c r="C748" s="1" t="s">
        <v>15</v>
      </c>
      <c r="D748" s="2" t="s">
        <v>36</v>
      </c>
      <c r="E748" s="2" t="s">
        <v>176</v>
      </c>
      <c r="F748" s="2" t="s">
        <v>540</v>
      </c>
      <c r="G748" s="2" t="s">
        <v>541</v>
      </c>
      <c r="H748" s="2" t="s">
        <v>542</v>
      </c>
      <c r="I748" s="2" t="s">
        <v>543</v>
      </c>
      <c r="J748" s="2" t="s">
        <v>1523</v>
      </c>
      <c r="K748" s="2">
        <v>1</v>
      </c>
      <c r="L748" s="2">
        <v>91</v>
      </c>
      <c r="M748" s="3">
        <v>66</v>
      </c>
    </row>
    <row r="749" spans="1:13" x14ac:dyDescent="0.2">
      <c r="A749" s="1" t="s">
        <v>608</v>
      </c>
      <c r="B749" s="1" t="s">
        <v>23</v>
      </c>
      <c r="C749" s="1" t="s">
        <v>15</v>
      </c>
      <c r="D749" s="2" t="s">
        <v>36</v>
      </c>
      <c r="E749" s="2" t="s">
        <v>207</v>
      </c>
      <c r="F749" s="2" t="s">
        <v>609</v>
      </c>
      <c r="G749" s="2" t="s">
        <v>610</v>
      </c>
      <c r="H749" s="2" t="s">
        <v>611</v>
      </c>
      <c r="I749" s="2" t="s">
        <v>612</v>
      </c>
      <c r="J749" s="2" t="s">
        <v>1568</v>
      </c>
      <c r="K749" s="2">
        <v>2</v>
      </c>
      <c r="L749" s="2">
        <v>60</v>
      </c>
      <c r="M749" s="3">
        <v>60</v>
      </c>
    </row>
    <row r="750" spans="1:13" x14ac:dyDescent="0.2">
      <c r="A750" s="1" t="s">
        <v>1743</v>
      </c>
      <c r="B750" s="1" t="s">
        <v>23</v>
      </c>
      <c r="C750" s="1" t="s">
        <v>15</v>
      </c>
      <c r="D750" s="2" t="s">
        <v>72</v>
      </c>
      <c r="E750" s="2" t="s">
        <v>213</v>
      </c>
      <c r="F750" s="2" t="s">
        <v>1744</v>
      </c>
      <c r="G750" s="2" t="s">
        <v>1745</v>
      </c>
      <c r="H750" s="2" t="s">
        <v>1746</v>
      </c>
      <c r="I750" s="2" t="s">
        <v>1747</v>
      </c>
      <c r="J750" s="2" t="s">
        <v>1568</v>
      </c>
      <c r="K750" s="2">
        <v>1</v>
      </c>
      <c r="L750" s="2">
        <v>63</v>
      </c>
      <c r="M750" s="3">
        <v>57</v>
      </c>
    </row>
    <row r="751" spans="1:13" x14ac:dyDescent="0.2">
      <c r="A751" s="1" t="s">
        <v>1060</v>
      </c>
      <c r="B751" s="1" t="s">
        <v>23</v>
      </c>
      <c r="C751" s="1" t="s">
        <v>15</v>
      </c>
      <c r="D751" s="2" t="s">
        <v>44</v>
      </c>
      <c r="E751" s="2" t="s">
        <v>44</v>
      </c>
      <c r="F751" s="2" t="s">
        <v>1419</v>
      </c>
      <c r="G751" s="2" t="s">
        <v>1062</v>
      </c>
      <c r="H751" s="2" t="s">
        <v>1420</v>
      </c>
      <c r="I751" s="2" t="s">
        <v>1064</v>
      </c>
      <c r="J751" s="2" t="s">
        <v>1568</v>
      </c>
      <c r="K751" s="2">
        <v>1</v>
      </c>
      <c r="L751" s="2">
        <v>79</v>
      </c>
      <c r="M751" s="3">
        <v>57</v>
      </c>
    </row>
    <row r="752" spans="1:13" x14ac:dyDescent="0.2">
      <c r="A752" s="1" t="s">
        <v>1060</v>
      </c>
      <c r="B752" s="1" t="s">
        <v>23</v>
      </c>
      <c r="C752" s="1" t="s">
        <v>15</v>
      </c>
      <c r="D752" s="2" t="s">
        <v>44</v>
      </c>
      <c r="E752" s="2" t="s">
        <v>44</v>
      </c>
      <c r="F752" s="2" t="s">
        <v>1419</v>
      </c>
      <c r="G752" s="2" t="s">
        <v>1062</v>
      </c>
      <c r="H752" s="2" t="s">
        <v>1420</v>
      </c>
      <c r="I752" s="2" t="s">
        <v>1064</v>
      </c>
      <c r="J752" s="2" t="s">
        <v>1523</v>
      </c>
      <c r="K752" s="2">
        <v>1</v>
      </c>
      <c r="L752" s="2">
        <v>56</v>
      </c>
      <c r="M752" s="3">
        <v>56</v>
      </c>
    </row>
    <row r="753" spans="1:13" x14ac:dyDescent="0.2">
      <c r="A753" s="1" t="s">
        <v>525</v>
      </c>
      <c r="B753" s="1" t="s">
        <v>23</v>
      </c>
      <c r="C753" s="1" t="s">
        <v>15</v>
      </c>
      <c r="D753" s="2" t="s">
        <v>44</v>
      </c>
      <c r="E753" s="2" t="s">
        <v>44</v>
      </c>
      <c r="F753" s="2" t="s">
        <v>526</v>
      </c>
      <c r="G753" s="2" t="s">
        <v>527</v>
      </c>
      <c r="H753" s="2" t="s">
        <v>528</v>
      </c>
      <c r="I753" s="2" t="s">
        <v>529</v>
      </c>
      <c r="J753" s="2" t="s">
        <v>1726</v>
      </c>
      <c r="K753" s="2">
        <v>2</v>
      </c>
      <c r="L753" s="2">
        <v>55</v>
      </c>
      <c r="M753" s="3">
        <v>55</v>
      </c>
    </row>
    <row r="754" spans="1:13" x14ac:dyDescent="0.2">
      <c r="A754" s="1" t="s">
        <v>645</v>
      </c>
      <c r="B754" s="1" t="s">
        <v>23</v>
      </c>
      <c r="C754" s="1" t="s">
        <v>15</v>
      </c>
      <c r="D754" s="2" t="s">
        <v>36</v>
      </c>
      <c r="E754" s="2" t="s">
        <v>207</v>
      </c>
      <c r="F754" s="2" t="s">
        <v>646</v>
      </c>
      <c r="G754" s="2" t="s">
        <v>647</v>
      </c>
      <c r="H754" s="2" t="s">
        <v>648</v>
      </c>
      <c r="I754" s="2" t="s">
        <v>649</v>
      </c>
      <c r="J754" s="2" t="s">
        <v>1523</v>
      </c>
      <c r="K754" s="2">
        <v>1</v>
      </c>
      <c r="L754" s="2">
        <v>56</v>
      </c>
      <c r="M754" s="3">
        <v>55</v>
      </c>
    </row>
    <row r="755" spans="1:13" x14ac:dyDescent="0.2">
      <c r="A755" s="1" t="s">
        <v>1748</v>
      </c>
      <c r="B755" s="1" t="s">
        <v>23</v>
      </c>
      <c r="C755" s="1" t="s">
        <v>15</v>
      </c>
      <c r="D755" s="2" t="s">
        <v>44</v>
      </c>
      <c r="E755" s="2" t="s">
        <v>44</v>
      </c>
      <c r="F755" s="2" t="s">
        <v>1749</v>
      </c>
      <c r="G755" s="2" t="s">
        <v>1750</v>
      </c>
      <c r="H755" s="2" t="s">
        <v>1751</v>
      </c>
      <c r="I755" s="2" t="s">
        <v>1752</v>
      </c>
      <c r="J755" s="2" t="s">
        <v>1568</v>
      </c>
      <c r="K755" s="2">
        <v>1</v>
      </c>
      <c r="L755" s="2">
        <v>51</v>
      </c>
      <c r="M755" s="3">
        <v>51</v>
      </c>
    </row>
    <row r="756" spans="1:13" x14ac:dyDescent="0.2">
      <c r="A756" s="1" t="s">
        <v>1738</v>
      </c>
      <c r="B756" s="1" t="s">
        <v>23</v>
      </c>
      <c r="C756" s="1" t="s">
        <v>15</v>
      </c>
      <c r="D756" s="2" t="s">
        <v>44</v>
      </c>
      <c r="E756" s="2" t="s">
        <v>44</v>
      </c>
      <c r="F756" s="2" t="s">
        <v>1739</v>
      </c>
      <c r="G756" s="2" t="s">
        <v>1740</v>
      </c>
      <c r="H756" s="2" t="s">
        <v>1741</v>
      </c>
      <c r="I756" s="2" t="s">
        <v>1742</v>
      </c>
      <c r="J756" s="2" t="s">
        <v>1523</v>
      </c>
      <c r="K756" s="2">
        <v>1</v>
      </c>
      <c r="L756" s="2">
        <v>51</v>
      </c>
      <c r="M756" s="3">
        <v>51</v>
      </c>
    </row>
    <row r="757" spans="1:13" x14ac:dyDescent="0.2">
      <c r="A757" s="1" t="s">
        <v>1743</v>
      </c>
      <c r="B757" s="1" t="s">
        <v>23</v>
      </c>
      <c r="C757" s="1" t="s">
        <v>15</v>
      </c>
      <c r="D757" s="2" t="s">
        <v>72</v>
      </c>
      <c r="E757" s="2" t="s">
        <v>213</v>
      </c>
      <c r="F757" s="2" t="s">
        <v>1744</v>
      </c>
      <c r="G757" s="2" t="s">
        <v>1745</v>
      </c>
      <c r="H757" s="2" t="s">
        <v>1746</v>
      </c>
      <c r="I757" s="2" t="s">
        <v>1747</v>
      </c>
      <c r="J757" s="2" t="s">
        <v>1523</v>
      </c>
      <c r="K757" s="2">
        <v>1</v>
      </c>
      <c r="L757" s="2">
        <v>57</v>
      </c>
      <c r="M757" s="3">
        <v>51</v>
      </c>
    </row>
    <row r="758" spans="1:13" x14ac:dyDescent="0.2">
      <c r="A758" s="1" t="s">
        <v>1748</v>
      </c>
      <c r="B758" s="1" t="s">
        <v>23</v>
      </c>
      <c r="C758" s="1" t="s">
        <v>15</v>
      </c>
      <c r="D758" s="2" t="s">
        <v>44</v>
      </c>
      <c r="E758" s="2" t="s">
        <v>44</v>
      </c>
      <c r="F758" s="2" t="s">
        <v>1749</v>
      </c>
      <c r="G758" s="2" t="s">
        <v>1750</v>
      </c>
      <c r="H758" s="2" t="s">
        <v>1751</v>
      </c>
      <c r="I758" s="2" t="s">
        <v>1752</v>
      </c>
      <c r="J758" s="2" t="s">
        <v>1523</v>
      </c>
      <c r="K758" s="2">
        <v>1</v>
      </c>
      <c r="L758" s="2">
        <v>56</v>
      </c>
      <c r="M758" s="3">
        <v>51</v>
      </c>
    </row>
    <row r="759" spans="1:13" x14ac:dyDescent="0.2">
      <c r="A759" s="1" t="s">
        <v>1569</v>
      </c>
      <c r="B759" s="1" t="s">
        <v>23</v>
      </c>
      <c r="C759" s="1" t="s">
        <v>15</v>
      </c>
      <c r="D759" s="2" t="s">
        <v>16</v>
      </c>
      <c r="E759" s="2" t="s">
        <v>108</v>
      </c>
      <c r="F759" s="2" t="s">
        <v>1570</v>
      </c>
      <c r="G759" s="2" t="s">
        <v>1571</v>
      </c>
      <c r="H759" s="2" t="s">
        <v>1572</v>
      </c>
      <c r="I759" s="2" t="s">
        <v>1573</v>
      </c>
      <c r="J759" s="2" t="s">
        <v>1753</v>
      </c>
      <c r="K759" s="2">
        <v>1</v>
      </c>
      <c r="L759" s="2">
        <v>75</v>
      </c>
      <c r="M759" s="3">
        <v>50</v>
      </c>
    </row>
    <row r="760" spans="1:13" x14ac:dyDescent="0.2">
      <c r="A760" s="1" t="s">
        <v>1306</v>
      </c>
      <c r="B760" s="1" t="s">
        <v>66</v>
      </c>
      <c r="C760" s="1" t="s">
        <v>15</v>
      </c>
      <c r="D760" s="2" t="s">
        <v>36</v>
      </c>
      <c r="E760" s="2" t="s">
        <v>176</v>
      </c>
      <c r="F760" s="2" t="s">
        <v>1307</v>
      </c>
      <c r="G760" s="2" t="s">
        <v>1308</v>
      </c>
      <c r="H760" s="2" t="s">
        <v>1309</v>
      </c>
      <c r="I760" s="2" t="s">
        <v>1310</v>
      </c>
      <c r="J760" s="2" t="s">
        <v>1568</v>
      </c>
      <c r="K760" s="2">
        <v>1</v>
      </c>
      <c r="L760" s="2">
        <v>91</v>
      </c>
      <c r="M760" s="3">
        <v>48</v>
      </c>
    </row>
    <row r="761" spans="1:13" x14ac:dyDescent="0.2">
      <c r="A761" s="1" t="s">
        <v>1500</v>
      </c>
      <c r="B761" s="1" t="s">
        <v>23</v>
      </c>
      <c r="C761" s="1" t="s">
        <v>15</v>
      </c>
      <c r="D761" s="2" t="s">
        <v>36</v>
      </c>
      <c r="E761" s="2" t="s">
        <v>207</v>
      </c>
      <c r="F761" s="2" t="s">
        <v>1501</v>
      </c>
      <c r="G761" s="2" t="s">
        <v>1502</v>
      </c>
      <c r="H761" s="2" t="s">
        <v>1503</v>
      </c>
      <c r="I761" s="2" t="s">
        <v>1504</v>
      </c>
      <c r="J761" s="2" t="s">
        <v>1568</v>
      </c>
      <c r="K761" s="2">
        <v>1</v>
      </c>
      <c r="L761" s="2">
        <v>70</v>
      </c>
      <c r="M761" s="3">
        <v>48</v>
      </c>
    </row>
    <row r="762" spans="1:13" x14ac:dyDescent="0.2">
      <c r="A762" s="1" t="s">
        <v>1569</v>
      </c>
      <c r="B762" s="1" t="s">
        <v>23</v>
      </c>
      <c r="C762" s="1" t="s">
        <v>15</v>
      </c>
      <c r="D762" s="2" t="s">
        <v>16</v>
      </c>
      <c r="E762" s="2" t="s">
        <v>108</v>
      </c>
      <c r="F762" s="2" t="s">
        <v>1570</v>
      </c>
      <c r="G762" s="2" t="s">
        <v>1571</v>
      </c>
      <c r="H762" s="2" t="s">
        <v>1572</v>
      </c>
      <c r="I762" s="2" t="s">
        <v>1573</v>
      </c>
      <c r="J762" s="2" t="s">
        <v>1726</v>
      </c>
      <c r="K762" s="2">
        <v>2</v>
      </c>
      <c r="L762" s="2">
        <v>67</v>
      </c>
      <c r="M762" s="3">
        <v>47</v>
      </c>
    </row>
    <row r="763" spans="1:13" x14ac:dyDescent="0.2">
      <c r="A763" s="1" t="s">
        <v>175</v>
      </c>
      <c r="B763" s="1" t="s">
        <v>23</v>
      </c>
      <c r="C763" s="1" t="s">
        <v>15</v>
      </c>
      <c r="D763" s="2" t="s">
        <v>36</v>
      </c>
      <c r="E763" s="2" t="s">
        <v>176</v>
      </c>
      <c r="F763" s="2" t="s">
        <v>177</v>
      </c>
      <c r="G763" s="2" t="s">
        <v>178</v>
      </c>
      <c r="H763" s="2" t="s">
        <v>179</v>
      </c>
      <c r="I763" s="2" t="s">
        <v>180</v>
      </c>
      <c r="J763" s="2" t="s">
        <v>1568</v>
      </c>
      <c r="K763" s="2">
        <v>1</v>
      </c>
      <c r="L763" s="2">
        <v>59</v>
      </c>
      <c r="M763" s="3">
        <v>47</v>
      </c>
    </row>
    <row r="764" spans="1:13" x14ac:dyDescent="0.2">
      <c r="A764" s="1" t="s">
        <v>1754</v>
      </c>
      <c r="B764" s="1" t="s">
        <v>23</v>
      </c>
      <c r="C764" s="1" t="s">
        <v>15</v>
      </c>
      <c r="D764" s="2" t="s">
        <v>36</v>
      </c>
      <c r="E764" s="2" t="s">
        <v>207</v>
      </c>
      <c r="F764" s="2" t="s">
        <v>1755</v>
      </c>
      <c r="G764" s="2" t="s">
        <v>1756</v>
      </c>
      <c r="H764" s="2">
        <v>285717451</v>
      </c>
      <c r="I764" s="2" t="s">
        <v>1757</v>
      </c>
      <c r="J764" s="2" t="s">
        <v>1568</v>
      </c>
      <c r="K764" s="2">
        <v>1</v>
      </c>
      <c r="L764" s="2">
        <v>45</v>
      </c>
      <c r="M764" s="3">
        <v>43</v>
      </c>
    </row>
    <row r="765" spans="1:13" x14ac:dyDescent="0.2">
      <c r="A765" s="1" t="s">
        <v>1518</v>
      </c>
      <c r="B765" s="1" t="s">
        <v>23</v>
      </c>
      <c r="C765" s="1" t="s">
        <v>15</v>
      </c>
      <c r="D765" s="2" t="s">
        <v>44</v>
      </c>
      <c r="E765" s="2" t="s">
        <v>44</v>
      </c>
      <c r="F765" s="2" t="s">
        <v>1519</v>
      </c>
      <c r="G765" s="2" t="s">
        <v>1520</v>
      </c>
      <c r="H765" s="2" t="s">
        <v>1521</v>
      </c>
      <c r="I765" s="2" t="s">
        <v>1522</v>
      </c>
      <c r="J765" s="2" t="s">
        <v>1726</v>
      </c>
      <c r="K765" s="2">
        <v>1</v>
      </c>
      <c r="L765" s="2">
        <v>16</v>
      </c>
      <c r="M765" s="3">
        <v>39</v>
      </c>
    </row>
    <row r="766" spans="1:13" x14ac:dyDescent="0.2">
      <c r="A766" s="1" t="s">
        <v>102</v>
      </c>
      <c r="B766" s="1" t="s">
        <v>23</v>
      </c>
      <c r="C766" s="1" t="s">
        <v>15</v>
      </c>
      <c r="D766" s="2" t="s">
        <v>44</v>
      </c>
      <c r="E766" s="2" t="s">
        <v>44</v>
      </c>
      <c r="F766" s="2" t="s">
        <v>103</v>
      </c>
      <c r="G766" s="2" t="s">
        <v>104</v>
      </c>
      <c r="H766" s="2" t="s">
        <v>105</v>
      </c>
      <c r="I766" s="2" t="s">
        <v>106</v>
      </c>
      <c r="J766" s="2" t="s">
        <v>1568</v>
      </c>
      <c r="K766" s="2">
        <v>1</v>
      </c>
      <c r="L766" s="2">
        <v>42</v>
      </c>
      <c r="M766" s="3">
        <v>38</v>
      </c>
    </row>
    <row r="767" spans="1:13" x14ac:dyDescent="0.2">
      <c r="A767" s="1" t="s">
        <v>1409</v>
      </c>
      <c r="B767" s="1" t="s">
        <v>23</v>
      </c>
      <c r="C767" s="1" t="s">
        <v>15</v>
      </c>
      <c r="D767" s="2" t="s">
        <v>44</v>
      </c>
      <c r="E767" s="2" t="s">
        <v>44</v>
      </c>
      <c r="F767" s="2" t="s">
        <v>1410</v>
      </c>
      <c r="G767" s="2" t="s">
        <v>1411</v>
      </c>
      <c r="H767" s="2" t="s">
        <v>1412</v>
      </c>
      <c r="I767" s="2" t="s">
        <v>1413</v>
      </c>
      <c r="J767" s="2" t="s">
        <v>1523</v>
      </c>
      <c r="K767" s="2">
        <v>1</v>
      </c>
      <c r="L767" s="2">
        <v>38</v>
      </c>
      <c r="M767" s="3">
        <v>38</v>
      </c>
    </row>
    <row r="768" spans="1:13" x14ac:dyDescent="0.2">
      <c r="A768" s="1" t="s">
        <v>1758</v>
      </c>
      <c r="B768" s="1" t="s">
        <v>23</v>
      </c>
      <c r="C768" s="1" t="s">
        <v>15</v>
      </c>
      <c r="D768" s="2" t="s">
        <v>36</v>
      </c>
      <c r="E768" s="2" t="s">
        <v>207</v>
      </c>
      <c r="F768" s="2" t="s">
        <v>1759</v>
      </c>
      <c r="G768" s="2" t="s">
        <v>1760</v>
      </c>
      <c r="H768" s="2" t="s">
        <v>1761</v>
      </c>
      <c r="I768" s="2" t="s">
        <v>1762</v>
      </c>
      <c r="J768" s="2" t="s">
        <v>1568</v>
      </c>
      <c r="K768" s="2">
        <v>1</v>
      </c>
      <c r="L768" s="2">
        <v>37</v>
      </c>
      <c r="M768" s="3">
        <v>37</v>
      </c>
    </row>
    <row r="769" spans="1:13" x14ac:dyDescent="0.2">
      <c r="A769" s="1" t="s">
        <v>1714</v>
      </c>
      <c r="B769" s="1" t="s">
        <v>23</v>
      </c>
      <c r="C769" s="1" t="s">
        <v>15</v>
      </c>
      <c r="D769" s="2" t="s">
        <v>36</v>
      </c>
      <c r="E769" s="2" t="s">
        <v>145</v>
      </c>
      <c r="F769" s="2" t="s">
        <v>1715</v>
      </c>
      <c r="G769" s="2" t="s">
        <v>1716</v>
      </c>
      <c r="H769" s="2">
        <v>4416970</v>
      </c>
      <c r="I769" s="2" t="s">
        <v>1717</v>
      </c>
      <c r="J769" s="2" t="s">
        <v>1523</v>
      </c>
      <c r="K769" s="2">
        <v>2</v>
      </c>
      <c r="L769" s="2">
        <v>62</v>
      </c>
      <c r="M769" s="3">
        <v>37</v>
      </c>
    </row>
    <row r="770" spans="1:13" x14ac:dyDescent="0.2">
      <c r="A770" s="1" t="s">
        <v>1653</v>
      </c>
      <c r="B770" s="1" t="s">
        <v>1654</v>
      </c>
      <c r="C770" s="1" t="s">
        <v>15</v>
      </c>
      <c r="D770" s="2" t="s">
        <v>16</v>
      </c>
      <c r="E770" s="2" t="s">
        <v>17</v>
      </c>
      <c r="F770" s="2" t="s">
        <v>1655</v>
      </c>
      <c r="G770" s="2" t="s">
        <v>1656</v>
      </c>
      <c r="H770" s="2">
        <v>9171273635</v>
      </c>
      <c r="I770" s="2" t="s">
        <v>1657</v>
      </c>
      <c r="J770" s="2" t="s">
        <v>1523</v>
      </c>
      <c r="K770" s="2">
        <v>1</v>
      </c>
      <c r="L770" s="2">
        <v>60</v>
      </c>
      <c r="M770" s="3">
        <v>31</v>
      </c>
    </row>
    <row r="771" spans="1:13" x14ac:dyDescent="0.2">
      <c r="A771" s="1" t="s">
        <v>525</v>
      </c>
      <c r="B771" s="1" t="s">
        <v>23</v>
      </c>
      <c r="C771" s="1" t="s">
        <v>15</v>
      </c>
      <c r="D771" s="2" t="s">
        <v>44</v>
      </c>
      <c r="E771" s="2" t="s">
        <v>44</v>
      </c>
      <c r="F771" s="2" t="s">
        <v>526</v>
      </c>
      <c r="G771" s="2" t="s">
        <v>527</v>
      </c>
      <c r="H771" s="2" t="s">
        <v>528</v>
      </c>
      <c r="I771" s="2" t="s">
        <v>529</v>
      </c>
      <c r="J771" s="2" t="s">
        <v>1763</v>
      </c>
      <c r="K771" s="2">
        <v>1</v>
      </c>
      <c r="L771" s="2">
        <v>25</v>
      </c>
      <c r="M771" s="3">
        <v>25</v>
      </c>
    </row>
    <row r="772" spans="1:13" x14ac:dyDescent="0.2">
      <c r="A772" s="1" t="s">
        <v>1306</v>
      </c>
      <c r="B772" s="1" t="s">
        <v>66</v>
      </c>
      <c r="C772" s="1" t="s">
        <v>15</v>
      </c>
      <c r="D772" s="2" t="s">
        <v>36</v>
      </c>
      <c r="E772" s="2" t="s">
        <v>176</v>
      </c>
      <c r="F772" s="2" t="s">
        <v>1307</v>
      </c>
      <c r="G772" s="2" t="s">
        <v>1308</v>
      </c>
      <c r="H772" s="2" t="s">
        <v>1309</v>
      </c>
      <c r="I772" s="2" t="s">
        <v>1310</v>
      </c>
      <c r="J772" s="2" t="s">
        <v>1523</v>
      </c>
      <c r="K772" s="2">
        <v>1</v>
      </c>
      <c r="L772" s="2">
        <v>39</v>
      </c>
      <c r="M772" s="3">
        <v>18</v>
      </c>
    </row>
    <row r="773" spans="1:13" x14ac:dyDescent="0.2">
      <c r="A773" s="1" t="s">
        <v>65</v>
      </c>
      <c r="B773" s="1" t="s">
        <v>66</v>
      </c>
      <c r="C773" s="1" t="s">
        <v>15</v>
      </c>
      <c r="D773" s="2" t="s">
        <v>36</v>
      </c>
      <c r="E773" s="2" t="s">
        <v>37</v>
      </c>
      <c r="F773" s="2" t="s">
        <v>67</v>
      </c>
      <c r="G773" s="2" t="s">
        <v>68</v>
      </c>
      <c r="H773" s="2" t="s">
        <v>69</v>
      </c>
      <c r="I773" s="2" t="s">
        <v>70</v>
      </c>
      <c r="J773" s="2" t="s">
        <v>1568</v>
      </c>
      <c r="K773" s="2">
        <v>1</v>
      </c>
      <c r="L773" s="2">
        <v>27</v>
      </c>
      <c r="M773" s="3">
        <v>12</v>
      </c>
    </row>
    <row r="774" spans="1:13" x14ac:dyDescent="0.2">
      <c r="A774" s="1" t="s">
        <v>1569</v>
      </c>
      <c r="B774" s="1" t="s">
        <v>23</v>
      </c>
      <c r="C774" s="1" t="s">
        <v>15</v>
      </c>
      <c r="D774" s="2" t="s">
        <v>16</v>
      </c>
      <c r="E774" s="2" t="s">
        <v>108</v>
      </c>
      <c r="F774" s="2" t="s">
        <v>1570</v>
      </c>
      <c r="G774" s="2" t="s">
        <v>1571</v>
      </c>
      <c r="H774" s="2" t="s">
        <v>1572</v>
      </c>
      <c r="I774" s="2" t="s">
        <v>1573</v>
      </c>
      <c r="J774" s="2" t="s">
        <v>1763</v>
      </c>
      <c r="K774" s="2">
        <v>1</v>
      </c>
      <c r="L774" s="2">
        <v>8</v>
      </c>
      <c r="M774" s="3">
        <v>8</v>
      </c>
    </row>
    <row r="775" spans="1:13" x14ac:dyDescent="0.2">
      <c r="A775" s="1" t="s">
        <v>1754</v>
      </c>
      <c r="B775" s="1" t="s">
        <v>23</v>
      </c>
      <c r="C775" s="1" t="s">
        <v>15</v>
      </c>
      <c r="D775" s="2" t="s">
        <v>36</v>
      </c>
      <c r="E775" s="2" t="s">
        <v>207</v>
      </c>
      <c r="F775" s="2" t="s">
        <v>1755</v>
      </c>
      <c r="G775" s="2" t="s">
        <v>1756</v>
      </c>
      <c r="H775" s="2">
        <v>285717451</v>
      </c>
      <c r="I775" s="2" t="s">
        <v>1757</v>
      </c>
      <c r="J775" s="2" t="s">
        <v>1726</v>
      </c>
      <c r="K775" s="2">
        <v>1</v>
      </c>
      <c r="L775" s="2">
        <v>23</v>
      </c>
      <c r="M775" s="3">
        <v>0</v>
      </c>
    </row>
    <row r="776" spans="1:13" x14ac:dyDescent="0.2">
      <c r="A776" s="1" t="s">
        <v>175</v>
      </c>
      <c r="B776" s="1" t="s">
        <v>23</v>
      </c>
      <c r="C776" s="1" t="s">
        <v>15</v>
      </c>
      <c r="D776" s="2" t="s">
        <v>36</v>
      </c>
      <c r="E776" s="2" t="s">
        <v>176</v>
      </c>
      <c r="F776" s="2" t="s">
        <v>177</v>
      </c>
      <c r="G776" s="2" t="s">
        <v>178</v>
      </c>
      <c r="H776" s="2" t="s">
        <v>179</v>
      </c>
      <c r="I776" s="2" t="s">
        <v>180</v>
      </c>
      <c r="J776" s="2" t="s">
        <v>1726</v>
      </c>
      <c r="K776" s="2">
        <v>1</v>
      </c>
      <c r="L776" s="2">
        <v>25</v>
      </c>
      <c r="M776" s="3">
        <v>0</v>
      </c>
    </row>
    <row r="777" spans="1:13" x14ac:dyDescent="0.2">
      <c r="A777" s="1" t="s">
        <v>1764</v>
      </c>
      <c r="B777" s="1" t="s">
        <v>66</v>
      </c>
      <c r="C777" s="1" t="s">
        <v>15</v>
      </c>
      <c r="D777" s="2" t="s">
        <v>36</v>
      </c>
      <c r="E777" s="2" t="s">
        <v>37</v>
      </c>
      <c r="F777" s="2" t="s">
        <v>1765</v>
      </c>
      <c r="G777" s="2" t="s">
        <v>1766</v>
      </c>
      <c r="H777" s="2" t="s">
        <v>1767</v>
      </c>
      <c r="I777" s="2" t="s">
        <v>1768</v>
      </c>
      <c r="J777" s="2" t="s">
        <v>1568</v>
      </c>
      <c r="K777" s="2">
        <v>1</v>
      </c>
      <c r="L777" s="2">
        <v>22</v>
      </c>
      <c r="M777" s="3">
        <v>0</v>
      </c>
    </row>
    <row r="778" spans="1:13" x14ac:dyDescent="0.2">
      <c r="A778" s="1" t="s">
        <v>1698</v>
      </c>
      <c r="B778" s="1" t="s">
        <v>23</v>
      </c>
      <c r="C778" s="1" t="s">
        <v>15</v>
      </c>
      <c r="D778" s="2" t="s">
        <v>55</v>
      </c>
      <c r="E778" s="2" t="s">
        <v>92</v>
      </c>
      <c r="F778" s="2" t="s">
        <v>1699</v>
      </c>
      <c r="G778" s="2" t="s">
        <v>1700</v>
      </c>
      <c r="H778" s="2" t="s">
        <v>1701</v>
      </c>
      <c r="I778" s="2" t="s">
        <v>1702</v>
      </c>
      <c r="J778" s="2" t="s">
        <v>1523</v>
      </c>
      <c r="K778" s="2">
        <v>1</v>
      </c>
      <c r="L778" s="2">
        <v>27</v>
      </c>
      <c r="M778" s="3">
        <v>0</v>
      </c>
    </row>
    <row r="779" spans="1:13" x14ac:dyDescent="0.2">
      <c r="A779" s="1" t="s">
        <v>35</v>
      </c>
      <c r="B779" s="1" t="s">
        <v>23</v>
      </c>
      <c r="C779" s="1" t="s">
        <v>15</v>
      </c>
      <c r="D779" s="2" t="s">
        <v>36</v>
      </c>
      <c r="E779" s="2" t="s">
        <v>37</v>
      </c>
      <c r="F779" s="2" t="s">
        <v>38</v>
      </c>
      <c r="G779" s="2" t="s">
        <v>39</v>
      </c>
      <c r="H779" s="2" t="s">
        <v>40</v>
      </c>
      <c r="I779" s="2" t="s">
        <v>41</v>
      </c>
      <c r="J779" s="2" t="s">
        <v>1523</v>
      </c>
      <c r="K779" s="2">
        <v>1</v>
      </c>
      <c r="L779" s="2">
        <v>24</v>
      </c>
      <c r="M779" s="3">
        <v>0</v>
      </c>
    </row>
    <row r="780" spans="1:13" x14ac:dyDescent="0.2">
      <c r="A780" s="1" t="s">
        <v>1718</v>
      </c>
      <c r="B780" s="1" t="s">
        <v>23</v>
      </c>
      <c r="C780" s="1" t="s">
        <v>15</v>
      </c>
      <c r="D780" s="2" t="s">
        <v>16</v>
      </c>
      <c r="E780" s="2" t="s">
        <v>108</v>
      </c>
      <c r="F780" s="2" t="s">
        <v>1719</v>
      </c>
      <c r="G780" s="2" t="s">
        <v>1720</v>
      </c>
      <c r="H780" s="2">
        <v>9258459514</v>
      </c>
      <c r="I780" s="2" t="s">
        <v>1721</v>
      </c>
      <c r="J780" s="2" t="s">
        <v>1523</v>
      </c>
      <c r="K780" s="2">
        <v>1</v>
      </c>
      <c r="L780" s="2">
        <v>25</v>
      </c>
      <c r="M780" s="3">
        <v>0</v>
      </c>
    </row>
    <row r="781" spans="1:13" x14ac:dyDescent="0.2">
      <c r="A781" s="1" t="s">
        <v>175</v>
      </c>
      <c r="B781" s="1" t="s">
        <v>23</v>
      </c>
      <c r="C781" s="1" t="s">
        <v>15</v>
      </c>
      <c r="D781" s="2" t="s">
        <v>36</v>
      </c>
      <c r="E781" s="2" t="s">
        <v>176</v>
      </c>
      <c r="F781" s="2" t="s">
        <v>177</v>
      </c>
      <c r="G781" s="2" t="s">
        <v>178</v>
      </c>
      <c r="H781" s="2" t="s">
        <v>179</v>
      </c>
      <c r="I781" s="2" t="s">
        <v>180</v>
      </c>
      <c r="J781" s="2" t="s">
        <v>1523</v>
      </c>
      <c r="K781" s="2">
        <v>1</v>
      </c>
      <c r="L781" s="2">
        <v>25</v>
      </c>
      <c r="M781" s="3">
        <v>0</v>
      </c>
    </row>
    <row r="782" spans="1:13" x14ac:dyDescent="0.2">
      <c r="A782" s="1" t="s">
        <v>929</v>
      </c>
      <c r="B782" s="1" t="s">
        <v>23</v>
      </c>
      <c r="C782" s="1" t="s">
        <v>15</v>
      </c>
      <c r="D782" s="2" t="s">
        <v>24</v>
      </c>
      <c r="E782" s="2" t="s">
        <v>930</v>
      </c>
      <c r="F782" s="2" t="s">
        <v>931</v>
      </c>
      <c r="G782" s="2" t="s">
        <v>932</v>
      </c>
      <c r="H782" s="2">
        <v>87351055</v>
      </c>
      <c r="I782" s="2" t="s">
        <v>933</v>
      </c>
      <c r="J782" s="2" t="s">
        <v>1769</v>
      </c>
      <c r="K782" s="2">
        <v>2</v>
      </c>
      <c r="L782" s="2">
        <v>64</v>
      </c>
      <c r="M782" s="3">
        <v>43</v>
      </c>
    </row>
    <row r="783" spans="1:13" x14ac:dyDescent="0.2">
      <c r="A783" s="1" t="s">
        <v>1770</v>
      </c>
      <c r="B783" s="1" t="s">
        <v>23</v>
      </c>
      <c r="C783" s="1" t="s">
        <v>15</v>
      </c>
      <c r="D783" s="2" t="s">
        <v>24</v>
      </c>
      <c r="E783" s="2" t="s">
        <v>182</v>
      </c>
      <c r="F783" s="2" t="s">
        <v>1771</v>
      </c>
      <c r="G783" s="2" t="s">
        <v>1772</v>
      </c>
      <c r="H783" s="2" t="s">
        <v>1773</v>
      </c>
      <c r="I783" s="2" t="s">
        <v>1774</v>
      </c>
      <c r="J783" s="2" t="s">
        <v>1769</v>
      </c>
      <c r="K783" s="2">
        <v>1</v>
      </c>
      <c r="L783" s="2">
        <v>2</v>
      </c>
      <c r="M783" s="3">
        <v>2</v>
      </c>
    </row>
    <row r="784" spans="1:13" x14ac:dyDescent="0.2">
      <c r="A784" s="1" t="s">
        <v>150</v>
      </c>
      <c r="B784" s="1" t="s">
        <v>23</v>
      </c>
      <c r="C784" s="1" t="s">
        <v>15</v>
      </c>
      <c r="D784" s="2" t="s">
        <v>24</v>
      </c>
      <c r="E784" s="2" t="s">
        <v>135</v>
      </c>
      <c r="F784" s="2" t="s">
        <v>151</v>
      </c>
      <c r="G784" s="2" t="s">
        <v>152</v>
      </c>
      <c r="H784" s="2" t="s">
        <v>153</v>
      </c>
      <c r="I784" s="2" t="s">
        <v>154</v>
      </c>
      <c r="J784" s="2" t="s">
        <v>1769</v>
      </c>
      <c r="K784" s="2">
        <v>2</v>
      </c>
      <c r="L784" s="2">
        <v>72</v>
      </c>
      <c r="M784" s="3">
        <v>65</v>
      </c>
    </row>
    <row r="785" spans="1:13" x14ac:dyDescent="0.2">
      <c r="A785" s="1" t="s">
        <v>165</v>
      </c>
      <c r="B785" s="1" t="s">
        <v>23</v>
      </c>
      <c r="C785" s="1" t="s">
        <v>15</v>
      </c>
      <c r="D785" s="2" t="s">
        <v>24</v>
      </c>
      <c r="E785" s="2" t="s">
        <v>166</v>
      </c>
      <c r="F785" s="2" t="s">
        <v>167</v>
      </c>
      <c r="G785" s="2" t="s">
        <v>168</v>
      </c>
      <c r="H785" s="2" t="s">
        <v>169</v>
      </c>
      <c r="I785" s="2" t="s">
        <v>170</v>
      </c>
      <c r="J785" s="2" t="s">
        <v>1769</v>
      </c>
      <c r="K785" s="2">
        <v>2</v>
      </c>
      <c r="L785" s="2">
        <v>142</v>
      </c>
      <c r="M785" s="3">
        <v>137</v>
      </c>
    </row>
    <row r="786" spans="1:13" x14ac:dyDescent="0.2">
      <c r="A786" s="1" t="s">
        <v>1414</v>
      </c>
      <c r="B786" s="1" t="s">
        <v>23</v>
      </c>
      <c r="C786" s="1" t="s">
        <v>15</v>
      </c>
      <c r="D786" s="2" t="s">
        <v>24</v>
      </c>
      <c r="E786" s="2" t="s">
        <v>80</v>
      </c>
      <c r="F786" s="2" t="s">
        <v>1415</v>
      </c>
      <c r="G786" s="2" t="s">
        <v>1416</v>
      </c>
      <c r="H786" s="2" t="s">
        <v>1417</v>
      </c>
      <c r="I786" s="2" t="s">
        <v>1418</v>
      </c>
      <c r="J786" s="2" t="s">
        <v>1769</v>
      </c>
      <c r="K786" s="2">
        <v>2</v>
      </c>
      <c r="L786" s="2">
        <v>83</v>
      </c>
      <c r="M786" s="3">
        <v>76</v>
      </c>
    </row>
    <row r="787" spans="1:13" x14ac:dyDescent="0.2">
      <c r="A787" s="1" t="s">
        <v>1775</v>
      </c>
      <c r="B787" s="1" t="s">
        <v>23</v>
      </c>
      <c r="C787" s="1" t="s">
        <v>15</v>
      </c>
      <c r="D787" s="2" t="s">
        <v>24</v>
      </c>
      <c r="E787" s="2" t="s">
        <v>166</v>
      </c>
      <c r="F787" s="2" t="s">
        <v>1776</v>
      </c>
      <c r="G787" s="2" t="s">
        <v>1777</v>
      </c>
      <c r="H787" s="2" t="s">
        <v>1778</v>
      </c>
      <c r="I787" s="2" t="s">
        <v>1779</v>
      </c>
      <c r="J787" s="2" t="s">
        <v>1769</v>
      </c>
      <c r="K787" s="2">
        <v>2</v>
      </c>
      <c r="L787" s="2">
        <v>20</v>
      </c>
      <c r="M787" s="3">
        <v>14</v>
      </c>
    </row>
    <row r="788" spans="1:13" x14ac:dyDescent="0.2">
      <c r="A788" s="1" t="s">
        <v>1780</v>
      </c>
      <c r="B788" s="1" t="s">
        <v>23</v>
      </c>
      <c r="C788" s="1" t="s">
        <v>15</v>
      </c>
      <c r="D788" s="2" t="s">
        <v>24</v>
      </c>
      <c r="E788" s="2" t="s">
        <v>166</v>
      </c>
      <c r="F788" s="2" t="s">
        <v>1781</v>
      </c>
      <c r="G788" s="2" t="s">
        <v>1782</v>
      </c>
      <c r="H788" s="2" t="s">
        <v>1783</v>
      </c>
      <c r="I788" s="2" t="s">
        <v>1784</v>
      </c>
      <c r="J788" s="2" t="s">
        <v>1769</v>
      </c>
      <c r="K788" s="2">
        <v>3</v>
      </c>
      <c r="L788" s="2">
        <v>181</v>
      </c>
      <c r="M788" s="3">
        <v>159</v>
      </c>
    </row>
    <row r="789" spans="1:13" x14ac:dyDescent="0.2">
      <c r="A789" s="1" t="s">
        <v>229</v>
      </c>
      <c r="B789" s="1" t="s">
        <v>23</v>
      </c>
      <c r="C789" s="1" t="s">
        <v>15</v>
      </c>
      <c r="D789" s="2" t="s">
        <v>55</v>
      </c>
      <c r="E789" s="2" t="s">
        <v>56</v>
      </c>
      <c r="F789" s="2" t="s">
        <v>230</v>
      </c>
      <c r="G789" s="2" t="s">
        <v>231</v>
      </c>
      <c r="H789" s="2">
        <v>8230918</v>
      </c>
      <c r="I789" s="2" t="s">
        <v>232</v>
      </c>
      <c r="J789" s="2" t="s">
        <v>1769</v>
      </c>
      <c r="K789" s="2">
        <v>3</v>
      </c>
      <c r="L789" s="2">
        <v>165</v>
      </c>
      <c r="M789" s="3">
        <v>25</v>
      </c>
    </row>
    <row r="790" spans="1:13" x14ac:dyDescent="0.2">
      <c r="A790" s="1" t="s">
        <v>1785</v>
      </c>
      <c r="B790" s="1" t="s">
        <v>23</v>
      </c>
      <c r="C790" s="1" t="s">
        <v>15</v>
      </c>
      <c r="D790" s="2" t="s">
        <v>24</v>
      </c>
      <c r="E790" s="2" t="s">
        <v>135</v>
      </c>
      <c r="F790" s="2" t="s">
        <v>1786</v>
      </c>
      <c r="G790" s="2" t="s">
        <v>1787</v>
      </c>
      <c r="H790" s="2" t="s">
        <v>1788</v>
      </c>
      <c r="I790" s="2"/>
      <c r="J790" s="2" t="s">
        <v>1769</v>
      </c>
      <c r="K790" s="2">
        <v>2</v>
      </c>
      <c r="L790" s="2">
        <v>24</v>
      </c>
      <c r="M790" s="3">
        <v>31</v>
      </c>
    </row>
    <row r="791" spans="1:13" x14ac:dyDescent="0.2">
      <c r="A791" s="1" t="s">
        <v>929</v>
      </c>
      <c r="B791" s="1" t="s">
        <v>23</v>
      </c>
      <c r="C791" s="1" t="s">
        <v>15</v>
      </c>
      <c r="D791" s="2" t="s">
        <v>24</v>
      </c>
      <c r="E791" s="2" t="s">
        <v>930</v>
      </c>
      <c r="F791" s="2" t="s">
        <v>931</v>
      </c>
      <c r="G791" s="2" t="s">
        <v>932</v>
      </c>
      <c r="H791" s="2">
        <v>87351055</v>
      </c>
      <c r="I791" s="2" t="s">
        <v>933</v>
      </c>
      <c r="J791" s="2" t="s">
        <v>1789</v>
      </c>
      <c r="K791" s="2">
        <v>2</v>
      </c>
      <c r="L791" s="2">
        <v>86</v>
      </c>
      <c r="M791" s="3">
        <v>76</v>
      </c>
    </row>
    <row r="792" spans="1:13" x14ac:dyDescent="0.2">
      <c r="A792" s="1" t="s">
        <v>1622</v>
      </c>
      <c r="B792" s="1" t="s">
        <v>23</v>
      </c>
      <c r="C792" s="1" t="s">
        <v>15</v>
      </c>
      <c r="D792" s="2" t="s">
        <v>55</v>
      </c>
      <c r="E792" s="2" t="s">
        <v>56</v>
      </c>
      <c r="F792" s="2" t="s">
        <v>1623</v>
      </c>
      <c r="G792" s="2" t="s">
        <v>1624</v>
      </c>
      <c r="H792" s="2" t="s">
        <v>1625</v>
      </c>
      <c r="I792" s="2" t="s">
        <v>1626</v>
      </c>
      <c r="J792" s="2" t="s">
        <v>1789</v>
      </c>
      <c r="K792" s="2">
        <v>4</v>
      </c>
      <c r="L792" s="2">
        <v>1131</v>
      </c>
      <c r="M792" s="3">
        <v>300</v>
      </c>
    </row>
    <row r="793" spans="1:13" x14ac:dyDescent="0.2">
      <c r="A793" s="1" t="s">
        <v>1770</v>
      </c>
      <c r="B793" s="1" t="s">
        <v>23</v>
      </c>
      <c r="C793" s="1" t="s">
        <v>15</v>
      </c>
      <c r="D793" s="2" t="s">
        <v>24</v>
      </c>
      <c r="E793" s="2" t="s">
        <v>182</v>
      </c>
      <c r="F793" s="2" t="s">
        <v>1771</v>
      </c>
      <c r="G793" s="2" t="s">
        <v>1772</v>
      </c>
      <c r="H793" s="2" t="s">
        <v>1773</v>
      </c>
      <c r="I793" s="2" t="s">
        <v>1774</v>
      </c>
      <c r="J793" s="2" t="s">
        <v>1789</v>
      </c>
      <c r="K793" s="2">
        <v>1</v>
      </c>
      <c r="L793" s="2">
        <v>7</v>
      </c>
      <c r="M793" s="3">
        <v>7</v>
      </c>
    </row>
    <row r="794" spans="1:13" x14ac:dyDescent="0.2">
      <c r="A794" s="1" t="s">
        <v>1238</v>
      </c>
      <c r="B794" s="1" t="s">
        <v>23</v>
      </c>
      <c r="C794" s="1" t="s">
        <v>15</v>
      </c>
      <c r="D794" s="2" t="s">
        <v>24</v>
      </c>
      <c r="E794" s="2" t="s">
        <v>818</v>
      </c>
      <c r="F794" s="2" t="s">
        <v>1239</v>
      </c>
      <c r="G794" s="2" t="s">
        <v>1240</v>
      </c>
      <c r="H794" s="2" t="s">
        <v>1241</v>
      </c>
      <c r="I794" s="2" t="s">
        <v>1242</v>
      </c>
      <c r="J794" s="2" t="s">
        <v>1789</v>
      </c>
      <c r="K794" s="2">
        <v>2</v>
      </c>
      <c r="L794" s="2">
        <v>81</v>
      </c>
      <c r="M794" s="3">
        <v>81</v>
      </c>
    </row>
    <row r="795" spans="1:13" x14ac:dyDescent="0.2">
      <c r="A795" s="1" t="s">
        <v>1790</v>
      </c>
      <c r="B795" s="1" t="s">
        <v>23</v>
      </c>
      <c r="C795" s="1" t="s">
        <v>15</v>
      </c>
      <c r="D795" s="2" t="s">
        <v>24</v>
      </c>
      <c r="E795" s="2" t="s">
        <v>166</v>
      </c>
      <c r="F795" s="2" t="s">
        <v>1791</v>
      </c>
      <c r="G795" s="2" t="s">
        <v>1792</v>
      </c>
      <c r="H795" s="2" t="s">
        <v>1793</v>
      </c>
      <c r="I795" s="2"/>
      <c r="J795" s="2" t="s">
        <v>1789</v>
      </c>
      <c r="K795" s="2">
        <v>3</v>
      </c>
      <c r="L795" s="2">
        <v>616</v>
      </c>
      <c r="M795" s="3">
        <v>614</v>
      </c>
    </row>
    <row r="796" spans="1:13" x14ac:dyDescent="0.2">
      <c r="A796" s="1" t="s">
        <v>1794</v>
      </c>
      <c r="B796" s="1" t="s">
        <v>23</v>
      </c>
      <c r="C796" s="1" t="s">
        <v>15</v>
      </c>
      <c r="D796" s="2" t="s">
        <v>24</v>
      </c>
      <c r="E796" s="2" t="s">
        <v>166</v>
      </c>
      <c r="F796" s="2" t="s">
        <v>1795</v>
      </c>
      <c r="G796" s="2" t="s">
        <v>1796</v>
      </c>
      <c r="H796" s="2" t="s">
        <v>1797</v>
      </c>
      <c r="I796" s="2" t="s">
        <v>1798</v>
      </c>
      <c r="J796" s="2" t="s">
        <v>1789</v>
      </c>
      <c r="K796" s="2">
        <v>1</v>
      </c>
      <c r="L796" s="2">
        <v>156</v>
      </c>
      <c r="M796" s="3">
        <v>154</v>
      </c>
    </row>
    <row r="797" spans="1:13" x14ac:dyDescent="0.2">
      <c r="A797" s="1" t="s">
        <v>1799</v>
      </c>
      <c r="B797" s="1" t="s">
        <v>23</v>
      </c>
      <c r="C797" s="1" t="s">
        <v>15</v>
      </c>
      <c r="D797" s="2" t="s">
        <v>24</v>
      </c>
      <c r="E797" s="2" t="s">
        <v>166</v>
      </c>
      <c r="F797" s="2" t="s">
        <v>1800</v>
      </c>
      <c r="G797" s="2" t="s">
        <v>1801</v>
      </c>
      <c r="H797" s="2" t="s">
        <v>1802</v>
      </c>
      <c r="I797" s="2" t="s">
        <v>1803</v>
      </c>
      <c r="J797" s="2" t="s">
        <v>1789</v>
      </c>
      <c r="K797" s="2">
        <v>2</v>
      </c>
      <c r="L797" s="2">
        <v>155</v>
      </c>
      <c r="M797" s="3">
        <v>151</v>
      </c>
    </row>
    <row r="798" spans="1:13" x14ac:dyDescent="0.2">
      <c r="A798" s="1" t="s">
        <v>1197</v>
      </c>
      <c r="B798" s="1" t="s">
        <v>23</v>
      </c>
      <c r="C798" s="1" t="s">
        <v>15</v>
      </c>
      <c r="D798" s="2" t="s">
        <v>24</v>
      </c>
      <c r="E798" s="2" t="s">
        <v>1143</v>
      </c>
      <c r="F798" s="2" t="s">
        <v>1198</v>
      </c>
      <c r="G798" s="2" t="s">
        <v>1199</v>
      </c>
      <c r="H798" s="2" t="s">
        <v>1200</v>
      </c>
      <c r="I798" s="2" t="s">
        <v>1201</v>
      </c>
      <c r="J798" s="2" t="s">
        <v>1789</v>
      </c>
      <c r="K798" s="2">
        <v>1</v>
      </c>
      <c r="L798" s="2">
        <v>220</v>
      </c>
      <c r="M798" s="3">
        <v>218</v>
      </c>
    </row>
    <row r="799" spans="1:13" x14ac:dyDescent="0.2">
      <c r="A799" s="1" t="s">
        <v>150</v>
      </c>
      <c r="B799" s="1" t="s">
        <v>23</v>
      </c>
      <c r="C799" s="1" t="s">
        <v>15</v>
      </c>
      <c r="D799" s="2" t="s">
        <v>24</v>
      </c>
      <c r="E799" s="2" t="s">
        <v>135</v>
      </c>
      <c r="F799" s="2" t="s">
        <v>151</v>
      </c>
      <c r="G799" s="2" t="s">
        <v>152</v>
      </c>
      <c r="H799" s="2" t="s">
        <v>153</v>
      </c>
      <c r="I799" s="2" t="s">
        <v>154</v>
      </c>
      <c r="J799" s="2" t="s">
        <v>1789</v>
      </c>
      <c r="K799" s="2">
        <v>2</v>
      </c>
      <c r="L799" s="2">
        <v>58</v>
      </c>
      <c r="M799" s="3">
        <v>58</v>
      </c>
    </row>
    <row r="800" spans="1:13" x14ac:dyDescent="0.2">
      <c r="A800" s="1" t="s">
        <v>165</v>
      </c>
      <c r="B800" s="1" t="s">
        <v>23</v>
      </c>
      <c r="C800" s="1" t="s">
        <v>15</v>
      </c>
      <c r="D800" s="2" t="s">
        <v>24</v>
      </c>
      <c r="E800" s="2" t="s">
        <v>166</v>
      </c>
      <c r="F800" s="2" t="s">
        <v>167</v>
      </c>
      <c r="G800" s="2" t="s">
        <v>168</v>
      </c>
      <c r="H800" s="2" t="s">
        <v>169</v>
      </c>
      <c r="I800" s="2" t="s">
        <v>170</v>
      </c>
      <c r="J800" s="2" t="s">
        <v>1789</v>
      </c>
      <c r="K800" s="2">
        <v>2</v>
      </c>
      <c r="L800" s="2">
        <v>460</v>
      </c>
      <c r="M800" s="3">
        <v>437</v>
      </c>
    </row>
    <row r="801" spans="1:13" x14ac:dyDescent="0.2">
      <c r="A801" s="1" t="s">
        <v>1653</v>
      </c>
      <c r="B801" s="1" t="s">
        <v>1654</v>
      </c>
      <c r="C801" s="1" t="s">
        <v>15</v>
      </c>
      <c r="D801" s="2" t="s">
        <v>16</v>
      </c>
      <c r="E801" s="2" t="s">
        <v>17</v>
      </c>
      <c r="F801" s="2" t="s">
        <v>1655</v>
      </c>
      <c r="G801" s="2" t="s">
        <v>1656</v>
      </c>
      <c r="H801" s="2">
        <v>9171273635</v>
      </c>
      <c r="I801" s="2" t="s">
        <v>1657</v>
      </c>
      <c r="J801" s="2" t="s">
        <v>1789</v>
      </c>
      <c r="K801" s="2">
        <v>1</v>
      </c>
      <c r="L801" s="2">
        <v>299</v>
      </c>
      <c r="M801" s="3">
        <v>379</v>
      </c>
    </row>
    <row r="802" spans="1:13" x14ac:dyDescent="0.2">
      <c r="A802" s="1" t="s">
        <v>1414</v>
      </c>
      <c r="B802" s="1" t="s">
        <v>23</v>
      </c>
      <c r="C802" s="1" t="s">
        <v>15</v>
      </c>
      <c r="D802" s="2" t="s">
        <v>24</v>
      </c>
      <c r="E802" s="2" t="s">
        <v>80</v>
      </c>
      <c r="F802" s="2" t="s">
        <v>1415</v>
      </c>
      <c r="G802" s="2" t="s">
        <v>1416</v>
      </c>
      <c r="H802" s="2" t="s">
        <v>1417</v>
      </c>
      <c r="I802" s="2" t="s">
        <v>1418</v>
      </c>
      <c r="J802" s="2" t="s">
        <v>1789</v>
      </c>
      <c r="K802" s="2">
        <v>1</v>
      </c>
      <c r="L802" s="2">
        <v>248</v>
      </c>
      <c r="M802" s="3">
        <v>233</v>
      </c>
    </row>
    <row r="803" spans="1:13" x14ac:dyDescent="0.2">
      <c r="A803" s="1" t="s">
        <v>1780</v>
      </c>
      <c r="B803" s="1" t="s">
        <v>23</v>
      </c>
      <c r="C803" s="1" t="s">
        <v>15</v>
      </c>
      <c r="D803" s="2" t="s">
        <v>24</v>
      </c>
      <c r="E803" s="2" t="s">
        <v>166</v>
      </c>
      <c r="F803" s="2" t="s">
        <v>1781</v>
      </c>
      <c r="G803" s="2" t="s">
        <v>1782</v>
      </c>
      <c r="H803" s="2" t="s">
        <v>1783</v>
      </c>
      <c r="I803" s="2" t="s">
        <v>1784</v>
      </c>
      <c r="J803" s="2" t="s">
        <v>1789</v>
      </c>
      <c r="K803" s="2">
        <v>5</v>
      </c>
      <c r="L803" s="2">
        <v>1019</v>
      </c>
      <c r="M803" s="3">
        <v>1010</v>
      </c>
    </row>
    <row r="804" spans="1:13" x14ac:dyDescent="0.2">
      <c r="A804" s="1" t="s">
        <v>1510</v>
      </c>
      <c r="B804" s="1" t="s">
        <v>23</v>
      </c>
      <c r="C804" s="1" t="s">
        <v>15</v>
      </c>
      <c r="D804" s="2" t="s">
        <v>36</v>
      </c>
      <c r="E804" s="2" t="s">
        <v>207</v>
      </c>
      <c r="F804" s="2" t="s">
        <v>1511</v>
      </c>
      <c r="G804" s="2" t="s">
        <v>1512</v>
      </c>
      <c r="H804" s="2">
        <v>87216790</v>
      </c>
      <c r="I804" s="2" t="s">
        <v>1513</v>
      </c>
      <c r="J804" s="2" t="s">
        <v>1789</v>
      </c>
      <c r="K804" s="2">
        <v>3</v>
      </c>
      <c r="L804" s="2">
        <v>476</v>
      </c>
      <c r="M804" s="3">
        <v>402</v>
      </c>
    </row>
    <row r="805" spans="1:13" x14ac:dyDescent="0.2">
      <c r="A805" s="1" t="s">
        <v>229</v>
      </c>
      <c r="B805" s="1" t="s">
        <v>23</v>
      </c>
      <c r="C805" s="1" t="s">
        <v>15</v>
      </c>
      <c r="D805" s="2" t="s">
        <v>55</v>
      </c>
      <c r="E805" s="2" t="s">
        <v>56</v>
      </c>
      <c r="F805" s="2" t="s">
        <v>230</v>
      </c>
      <c r="G805" s="2" t="s">
        <v>231</v>
      </c>
      <c r="H805" s="2">
        <v>8230918</v>
      </c>
      <c r="I805" s="2" t="s">
        <v>232</v>
      </c>
      <c r="J805" s="2" t="s">
        <v>1789</v>
      </c>
      <c r="K805" s="2">
        <v>5</v>
      </c>
      <c r="L805" s="2">
        <v>1701</v>
      </c>
      <c r="M805" s="3">
        <v>75</v>
      </c>
    </row>
    <row r="806" spans="1:13" x14ac:dyDescent="0.2">
      <c r="A806" s="1" t="s">
        <v>1804</v>
      </c>
      <c r="B806" s="1" t="s">
        <v>23</v>
      </c>
      <c r="C806" s="1" t="s">
        <v>15</v>
      </c>
      <c r="D806" s="2" t="s">
        <v>24</v>
      </c>
      <c r="E806" s="2" t="s">
        <v>166</v>
      </c>
      <c r="F806" s="2" t="s">
        <v>1805</v>
      </c>
      <c r="G806" s="2" t="s">
        <v>1806</v>
      </c>
      <c r="H806" s="2" t="s">
        <v>1807</v>
      </c>
      <c r="I806" s="2" t="s">
        <v>1808</v>
      </c>
      <c r="J806" s="2" t="s">
        <v>1789</v>
      </c>
      <c r="K806" s="2">
        <v>2</v>
      </c>
      <c r="L806" s="2">
        <v>221</v>
      </c>
      <c r="M806" s="3">
        <v>215</v>
      </c>
    </row>
    <row r="807" spans="1:13" x14ac:dyDescent="0.2">
      <c r="A807" s="1" t="s">
        <v>1809</v>
      </c>
      <c r="B807" s="1" t="s">
        <v>23</v>
      </c>
      <c r="C807" s="1" t="s">
        <v>15</v>
      </c>
      <c r="D807" s="2" t="s">
        <v>36</v>
      </c>
      <c r="E807" s="2" t="s">
        <v>207</v>
      </c>
      <c r="F807" s="2" t="s">
        <v>1810</v>
      </c>
      <c r="G807" s="2" t="s">
        <v>1811</v>
      </c>
      <c r="H807" s="2" t="s">
        <v>1812</v>
      </c>
      <c r="I807" s="2" t="s">
        <v>1813</v>
      </c>
      <c r="J807" s="2" t="s">
        <v>1814</v>
      </c>
      <c r="K807" s="2">
        <v>1</v>
      </c>
      <c r="L807" s="2">
        <v>24</v>
      </c>
      <c r="M807" s="3">
        <v>24</v>
      </c>
    </row>
    <row r="808" spans="1:13" x14ac:dyDescent="0.2">
      <c r="A808" s="1" t="s">
        <v>364</v>
      </c>
      <c r="B808" s="1" t="s">
        <v>23</v>
      </c>
      <c r="C808" s="1" t="s">
        <v>15</v>
      </c>
      <c r="D808" s="2" t="s">
        <v>72</v>
      </c>
      <c r="E808" s="2" t="s">
        <v>119</v>
      </c>
      <c r="F808" s="2" t="s">
        <v>365</v>
      </c>
      <c r="G808" s="2" t="s">
        <v>366</v>
      </c>
      <c r="H808" s="2" t="s">
        <v>367</v>
      </c>
      <c r="I808" s="2" t="s">
        <v>368</v>
      </c>
      <c r="J808" s="2" t="s">
        <v>1814</v>
      </c>
      <c r="K808" s="2">
        <v>2</v>
      </c>
      <c r="L808" s="2">
        <v>178</v>
      </c>
      <c r="M808" s="3">
        <v>256</v>
      </c>
    </row>
    <row r="809" spans="1:13" x14ac:dyDescent="0.2">
      <c r="A809" s="1" t="s">
        <v>1815</v>
      </c>
      <c r="B809" s="1" t="s">
        <v>23</v>
      </c>
      <c r="C809" s="1" t="s">
        <v>15</v>
      </c>
      <c r="D809" s="2" t="s">
        <v>72</v>
      </c>
      <c r="E809" s="2" t="s">
        <v>73</v>
      </c>
      <c r="F809" s="2" t="s">
        <v>1816</v>
      </c>
      <c r="G809" s="2" t="s">
        <v>1817</v>
      </c>
      <c r="H809" s="2" t="s">
        <v>1818</v>
      </c>
      <c r="I809" s="2" t="s">
        <v>1819</v>
      </c>
      <c r="J809" s="2" t="s">
        <v>1814</v>
      </c>
      <c r="K809" s="2">
        <v>3</v>
      </c>
      <c r="L809" s="2">
        <v>417</v>
      </c>
      <c r="M809" s="3">
        <v>458</v>
      </c>
    </row>
    <row r="810" spans="1:13" x14ac:dyDescent="0.2">
      <c r="A810" s="1" t="s">
        <v>1820</v>
      </c>
      <c r="B810" s="1" t="s">
        <v>23</v>
      </c>
      <c r="C810" s="1" t="s">
        <v>15</v>
      </c>
      <c r="D810" s="2" t="s">
        <v>16</v>
      </c>
      <c r="E810" s="2" t="s">
        <v>224</v>
      </c>
      <c r="F810" s="2" t="s">
        <v>1821</v>
      </c>
      <c r="G810" s="2" t="s">
        <v>1817</v>
      </c>
      <c r="H810" s="2" t="s">
        <v>1822</v>
      </c>
      <c r="I810" s="2" t="s">
        <v>1823</v>
      </c>
      <c r="J810" s="2" t="s">
        <v>1814</v>
      </c>
      <c r="K810" s="2">
        <v>3</v>
      </c>
      <c r="L810" s="2">
        <v>289</v>
      </c>
      <c r="M810" s="3">
        <v>235</v>
      </c>
    </row>
    <row r="811" spans="1:13" x14ac:dyDescent="0.2">
      <c r="A811" s="1" t="s">
        <v>1824</v>
      </c>
      <c r="B811" s="1" t="s">
        <v>23</v>
      </c>
      <c r="C811" s="1" t="s">
        <v>15</v>
      </c>
      <c r="D811" s="2" t="s">
        <v>44</v>
      </c>
      <c r="E811" s="2" t="s">
        <v>44</v>
      </c>
      <c r="F811" s="2" t="s">
        <v>1825</v>
      </c>
      <c r="G811" s="2" t="s">
        <v>1826</v>
      </c>
      <c r="H811" s="2" t="s">
        <v>1827</v>
      </c>
      <c r="I811" s="2" t="s">
        <v>1828</v>
      </c>
      <c r="J811" s="2" t="s">
        <v>1829</v>
      </c>
      <c r="K811" s="2">
        <v>2</v>
      </c>
      <c r="L811" s="2">
        <v>33</v>
      </c>
      <c r="M811" s="3">
        <v>0</v>
      </c>
    </row>
    <row r="812" spans="1:13" x14ac:dyDescent="0.2">
      <c r="A812" s="1" t="s">
        <v>894</v>
      </c>
      <c r="B812" s="1" t="s">
        <v>240</v>
      </c>
      <c r="C812" s="1" t="s">
        <v>15</v>
      </c>
      <c r="D812" s="2" t="s">
        <v>55</v>
      </c>
      <c r="E812" s="2" t="s">
        <v>92</v>
      </c>
      <c r="F812" s="2" t="s">
        <v>895</v>
      </c>
      <c r="G812" s="2" t="s">
        <v>896</v>
      </c>
      <c r="H812" s="2">
        <v>9688524038</v>
      </c>
      <c r="I812" s="2" t="s">
        <v>897</v>
      </c>
      <c r="J812" s="2" t="s">
        <v>1829</v>
      </c>
      <c r="K812" s="2">
        <v>1</v>
      </c>
      <c r="L812" s="2">
        <v>85</v>
      </c>
      <c r="M812" s="3">
        <v>138</v>
      </c>
    </row>
    <row r="813" spans="1:13" x14ac:dyDescent="0.2">
      <c r="A813" s="1" t="s">
        <v>1830</v>
      </c>
      <c r="B813" s="1" t="s">
        <v>23</v>
      </c>
      <c r="C813" s="1" t="s">
        <v>15</v>
      </c>
      <c r="D813" s="2" t="s">
        <v>44</v>
      </c>
      <c r="E813" s="2" t="s">
        <v>44</v>
      </c>
      <c r="F813" s="2" t="s">
        <v>1831</v>
      </c>
      <c r="G813" s="2" t="s">
        <v>1832</v>
      </c>
      <c r="H813" s="2" t="s">
        <v>1833</v>
      </c>
      <c r="I813" s="2" t="s">
        <v>1834</v>
      </c>
      <c r="J813" s="2" t="s">
        <v>1829</v>
      </c>
      <c r="K813" s="2">
        <v>1</v>
      </c>
      <c r="L813" s="2">
        <v>31</v>
      </c>
      <c r="M813" s="3">
        <v>25</v>
      </c>
    </row>
    <row r="814" spans="1:13" x14ac:dyDescent="0.2">
      <c r="A814" s="1" t="s">
        <v>618</v>
      </c>
      <c r="B814" s="1" t="s">
        <v>23</v>
      </c>
      <c r="C814" s="1" t="s">
        <v>15</v>
      </c>
      <c r="D814" s="2" t="s">
        <v>44</v>
      </c>
      <c r="E814" s="2" t="s">
        <v>44</v>
      </c>
      <c r="F814" s="2" t="s">
        <v>1835</v>
      </c>
      <c r="G814" s="2" t="s">
        <v>620</v>
      </c>
      <c r="H814" s="2" t="s">
        <v>1836</v>
      </c>
      <c r="I814" s="2" t="s">
        <v>1837</v>
      </c>
      <c r="J814" s="2" t="s">
        <v>1838</v>
      </c>
      <c r="K814" s="2">
        <v>1</v>
      </c>
      <c r="L814" s="2">
        <v>106</v>
      </c>
      <c r="M814" s="3">
        <v>106</v>
      </c>
    </row>
    <row r="815" spans="1:13" x14ac:dyDescent="0.2">
      <c r="A815" s="1" t="s">
        <v>1090</v>
      </c>
      <c r="B815" s="1" t="s">
        <v>240</v>
      </c>
      <c r="C815" s="1" t="s">
        <v>15</v>
      </c>
      <c r="D815" s="2" t="s">
        <v>16</v>
      </c>
      <c r="E815" s="2" t="s">
        <v>17</v>
      </c>
      <c r="F815" s="2" t="s">
        <v>1091</v>
      </c>
      <c r="G815" s="2" t="s">
        <v>1092</v>
      </c>
      <c r="H815" s="2" t="s">
        <v>1093</v>
      </c>
      <c r="I815" s="2" t="s">
        <v>1094</v>
      </c>
      <c r="J815" s="2" t="s">
        <v>1838</v>
      </c>
      <c r="K815" s="2">
        <v>3</v>
      </c>
      <c r="L815" s="2">
        <v>169</v>
      </c>
      <c r="M815" s="3">
        <v>146</v>
      </c>
    </row>
    <row r="816" spans="1:13" x14ac:dyDescent="0.2">
      <c r="A816" s="1" t="s">
        <v>1839</v>
      </c>
      <c r="B816" s="1" t="s">
        <v>23</v>
      </c>
      <c r="C816" s="1" t="s">
        <v>15</v>
      </c>
      <c r="D816" s="2" t="s">
        <v>72</v>
      </c>
      <c r="E816" s="2" t="s">
        <v>73</v>
      </c>
      <c r="F816" s="2" t="s">
        <v>1840</v>
      </c>
      <c r="G816" s="2" t="s">
        <v>1841</v>
      </c>
      <c r="H816" s="2">
        <v>9214557777</v>
      </c>
      <c r="I816" s="2" t="s">
        <v>1842</v>
      </c>
      <c r="J816" s="2" t="s">
        <v>1838</v>
      </c>
      <c r="K816" s="2">
        <v>3</v>
      </c>
      <c r="L816" s="2">
        <v>115</v>
      </c>
      <c r="M816" s="3">
        <v>97</v>
      </c>
    </row>
    <row r="817" spans="1:13" x14ac:dyDescent="0.2">
      <c r="A817" s="1" t="s">
        <v>898</v>
      </c>
      <c r="B817" s="1" t="s">
        <v>23</v>
      </c>
      <c r="C817" s="1" t="s">
        <v>15</v>
      </c>
      <c r="D817" s="2" t="s">
        <v>55</v>
      </c>
      <c r="E817" s="2" t="s">
        <v>92</v>
      </c>
      <c r="F817" s="2" t="s">
        <v>1843</v>
      </c>
      <c r="G817" s="2" t="s">
        <v>1844</v>
      </c>
      <c r="H817" s="2" t="s">
        <v>1845</v>
      </c>
      <c r="I817" s="2" t="s">
        <v>1846</v>
      </c>
      <c r="J817" s="2" t="s">
        <v>1838</v>
      </c>
      <c r="K817" s="2">
        <v>2</v>
      </c>
      <c r="L817" s="2">
        <v>195</v>
      </c>
      <c r="M817" s="3">
        <v>192</v>
      </c>
    </row>
    <row r="818" spans="1:13" x14ac:dyDescent="0.2">
      <c r="A818" s="1" t="s">
        <v>1168</v>
      </c>
      <c r="B818" s="1" t="s">
        <v>23</v>
      </c>
      <c r="C818" s="1" t="s">
        <v>15</v>
      </c>
      <c r="D818" s="2" t="s">
        <v>24</v>
      </c>
      <c r="E818" s="2" t="s">
        <v>80</v>
      </c>
      <c r="F818" s="2" t="s">
        <v>1169</v>
      </c>
      <c r="G818" s="2" t="s">
        <v>1170</v>
      </c>
      <c r="H818" s="2" t="s">
        <v>1171</v>
      </c>
      <c r="I818" s="2" t="s">
        <v>1172</v>
      </c>
      <c r="J818" s="2" t="s">
        <v>1838</v>
      </c>
      <c r="K818" s="2">
        <v>5</v>
      </c>
      <c r="L818" s="2">
        <v>804</v>
      </c>
      <c r="M818" s="3">
        <v>617</v>
      </c>
    </row>
    <row r="819" spans="1:13" x14ac:dyDescent="0.2">
      <c r="A819" s="1" t="s">
        <v>247</v>
      </c>
      <c r="B819" s="1" t="s">
        <v>23</v>
      </c>
      <c r="C819" s="1" t="s">
        <v>15</v>
      </c>
      <c r="D819" s="2" t="s">
        <v>72</v>
      </c>
      <c r="E819" s="2" t="s">
        <v>73</v>
      </c>
      <c r="F819" s="2" t="s">
        <v>248</v>
      </c>
      <c r="G819" s="2" t="s">
        <v>249</v>
      </c>
      <c r="H819" s="2" t="s">
        <v>250</v>
      </c>
      <c r="I819" s="2" t="s">
        <v>251</v>
      </c>
      <c r="J819" s="2" t="s">
        <v>1847</v>
      </c>
      <c r="K819" s="2">
        <v>3</v>
      </c>
      <c r="L819" s="2">
        <v>179</v>
      </c>
      <c r="M819" s="3">
        <v>179</v>
      </c>
    </row>
    <row r="820" spans="1:13" x14ac:dyDescent="0.2">
      <c r="A820" s="1" t="s">
        <v>364</v>
      </c>
      <c r="B820" s="1" t="s">
        <v>23</v>
      </c>
      <c r="C820" s="1" t="s">
        <v>15</v>
      </c>
      <c r="D820" s="2" t="s">
        <v>72</v>
      </c>
      <c r="E820" s="2" t="s">
        <v>119</v>
      </c>
      <c r="F820" s="2" t="s">
        <v>365</v>
      </c>
      <c r="G820" s="2" t="s">
        <v>366</v>
      </c>
      <c r="H820" s="2" t="s">
        <v>367</v>
      </c>
      <c r="I820" s="2" t="s">
        <v>368</v>
      </c>
      <c r="J820" s="2" t="s">
        <v>1847</v>
      </c>
      <c r="K820" s="2">
        <v>1</v>
      </c>
      <c r="L820" s="2">
        <v>220</v>
      </c>
      <c r="M820" s="3">
        <v>499</v>
      </c>
    </row>
    <row r="821" spans="1:13" x14ac:dyDescent="0.2">
      <c r="A821" s="1" t="s">
        <v>1112</v>
      </c>
      <c r="B821" s="1" t="s">
        <v>23</v>
      </c>
      <c r="C821" s="1" t="s">
        <v>15</v>
      </c>
      <c r="D821" s="2" t="s">
        <v>72</v>
      </c>
      <c r="E821" s="2" t="s">
        <v>491</v>
      </c>
      <c r="F821" s="2" t="s">
        <v>1113</v>
      </c>
      <c r="G821" s="2" t="s">
        <v>1114</v>
      </c>
      <c r="H821" s="2" t="s">
        <v>1115</v>
      </c>
      <c r="I821" s="2" t="s">
        <v>1116</v>
      </c>
      <c r="J821" s="2" t="s">
        <v>1847</v>
      </c>
      <c r="K821" s="2">
        <v>1</v>
      </c>
      <c r="L821" s="2">
        <v>51</v>
      </c>
      <c r="M821" s="3">
        <v>47</v>
      </c>
    </row>
    <row r="822" spans="1:13" x14ac:dyDescent="0.2">
      <c r="A822" s="1" t="s">
        <v>1505</v>
      </c>
      <c r="B822" s="1" t="s">
        <v>23</v>
      </c>
      <c r="C822" s="1" t="s">
        <v>15</v>
      </c>
      <c r="D822" s="2" t="s">
        <v>55</v>
      </c>
      <c r="E822" s="2" t="s">
        <v>56</v>
      </c>
      <c r="F822" s="2" t="s">
        <v>1506</v>
      </c>
      <c r="G822" s="2" t="s">
        <v>1507</v>
      </c>
      <c r="H822" s="2" t="s">
        <v>1508</v>
      </c>
      <c r="I822" s="2" t="s">
        <v>1509</v>
      </c>
      <c r="J822" s="2" t="s">
        <v>1847</v>
      </c>
      <c r="K822" s="2">
        <v>1</v>
      </c>
      <c r="L822" s="2">
        <v>145</v>
      </c>
      <c r="M822" s="3">
        <v>143</v>
      </c>
    </row>
    <row r="823" spans="1:13" x14ac:dyDescent="0.2">
      <c r="A823" s="1" t="s">
        <v>915</v>
      </c>
      <c r="B823" s="1" t="s">
        <v>23</v>
      </c>
      <c r="C823" s="1" t="s">
        <v>15</v>
      </c>
      <c r="D823" s="2" t="s">
        <v>72</v>
      </c>
      <c r="E823" s="2" t="s">
        <v>491</v>
      </c>
      <c r="F823" s="2" t="s">
        <v>916</v>
      </c>
      <c r="G823" s="2" t="s">
        <v>917</v>
      </c>
      <c r="H823" s="2" t="s">
        <v>918</v>
      </c>
      <c r="I823" s="2" t="s">
        <v>919</v>
      </c>
      <c r="J823" s="2" t="s">
        <v>1848</v>
      </c>
      <c r="K823" s="2">
        <v>2</v>
      </c>
      <c r="L823" s="2">
        <v>405</v>
      </c>
      <c r="M823" s="3">
        <v>294</v>
      </c>
    </row>
    <row r="824" spans="1:13" x14ac:dyDescent="0.2">
      <c r="A824" s="1" t="s">
        <v>252</v>
      </c>
      <c r="B824" s="1" t="s">
        <v>23</v>
      </c>
      <c r="C824" s="1" t="s">
        <v>15</v>
      </c>
      <c r="D824" s="2" t="s">
        <v>72</v>
      </c>
      <c r="E824" s="2" t="s">
        <v>119</v>
      </c>
      <c r="F824" s="2" t="s">
        <v>253</v>
      </c>
      <c r="G824" s="2" t="s">
        <v>254</v>
      </c>
      <c r="H824" s="2" t="s">
        <v>255</v>
      </c>
      <c r="I824" s="2" t="s">
        <v>256</v>
      </c>
      <c r="J824" s="2" t="s">
        <v>1848</v>
      </c>
      <c r="K824" s="2">
        <v>2</v>
      </c>
      <c r="L824" s="2">
        <v>142</v>
      </c>
      <c r="M824" s="3">
        <v>89</v>
      </c>
    </row>
    <row r="825" spans="1:13" x14ac:dyDescent="0.2">
      <c r="A825" s="1" t="s">
        <v>364</v>
      </c>
      <c r="B825" s="1" t="s">
        <v>23</v>
      </c>
      <c r="C825" s="1" t="s">
        <v>15</v>
      </c>
      <c r="D825" s="2" t="s">
        <v>72</v>
      </c>
      <c r="E825" s="2" t="s">
        <v>119</v>
      </c>
      <c r="F825" s="2" t="s">
        <v>365</v>
      </c>
      <c r="G825" s="2" t="s">
        <v>366</v>
      </c>
      <c r="H825" s="2" t="s">
        <v>367</v>
      </c>
      <c r="I825" s="2" t="s">
        <v>368</v>
      </c>
      <c r="J825" s="2" t="s">
        <v>1848</v>
      </c>
      <c r="K825" s="2">
        <v>2</v>
      </c>
      <c r="L825" s="2">
        <v>95</v>
      </c>
      <c r="M825" s="3">
        <v>45</v>
      </c>
    </row>
    <row r="826" spans="1:13" x14ac:dyDescent="0.2">
      <c r="A826" s="1" t="s">
        <v>1440</v>
      </c>
      <c r="B826" s="1" t="s">
        <v>43</v>
      </c>
      <c r="C826" s="1" t="s">
        <v>15</v>
      </c>
      <c r="D826" s="2" t="s">
        <v>24</v>
      </c>
      <c r="E826" s="2" t="s">
        <v>349</v>
      </c>
      <c r="F826" s="2" t="s">
        <v>1441</v>
      </c>
      <c r="G826" s="2" t="s">
        <v>1442</v>
      </c>
      <c r="H826" s="2" t="s">
        <v>1443</v>
      </c>
      <c r="I826" s="2" t="s">
        <v>1444</v>
      </c>
      <c r="J826" s="2" t="s">
        <v>1848</v>
      </c>
      <c r="K826" s="2">
        <v>1</v>
      </c>
      <c r="L826" s="2">
        <v>56</v>
      </c>
      <c r="M826" s="3">
        <v>52</v>
      </c>
    </row>
    <row r="827" spans="1:13" x14ac:dyDescent="0.2">
      <c r="A827" s="1" t="s">
        <v>1455</v>
      </c>
      <c r="B827" s="1" t="s">
        <v>23</v>
      </c>
      <c r="C827" s="1" t="s">
        <v>15</v>
      </c>
      <c r="D827" s="2" t="s">
        <v>72</v>
      </c>
      <c r="E827" s="2" t="s">
        <v>119</v>
      </c>
      <c r="F827" s="2" t="s">
        <v>1456</v>
      </c>
      <c r="G827" s="2" t="s">
        <v>1457</v>
      </c>
      <c r="H827" s="2" t="s">
        <v>1458</v>
      </c>
      <c r="I827" s="2" t="s">
        <v>1459</v>
      </c>
      <c r="J827" s="2" t="s">
        <v>1848</v>
      </c>
      <c r="K827" s="2">
        <v>2</v>
      </c>
      <c r="L827" s="2">
        <v>153</v>
      </c>
      <c r="M827" s="3">
        <v>152</v>
      </c>
    </row>
    <row r="828" spans="1:13" x14ac:dyDescent="0.2">
      <c r="A828" s="1" t="s">
        <v>223</v>
      </c>
      <c r="B828" s="1" t="s">
        <v>23</v>
      </c>
      <c r="C828" s="1" t="s">
        <v>15</v>
      </c>
      <c r="D828" s="2" t="s">
        <v>16</v>
      </c>
      <c r="E828" s="2" t="s">
        <v>224</v>
      </c>
      <c r="F828" s="2" t="s">
        <v>225</v>
      </c>
      <c r="G828" s="2" t="s">
        <v>226</v>
      </c>
      <c r="H828" s="2" t="s">
        <v>227</v>
      </c>
      <c r="I828" s="2" t="s">
        <v>228</v>
      </c>
      <c r="J828" s="2" t="s">
        <v>1848</v>
      </c>
      <c r="K828" s="2">
        <v>1</v>
      </c>
      <c r="L828" s="2">
        <v>6</v>
      </c>
      <c r="M828" s="3">
        <v>6</v>
      </c>
    </row>
    <row r="829" spans="1:13" x14ac:dyDescent="0.2">
      <c r="A829" s="1" t="s">
        <v>300</v>
      </c>
      <c r="B829" s="1" t="s">
        <v>23</v>
      </c>
      <c r="C829" s="1" t="s">
        <v>15</v>
      </c>
      <c r="D829" s="2" t="s">
        <v>16</v>
      </c>
      <c r="E829" s="2" t="s">
        <v>224</v>
      </c>
      <c r="F829" s="2" t="s">
        <v>301</v>
      </c>
      <c r="G829" s="2" t="s">
        <v>302</v>
      </c>
      <c r="H829" s="2" t="s">
        <v>303</v>
      </c>
      <c r="I829" s="2" t="s">
        <v>304</v>
      </c>
      <c r="J829" s="2" t="s">
        <v>1848</v>
      </c>
      <c r="K829" s="2">
        <v>2</v>
      </c>
      <c r="L829" s="2">
        <v>51</v>
      </c>
      <c r="M829" s="3">
        <v>49</v>
      </c>
    </row>
    <row r="830" spans="1:13" x14ac:dyDescent="0.2">
      <c r="A830" s="1" t="s">
        <v>1010</v>
      </c>
      <c r="B830" s="1" t="s">
        <v>23</v>
      </c>
      <c r="C830" s="1" t="s">
        <v>15</v>
      </c>
      <c r="D830" s="2" t="s">
        <v>55</v>
      </c>
      <c r="E830" s="2" t="s">
        <v>56</v>
      </c>
      <c r="F830" s="2" t="s">
        <v>1011</v>
      </c>
      <c r="G830" s="2" t="s">
        <v>1012</v>
      </c>
      <c r="H830" s="2" t="s">
        <v>1013</v>
      </c>
      <c r="I830" s="2" t="s">
        <v>1014</v>
      </c>
      <c r="J830" s="2" t="s">
        <v>1848</v>
      </c>
      <c r="K830" s="2">
        <v>2</v>
      </c>
      <c r="L830" s="2">
        <v>102</v>
      </c>
      <c r="M830" s="3">
        <v>97</v>
      </c>
    </row>
    <row r="831" spans="1:13" x14ac:dyDescent="0.2">
      <c r="A831" s="1" t="s">
        <v>1849</v>
      </c>
      <c r="B831" s="1" t="s">
        <v>14</v>
      </c>
      <c r="C831" s="1" t="s">
        <v>15</v>
      </c>
      <c r="D831" s="2" t="s">
        <v>72</v>
      </c>
      <c r="E831" s="2" t="s">
        <v>73</v>
      </c>
      <c r="F831" s="2" t="s">
        <v>1850</v>
      </c>
      <c r="G831" s="2" t="s">
        <v>1851</v>
      </c>
      <c r="H831" s="2" t="s">
        <v>1852</v>
      </c>
      <c r="I831" s="2" t="s">
        <v>1853</v>
      </c>
      <c r="J831" s="2" t="s">
        <v>1848</v>
      </c>
      <c r="K831" s="2">
        <v>1</v>
      </c>
      <c r="L831" s="2">
        <v>40</v>
      </c>
      <c r="M831" s="3">
        <v>15</v>
      </c>
    </row>
    <row r="832" spans="1:13" x14ac:dyDescent="0.2">
      <c r="A832" s="1" t="s">
        <v>894</v>
      </c>
      <c r="B832" s="1" t="s">
        <v>240</v>
      </c>
      <c r="C832" s="1" t="s">
        <v>15</v>
      </c>
      <c r="D832" s="2" t="s">
        <v>55</v>
      </c>
      <c r="E832" s="2" t="s">
        <v>92</v>
      </c>
      <c r="F832" s="2" t="s">
        <v>895</v>
      </c>
      <c r="G832" s="2" t="s">
        <v>896</v>
      </c>
      <c r="H832" s="2">
        <v>9688524038</v>
      </c>
      <c r="I832" s="2" t="s">
        <v>897</v>
      </c>
      <c r="J832" s="2" t="s">
        <v>1848</v>
      </c>
      <c r="K832" s="2">
        <v>3</v>
      </c>
      <c r="L832" s="2">
        <v>101</v>
      </c>
      <c r="M832" s="3">
        <v>73</v>
      </c>
    </row>
    <row r="833" spans="1:13" x14ac:dyDescent="0.2">
      <c r="A833" s="1" t="s">
        <v>328</v>
      </c>
      <c r="B833" s="1" t="s">
        <v>23</v>
      </c>
      <c r="C833" s="1" t="s">
        <v>15</v>
      </c>
      <c r="D833" s="2" t="s">
        <v>72</v>
      </c>
      <c r="E833" s="2" t="s">
        <v>73</v>
      </c>
      <c r="F833" s="2" t="s">
        <v>329</v>
      </c>
      <c r="G833" s="2" t="s">
        <v>330</v>
      </c>
      <c r="H833" s="2" t="s">
        <v>331</v>
      </c>
      <c r="I833" s="2" t="s">
        <v>332</v>
      </c>
      <c r="J833" s="2" t="s">
        <v>1848</v>
      </c>
      <c r="K833" s="2">
        <v>2</v>
      </c>
      <c r="L833" s="2">
        <v>222</v>
      </c>
      <c r="M833" s="3">
        <v>148</v>
      </c>
    </row>
    <row r="834" spans="1:13" x14ac:dyDescent="0.2">
      <c r="A834" s="1" t="s">
        <v>394</v>
      </c>
      <c r="B834" s="1" t="s">
        <v>23</v>
      </c>
      <c r="C834" s="1" t="s">
        <v>15</v>
      </c>
      <c r="D834" s="2" t="s">
        <v>24</v>
      </c>
      <c r="E834" s="2" t="s">
        <v>395</v>
      </c>
      <c r="F834" s="2" t="s">
        <v>396</v>
      </c>
      <c r="G834" s="2" t="s">
        <v>397</v>
      </c>
      <c r="H834" s="2" t="s">
        <v>398</v>
      </c>
      <c r="I834" s="2" t="s">
        <v>399</v>
      </c>
      <c r="J834" s="2" t="s">
        <v>1848</v>
      </c>
      <c r="K834" s="2">
        <v>2</v>
      </c>
      <c r="L834" s="2">
        <v>104</v>
      </c>
      <c r="M834" s="3">
        <v>93</v>
      </c>
    </row>
    <row r="835" spans="1:13" x14ac:dyDescent="0.2">
      <c r="A835" s="1" t="s">
        <v>239</v>
      </c>
      <c r="B835" s="1" t="s">
        <v>240</v>
      </c>
      <c r="C835" s="1" t="s">
        <v>15</v>
      </c>
      <c r="D835" s="2" t="s">
        <v>44</v>
      </c>
      <c r="E835" s="2" t="s">
        <v>44</v>
      </c>
      <c r="F835" s="2" t="s">
        <v>241</v>
      </c>
      <c r="G835" s="2" t="s">
        <v>242</v>
      </c>
      <c r="H835" s="2" t="s">
        <v>243</v>
      </c>
      <c r="I835" s="2" t="s">
        <v>244</v>
      </c>
      <c r="J835" s="2" t="s">
        <v>1848</v>
      </c>
      <c r="K835" s="2">
        <v>1</v>
      </c>
      <c r="L835" s="2">
        <v>14</v>
      </c>
      <c r="M835" s="3">
        <v>14</v>
      </c>
    </row>
    <row r="836" spans="1:13" x14ac:dyDescent="0.2">
      <c r="A836" s="1" t="s">
        <v>1653</v>
      </c>
      <c r="B836" s="1" t="s">
        <v>1654</v>
      </c>
      <c r="C836" s="1" t="s">
        <v>15</v>
      </c>
      <c r="D836" s="2" t="s">
        <v>16</v>
      </c>
      <c r="E836" s="2" t="s">
        <v>17</v>
      </c>
      <c r="F836" s="2" t="s">
        <v>1655</v>
      </c>
      <c r="G836" s="2" t="s">
        <v>1656</v>
      </c>
      <c r="H836" s="2">
        <v>9171273635</v>
      </c>
      <c r="I836" s="2" t="s">
        <v>1657</v>
      </c>
      <c r="J836" s="2" t="s">
        <v>1848</v>
      </c>
      <c r="K836" s="2">
        <v>2</v>
      </c>
      <c r="L836" s="2">
        <v>99</v>
      </c>
      <c r="M836" s="3">
        <v>143</v>
      </c>
    </row>
    <row r="837" spans="1:13" x14ac:dyDescent="0.2">
      <c r="A837" s="1" t="s">
        <v>1051</v>
      </c>
      <c r="B837" s="1" t="s">
        <v>23</v>
      </c>
      <c r="C837" s="1" t="s">
        <v>15</v>
      </c>
      <c r="D837" s="2" t="s">
        <v>24</v>
      </c>
      <c r="E837" s="2" t="s">
        <v>135</v>
      </c>
      <c r="F837" s="2" t="s">
        <v>1052</v>
      </c>
      <c r="G837" s="2" t="s">
        <v>1053</v>
      </c>
      <c r="H837" s="2" t="s">
        <v>1054</v>
      </c>
      <c r="I837" s="2" t="s">
        <v>1055</v>
      </c>
      <c r="J837" s="2" t="s">
        <v>1848</v>
      </c>
      <c r="K837" s="2">
        <v>3</v>
      </c>
      <c r="L837" s="2">
        <v>75</v>
      </c>
      <c r="M837" s="3">
        <v>75</v>
      </c>
    </row>
    <row r="838" spans="1:13" x14ac:dyDescent="0.2">
      <c r="A838" s="1" t="s">
        <v>348</v>
      </c>
      <c r="B838" s="1" t="s">
        <v>240</v>
      </c>
      <c r="C838" s="1" t="s">
        <v>15</v>
      </c>
      <c r="D838" s="2" t="s">
        <v>24</v>
      </c>
      <c r="E838" s="2" t="s">
        <v>349</v>
      </c>
      <c r="F838" s="2" t="s">
        <v>350</v>
      </c>
      <c r="G838" s="2" t="s">
        <v>351</v>
      </c>
      <c r="H838" s="2">
        <v>85168347</v>
      </c>
      <c r="I838" s="2" t="s">
        <v>352</v>
      </c>
      <c r="J838" s="2" t="s">
        <v>1848</v>
      </c>
      <c r="K838" s="2">
        <v>2</v>
      </c>
      <c r="L838" s="2">
        <v>304</v>
      </c>
      <c r="M838" s="3">
        <v>297</v>
      </c>
    </row>
    <row r="839" spans="1:13" x14ac:dyDescent="0.2">
      <c r="A839" s="1" t="s">
        <v>1365</v>
      </c>
      <c r="B839" s="1" t="s">
        <v>240</v>
      </c>
      <c r="C839" s="1" t="s">
        <v>15</v>
      </c>
      <c r="D839" s="2" t="s">
        <v>72</v>
      </c>
      <c r="E839" s="2" t="s">
        <v>73</v>
      </c>
      <c r="F839" s="2" t="s">
        <v>1366</v>
      </c>
      <c r="G839" s="2" t="s">
        <v>1367</v>
      </c>
      <c r="H839" s="2" t="s">
        <v>1368</v>
      </c>
      <c r="I839" s="2" t="s">
        <v>1369</v>
      </c>
      <c r="J839" s="2" t="s">
        <v>1848</v>
      </c>
      <c r="K839" s="2">
        <v>1</v>
      </c>
      <c r="L839" s="2">
        <v>109</v>
      </c>
      <c r="M839" s="3">
        <v>80</v>
      </c>
    </row>
    <row r="840" spans="1:13" x14ac:dyDescent="0.2">
      <c r="A840" s="1" t="s">
        <v>61</v>
      </c>
      <c r="B840" s="1" t="s">
        <v>14</v>
      </c>
      <c r="C840" s="1" t="s">
        <v>15</v>
      </c>
      <c r="D840" s="2" t="s">
        <v>16</v>
      </c>
      <c r="E840" s="2" t="s">
        <v>17</v>
      </c>
      <c r="F840" s="2" t="s">
        <v>62</v>
      </c>
      <c r="G840" s="2" t="s">
        <v>63</v>
      </c>
      <c r="H840" s="2">
        <v>8172650</v>
      </c>
      <c r="I840" s="2" t="s">
        <v>64</v>
      </c>
      <c r="J840" s="2" t="s">
        <v>1848</v>
      </c>
      <c r="K840" s="2">
        <v>0</v>
      </c>
      <c r="L840" s="2">
        <v>0</v>
      </c>
      <c r="M840" s="3">
        <v>49</v>
      </c>
    </row>
    <row r="841" spans="1:13" x14ac:dyDescent="0.2">
      <c r="A841" s="1" t="s">
        <v>1070</v>
      </c>
      <c r="B841" s="1" t="s">
        <v>240</v>
      </c>
      <c r="C841" s="1" t="s">
        <v>15</v>
      </c>
      <c r="D841" s="2" t="s">
        <v>36</v>
      </c>
      <c r="E841" s="2" t="s">
        <v>145</v>
      </c>
      <c r="F841" s="2" t="s">
        <v>1071</v>
      </c>
      <c r="G841" s="2" t="s">
        <v>1072</v>
      </c>
      <c r="H841" s="2" t="s">
        <v>1073</v>
      </c>
      <c r="I841" s="2" t="s">
        <v>1074</v>
      </c>
      <c r="J841" s="2" t="s">
        <v>1848</v>
      </c>
      <c r="K841" s="2">
        <v>1</v>
      </c>
      <c r="L841" s="2">
        <v>19</v>
      </c>
      <c r="M841" s="3">
        <v>0</v>
      </c>
    </row>
    <row r="842" spans="1:13" x14ac:dyDescent="0.2">
      <c r="A842" s="1" t="s">
        <v>191</v>
      </c>
      <c r="B842" s="1" t="s">
        <v>23</v>
      </c>
      <c r="C842" s="1" t="s">
        <v>15</v>
      </c>
      <c r="D842" s="2" t="s">
        <v>55</v>
      </c>
      <c r="E842" s="2" t="s">
        <v>92</v>
      </c>
      <c r="F842" s="2" t="s">
        <v>192</v>
      </c>
      <c r="G842" s="2" t="s">
        <v>193</v>
      </c>
      <c r="H842" s="2" t="s">
        <v>194</v>
      </c>
      <c r="I842" s="2" t="s">
        <v>195</v>
      </c>
      <c r="J842" s="2" t="s">
        <v>1848</v>
      </c>
      <c r="K842" s="2">
        <v>2</v>
      </c>
      <c r="L842" s="2">
        <v>53</v>
      </c>
      <c r="M842" s="3">
        <v>52</v>
      </c>
    </row>
    <row r="843" spans="1:13" x14ac:dyDescent="0.2">
      <c r="A843" s="1" t="s">
        <v>1206</v>
      </c>
      <c r="B843" s="1" t="s">
        <v>43</v>
      </c>
      <c r="C843" s="1" t="s">
        <v>15</v>
      </c>
      <c r="D843" s="2" t="s">
        <v>72</v>
      </c>
      <c r="E843" s="2" t="s">
        <v>73</v>
      </c>
      <c r="F843" s="2" t="s">
        <v>1207</v>
      </c>
      <c r="G843" s="2" t="s">
        <v>1208</v>
      </c>
      <c r="H843" s="2" t="s">
        <v>1209</v>
      </c>
      <c r="I843" s="2" t="s">
        <v>1210</v>
      </c>
      <c r="J843" s="2" t="s">
        <v>1854</v>
      </c>
      <c r="K843" s="2">
        <v>1</v>
      </c>
      <c r="L843" s="2">
        <v>12</v>
      </c>
      <c r="M843" s="3">
        <v>12</v>
      </c>
    </row>
    <row r="844" spans="1:13" x14ac:dyDescent="0.2">
      <c r="A844" s="1" t="s">
        <v>196</v>
      </c>
      <c r="B844" s="1" t="s">
        <v>23</v>
      </c>
      <c r="C844" s="1" t="s">
        <v>15</v>
      </c>
      <c r="D844" s="2" t="s">
        <v>72</v>
      </c>
      <c r="E844" s="2" t="s">
        <v>73</v>
      </c>
      <c r="F844" s="2" t="s">
        <v>197</v>
      </c>
      <c r="G844" s="2" t="s">
        <v>198</v>
      </c>
      <c r="H844" s="2" t="s">
        <v>199</v>
      </c>
      <c r="I844" s="2" t="s">
        <v>200</v>
      </c>
      <c r="J844" s="2" t="s">
        <v>1855</v>
      </c>
      <c r="K844" s="2">
        <v>0</v>
      </c>
      <c r="L844" s="2">
        <v>0</v>
      </c>
      <c r="M844" s="3">
        <v>38</v>
      </c>
    </row>
    <row r="845" spans="1:13" x14ac:dyDescent="0.2">
      <c r="A845" s="1" t="s">
        <v>1824</v>
      </c>
      <c r="B845" s="1" t="s">
        <v>23</v>
      </c>
      <c r="C845" s="1" t="s">
        <v>15</v>
      </c>
      <c r="D845" s="2" t="s">
        <v>44</v>
      </c>
      <c r="E845" s="2" t="s">
        <v>44</v>
      </c>
      <c r="F845" s="2" t="s">
        <v>1825</v>
      </c>
      <c r="G845" s="2" t="s">
        <v>1826</v>
      </c>
      <c r="H845" s="2" t="s">
        <v>1827</v>
      </c>
      <c r="I845" s="2" t="s">
        <v>1828</v>
      </c>
      <c r="J845" s="2" t="s">
        <v>1855</v>
      </c>
      <c r="K845" s="2">
        <v>2</v>
      </c>
      <c r="L845" s="2">
        <v>79</v>
      </c>
      <c r="M845" s="3">
        <v>126</v>
      </c>
    </row>
    <row r="846" spans="1:13" x14ac:dyDescent="0.2">
      <c r="A846" s="1" t="s">
        <v>1663</v>
      </c>
      <c r="B846" s="1" t="s">
        <v>23</v>
      </c>
      <c r="C846" s="1" t="s">
        <v>15</v>
      </c>
      <c r="D846" s="2" t="s">
        <v>55</v>
      </c>
      <c r="E846" s="2" t="s">
        <v>92</v>
      </c>
      <c r="F846" s="2" t="s">
        <v>1664</v>
      </c>
      <c r="G846" s="2" t="s">
        <v>1665</v>
      </c>
      <c r="H846" s="2">
        <v>7593087</v>
      </c>
      <c r="I846" s="2" t="s">
        <v>1666</v>
      </c>
      <c r="J846" s="2" t="s">
        <v>1855</v>
      </c>
      <c r="K846" s="2">
        <v>2</v>
      </c>
      <c r="L846" s="2">
        <v>147</v>
      </c>
      <c r="M846" s="3">
        <v>99</v>
      </c>
    </row>
    <row r="847" spans="1:13" x14ac:dyDescent="0.2">
      <c r="A847" s="1" t="s">
        <v>1653</v>
      </c>
      <c r="B847" s="1" t="s">
        <v>1654</v>
      </c>
      <c r="C847" s="1" t="s">
        <v>15</v>
      </c>
      <c r="D847" s="2" t="s">
        <v>16</v>
      </c>
      <c r="E847" s="2" t="s">
        <v>17</v>
      </c>
      <c r="F847" s="2" t="s">
        <v>1655</v>
      </c>
      <c r="G847" s="2" t="s">
        <v>1656</v>
      </c>
      <c r="H847" s="2">
        <v>9171273635</v>
      </c>
      <c r="I847" s="2" t="s">
        <v>1657</v>
      </c>
      <c r="J847" s="2" t="s">
        <v>1855</v>
      </c>
      <c r="K847" s="2">
        <v>1</v>
      </c>
      <c r="L847" s="2">
        <v>72</v>
      </c>
      <c r="M847" s="3">
        <v>149</v>
      </c>
    </row>
    <row r="848" spans="1:13" x14ac:dyDescent="0.2">
      <c r="A848" s="1" t="s">
        <v>369</v>
      </c>
      <c r="B848" s="1" t="s">
        <v>23</v>
      </c>
      <c r="C848" s="1" t="s">
        <v>15</v>
      </c>
      <c r="D848" s="2" t="s">
        <v>44</v>
      </c>
      <c r="E848" s="2" t="s">
        <v>44</v>
      </c>
      <c r="F848" s="2" t="s">
        <v>370</v>
      </c>
      <c r="G848" s="2" t="s">
        <v>371</v>
      </c>
      <c r="H848" s="2" t="s">
        <v>372</v>
      </c>
      <c r="I848" s="2" t="s">
        <v>373</v>
      </c>
      <c r="J848" s="2" t="s">
        <v>1855</v>
      </c>
      <c r="K848" s="2">
        <v>2</v>
      </c>
      <c r="L848" s="2">
        <v>113</v>
      </c>
      <c r="M848" s="3">
        <v>63</v>
      </c>
    </row>
    <row r="849" spans="1:13" x14ac:dyDescent="0.2">
      <c r="A849" s="1" t="s">
        <v>1070</v>
      </c>
      <c r="B849" s="1" t="s">
        <v>240</v>
      </c>
      <c r="C849" s="1" t="s">
        <v>15</v>
      </c>
      <c r="D849" s="2" t="s">
        <v>36</v>
      </c>
      <c r="E849" s="2" t="s">
        <v>145</v>
      </c>
      <c r="F849" s="2" t="s">
        <v>1071</v>
      </c>
      <c r="G849" s="2" t="s">
        <v>1072</v>
      </c>
      <c r="H849" s="2" t="s">
        <v>1073</v>
      </c>
      <c r="I849" s="2" t="s">
        <v>1074</v>
      </c>
      <c r="J849" s="2" t="s">
        <v>1855</v>
      </c>
      <c r="K849" s="2">
        <v>1</v>
      </c>
      <c r="L849" s="2">
        <v>51</v>
      </c>
      <c r="M849" s="3">
        <v>46</v>
      </c>
    </row>
    <row r="850" spans="1:13" x14ac:dyDescent="0.2">
      <c r="A850" s="4" t="s">
        <v>1856</v>
      </c>
      <c r="B850" s="4" t="s">
        <v>729</v>
      </c>
      <c r="C850" s="4" t="s">
        <v>15</v>
      </c>
      <c r="D850" s="5" t="s">
        <v>16</v>
      </c>
      <c r="E850" s="5" t="s">
        <v>17</v>
      </c>
      <c r="F850" s="5" t="s">
        <v>1857</v>
      </c>
      <c r="G850" s="5" t="s">
        <v>1858</v>
      </c>
      <c r="H850" s="5">
        <v>9569137422</v>
      </c>
      <c r="I850" s="5" t="s">
        <v>1859</v>
      </c>
      <c r="J850" s="5" t="s">
        <v>1860</v>
      </c>
      <c r="K850" s="5">
        <v>1</v>
      </c>
      <c r="L850" s="5">
        <v>23</v>
      </c>
      <c r="M850" s="6">
        <v>0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CD9F-FCF8-EC48-9FD6-4429172336A8}">
  <dimension ref="B2:D6"/>
  <sheetViews>
    <sheetView showGridLines="0" workbookViewId="0"/>
  </sheetViews>
  <sheetFormatPr baseColWidth="10" defaultRowHeight="16" x14ac:dyDescent="0.2"/>
  <cols>
    <col min="2" max="2" width="3.33203125" customWidth="1"/>
    <col min="3" max="3" width="14" bestFit="1" customWidth="1"/>
    <col min="4" max="4" width="17.1640625" bestFit="1" customWidth="1"/>
  </cols>
  <sheetData>
    <row r="2" spans="2:4" x14ac:dyDescent="0.2">
      <c r="B2" s="18" t="s">
        <v>2201</v>
      </c>
    </row>
    <row r="4" spans="2:4" x14ac:dyDescent="0.2">
      <c r="C4" s="19" t="s">
        <v>2202</v>
      </c>
      <c r="D4" s="19" t="s">
        <v>2203</v>
      </c>
    </row>
    <row r="6" spans="2:4" x14ac:dyDescent="0.2">
      <c r="C6" s="20" cm="1">
        <f t="array" ref="C6:D6">IF(SUM(ISERROR(Sheet3[])*1,ISBLANK(Sheet3[Graduates])*1)&gt;0,NA(),CHOOSE({1,2},AVERAGE(Sheet3[Graduates]),MEDIAN(Sheet3[Graduates])))</f>
        <v>310.51558073654388</v>
      </c>
      <c r="D6" s="20">
        <v>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EDBAAC-CB47-B14D-9FC7-278EF1252F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Use_for geocoding</vt:lpstr>
      <vt:lpstr>Graduate Count</vt:lpstr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Timothy Palima</dc:creator>
  <cp:lastModifiedBy>John Timothy Palima</cp:lastModifiedBy>
  <dcterms:created xsi:type="dcterms:W3CDTF">2025-05-30T00:11:55Z</dcterms:created>
  <dcterms:modified xsi:type="dcterms:W3CDTF">2025-06-10T05:33:27Z</dcterms:modified>
</cp:coreProperties>
</file>